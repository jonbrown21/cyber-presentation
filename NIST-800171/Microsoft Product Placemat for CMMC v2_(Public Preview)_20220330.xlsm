
<file path=[Content_Types].xml><?xml version="1.0" encoding="utf-8"?>
<Types xmlns="http://schemas.openxmlformats.org/package/2006/content-types">
  <Default Extension="bin" ContentType="application/vnd.openxmlformats-officedocument.spreadsheetml.printerSettings"/>
  <Default Extension="docx" ContentType="application/vnd.openxmlformats-officedocument.wordprocessingml.document"/>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omments2.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microsoft.sharepoint.com/teams/CMMCInnerCircle-QuzaraDevPrivate/Shared Documents/Quzara Dev (Private)/Product Placemat for CMMC/Published Versions/"/>
    </mc:Choice>
  </mc:AlternateContent>
  <xr:revisionPtr revIDLastSave="97" documentId="8_{7DB82C01-37AA-604F-883B-2915A1A0BCC4}" xr6:coauthVersionLast="47" xr6:coauthVersionMax="47" xr10:uidLastSave="{8A0D1833-AF0D-402B-8E95-E61160942905}"/>
  <bookViews>
    <workbookView xWindow="-13387" yWindow="14307" windowWidth="25787" windowHeight="13866" firstSheet="1" activeTab="1" xr2:uid="{F95A5600-E112-436E-9EA2-334C95459707}"/>
  </bookViews>
  <sheets>
    <sheet name="Data Sources" sheetId="10" state="veryHidden" r:id="rId1"/>
    <sheet name="Instructions" sheetId="13" r:id="rId2"/>
    <sheet name="Placemat" sheetId="4" r:id="rId3"/>
    <sheet name="CMMC Levels" sheetId="12" state="veryHidden" r:id="rId4"/>
    <sheet name="Selection Pane Data" sheetId="1" state="veryHidden" r:id="rId5"/>
    <sheet name="Statements" sheetId="9" state="veryHidden" r:id="rId6"/>
    <sheet name="Selection Pane Filters" sheetId="8" state="veryHidden" r:id="rId7"/>
    <sheet name="Control Information" sheetId="5" state="veryHidden" r:id="rId8"/>
    <sheet name="List" sheetId="3" state="veryHidden" r:id="rId9"/>
  </sheets>
  <externalReferences>
    <externalReference r:id="rId10"/>
  </externalReferences>
  <definedNames>
    <definedName name="_xlnm._FilterDatabase" localSheetId="3" hidden="1">'CMMC Levels'!$A$1:$F$172</definedName>
    <definedName name="_xlnm._FilterDatabase" localSheetId="8" hidden="1">List!$E$2:$CE$174</definedName>
    <definedName name="_xlnm._FilterDatabase" localSheetId="2" hidden="1">Placemat!$B$6:$D$41</definedName>
    <definedName name="_xlnm._FilterDatabase" localSheetId="6" hidden="1">'Selection Pane Filters'!$B$2:$U$76</definedName>
    <definedName name="_Hlk56068327" localSheetId="1">Instructions!$D$164</definedName>
    <definedName name="AC">#REF!</definedName>
    <definedName name="AM">#REF!</definedName>
    <definedName name="AT">#REF!</definedName>
    <definedName name="AU">#REF!</definedName>
    <definedName name="azuregovernmentsecurityservices">[1]!Table7[AzureGovernmentSecurityServices]</definedName>
    <definedName name="azuregovernmentservices">[1]!Table6[AzureGovernmentServices]</definedName>
    <definedName name="azuregovservices">[1]!Table6[AzureGovernmentServices]</definedName>
    <definedName name="CA">#REF!</definedName>
    <definedName name="CM">#REF!</definedName>
    <definedName name="IA">#REF!</definedName>
    <definedName name="IR">#REF!</definedName>
    <definedName name="MA">#REF!</definedName>
    <definedName name="MP">#REF!</definedName>
    <definedName name="O365SecurityandCompliance">[1]!Table710[O365Security&amp;Compliance]</definedName>
    <definedName name="Office365">[1]!Table710[O365Security&amp;Compliance]</definedName>
    <definedName name="PE">#REF!</definedName>
    <definedName name="PS">#REF!</definedName>
    <definedName name="RE">#REF!</definedName>
    <definedName name="RM">#REF!</definedName>
    <definedName name="SA">#REF!</definedName>
    <definedName name="SC">#REF!</definedName>
    <definedName name="securityservices">[1]!Table5[SecuritySuite]</definedName>
    <definedName name="SecuritySuite">[1]!Table5[SecuritySuite]</definedName>
    <definedName name="Service">[1]!Table10[Service]</definedName>
    <definedName name="SI">#REF!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4" i="1" l="1"/>
  <c r="J4" i="1"/>
  <c r="K4" i="1"/>
  <c r="L4" i="1"/>
  <c r="M4" i="1"/>
  <c r="N4" i="1"/>
  <c r="O4" i="1"/>
  <c r="P4" i="1"/>
  <c r="Q4" i="1"/>
  <c r="R4" i="1"/>
  <c r="S4" i="1"/>
  <c r="T4" i="1"/>
  <c r="U4" i="1"/>
  <c r="V4" i="1"/>
  <c r="W4" i="1"/>
  <c r="X4" i="1"/>
  <c r="Y4" i="1"/>
  <c r="Z4" i="1"/>
  <c r="AA4" i="1"/>
  <c r="AB4" i="1"/>
  <c r="AC4" i="1"/>
  <c r="AD4" i="1"/>
  <c r="AE4" i="1"/>
  <c r="AF4" i="1"/>
  <c r="AG4" i="1"/>
  <c r="AH4" i="1"/>
  <c r="AI4" i="1"/>
  <c r="AJ4" i="1"/>
  <c r="AK4" i="1"/>
  <c r="AL4" i="1"/>
  <c r="AM4" i="1"/>
  <c r="AN4" i="1"/>
  <c r="AO4" i="1"/>
  <c r="AP4" i="1"/>
  <c r="AQ4" i="1"/>
  <c r="AR4" i="1"/>
  <c r="AS4" i="1"/>
  <c r="AT4" i="1"/>
  <c r="AU4" i="1"/>
  <c r="AV4" i="1"/>
  <c r="AW4" i="1"/>
  <c r="AX4" i="1"/>
  <c r="AY4" i="1"/>
  <c r="AZ4" i="1"/>
  <c r="BA4" i="1"/>
  <c r="BB4" i="1"/>
  <c r="BC4" i="1"/>
  <c r="BD4" i="1"/>
  <c r="BE4" i="1"/>
  <c r="BF4" i="1"/>
  <c r="BG4" i="1"/>
  <c r="BH4" i="1"/>
  <c r="BI4" i="1"/>
  <c r="BJ4" i="1"/>
  <c r="BK4" i="1"/>
  <c r="BL4" i="1"/>
  <c r="BM4" i="1"/>
  <c r="BN4" i="1"/>
  <c r="BO4" i="1"/>
  <c r="BP4" i="1"/>
  <c r="BQ4" i="1"/>
  <c r="BR4" i="1"/>
  <c r="BS4" i="1"/>
  <c r="BT4" i="1"/>
  <c r="BU4" i="1"/>
  <c r="BV4" i="1"/>
  <c r="BW4" i="1"/>
  <c r="BX4" i="1"/>
  <c r="BY4" i="1"/>
  <c r="BZ4" i="1"/>
  <c r="CA4" i="1"/>
  <c r="CB4" i="1"/>
  <c r="CC4" i="1"/>
  <c r="CD4" i="1"/>
  <c r="CE4" i="1"/>
  <c r="CE5" i="1" s="1"/>
  <c r="H4" i="1"/>
  <c r="G27" i="1"/>
  <c r="G28" i="1"/>
  <c r="G29" i="1"/>
  <c r="G30" i="1"/>
  <c r="G31" i="1"/>
  <c r="G32" i="1"/>
  <c r="G36" i="1"/>
  <c r="G37" i="1"/>
  <c r="G41" i="1"/>
  <c r="G44" i="1"/>
  <c r="G49" i="1"/>
  <c r="G50" i="1"/>
  <c r="G51" i="1"/>
  <c r="G56" i="1"/>
  <c r="G57" i="1"/>
  <c r="G58" i="1"/>
  <c r="G59" i="1"/>
  <c r="G70" i="1"/>
  <c r="G83" i="1"/>
  <c r="G84" i="1"/>
  <c r="G85" i="1"/>
  <c r="G86" i="1"/>
  <c r="G89" i="1"/>
  <c r="G90" i="1"/>
  <c r="G91" i="1"/>
  <c r="G92" i="1"/>
  <c r="G93" i="1"/>
  <c r="G94" i="1"/>
  <c r="G115" i="1"/>
  <c r="G117" i="1"/>
  <c r="G119" i="1"/>
  <c r="G120" i="1"/>
  <c r="G124" i="1"/>
  <c r="G125" i="1"/>
  <c r="G126" i="1"/>
  <c r="G127" i="1"/>
  <c r="G128" i="1"/>
  <c r="G129" i="1"/>
  <c r="G130" i="1"/>
  <c r="G131" i="1"/>
  <c r="G132" i="1"/>
  <c r="G133" i="1"/>
  <c r="G134" i="1"/>
  <c r="G135" i="1"/>
  <c r="G139" i="1"/>
  <c r="G153" i="1"/>
  <c r="G154" i="1"/>
  <c r="G155" i="1"/>
  <c r="G156" i="1"/>
  <c r="G157" i="1"/>
  <c r="G159" i="1"/>
  <c r="G160" i="1"/>
  <c r="G161" i="1"/>
  <c r="G162" i="1"/>
  <c r="G170" i="1"/>
  <c r="G171" i="1"/>
  <c r="G172" i="1"/>
  <c r="G173" i="1"/>
  <c r="G174" i="1"/>
  <c r="G175" i="1"/>
  <c r="C4" i="8"/>
  <c r="C5" i="8"/>
  <c r="C6" i="8"/>
  <c r="C7" i="8"/>
  <c r="C8" i="8"/>
  <c r="C9" i="8"/>
  <c r="C10" i="8"/>
  <c r="C11" i="8"/>
  <c r="C12" i="8"/>
  <c r="C13" i="8"/>
  <c r="C14" i="8"/>
  <c r="C15" i="8"/>
  <c r="C16" i="8"/>
  <c r="C17" i="8"/>
  <c r="C18" i="8"/>
  <c r="C19" i="8"/>
  <c r="C20" i="8"/>
  <c r="C21" i="8"/>
  <c r="C22" i="8"/>
  <c r="C23" i="8"/>
  <c r="C24" i="8"/>
  <c r="C25" i="8"/>
  <c r="C26" i="8"/>
  <c r="C27" i="8"/>
  <c r="C28" i="8"/>
  <c r="C29" i="8"/>
  <c r="C30" i="8"/>
  <c r="C31" i="8"/>
  <c r="C32" i="8"/>
  <c r="C33" i="8"/>
  <c r="C34" i="8"/>
  <c r="C35" i="8"/>
  <c r="C36" i="8"/>
  <c r="C37" i="8"/>
  <c r="C38" i="8"/>
  <c r="C39" i="8"/>
  <c r="C40" i="8"/>
  <c r="C41" i="8"/>
  <c r="C42" i="8"/>
  <c r="C43" i="8"/>
  <c r="C44" i="8"/>
  <c r="C45" i="8"/>
  <c r="C46" i="8"/>
  <c r="C47" i="8"/>
  <c r="C48" i="8"/>
  <c r="C49" i="8"/>
  <c r="C50" i="8"/>
  <c r="C51" i="8"/>
  <c r="C52" i="8"/>
  <c r="C53" i="8"/>
  <c r="C54" i="8"/>
  <c r="C55" i="8"/>
  <c r="C56" i="8"/>
  <c r="C57" i="8"/>
  <c r="C58" i="8"/>
  <c r="C59" i="8"/>
  <c r="C60" i="8"/>
  <c r="C61" i="8"/>
  <c r="C62" i="8"/>
  <c r="C63" i="8"/>
  <c r="C64" i="8"/>
  <c r="C65" i="8"/>
  <c r="C66" i="8"/>
  <c r="C67" i="8"/>
  <c r="C68" i="8"/>
  <c r="C69" i="8"/>
  <c r="C70" i="8"/>
  <c r="C71" i="8"/>
  <c r="C72" i="8"/>
  <c r="C73" i="8"/>
  <c r="C74" i="8"/>
  <c r="C75" i="8"/>
  <c r="C76" i="8"/>
  <c r="C3" i="8"/>
  <c r="CE174" i="3"/>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56" i="4"/>
  <c r="E57" i="4"/>
  <c r="E58" i="4"/>
  <c r="E59" i="4"/>
  <c r="E60" i="4"/>
  <c r="E61" i="4"/>
  <c r="E62" i="4"/>
  <c r="E63" i="4"/>
  <c r="E64" i="4"/>
  <c r="E65" i="4"/>
  <c r="E66" i="4"/>
  <c r="E67" i="4"/>
  <c r="E68" i="4"/>
  <c r="E69" i="4"/>
  <c r="E70" i="4"/>
  <c r="E71" i="4"/>
  <c r="E72" i="4"/>
  <c r="E73" i="4"/>
  <c r="E74" i="4"/>
  <c r="E75" i="4"/>
  <c r="E76" i="4"/>
  <c r="E77" i="4"/>
  <c r="E78" i="4"/>
  <c r="E79" i="4"/>
  <c r="E80" i="4"/>
  <c r="E7" i="4"/>
  <c r="CE163" i="1" l="1"/>
  <c r="CE147" i="1"/>
  <c r="CE131" i="1"/>
  <c r="CE123" i="1"/>
  <c r="CE115" i="1"/>
  <c r="CE100" i="1"/>
  <c r="CE92" i="1"/>
  <c r="CE84" i="1"/>
  <c r="CE60" i="1"/>
  <c r="CE52" i="1"/>
  <c r="CE44" i="1"/>
  <c r="CE28" i="1"/>
  <c r="CE12" i="1"/>
  <c r="CE170" i="1"/>
  <c r="CE162" i="1"/>
  <c r="CE154" i="1"/>
  <c r="CE146" i="1"/>
  <c r="CE138" i="1"/>
  <c r="CE130" i="1"/>
  <c r="CE122" i="1"/>
  <c r="CE114" i="1"/>
  <c r="CE107" i="1"/>
  <c r="CE99" i="1"/>
  <c r="CE91" i="1"/>
  <c r="CE83" i="1"/>
  <c r="CE75" i="1"/>
  <c r="CE67" i="1"/>
  <c r="CE59" i="1"/>
  <c r="CE51" i="1"/>
  <c r="CE43" i="1"/>
  <c r="CE35" i="1"/>
  <c r="CE27" i="1"/>
  <c r="CE19" i="1"/>
  <c r="CE11" i="1"/>
  <c r="CE169" i="1"/>
  <c r="CE161" i="1"/>
  <c r="CE153" i="1"/>
  <c r="CE145" i="1"/>
  <c r="CE137" i="1"/>
  <c r="CE129" i="1"/>
  <c r="CE121" i="1"/>
  <c r="CE113" i="1"/>
  <c r="CE106" i="1"/>
  <c r="CE98" i="1"/>
  <c r="CE90" i="1"/>
  <c r="CE82" i="1"/>
  <c r="CE74" i="1"/>
  <c r="CE66" i="1"/>
  <c r="CE58" i="1"/>
  <c r="CE50" i="1"/>
  <c r="CE42" i="1"/>
  <c r="CE34" i="1"/>
  <c r="CE26" i="1"/>
  <c r="CE18" i="1"/>
  <c r="CE10" i="1"/>
  <c r="CE76" i="1"/>
  <c r="CE36" i="1"/>
  <c r="CE168" i="1"/>
  <c r="CE160" i="1"/>
  <c r="CE152" i="1"/>
  <c r="CE144" i="1"/>
  <c r="CE136" i="1"/>
  <c r="CE128" i="1"/>
  <c r="CE120" i="1"/>
  <c r="CE112" i="1"/>
  <c r="CE105" i="1"/>
  <c r="CE97" i="1"/>
  <c r="CE89" i="1"/>
  <c r="CE81" i="1"/>
  <c r="CE73" i="1"/>
  <c r="CE65" i="1"/>
  <c r="CE57" i="1"/>
  <c r="CE49" i="1"/>
  <c r="CE41" i="1"/>
  <c r="CE33" i="1"/>
  <c r="CE25" i="1"/>
  <c r="CE17" i="1"/>
  <c r="CE9" i="1"/>
  <c r="CE175" i="1"/>
  <c r="CE167" i="1"/>
  <c r="CE159" i="1"/>
  <c r="CE151" i="1"/>
  <c r="CE143" i="1"/>
  <c r="CE135" i="1"/>
  <c r="CE127" i="1"/>
  <c r="CE119" i="1"/>
  <c r="CE111" i="1"/>
  <c r="CE104" i="1"/>
  <c r="CE96" i="1"/>
  <c r="CE88" i="1"/>
  <c r="CE80" i="1"/>
  <c r="CE72" i="1"/>
  <c r="CE64" i="1"/>
  <c r="CE56" i="1"/>
  <c r="CE48" i="1"/>
  <c r="CE40" i="1"/>
  <c r="CE32" i="1"/>
  <c r="CE24" i="1"/>
  <c r="CE16" i="1"/>
  <c r="CE8" i="1"/>
  <c r="CE68" i="1"/>
  <c r="CE158" i="1"/>
  <c r="CE171" i="1"/>
  <c r="CE155" i="1"/>
  <c r="CE139" i="1"/>
  <c r="CE108" i="1"/>
  <c r="CE20" i="1"/>
  <c r="CE174" i="1"/>
  <c r="CE166" i="1"/>
  <c r="CE150" i="1"/>
  <c r="CE142" i="1"/>
  <c r="CE134" i="1"/>
  <c r="CE126" i="1"/>
  <c r="CE118" i="1"/>
  <c r="CE110" i="1"/>
  <c r="CE103" i="1"/>
  <c r="CE95" i="1"/>
  <c r="CE87" i="1"/>
  <c r="CE79" i="1"/>
  <c r="CE71" i="1"/>
  <c r="CE63" i="1"/>
  <c r="CE55" i="1"/>
  <c r="CE47" i="1"/>
  <c r="CE39" i="1"/>
  <c r="CE31" i="1"/>
  <c r="CE23" i="1"/>
  <c r="CE15" i="1"/>
  <c r="CE7" i="1"/>
  <c r="CE173" i="1"/>
  <c r="CE165" i="1"/>
  <c r="CE157" i="1"/>
  <c r="CE149" i="1"/>
  <c r="CE141" i="1"/>
  <c r="CE133" i="1"/>
  <c r="CE125" i="1"/>
  <c r="CE117" i="1"/>
  <c r="CE109" i="1"/>
  <c r="CE102" i="1"/>
  <c r="CE94" i="1"/>
  <c r="CE86" i="1"/>
  <c r="CE78" i="1"/>
  <c r="CE70" i="1"/>
  <c r="CE62" i="1"/>
  <c r="CE54" i="1"/>
  <c r="CE46" i="1"/>
  <c r="CE38" i="1"/>
  <c r="CE30" i="1"/>
  <c r="CE22" i="1"/>
  <c r="CE14" i="1"/>
  <c r="CE6" i="1"/>
  <c r="CE172" i="1"/>
  <c r="CE164" i="1"/>
  <c r="CE156" i="1"/>
  <c r="CE148" i="1"/>
  <c r="CE140" i="1"/>
  <c r="CE132" i="1"/>
  <c r="CE124" i="1"/>
  <c r="CE116" i="1"/>
  <c r="CE101" i="1"/>
  <c r="CE93" i="1"/>
  <c r="CE85" i="1"/>
  <c r="CE77" i="1"/>
  <c r="CE69" i="1"/>
  <c r="CE61" i="1"/>
  <c r="CE53" i="1"/>
  <c r="CE45" i="1"/>
  <c r="CE37" i="1"/>
  <c r="CE29" i="1"/>
  <c r="CE21" i="1"/>
  <c r="CE13" i="1"/>
  <c r="I174" i="3" l="1"/>
  <c r="J174" i="3"/>
  <c r="K174" i="3"/>
  <c r="L174" i="3"/>
  <c r="M174" i="3"/>
  <c r="N174" i="3"/>
  <c r="O174" i="3"/>
  <c r="P174" i="3"/>
  <c r="Q174" i="3"/>
  <c r="R174" i="3"/>
  <c r="S174" i="3"/>
  <c r="T174" i="3"/>
  <c r="U174" i="3"/>
  <c r="V174" i="3"/>
  <c r="W174" i="3"/>
  <c r="X174" i="3"/>
  <c r="Y174" i="3"/>
  <c r="Z174" i="3"/>
  <c r="AA174" i="3"/>
  <c r="AB174" i="3"/>
  <c r="AC174" i="3"/>
  <c r="AD174" i="3"/>
  <c r="AE174" i="3"/>
  <c r="AF174" i="3"/>
  <c r="AG174" i="3"/>
  <c r="AH174" i="3"/>
  <c r="AI174" i="3"/>
  <c r="AJ174" i="3"/>
  <c r="AK174" i="3"/>
  <c r="AL174" i="3"/>
  <c r="AM174" i="3"/>
  <c r="AN174" i="3"/>
  <c r="AO174" i="3"/>
  <c r="AP174" i="3"/>
  <c r="AQ174" i="3"/>
  <c r="AR174" i="3"/>
  <c r="AS174" i="3"/>
  <c r="AT174" i="3"/>
  <c r="AU174" i="3"/>
  <c r="AV174" i="3"/>
  <c r="AW174" i="3"/>
  <c r="AX174" i="3"/>
  <c r="AY174" i="3"/>
  <c r="AZ174" i="3"/>
  <c r="BA174" i="3"/>
  <c r="BB174" i="3"/>
  <c r="BC174" i="3"/>
  <c r="BD174" i="3"/>
  <c r="BE174" i="3"/>
  <c r="BF174" i="3"/>
  <c r="BG174" i="3"/>
  <c r="BH174" i="3"/>
  <c r="BI174" i="3"/>
  <c r="BJ174" i="3"/>
  <c r="BK174" i="3"/>
  <c r="BL174" i="3"/>
  <c r="BM174" i="3"/>
  <c r="BN174" i="3"/>
  <c r="BO174" i="3"/>
  <c r="BP174" i="3"/>
  <c r="BQ174" i="3"/>
  <c r="BR174" i="3"/>
  <c r="BS174" i="3"/>
  <c r="BT174" i="3"/>
  <c r="BU174" i="3"/>
  <c r="BV174" i="3"/>
  <c r="BW174" i="3"/>
  <c r="BX174" i="3"/>
  <c r="BY174" i="3"/>
  <c r="BZ174" i="3"/>
  <c r="CA174" i="3"/>
  <c r="CB174" i="3"/>
  <c r="CC174" i="3"/>
  <c r="CD174" i="3"/>
  <c r="H174" i="3"/>
  <c r="AT165" i="1" l="1"/>
  <c r="AU160" i="1"/>
  <c r="AW174" i="1"/>
  <c r="AY149" i="1"/>
  <c r="AZ164" i="1"/>
  <c r="BA164" i="1"/>
  <c r="BB164" i="1"/>
  <c r="BC161" i="1"/>
  <c r="BE173" i="1"/>
  <c r="BG148" i="1"/>
  <c r="BH163" i="1"/>
  <c r="BI163" i="1"/>
  <c r="BJ163" i="1"/>
  <c r="BK160" i="1"/>
  <c r="BM175" i="1"/>
  <c r="BO147" i="1"/>
  <c r="BP162" i="1"/>
  <c r="BQ162" i="1"/>
  <c r="BR162" i="1"/>
  <c r="BS161" i="1"/>
  <c r="BU175" i="1"/>
  <c r="BW146" i="1"/>
  <c r="BX169" i="1"/>
  <c r="BY169" i="1"/>
  <c r="BZ169" i="1"/>
  <c r="CA160" i="1"/>
  <c r="CC174" i="1"/>
  <c r="C6" i="1"/>
  <c r="C7" i="1"/>
  <c r="C8" i="1"/>
  <c r="C9" i="1"/>
  <c r="C10" i="1"/>
  <c r="C11" i="1"/>
  <c r="C12" i="1"/>
  <c r="C13" i="1"/>
  <c r="C14" i="1"/>
  <c r="C15" i="1"/>
  <c r="C16" i="1"/>
  <c r="C17" i="1"/>
  <c r="C18" i="1"/>
  <c r="C19" i="1"/>
  <c r="C20" i="1"/>
  <c r="C21" i="1"/>
  <c r="C22" i="1"/>
  <c r="C23" i="1"/>
  <c r="C24" i="1"/>
  <c r="C25" i="1"/>
  <c r="C26" i="1"/>
  <c r="C27" i="1"/>
  <c r="C28" i="1"/>
  <c r="C29" i="1"/>
  <c r="C30" i="1"/>
  <c r="C31" i="1"/>
  <c r="C32" i="1"/>
  <c r="C33" i="1"/>
  <c r="C34" i="1"/>
  <c r="C35" i="1"/>
  <c r="C36" i="1"/>
  <c r="C37" i="1"/>
  <c r="C38" i="1"/>
  <c r="C39" i="1"/>
  <c r="C40" i="1"/>
  <c r="C41" i="1"/>
  <c r="C42" i="1"/>
  <c r="C43" i="1"/>
  <c r="C44" i="1"/>
  <c r="C45" i="1"/>
  <c r="C46" i="1"/>
  <c r="C47" i="1"/>
  <c r="C48" i="1"/>
  <c r="C49" i="1"/>
  <c r="C50" i="1"/>
  <c r="C51" i="1"/>
  <c r="C52" i="1"/>
  <c r="C53" i="1"/>
  <c r="C54" i="1"/>
  <c r="C55" i="1"/>
  <c r="C56" i="1"/>
  <c r="C57" i="1"/>
  <c r="C58" i="1"/>
  <c r="C59" i="1"/>
  <c r="C60" i="1"/>
  <c r="C61" i="1"/>
  <c r="C62" i="1"/>
  <c r="C63" i="1"/>
  <c r="C64" i="1"/>
  <c r="C65" i="1"/>
  <c r="C66" i="1"/>
  <c r="C67" i="1"/>
  <c r="C68" i="1"/>
  <c r="C69" i="1"/>
  <c r="C70" i="1"/>
  <c r="C71" i="1"/>
  <c r="C72" i="1"/>
  <c r="C73" i="1"/>
  <c r="C74" i="1"/>
  <c r="C75" i="1"/>
  <c r="C76" i="1"/>
  <c r="C77" i="1"/>
  <c r="C78" i="1"/>
  <c r="C79" i="1"/>
  <c r="C80" i="1"/>
  <c r="C81" i="1"/>
  <c r="C82" i="1"/>
  <c r="C83" i="1"/>
  <c r="C84" i="1"/>
  <c r="C85" i="1"/>
  <c r="C86" i="1"/>
  <c r="C87" i="1"/>
  <c r="C88" i="1"/>
  <c r="C89" i="1"/>
  <c r="C90" i="1"/>
  <c r="C91" i="1"/>
  <c r="C92" i="1"/>
  <c r="C93" i="1"/>
  <c r="C94" i="1"/>
  <c r="C95" i="1"/>
  <c r="C96" i="1"/>
  <c r="C97" i="1"/>
  <c r="C98" i="1"/>
  <c r="C99" i="1"/>
  <c r="C100" i="1"/>
  <c r="C101" i="1"/>
  <c r="C102" i="1"/>
  <c r="C103" i="1"/>
  <c r="C104" i="1"/>
  <c r="C105" i="1"/>
  <c r="C106" i="1"/>
  <c r="C107" i="1"/>
  <c r="C108" i="1"/>
  <c r="C109" i="1"/>
  <c r="C110" i="1"/>
  <c r="C111" i="1"/>
  <c r="C112" i="1"/>
  <c r="C113" i="1"/>
  <c r="C114" i="1"/>
  <c r="C115" i="1"/>
  <c r="C116" i="1"/>
  <c r="C117" i="1"/>
  <c r="C118" i="1"/>
  <c r="C119" i="1"/>
  <c r="C120" i="1"/>
  <c r="C121" i="1"/>
  <c r="C122" i="1"/>
  <c r="C123" i="1"/>
  <c r="C124" i="1"/>
  <c r="C125" i="1"/>
  <c r="C126" i="1"/>
  <c r="C127" i="1"/>
  <c r="C128" i="1"/>
  <c r="C129" i="1"/>
  <c r="C130" i="1"/>
  <c r="C131" i="1"/>
  <c r="C132" i="1"/>
  <c r="C133" i="1"/>
  <c r="C134" i="1"/>
  <c r="C135" i="1"/>
  <c r="C136" i="1"/>
  <c r="C137" i="1"/>
  <c r="C138" i="1"/>
  <c r="C139" i="1"/>
  <c r="C140" i="1"/>
  <c r="C141" i="1"/>
  <c r="C142" i="1"/>
  <c r="C143" i="1"/>
  <c r="C144" i="1"/>
  <c r="C145" i="1"/>
  <c r="C146" i="1"/>
  <c r="C147" i="1"/>
  <c r="C148" i="1"/>
  <c r="C149" i="1"/>
  <c r="C150" i="1"/>
  <c r="C151" i="1"/>
  <c r="C152" i="1"/>
  <c r="C153" i="1"/>
  <c r="C154" i="1"/>
  <c r="C155" i="1"/>
  <c r="C156" i="1"/>
  <c r="C157" i="1"/>
  <c r="C158" i="1"/>
  <c r="C159" i="1"/>
  <c r="C160" i="1"/>
  <c r="C161" i="1"/>
  <c r="C162" i="1"/>
  <c r="C163" i="1"/>
  <c r="C164" i="1"/>
  <c r="C165" i="1"/>
  <c r="C166" i="1"/>
  <c r="C167" i="1"/>
  <c r="C168" i="1"/>
  <c r="C169" i="1"/>
  <c r="C170" i="1"/>
  <c r="C171" i="1"/>
  <c r="C172" i="1"/>
  <c r="C173" i="1"/>
  <c r="C174" i="1"/>
  <c r="C175" i="1"/>
  <c r="C5" i="1"/>
  <c r="C3" i="5"/>
  <c r="B3" i="9"/>
  <c r="B4" i="9"/>
  <c r="B5" i="9"/>
  <c r="B6" i="9"/>
  <c r="B7" i="9"/>
  <c r="B8" i="9"/>
  <c r="B9" i="9"/>
  <c r="B10" i="9"/>
  <c r="B11" i="9"/>
  <c r="B12" i="9"/>
  <c r="B13" i="9"/>
  <c r="B14" i="9"/>
  <c r="B15" i="9"/>
  <c r="B16" i="9"/>
  <c r="B17" i="9"/>
  <c r="B18" i="9"/>
  <c r="B19" i="9"/>
  <c r="B20" i="9"/>
  <c r="B21" i="9"/>
  <c r="B22" i="9"/>
  <c r="B23" i="9"/>
  <c r="B24" i="9"/>
  <c r="B25" i="9"/>
  <c r="B26" i="9"/>
  <c r="B27" i="9"/>
  <c r="B28" i="9"/>
  <c r="B29" i="9"/>
  <c r="B30" i="9"/>
  <c r="B31" i="9"/>
  <c r="B32" i="9"/>
  <c r="B33" i="9"/>
  <c r="B34" i="9"/>
  <c r="B35" i="9"/>
  <c r="B36" i="9"/>
  <c r="B37" i="9"/>
  <c r="B38" i="9"/>
  <c r="B39" i="9"/>
  <c r="B40" i="9"/>
  <c r="B41" i="9"/>
  <c r="B42" i="9"/>
  <c r="B43" i="9"/>
  <c r="B44" i="9"/>
  <c r="B45" i="9"/>
  <c r="B46" i="9"/>
  <c r="B47" i="9"/>
  <c r="B48" i="9"/>
  <c r="B49" i="9"/>
  <c r="B50" i="9"/>
  <c r="B51" i="9"/>
  <c r="B52" i="9"/>
  <c r="B53" i="9"/>
  <c r="B54" i="9"/>
  <c r="B55" i="9"/>
  <c r="B56" i="9"/>
  <c r="B57" i="9"/>
  <c r="B58" i="9"/>
  <c r="B59" i="9"/>
  <c r="B60" i="9"/>
  <c r="B61" i="9"/>
  <c r="B62" i="9"/>
  <c r="B63" i="9"/>
  <c r="B64" i="9"/>
  <c r="B65" i="9"/>
  <c r="B66" i="9"/>
  <c r="B67" i="9"/>
  <c r="B68" i="9"/>
  <c r="B69" i="9"/>
  <c r="B70" i="9"/>
  <c r="B71" i="9"/>
  <c r="B72" i="9"/>
  <c r="B73" i="9"/>
  <c r="B74" i="9"/>
  <c r="B75" i="9"/>
  <c r="B76" i="9"/>
  <c r="B77" i="9"/>
  <c r="B78" i="9"/>
  <c r="B79" i="9"/>
  <c r="B80" i="9"/>
  <c r="B81" i="9"/>
  <c r="B82" i="9"/>
  <c r="B83" i="9"/>
  <c r="B84" i="9"/>
  <c r="B85" i="9"/>
  <c r="B86" i="9"/>
  <c r="B87" i="9"/>
  <c r="B88" i="9"/>
  <c r="B89" i="9"/>
  <c r="B90" i="9"/>
  <c r="B91" i="9"/>
  <c r="B92" i="9"/>
  <c r="B93" i="9"/>
  <c r="B94" i="9"/>
  <c r="B95" i="9"/>
  <c r="B96" i="9"/>
  <c r="B97" i="9"/>
  <c r="B98" i="9"/>
  <c r="B99" i="9"/>
  <c r="B100" i="9"/>
  <c r="B101" i="9"/>
  <c r="B102" i="9"/>
  <c r="B103" i="9"/>
  <c r="B104" i="9"/>
  <c r="B105" i="9"/>
  <c r="B106" i="9"/>
  <c r="B107" i="9"/>
  <c r="B108" i="9"/>
  <c r="B109" i="9"/>
  <c r="B110" i="9"/>
  <c r="B111" i="9"/>
  <c r="B112" i="9"/>
  <c r="B113" i="9"/>
  <c r="B114" i="9"/>
  <c r="B115" i="9"/>
  <c r="B116" i="9"/>
  <c r="B117" i="9"/>
  <c r="B118" i="9"/>
  <c r="B119" i="9"/>
  <c r="B120" i="9"/>
  <c r="B121" i="9"/>
  <c r="B122" i="9"/>
  <c r="B123" i="9"/>
  <c r="B124" i="9"/>
  <c r="B125" i="9"/>
  <c r="B126" i="9"/>
  <c r="B127" i="9"/>
  <c r="B128" i="9"/>
  <c r="B129" i="9"/>
  <c r="B130" i="9"/>
  <c r="B131" i="9"/>
  <c r="B132" i="9"/>
  <c r="B133" i="9"/>
  <c r="B134" i="9"/>
  <c r="B135" i="9"/>
  <c r="B136" i="9"/>
  <c r="B137" i="9"/>
  <c r="B138" i="9"/>
  <c r="B139" i="9"/>
  <c r="B140" i="9"/>
  <c r="B141" i="9"/>
  <c r="B142" i="9"/>
  <c r="B143" i="9"/>
  <c r="B144" i="9"/>
  <c r="B145" i="9"/>
  <c r="B146" i="9"/>
  <c r="B147" i="9"/>
  <c r="B148" i="9"/>
  <c r="B149" i="9"/>
  <c r="B150" i="9"/>
  <c r="B151" i="9"/>
  <c r="B152" i="9"/>
  <c r="B153" i="9"/>
  <c r="B154" i="9"/>
  <c r="B155" i="9"/>
  <c r="B156" i="9"/>
  <c r="B157" i="9"/>
  <c r="B158" i="9"/>
  <c r="B159" i="9"/>
  <c r="B160" i="9"/>
  <c r="B161" i="9"/>
  <c r="B162" i="9"/>
  <c r="B163" i="9"/>
  <c r="B164" i="9"/>
  <c r="B165" i="9"/>
  <c r="B166" i="9"/>
  <c r="B167" i="9"/>
  <c r="B168" i="9"/>
  <c r="B169" i="9"/>
  <c r="B170" i="9"/>
  <c r="B171" i="9"/>
  <c r="B172" i="9"/>
  <c r="B2" i="9"/>
  <c r="B29" i="12" l="1"/>
  <c r="B131" i="12"/>
  <c r="B117" i="12"/>
  <c r="B91" i="12"/>
  <c r="AT171" i="1"/>
  <c r="CC173" i="1"/>
  <c r="BK172" i="1"/>
  <c r="AU164" i="1"/>
  <c r="BH175" i="1"/>
  <c r="BE175" i="1"/>
  <c r="BU174" i="1"/>
  <c r="AZ174" i="1"/>
  <c r="BR174" i="1"/>
  <c r="BJ167" i="1"/>
  <c r="CC175" i="1"/>
  <c r="BB175" i="1"/>
  <c r="BM174" i="1"/>
  <c r="BZ173" i="1"/>
  <c r="BJ172" i="1"/>
  <c r="BS170" i="1"/>
  <c r="AU169" i="1"/>
  <c r="BZ166" i="1"/>
  <c r="BK163" i="1"/>
  <c r="BJ160" i="1"/>
  <c r="BZ175" i="1"/>
  <c r="AZ175" i="1"/>
  <c r="BJ174" i="1"/>
  <c r="BU173" i="1"/>
  <c r="BC172" i="1"/>
  <c r="BK170" i="1"/>
  <c r="AT169" i="1"/>
  <c r="BR166" i="1"/>
  <c r="BC163" i="1"/>
  <c r="AT160" i="1"/>
  <c r="BZ160" i="1"/>
  <c r="AW175" i="1"/>
  <c r="BE174" i="1"/>
  <c r="BR173" i="1"/>
  <c r="AU172" i="1"/>
  <c r="BB170" i="1"/>
  <c r="CA168" i="1"/>
  <c r="AU166" i="1"/>
  <c r="BS162" i="1"/>
  <c r="AW145" i="1"/>
  <c r="BB169" i="1"/>
  <c r="BR175" i="1"/>
  <c r="AT175" i="1"/>
  <c r="BB174" i="1"/>
  <c r="BM173" i="1"/>
  <c r="BS171" i="1"/>
  <c r="AT170" i="1"/>
  <c r="BJ168" i="1"/>
  <c r="AT166" i="1"/>
  <c r="BK162" i="1"/>
  <c r="BJ173" i="1"/>
  <c r="BR171" i="1"/>
  <c r="CA169" i="1"/>
  <c r="BC168" i="1"/>
  <c r="BZ165" i="1"/>
  <c r="AT162" i="1"/>
  <c r="BJ175" i="1"/>
  <c r="BZ174" i="1"/>
  <c r="BK171" i="1"/>
  <c r="BS169" i="1"/>
  <c r="BB168" i="1"/>
  <c r="AU165" i="1"/>
  <c r="BR161" i="1"/>
  <c r="AT174" i="1"/>
  <c r="AU173" i="1"/>
  <c r="BC171" i="1"/>
  <c r="BJ169" i="1"/>
  <c r="BR167" i="1"/>
  <c r="BC164" i="1"/>
  <c r="BB161" i="1"/>
  <c r="CD5" i="1"/>
  <c r="CD10" i="1"/>
  <c r="CD12" i="1"/>
  <c r="CD7" i="1"/>
  <c r="CD9" i="1"/>
  <c r="CD6" i="1"/>
  <c r="CD11" i="1"/>
  <c r="CD21" i="1"/>
  <c r="CD14" i="1"/>
  <c r="CD16" i="1"/>
  <c r="CD18" i="1"/>
  <c r="CD8" i="1"/>
  <c r="CD23" i="1"/>
  <c r="CD15" i="1"/>
  <c r="CD17" i="1"/>
  <c r="CD24" i="1"/>
  <c r="CD13" i="1"/>
  <c r="CD22" i="1"/>
  <c r="CD20" i="1"/>
  <c r="CD25" i="1"/>
  <c r="CD19" i="1"/>
  <c r="CD29" i="1"/>
  <c r="CD31" i="1"/>
  <c r="CD32" i="1"/>
  <c r="CD33" i="1"/>
  <c r="CD34" i="1"/>
  <c r="CD35" i="1"/>
  <c r="CD36" i="1"/>
  <c r="CD38" i="1"/>
  <c r="CD39" i="1"/>
  <c r="CD40" i="1"/>
  <c r="CD41" i="1"/>
  <c r="CD42" i="1"/>
  <c r="CD28" i="1"/>
  <c r="CD26" i="1"/>
  <c r="CD37" i="1"/>
  <c r="CD45" i="1"/>
  <c r="CD46" i="1"/>
  <c r="CD47" i="1"/>
  <c r="CD48" i="1"/>
  <c r="CD49" i="1"/>
  <c r="CD50" i="1"/>
  <c r="CD51" i="1"/>
  <c r="CD52" i="1"/>
  <c r="CD43" i="1"/>
  <c r="CD27" i="1"/>
  <c r="CD44" i="1"/>
  <c r="CD30" i="1"/>
  <c r="CD55" i="1"/>
  <c r="CD63" i="1"/>
  <c r="CD53" i="1"/>
  <c r="CD61" i="1"/>
  <c r="CD60" i="1"/>
  <c r="CD64" i="1"/>
  <c r="CD65" i="1"/>
  <c r="CD66" i="1"/>
  <c r="CD67" i="1"/>
  <c r="CD59" i="1"/>
  <c r="CD62" i="1"/>
  <c r="CD58" i="1"/>
  <c r="CD68" i="1"/>
  <c r="CD69" i="1"/>
  <c r="CD70" i="1"/>
  <c r="CD71" i="1"/>
  <c r="CD72" i="1"/>
  <c r="CD73" i="1"/>
  <c r="CD74" i="1"/>
  <c r="CD75" i="1"/>
  <c r="CD76" i="1"/>
  <c r="CD77" i="1"/>
  <c r="CD57" i="1"/>
  <c r="CD54" i="1"/>
  <c r="CD78" i="1"/>
  <c r="CD79" i="1"/>
  <c r="CD80" i="1"/>
  <c r="CD81" i="1"/>
  <c r="CD56" i="1"/>
  <c r="CD83" i="1"/>
  <c r="CD85" i="1"/>
  <c r="CD86" i="1"/>
  <c r="CD90" i="1"/>
  <c r="CD91" i="1"/>
  <c r="CD84" i="1"/>
  <c r="CD88" i="1"/>
  <c r="CD109" i="1"/>
  <c r="CD110" i="1"/>
  <c r="CD111" i="1"/>
  <c r="CD112" i="1"/>
  <c r="CD113" i="1"/>
  <c r="CD114" i="1"/>
  <c r="CD115" i="1"/>
  <c r="CD116" i="1"/>
  <c r="CD117" i="1"/>
  <c r="CD118" i="1"/>
  <c r="CD119" i="1"/>
  <c r="CD89" i="1"/>
  <c r="CD82" i="1"/>
  <c r="CD87" i="1"/>
  <c r="CD94" i="1"/>
  <c r="CD98" i="1"/>
  <c r="CD104" i="1"/>
  <c r="CD120" i="1"/>
  <c r="CD95" i="1"/>
  <c r="CD99" i="1"/>
  <c r="CD101" i="1"/>
  <c r="CD106" i="1"/>
  <c r="CD92" i="1"/>
  <c r="CD96" i="1"/>
  <c r="CD103" i="1"/>
  <c r="CD108" i="1"/>
  <c r="CD107" i="1"/>
  <c r="CD100" i="1"/>
  <c r="CD105" i="1"/>
  <c r="CD93" i="1"/>
  <c r="CD102" i="1"/>
  <c r="CD97" i="1"/>
  <c r="CD122" i="1"/>
  <c r="CD123" i="1"/>
  <c r="CD124" i="1"/>
  <c r="CD125" i="1"/>
  <c r="CD126" i="1"/>
  <c r="CD127" i="1"/>
  <c r="CD128" i="1"/>
  <c r="CD129" i="1"/>
  <c r="CD130" i="1"/>
  <c r="CD134" i="1"/>
  <c r="CD135" i="1"/>
  <c r="CD136" i="1"/>
  <c r="CD137" i="1"/>
  <c r="CD138" i="1"/>
  <c r="CD139" i="1"/>
  <c r="CD140" i="1"/>
  <c r="CD141" i="1"/>
  <c r="CD142" i="1"/>
  <c r="CD121" i="1"/>
  <c r="CD131" i="1"/>
  <c r="CD132" i="1"/>
  <c r="CD143" i="1"/>
  <c r="CD133" i="1"/>
  <c r="CD145" i="1"/>
  <c r="CD146" i="1"/>
  <c r="CD147" i="1"/>
  <c r="CD148" i="1"/>
  <c r="CD149" i="1"/>
  <c r="CD150" i="1"/>
  <c r="CD151" i="1"/>
  <c r="CD152" i="1"/>
  <c r="CD153" i="1"/>
  <c r="CD154" i="1"/>
  <c r="CD155" i="1"/>
  <c r="CD156" i="1"/>
  <c r="CD157" i="1"/>
  <c r="CD158" i="1"/>
  <c r="CD159" i="1"/>
  <c r="CD160" i="1"/>
  <c r="CD161" i="1"/>
  <c r="CD162" i="1"/>
  <c r="CD163" i="1"/>
  <c r="CD164" i="1"/>
  <c r="CD165" i="1"/>
  <c r="CD166" i="1"/>
  <c r="CD167" i="1"/>
  <c r="CD168" i="1"/>
  <c r="CD169" i="1"/>
  <c r="CD170" i="1"/>
  <c r="CD171" i="1"/>
  <c r="CD172" i="1"/>
  <c r="BV6" i="1"/>
  <c r="BV11" i="1"/>
  <c r="BV13" i="1"/>
  <c r="BV8" i="1"/>
  <c r="BV5" i="1"/>
  <c r="BV12" i="1"/>
  <c r="BV10" i="1"/>
  <c r="BV7" i="1"/>
  <c r="BV14" i="1"/>
  <c r="BV22" i="1"/>
  <c r="BV19" i="1"/>
  <c r="BV24" i="1"/>
  <c r="BV15" i="1"/>
  <c r="BV17" i="1"/>
  <c r="BV9" i="1"/>
  <c r="BV21" i="1"/>
  <c r="BV20" i="1"/>
  <c r="BV23" i="1"/>
  <c r="BV26" i="1"/>
  <c r="BV27" i="1"/>
  <c r="BV28" i="1"/>
  <c r="BV30" i="1"/>
  <c r="BV18" i="1"/>
  <c r="BV25" i="1"/>
  <c r="BV32" i="1"/>
  <c r="BV33" i="1"/>
  <c r="BV34" i="1"/>
  <c r="BV35" i="1"/>
  <c r="BV36" i="1"/>
  <c r="BV29" i="1"/>
  <c r="BV38" i="1"/>
  <c r="BV39" i="1"/>
  <c r="BV40" i="1"/>
  <c r="BV41" i="1"/>
  <c r="BV42" i="1"/>
  <c r="BV31" i="1"/>
  <c r="BV16" i="1"/>
  <c r="BV37" i="1"/>
  <c r="BV45" i="1"/>
  <c r="BV46" i="1"/>
  <c r="BV47" i="1"/>
  <c r="BV48" i="1"/>
  <c r="BV49" i="1"/>
  <c r="BV50" i="1"/>
  <c r="BV51" i="1"/>
  <c r="BV52" i="1"/>
  <c r="BV44" i="1"/>
  <c r="BV43" i="1"/>
  <c r="BV56" i="1"/>
  <c r="BV54" i="1"/>
  <c r="BV62" i="1"/>
  <c r="BV53" i="1"/>
  <c r="BV61" i="1"/>
  <c r="BV64" i="1"/>
  <c r="BV65" i="1"/>
  <c r="BV66" i="1"/>
  <c r="BV67" i="1"/>
  <c r="BV60" i="1"/>
  <c r="BV59" i="1"/>
  <c r="BV57" i="1"/>
  <c r="BV55" i="1"/>
  <c r="BV68" i="1"/>
  <c r="BV69" i="1"/>
  <c r="BV70" i="1"/>
  <c r="BV71" i="1"/>
  <c r="BV72" i="1"/>
  <c r="BV73" i="1"/>
  <c r="BV74" i="1"/>
  <c r="BV75" i="1"/>
  <c r="BV76" i="1"/>
  <c r="BV77" i="1"/>
  <c r="BV63" i="1"/>
  <c r="BV78" i="1"/>
  <c r="BV79" i="1"/>
  <c r="BV80" i="1"/>
  <c r="BV81" i="1"/>
  <c r="BV58" i="1"/>
  <c r="BV84" i="1"/>
  <c r="BV87" i="1"/>
  <c r="BV90" i="1"/>
  <c r="BV91" i="1"/>
  <c r="BV82" i="1"/>
  <c r="BV109" i="1"/>
  <c r="BV110" i="1"/>
  <c r="BV111" i="1"/>
  <c r="BV112" i="1"/>
  <c r="BV113" i="1"/>
  <c r="BV114" i="1"/>
  <c r="BV115" i="1"/>
  <c r="BV116" i="1"/>
  <c r="BV117" i="1"/>
  <c r="BV118" i="1"/>
  <c r="BV119" i="1"/>
  <c r="BV120" i="1"/>
  <c r="BV85" i="1"/>
  <c r="BV86" i="1"/>
  <c r="BV83" i="1"/>
  <c r="BV88" i="1"/>
  <c r="BV89" i="1"/>
  <c r="BV95" i="1"/>
  <c r="BV105" i="1"/>
  <c r="BV92" i="1"/>
  <c r="BV96" i="1"/>
  <c r="BV100" i="1"/>
  <c r="BV102" i="1"/>
  <c r="BV107" i="1"/>
  <c r="BV93" i="1"/>
  <c r="BV97" i="1"/>
  <c r="BV104" i="1"/>
  <c r="BV94" i="1"/>
  <c r="BV99" i="1"/>
  <c r="BV98" i="1"/>
  <c r="BV101" i="1"/>
  <c r="BV121" i="1"/>
  <c r="BV103" i="1"/>
  <c r="BV108" i="1"/>
  <c r="BV122" i="1"/>
  <c r="BV123" i="1"/>
  <c r="BV124" i="1"/>
  <c r="BV125" i="1"/>
  <c r="BV126" i="1"/>
  <c r="BV127" i="1"/>
  <c r="BV128" i="1"/>
  <c r="BV129" i="1"/>
  <c r="BV130" i="1"/>
  <c r="BV106" i="1"/>
  <c r="BV134" i="1"/>
  <c r="BV135" i="1"/>
  <c r="BV136" i="1"/>
  <c r="BV137" i="1"/>
  <c r="BV138" i="1"/>
  <c r="BV139" i="1"/>
  <c r="BV140" i="1"/>
  <c r="BV141" i="1"/>
  <c r="BV142" i="1"/>
  <c r="BV133" i="1"/>
  <c r="BV132" i="1"/>
  <c r="BV144" i="1"/>
  <c r="BV143" i="1"/>
  <c r="BV145" i="1"/>
  <c r="BV146" i="1"/>
  <c r="BV147" i="1"/>
  <c r="BV148" i="1"/>
  <c r="BV149" i="1"/>
  <c r="BV150" i="1"/>
  <c r="BV151" i="1"/>
  <c r="BV152" i="1"/>
  <c r="BV153" i="1"/>
  <c r="BV154" i="1"/>
  <c r="BV155" i="1"/>
  <c r="BV156" i="1"/>
  <c r="BV157" i="1"/>
  <c r="BV158" i="1"/>
  <c r="BV159" i="1"/>
  <c r="BV160" i="1"/>
  <c r="BV161" i="1"/>
  <c r="BV162" i="1"/>
  <c r="BV163" i="1"/>
  <c r="BV164" i="1"/>
  <c r="BV165" i="1"/>
  <c r="BV166" i="1"/>
  <c r="BV167" i="1"/>
  <c r="BV168" i="1"/>
  <c r="BV169" i="1"/>
  <c r="BV170" i="1"/>
  <c r="BV171" i="1"/>
  <c r="BV172" i="1"/>
  <c r="BV131" i="1"/>
  <c r="BN7" i="1"/>
  <c r="BN9" i="1"/>
  <c r="BN6" i="1"/>
  <c r="BN13" i="1"/>
  <c r="BN11" i="1"/>
  <c r="BN8" i="1"/>
  <c r="BN12" i="1"/>
  <c r="BN5" i="1"/>
  <c r="BN14" i="1"/>
  <c r="BN10" i="1"/>
  <c r="BN23" i="1"/>
  <c r="BN20" i="1"/>
  <c r="BN17" i="1"/>
  <c r="BN18" i="1"/>
  <c r="BN15" i="1"/>
  <c r="BN21" i="1"/>
  <c r="BN27" i="1"/>
  <c r="BN25" i="1"/>
  <c r="BN24" i="1"/>
  <c r="BN16" i="1"/>
  <c r="BN22" i="1"/>
  <c r="BN19" i="1"/>
  <c r="BN29" i="1"/>
  <c r="BN31" i="1"/>
  <c r="BN32" i="1"/>
  <c r="BN33" i="1"/>
  <c r="BN34" i="1"/>
  <c r="BN35" i="1"/>
  <c r="BN36" i="1"/>
  <c r="BN28" i="1"/>
  <c r="BN38" i="1"/>
  <c r="BN39" i="1"/>
  <c r="BN40" i="1"/>
  <c r="BN41" i="1"/>
  <c r="BN42" i="1"/>
  <c r="BN26" i="1"/>
  <c r="BN30" i="1"/>
  <c r="BN45" i="1"/>
  <c r="BN46" i="1"/>
  <c r="BN47" i="1"/>
  <c r="BN48" i="1"/>
  <c r="BN49" i="1"/>
  <c r="BN50" i="1"/>
  <c r="BN51" i="1"/>
  <c r="BN52" i="1"/>
  <c r="BN43" i="1"/>
  <c r="BN57" i="1"/>
  <c r="BN55" i="1"/>
  <c r="BN63" i="1"/>
  <c r="BN54" i="1"/>
  <c r="BN62" i="1"/>
  <c r="BN64" i="1"/>
  <c r="BN65" i="1"/>
  <c r="BN66" i="1"/>
  <c r="BN67" i="1"/>
  <c r="BN53" i="1"/>
  <c r="BN61" i="1"/>
  <c r="BN44" i="1"/>
  <c r="BN60" i="1"/>
  <c r="BN68" i="1"/>
  <c r="BN69" i="1"/>
  <c r="BN70" i="1"/>
  <c r="BN71" i="1"/>
  <c r="BN72" i="1"/>
  <c r="BN73" i="1"/>
  <c r="BN74" i="1"/>
  <c r="BN75" i="1"/>
  <c r="BN76" i="1"/>
  <c r="BN77" i="1"/>
  <c r="BN37" i="1"/>
  <c r="BN59" i="1"/>
  <c r="BN78" i="1"/>
  <c r="BN79" i="1"/>
  <c r="BN80" i="1"/>
  <c r="BN81" i="1"/>
  <c r="BN58" i="1"/>
  <c r="BN56" i="1"/>
  <c r="BN85" i="1"/>
  <c r="BN89" i="1"/>
  <c r="BN88" i="1"/>
  <c r="BN90" i="1"/>
  <c r="BN91" i="1"/>
  <c r="BN83" i="1"/>
  <c r="BN109" i="1"/>
  <c r="BN110" i="1"/>
  <c r="BN111" i="1"/>
  <c r="BN112" i="1"/>
  <c r="BN113" i="1"/>
  <c r="BN114" i="1"/>
  <c r="BN115" i="1"/>
  <c r="BN116" i="1"/>
  <c r="BN117" i="1"/>
  <c r="BN118" i="1"/>
  <c r="BN119" i="1"/>
  <c r="BN120" i="1"/>
  <c r="BN87" i="1"/>
  <c r="BN84" i="1"/>
  <c r="BN92" i="1"/>
  <c r="BN96" i="1"/>
  <c r="BN106" i="1"/>
  <c r="BN86" i="1"/>
  <c r="BN93" i="1"/>
  <c r="BN97" i="1"/>
  <c r="BN99" i="1"/>
  <c r="BN101" i="1"/>
  <c r="BN82" i="1"/>
  <c r="BN108" i="1"/>
  <c r="BN94" i="1"/>
  <c r="BN98" i="1"/>
  <c r="BN105" i="1"/>
  <c r="BN100" i="1"/>
  <c r="BN104" i="1"/>
  <c r="BN102" i="1"/>
  <c r="BN103" i="1"/>
  <c r="BN107" i="1"/>
  <c r="BN95" i="1"/>
  <c r="BN122" i="1"/>
  <c r="BN123" i="1"/>
  <c r="BN124" i="1"/>
  <c r="BN125" i="1"/>
  <c r="BN126" i="1"/>
  <c r="BN127" i="1"/>
  <c r="BN128" i="1"/>
  <c r="BN129" i="1"/>
  <c r="BN130" i="1"/>
  <c r="BN132" i="1"/>
  <c r="BN131" i="1"/>
  <c r="BN134" i="1"/>
  <c r="BN135" i="1"/>
  <c r="BN136" i="1"/>
  <c r="BN137" i="1"/>
  <c r="BN138" i="1"/>
  <c r="BN139" i="1"/>
  <c r="BN140" i="1"/>
  <c r="BN141" i="1"/>
  <c r="BN142" i="1"/>
  <c r="BN133" i="1"/>
  <c r="BN144" i="1"/>
  <c r="BN145" i="1"/>
  <c r="BN146" i="1"/>
  <c r="BN147" i="1"/>
  <c r="BN148" i="1"/>
  <c r="BN149" i="1"/>
  <c r="BN150" i="1"/>
  <c r="BN151" i="1"/>
  <c r="BN152" i="1"/>
  <c r="BN153" i="1"/>
  <c r="BN154" i="1"/>
  <c r="BN155" i="1"/>
  <c r="BN156" i="1"/>
  <c r="BN157" i="1"/>
  <c r="BN158" i="1"/>
  <c r="BN159" i="1"/>
  <c r="BN160" i="1"/>
  <c r="BN161" i="1"/>
  <c r="BN162" i="1"/>
  <c r="BN163" i="1"/>
  <c r="BN164" i="1"/>
  <c r="BN165" i="1"/>
  <c r="BN166" i="1"/>
  <c r="BN167" i="1"/>
  <c r="BN168" i="1"/>
  <c r="BN169" i="1"/>
  <c r="BN170" i="1"/>
  <c r="BN171" i="1"/>
  <c r="BN172" i="1"/>
  <c r="BN121" i="1"/>
  <c r="BN143" i="1"/>
  <c r="BF8" i="1"/>
  <c r="BF5" i="1"/>
  <c r="BF10" i="1"/>
  <c r="BF7" i="1"/>
  <c r="BF9" i="1"/>
  <c r="BF13" i="1"/>
  <c r="BF6" i="1"/>
  <c r="BF14" i="1"/>
  <c r="BF15" i="1"/>
  <c r="BF21" i="1"/>
  <c r="BF18" i="1"/>
  <c r="BF11" i="1"/>
  <c r="BF16" i="1"/>
  <c r="BF12" i="1"/>
  <c r="BF17" i="1"/>
  <c r="BF19" i="1"/>
  <c r="BF28" i="1"/>
  <c r="BF26" i="1"/>
  <c r="BF27" i="1"/>
  <c r="BF22" i="1"/>
  <c r="BF30" i="1"/>
  <c r="BF32" i="1"/>
  <c r="BF33" i="1"/>
  <c r="BF34" i="1"/>
  <c r="BF35" i="1"/>
  <c r="BF36" i="1"/>
  <c r="BF37" i="1"/>
  <c r="BF23" i="1"/>
  <c r="BF31" i="1"/>
  <c r="BF38" i="1"/>
  <c r="BF39" i="1"/>
  <c r="BF40" i="1"/>
  <c r="BF41" i="1"/>
  <c r="BF42" i="1"/>
  <c r="BF25" i="1"/>
  <c r="BF24" i="1"/>
  <c r="BF29" i="1"/>
  <c r="BF20" i="1"/>
  <c r="BF45" i="1"/>
  <c r="BF46" i="1"/>
  <c r="BF47" i="1"/>
  <c r="BF48" i="1"/>
  <c r="BF49" i="1"/>
  <c r="BF50" i="1"/>
  <c r="BF51" i="1"/>
  <c r="BF52" i="1"/>
  <c r="BF43" i="1"/>
  <c r="BF44" i="1"/>
  <c r="BF58" i="1"/>
  <c r="BF56" i="1"/>
  <c r="BF55" i="1"/>
  <c r="BF63" i="1"/>
  <c r="BF64" i="1"/>
  <c r="BF65" i="1"/>
  <c r="BF66" i="1"/>
  <c r="BF67" i="1"/>
  <c r="BF54" i="1"/>
  <c r="BF62" i="1"/>
  <c r="BF61" i="1"/>
  <c r="BF59" i="1"/>
  <c r="BF57" i="1"/>
  <c r="BF68" i="1"/>
  <c r="BF69" i="1"/>
  <c r="BF70" i="1"/>
  <c r="BF71" i="1"/>
  <c r="BF72" i="1"/>
  <c r="BF73" i="1"/>
  <c r="BF74" i="1"/>
  <c r="BF75" i="1"/>
  <c r="BF76" i="1"/>
  <c r="BF77" i="1"/>
  <c r="BF60" i="1"/>
  <c r="BF78" i="1"/>
  <c r="BF79" i="1"/>
  <c r="BF80" i="1"/>
  <c r="BF81" i="1"/>
  <c r="BF53" i="1"/>
  <c r="BF90" i="1"/>
  <c r="BF91" i="1"/>
  <c r="BF84" i="1"/>
  <c r="BF86" i="1"/>
  <c r="BF89" i="1"/>
  <c r="BF109" i="1"/>
  <c r="BF110" i="1"/>
  <c r="BF111" i="1"/>
  <c r="BF112" i="1"/>
  <c r="BF113" i="1"/>
  <c r="BF114" i="1"/>
  <c r="BF115" i="1"/>
  <c r="BF116" i="1"/>
  <c r="BF117" i="1"/>
  <c r="BF118" i="1"/>
  <c r="BF119" i="1"/>
  <c r="BF120" i="1"/>
  <c r="BF82" i="1"/>
  <c r="BF88" i="1"/>
  <c r="BF85" i="1"/>
  <c r="BF93" i="1"/>
  <c r="BF97" i="1"/>
  <c r="BF107" i="1"/>
  <c r="BF94" i="1"/>
  <c r="BF98" i="1"/>
  <c r="BF100" i="1"/>
  <c r="BF102" i="1"/>
  <c r="BF95" i="1"/>
  <c r="BF106" i="1"/>
  <c r="BF103" i="1"/>
  <c r="BF83" i="1"/>
  <c r="BF96" i="1"/>
  <c r="BF101" i="1"/>
  <c r="BF105" i="1"/>
  <c r="BF87" i="1"/>
  <c r="BF92" i="1"/>
  <c r="BF99" i="1"/>
  <c r="BF104" i="1"/>
  <c r="BF122" i="1"/>
  <c r="BF123" i="1"/>
  <c r="BF124" i="1"/>
  <c r="BF125" i="1"/>
  <c r="BF126" i="1"/>
  <c r="BF127" i="1"/>
  <c r="BF128" i="1"/>
  <c r="BF129" i="1"/>
  <c r="BF130" i="1"/>
  <c r="BF134" i="1"/>
  <c r="BF135" i="1"/>
  <c r="BF136" i="1"/>
  <c r="BF137" i="1"/>
  <c r="BF138" i="1"/>
  <c r="BF139" i="1"/>
  <c r="BF140" i="1"/>
  <c r="BF141" i="1"/>
  <c r="BF142" i="1"/>
  <c r="BF108" i="1"/>
  <c r="BF121" i="1"/>
  <c r="BF131" i="1"/>
  <c r="BF133" i="1"/>
  <c r="BF143" i="1"/>
  <c r="BF132" i="1"/>
  <c r="BF146" i="1"/>
  <c r="BF147" i="1"/>
  <c r="BF148" i="1"/>
  <c r="BF149" i="1"/>
  <c r="BF150" i="1"/>
  <c r="BF151" i="1"/>
  <c r="BF152" i="1"/>
  <c r="BF153" i="1"/>
  <c r="BF154" i="1"/>
  <c r="BF155" i="1"/>
  <c r="BF156" i="1"/>
  <c r="BF157" i="1"/>
  <c r="BF158" i="1"/>
  <c r="BF159" i="1"/>
  <c r="BF160" i="1"/>
  <c r="BF161" i="1"/>
  <c r="BF162" i="1"/>
  <c r="BF163" i="1"/>
  <c r="BF164" i="1"/>
  <c r="BF165" i="1"/>
  <c r="BF166" i="1"/>
  <c r="BF167" i="1"/>
  <c r="BF168" i="1"/>
  <c r="BF169" i="1"/>
  <c r="BF170" i="1"/>
  <c r="BF171" i="1"/>
  <c r="BF172" i="1"/>
  <c r="BF144" i="1"/>
  <c r="AX9" i="1"/>
  <c r="AX6" i="1"/>
  <c r="AX12" i="1"/>
  <c r="AX11" i="1"/>
  <c r="AX8" i="1"/>
  <c r="AX5" i="1"/>
  <c r="AX10" i="1"/>
  <c r="AX7" i="1"/>
  <c r="AX15" i="1"/>
  <c r="AX13" i="1"/>
  <c r="AX16" i="1"/>
  <c r="AX22" i="1"/>
  <c r="AX19" i="1"/>
  <c r="AX14" i="1"/>
  <c r="AX20" i="1"/>
  <c r="AX28" i="1"/>
  <c r="AX17" i="1"/>
  <c r="AX18" i="1"/>
  <c r="AX21" i="1"/>
  <c r="AX24" i="1"/>
  <c r="AX27" i="1"/>
  <c r="AX23" i="1"/>
  <c r="AX25" i="1"/>
  <c r="AX26" i="1"/>
  <c r="AX29" i="1"/>
  <c r="AX31" i="1"/>
  <c r="AX33" i="1"/>
  <c r="AX34" i="1"/>
  <c r="AX35" i="1"/>
  <c r="AX36" i="1"/>
  <c r="AX37" i="1"/>
  <c r="AX32" i="1"/>
  <c r="AX30" i="1"/>
  <c r="AX38" i="1"/>
  <c r="AX39" i="1"/>
  <c r="AX40" i="1"/>
  <c r="AX41" i="1"/>
  <c r="AX42" i="1"/>
  <c r="AX43" i="1"/>
  <c r="AX46" i="1"/>
  <c r="AX47" i="1"/>
  <c r="AX48" i="1"/>
  <c r="AX49" i="1"/>
  <c r="AX50" i="1"/>
  <c r="AX51" i="1"/>
  <c r="AX52" i="1"/>
  <c r="AX45" i="1"/>
  <c r="AX59" i="1"/>
  <c r="AX57" i="1"/>
  <c r="AX56" i="1"/>
  <c r="AX64" i="1"/>
  <c r="AX65" i="1"/>
  <c r="AX66" i="1"/>
  <c r="AX67" i="1"/>
  <c r="AX55" i="1"/>
  <c r="AX63" i="1"/>
  <c r="AX44" i="1"/>
  <c r="AX62" i="1"/>
  <c r="AX68" i="1"/>
  <c r="AX69" i="1"/>
  <c r="AX70" i="1"/>
  <c r="AX71" i="1"/>
  <c r="AX72" i="1"/>
  <c r="AX73" i="1"/>
  <c r="AX74" i="1"/>
  <c r="AX75" i="1"/>
  <c r="AX76" i="1"/>
  <c r="AX77" i="1"/>
  <c r="AX61" i="1"/>
  <c r="AX60" i="1"/>
  <c r="AX58" i="1"/>
  <c r="AX78" i="1"/>
  <c r="AX79" i="1"/>
  <c r="AX80" i="1"/>
  <c r="AX81" i="1"/>
  <c r="AX53" i="1"/>
  <c r="AX54" i="1"/>
  <c r="AX82" i="1"/>
  <c r="AX91" i="1"/>
  <c r="AX85" i="1"/>
  <c r="AX87" i="1"/>
  <c r="AX90" i="1"/>
  <c r="AX109" i="1"/>
  <c r="AX110" i="1"/>
  <c r="AX111" i="1"/>
  <c r="AX112" i="1"/>
  <c r="AX113" i="1"/>
  <c r="AX114" i="1"/>
  <c r="AX115" i="1"/>
  <c r="AX116" i="1"/>
  <c r="AX117" i="1"/>
  <c r="AX118" i="1"/>
  <c r="AX119" i="1"/>
  <c r="AX120" i="1"/>
  <c r="AX83" i="1"/>
  <c r="AX89" i="1"/>
  <c r="AX86" i="1"/>
  <c r="AX94" i="1"/>
  <c r="AX98" i="1"/>
  <c r="AX84" i="1"/>
  <c r="AX108" i="1"/>
  <c r="AX95" i="1"/>
  <c r="AX99" i="1"/>
  <c r="AX101" i="1"/>
  <c r="AX88" i="1"/>
  <c r="AX92" i="1"/>
  <c r="AX96" i="1"/>
  <c r="AX107" i="1"/>
  <c r="AX104" i="1"/>
  <c r="AX102" i="1"/>
  <c r="AX106" i="1"/>
  <c r="AX93" i="1"/>
  <c r="AX105" i="1"/>
  <c r="AX97" i="1"/>
  <c r="AX103" i="1"/>
  <c r="AX100" i="1"/>
  <c r="AX123" i="1"/>
  <c r="AX124" i="1"/>
  <c r="AX125" i="1"/>
  <c r="AX126" i="1"/>
  <c r="AX127" i="1"/>
  <c r="AX128" i="1"/>
  <c r="AX129" i="1"/>
  <c r="AX130" i="1"/>
  <c r="AX131" i="1"/>
  <c r="AX134" i="1"/>
  <c r="AX135" i="1"/>
  <c r="AX136" i="1"/>
  <c r="AX137" i="1"/>
  <c r="AX138" i="1"/>
  <c r="AX139" i="1"/>
  <c r="AX140" i="1"/>
  <c r="AX141" i="1"/>
  <c r="AX142" i="1"/>
  <c r="AX132" i="1"/>
  <c r="AX144" i="1"/>
  <c r="AX121" i="1"/>
  <c r="AX122" i="1"/>
  <c r="AX143" i="1"/>
  <c r="AX146" i="1"/>
  <c r="AX147" i="1"/>
  <c r="AX148" i="1"/>
  <c r="AX149" i="1"/>
  <c r="AX150" i="1"/>
  <c r="AX151" i="1"/>
  <c r="AX152" i="1"/>
  <c r="AX153" i="1"/>
  <c r="AX154" i="1"/>
  <c r="AX155" i="1"/>
  <c r="AX156" i="1"/>
  <c r="AX157" i="1"/>
  <c r="AX158" i="1"/>
  <c r="AX159" i="1"/>
  <c r="AX160" i="1"/>
  <c r="AX161" i="1"/>
  <c r="AX162" i="1"/>
  <c r="AX163" i="1"/>
  <c r="AX164" i="1"/>
  <c r="AX165" i="1"/>
  <c r="AX166" i="1"/>
  <c r="AX167" i="1"/>
  <c r="AX168" i="1"/>
  <c r="AX169" i="1"/>
  <c r="AX170" i="1"/>
  <c r="AX171" i="1"/>
  <c r="AX172" i="1"/>
  <c r="AX145" i="1"/>
  <c r="AX133" i="1"/>
  <c r="BW175" i="1"/>
  <c r="BO175" i="1"/>
  <c r="BG175" i="1"/>
  <c r="AY175" i="1"/>
  <c r="BW174" i="1"/>
  <c r="BO174" i="1"/>
  <c r="BG174" i="1"/>
  <c r="AY174" i="1"/>
  <c r="BW173" i="1"/>
  <c r="BO173" i="1"/>
  <c r="BG173" i="1"/>
  <c r="AX173" i="1"/>
  <c r="BS172" i="1"/>
  <c r="BH172" i="1"/>
  <c r="AT172" i="1"/>
  <c r="CA171" i="1"/>
  <c r="BP171" i="1"/>
  <c r="BB171" i="1"/>
  <c r="BX170" i="1"/>
  <c r="BJ170" i="1"/>
  <c r="AY170" i="1"/>
  <c r="BR169" i="1"/>
  <c r="BG169" i="1"/>
  <c r="BZ168" i="1"/>
  <c r="BO168" i="1"/>
  <c r="BA168" i="1"/>
  <c r="BW167" i="1"/>
  <c r="BI167" i="1"/>
  <c r="AU167" i="1"/>
  <c r="BQ166" i="1"/>
  <c r="BC166" i="1"/>
  <c r="BY165" i="1"/>
  <c r="BK165" i="1"/>
  <c r="AZ165" i="1"/>
  <c r="BS164" i="1"/>
  <c r="BH164" i="1"/>
  <c r="AT164" i="1"/>
  <c r="CA163" i="1"/>
  <c r="BP163" i="1"/>
  <c r="BB163" i="1"/>
  <c r="BX162" i="1"/>
  <c r="BJ162" i="1"/>
  <c r="AY162" i="1"/>
  <c r="BW161" i="1"/>
  <c r="BG161" i="1"/>
  <c r="BO160" i="1"/>
  <c r="AY160" i="1"/>
  <c r="BO159" i="1"/>
  <c r="BW158" i="1"/>
  <c r="AY157" i="1"/>
  <c r="AY155" i="1"/>
  <c r="BG154" i="1"/>
  <c r="BO153" i="1"/>
  <c r="BW152" i="1"/>
  <c r="AY147" i="1"/>
  <c r="BG146" i="1"/>
  <c r="BO145" i="1"/>
  <c r="BC144" i="1"/>
  <c r="CC10" i="1"/>
  <c r="CC12" i="1"/>
  <c r="CC7" i="1"/>
  <c r="CC9" i="1"/>
  <c r="CC6" i="1"/>
  <c r="CC11" i="1"/>
  <c r="CC8" i="1"/>
  <c r="CC13" i="1"/>
  <c r="CC14" i="1"/>
  <c r="CC15" i="1"/>
  <c r="CC16" i="1"/>
  <c r="CC17" i="1"/>
  <c r="CC18" i="1"/>
  <c r="CC19" i="1"/>
  <c r="CC20" i="1"/>
  <c r="CC21" i="1"/>
  <c r="CC22" i="1"/>
  <c r="CC23" i="1"/>
  <c r="CC24" i="1"/>
  <c r="CC5" i="1"/>
  <c r="CC26" i="1"/>
  <c r="CC25" i="1"/>
  <c r="CC27" i="1"/>
  <c r="CC32" i="1"/>
  <c r="CC33" i="1"/>
  <c r="CC34" i="1"/>
  <c r="CC35" i="1"/>
  <c r="CC36" i="1"/>
  <c r="CC29" i="1"/>
  <c r="CC38" i="1"/>
  <c r="CC39" i="1"/>
  <c r="CC40" i="1"/>
  <c r="CC28" i="1"/>
  <c r="CC31" i="1"/>
  <c r="CC37" i="1"/>
  <c r="CC30" i="1"/>
  <c r="CC44" i="1"/>
  <c r="CC47" i="1"/>
  <c r="CC42" i="1"/>
  <c r="CC46" i="1"/>
  <c r="CC43" i="1"/>
  <c r="CC45" i="1"/>
  <c r="CC49" i="1"/>
  <c r="CC48" i="1"/>
  <c r="CC54" i="1"/>
  <c r="CC62" i="1"/>
  <c r="CC50" i="1"/>
  <c r="CC60" i="1"/>
  <c r="CC64" i="1"/>
  <c r="CC65" i="1"/>
  <c r="CC41" i="1"/>
  <c r="CC59" i="1"/>
  <c r="CC52" i="1"/>
  <c r="CC58" i="1"/>
  <c r="CC63" i="1"/>
  <c r="CC61" i="1"/>
  <c r="CC68" i="1"/>
  <c r="CC69" i="1"/>
  <c r="CC70" i="1"/>
  <c r="CC71" i="1"/>
  <c r="CC72" i="1"/>
  <c r="CC73" i="1"/>
  <c r="CC74" i="1"/>
  <c r="CC75" i="1"/>
  <c r="CC76" i="1"/>
  <c r="CC77" i="1"/>
  <c r="CC57" i="1"/>
  <c r="CC66" i="1"/>
  <c r="CC51" i="1"/>
  <c r="CC56" i="1"/>
  <c r="CC78" i="1"/>
  <c r="CC79" i="1"/>
  <c r="CC80" i="1"/>
  <c r="CC81" i="1"/>
  <c r="CC55" i="1"/>
  <c r="CC67" i="1"/>
  <c r="CC86" i="1"/>
  <c r="CC90" i="1"/>
  <c r="CC91" i="1"/>
  <c r="CC92" i="1"/>
  <c r="CC93" i="1"/>
  <c r="CC94" i="1"/>
  <c r="CC95" i="1"/>
  <c r="CC96" i="1"/>
  <c r="CC97" i="1"/>
  <c r="CC98" i="1"/>
  <c r="CC84" i="1"/>
  <c r="CC88" i="1"/>
  <c r="CC53" i="1"/>
  <c r="CC89" i="1"/>
  <c r="CC82" i="1"/>
  <c r="CC87" i="1"/>
  <c r="CC99" i="1"/>
  <c r="CC101" i="1"/>
  <c r="CC103" i="1"/>
  <c r="CC108" i="1"/>
  <c r="CC114" i="1"/>
  <c r="CC118" i="1"/>
  <c r="CC100" i="1"/>
  <c r="CC105" i="1"/>
  <c r="CC110" i="1"/>
  <c r="CC107" i="1"/>
  <c r="CC121" i="1"/>
  <c r="CC83" i="1"/>
  <c r="CC85" i="1"/>
  <c r="CC106" i="1"/>
  <c r="CC111" i="1"/>
  <c r="CC115" i="1"/>
  <c r="CC113" i="1"/>
  <c r="CC102" i="1"/>
  <c r="CC104" i="1"/>
  <c r="CC120" i="1"/>
  <c r="CC112" i="1"/>
  <c r="CC116" i="1"/>
  <c r="CC124" i="1"/>
  <c r="CC119" i="1"/>
  <c r="CC127" i="1"/>
  <c r="CC134" i="1"/>
  <c r="CC135" i="1"/>
  <c r="CC136" i="1"/>
  <c r="CC137" i="1"/>
  <c r="CC138" i="1"/>
  <c r="CC139" i="1"/>
  <c r="CC140" i="1"/>
  <c r="CC141" i="1"/>
  <c r="CC142" i="1"/>
  <c r="CC143" i="1"/>
  <c r="CC144" i="1"/>
  <c r="CC117" i="1"/>
  <c r="CC122" i="1"/>
  <c r="CC130" i="1"/>
  <c r="CC133" i="1"/>
  <c r="CC128" i="1"/>
  <c r="CC132" i="1"/>
  <c r="CC123" i="1"/>
  <c r="CC109" i="1"/>
  <c r="CC145" i="1"/>
  <c r="CC146" i="1"/>
  <c r="CC147" i="1"/>
  <c r="CC148" i="1"/>
  <c r="CC149" i="1"/>
  <c r="CC150" i="1"/>
  <c r="CC151" i="1"/>
  <c r="CC152" i="1"/>
  <c r="CC153" i="1"/>
  <c r="CC154" i="1"/>
  <c r="CC155" i="1"/>
  <c r="CC156" i="1"/>
  <c r="CC157" i="1"/>
  <c r="CC158" i="1"/>
  <c r="CC159" i="1"/>
  <c r="CC160" i="1"/>
  <c r="CC161" i="1"/>
  <c r="CC162" i="1"/>
  <c r="CC163" i="1"/>
  <c r="CC164" i="1"/>
  <c r="CC165" i="1"/>
  <c r="CC166" i="1"/>
  <c r="CC167" i="1"/>
  <c r="CC168" i="1"/>
  <c r="CC169" i="1"/>
  <c r="CC170" i="1"/>
  <c r="CC171" i="1"/>
  <c r="CC172" i="1"/>
  <c r="CC125" i="1"/>
  <c r="CC129" i="1"/>
  <c r="CC126" i="1"/>
  <c r="CC131" i="1"/>
  <c r="BU11" i="1"/>
  <c r="BU13" i="1"/>
  <c r="BU8" i="1"/>
  <c r="BU5" i="1"/>
  <c r="BU12" i="1"/>
  <c r="BU10" i="1"/>
  <c r="BU7" i="1"/>
  <c r="BU9" i="1"/>
  <c r="BU14" i="1"/>
  <c r="BU15" i="1"/>
  <c r="BU16" i="1"/>
  <c r="BU6" i="1"/>
  <c r="BU17" i="1"/>
  <c r="BU18" i="1"/>
  <c r="BU19" i="1"/>
  <c r="BU20" i="1"/>
  <c r="BU21" i="1"/>
  <c r="BU22" i="1"/>
  <c r="BU23" i="1"/>
  <c r="BU24" i="1"/>
  <c r="BU26" i="1"/>
  <c r="BU25" i="1"/>
  <c r="BU32" i="1"/>
  <c r="BU33" i="1"/>
  <c r="BU34" i="1"/>
  <c r="BU35" i="1"/>
  <c r="BU36" i="1"/>
  <c r="BU38" i="1"/>
  <c r="BU39" i="1"/>
  <c r="BU40" i="1"/>
  <c r="BU28" i="1"/>
  <c r="BU31" i="1"/>
  <c r="BU30" i="1"/>
  <c r="BU37" i="1"/>
  <c r="BU27" i="1"/>
  <c r="BU42" i="1"/>
  <c r="BU29" i="1"/>
  <c r="BU41" i="1"/>
  <c r="BU47" i="1"/>
  <c r="BU44" i="1"/>
  <c r="BU46" i="1"/>
  <c r="BU51" i="1"/>
  <c r="BU55" i="1"/>
  <c r="BU63" i="1"/>
  <c r="BU43" i="1"/>
  <c r="BU53" i="1"/>
  <c r="BU61" i="1"/>
  <c r="BU64" i="1"/>
  <c r="BU65" i="1"/>
  <c r="BU66" i="1"/>
  <c r="BU48" i="1"/>
  <c r="BU49" i="1"/>
  <c r="BU60" i="1"/>
  <c r="BU59" i="1"/>
  <c r="BU50" i="1"/>
  <c r="BU52" i="1"/>
  <c r="BU58" i="1"/>
  <c r="BU56" i="1"/>
  <c r="BU67" i="1"/>
  <c r="BU68" i="1"/>
  <c r="BU69" i="1"/>
  <c r="BU70" i="1"/>
  <c r="BU71" i="1"/>
  <c r="BU72" i="1"/>
  <c r="BU73" i="1"/>
  <c r="BU74" i="1"/>
  <c r="BU75" i="1"/>
  <c r="BU76" i="1"/>
  <c r="BU77" i="1"/>
  <c r="BU57" i="1"/>
  <c r="BU78" i="1"/>
  <c r="BU79" i="1"/>
  <c r="BU80" i="1"/>
  <c r="BU81" i="1"/>
  <c r="BU62" i="1"/>
  <c r="BU54" i="1"/>
  <c r="BU87" i="1"/>
  <c r="BU90" i="1"/>
  <c r="BU91" i="1"/>
  <c r="BU92" i="1"/>
  <c r="BU93" i="1"/>
  <c r="BU94" i="1"/>
  <c r="BU95" i="1"/>
  <c r="BU96" i="1"/>
  <c r="BU97" i="1"/>
  <c r="BU98" i="1"/>
  <c r="BU82" i="1"/>
  <c r="BU85" i="1"/>
  <c r="BU86" i="1"/>
  <c r="BU83" i="1"/>
  <c r="BU45" i="1"/>
  <c r="BU88" i="1"/>
  <c r="BU89" i="1"/>
  <c r="BU100" i="1"/>
  <c r="BU102" i="1"/>
  <c r="BU84" i="1"/>
  <c r="BU104" i="1"/>
  <c r="BU109" i="1"/>
  <c r="BU115" i="1"/>
  <c r="BU119" i="1"/>
  <c r="BU99" i="1"/>
  <c r="BU101" i="1"/>
  <c r="BU106" i="1"/>
  <c r="BU111" i="1"/>
  <c r="BU105" i="1"/>
  <c r="BU116" i="1"/>
  <c r="BU121" i="1"/>
  <c r="BU103" i="1"/>
  <c r="BU114" i="1"/>
  <c r="BU108" i="1"/>
  <c r="BU107" i="1"/>
  <c r="BU112" i="1"/>
  <c r="BU125" i="1"/>
  <c r="BU113" i="1"/>
  <c r="BU117" i="1"/>
  <c r="BU128" i="1"/>
  <c r="BU134" i="1"/>
  <c r="BU135" i="1"/>
  <c r="BU136" i="1"/>
  <c r="BU137" i="1"/>
  <c r="BU138" i="1"/>
  <c r="BU139" i="1"/>
  <c r="BU140" i="1"/>
  <c r="BU141" i="1"/>
  <c r="BU142" i="1"/>
  <c r="BU143" i="1"/>
  <c r="BU144" i="1"/>
  <c r="BU123" i="1"/>
  <c r="BU129" i="1"/>
  <c r="BU124" i="1"/>
  <c r="BU127" i="1"/>
  <c r="BU110" i="1"/>
  <c r="BU145" i="1"/>
  <c r="BU146" i="1"/>
  <c r="BU147" i="1"/>
  <c r="BU148" i="1"/>
  <c r="BU149" i="1"/>
  <c r="BU150" i="1"/>
  <c r="BU151" i="1"/>
  <c r="BU152" i="1"/>
  <c r="BU153" i="1"/>
  <c r="BU154" i="1"/>
  <c r="BU155" i="1"/>
  <c r="BU156" i="1"/>
  <c r="BU157" i="1"/>
  <c r="BU158" i="1"/>
  <c r="BU159" i="1"/>
  <c r="BU160" i="1"/>
  <c r="BU161" i="1"/>
  <c r="BU162" i="1"/>
  <c r="BU163" i="1"/>
  <c r="BU164" i="1"/>
  <c r="BU165" i="1"/>
  <c r="BU166" i="1"/>
  <c r="BU167" i="1"/>
  <c r="BU168" i="1"/>
  <c r="BU169" i="1"/>
  <c r="BU170" i="1"/>
  <c r="BU171" i="1"/>
  <c r="BU172" i="1"/>
  <c r="BU118" i="1"/>
  <c r="BU131" i="1"/>
  <c r="BU122" i="1"/>
  <c r="BU126" i="1"/>
  <c r="BU133" i="1"/>
  <c r="BU120" i="1"/>
  <c r="BU130" i="1"/>
  <c r="BU132" i="1"/>
  <c r="BM9" i="1"/>
  <c r="BM6" i="1"/>
  <c r="BM13" i="1"/>
  <c r="BM11" i="1"/>
  <c r="BM8" i="1"/>
  <c r="BM12" i="1"/>
  <c r="BM5" i="1"/>
  <c r="BM10" i="1"/>
  <c r="BM14" i="1"/>
  <c r="BM15" i="1"/>
  <c r="BM16" i="1"/>
  <c r="BM7" i="1"/>
  <c r="BM17" i="1"/>
  <c r="BM18" i="1"/>
  <c r="BM19" i="1"/>
  <c r="BM20" i="1"/>
  <c r="BM21" i="1"/>
  <c r="BM22" i="1"/>
  <c r="BM23" i="1"/>
  <c r="BM24" i="1"/>
  <c r="BM25" i="1"/>
  <c r="BM32" i="1"/>
  <c r="BM33" i="1"/>
  <c r="BM34" i="1"/>
  <c r="BM35" i="1"/>
  <c r="BM36" i="1"/>
  <c r="BM26" i="1"/>
  <c r="BM28" i="1"/>
  <c r="BM31" i="1"/>
  <c r="BM38" i="1"/>
  <c r="BM39" i="1"/>
  <c r="BM40" i="1"/>
  <c r="BM30" i="1"/>
  <c r="BM27" i="1"/>
  <c r="BM29" i="1"/>
  <c r="BM37" i="1"/>
  <c r="BM41" i="1"/>
  <c r="BM43" i="1"/>
  <c r="BM44" i="1"/>
  <c r="BM45" i="1"/>
  <c r="BM42" i="1"/>
  <c r="BM47" i="1"/>
  <c r="BM52" i="1"/>
  <c r="BM48" i="1"/>
  <c r="BM50" i="1"/>
  <c r="BM51" i="1"/>
  <c r="BM56" i="1"/>
  <c r="BM46" i="1"/>
  <c r="BM54" i="1"/>
  <c r="BM62" i="1"/>
  <c r="BM64" i="1"/>
  <c r="BM65" i="1"/>
  <c r="BM66" i="1"/>
  <c r="BM53" i="1"/>
  <c r="BM61" i="1"/>
  <c r="BM60" i="1"/>
  <c r="BM63" i="1"/>
  <c r="BM68" i="1"/>
  <c r="BM69" i="1"/>
  <c r="BM70" i="1"/>
  <c r="BM71" i="1"/>
  <c r="BM72" i="1"/>
  <c r="BM73" i="1"/>
  <c r="BM74" i="1"/>
  <c r="BM75" i="1"/>
  <c r="BM76" i="1"/>
  <c r="BM77" i="1"/>
  <c r="BM59" i="1"/>
  <c r="BM58" i="1"/>
  <c r="BM67" i="1"/>
  <c r="BM49" i="1"/>
  <c r="BM55" i="1"/>
  <c r="BM78" i="1"/>
  <c r="BM79" i="1"/>
  <c r="BM80" i="1"/>
  <c r="BM81" i="1"/>
  <c r="BM57" i="1"/>
  <c r="BM88" i="1"/>
  <c r="BM90" i="1"/>
  <c r="BM91" i="1"/>
  <c r="BM92" i="1"/>
  <c r="BM93" i="1"/>
  <c r="BM94" i="1"/>
  <c r="BM95" i="1"/>
  <c r="BM96" i="1"/>
  <c r="BM97" i="1"/>
  <c r="BM98" i="1"/>
  <c r="BM83" i="1"/>
  <c r="BM87" i="1"/>
  <c r="BM84" i="1"/>
  <c r="BM82" i="1"/>
  <c r="BM86" i="1"/>
  <c r="BM99" i="1"/>
  <c r="BM101" i="1"/>
  <c r="BM103" i="1"/>
  <c r="BM89" i="1"/>
  <c r="BM105" i="1"/>
  <c r="BM110" i="1"/>
  <c r="BM116" i="1"/>
  <c r="BM85" i="1"/>
  <c r="BM100" i="1"/>
  <c r="BM102" i="1"/>
  <c r="BM107" i="1"/>
  <c r="BM112" i="1"/>
  <c r="BM108" i="1"/>
  <c r="BM117" i="1"/>
  <c r="BM115" i="1"/>
  <c r="BM121" i="1"/>
  <c r="BM106" i="1"/>
  <c r="BM113" i="1"/>
  <c r="BM126" i="1"/>
  <c r="BM132" i="1"/>
  <c r="BM104" i="1"/>
  <c r="BM129" i="1"/>
  <c r="BM131" i="1"/>
  <c r="BM134" i="1"/>
  <c r="BM135" i="1"/>
  <c r="BM136" i="1"/>
  <c r="BM137" i="1"/>
  <c r="BM138" i="1"/>
  <c r="BM139" i="1"/>
  <c r="BM140" i="1"/>
  <c r="BM141" i="1"/>
  <c r="BM142" i="1"/>
  <c r="BM143" i="1"/>
  <c r="BM144" i="1"/>
  <c r="BM114" i="1"/>
  <c r="BM118" i="1"/>
  <c r="BM124" i="1"/>
  <c r="BM109" i="1"/>
  <c r="BM122" i="1"/>
  <c r="BM130" i="1"/>
  <c r="BM133" i="1"/>
  <c r="BM111" i="1"/>
  <c r="BM120" i="1"/>
  <c r="BM125" i="1"/>
  <c r="BM119" i="1"/>
  <c r="BM128" i="1"/>
  <c r="BM145" i="1"/>
  <c r="BM146" i="1"/>
  <c r="BM147" i="1"/>
  <c r="BM148" i="1"/>
  <c r="BM149" i="1"/>
  <c r="BM150" i="1"/>
  <c r="BM151" i="1"/>
  <c r="BM152" i="1"/>
  <c r="BM153" i="1"/>
  <c r="BM154" i="1"/>
  <c r="BM155" i="1"/>
  <c r="BM156" i="1"/>
  <c r="BM157" i="1"/>
  <c r="BM158" i="1"/>
  <c r="BM159" i="1"/>
  <c r="BM160" i="1"/>
  <c r="BM161" i="1"/>
  <c r="BM162" i="1"/>
  <c r="BM163" i="1"/>
  <c r="BM164" i="1"/>
  <c r="BM165" i="1"/>
  <c r="BM166" i="1"/>
  <c r="BM167" i="1"/>
  <c r="BM168" i="1"/>
  <c r="BM169" i="1"/>
  <c r="BM170" i="1"/>
  <c r="BM171" i="1"/>
  <c r="BM172" i="1"/>
  <c r="BM123" i="1"/>
  <c r="BM127" i="1"/>
  <c r="BE5" i="1"/>
  <c r="BE10" i="1"/>
  <c r="BE7" i="1"/>
  <c r="BE9" i="1"/>
  <c r="BE13" i="1"/>
  <c r="BE6" i="1"/>
  <c r="BE11" i="1"/>
  <c r="BE12" i="1"/>
  <c r="BE14" i="1"/>
  <c r="BE15" i="1"/>
  <c r="BE16" i="1"/>
  <c r="BE17" i="1"/>
  <c r="BE18" i="1"/>
  <c r="BE19" i="1"/>
  <c r="BE20" i="1"/>
  <c r="BE21" i="1"/>
  <c r="BE22" i="1"/>
  <c r="BE23" i="1"/>
  <c r="BE24" i="1"/>
  <c r="BE8" i="1"/>
  <c r="BE26" i="1"/>
  <c r="BE27" i="1"/>
  <c r="BE25" i="1"/>
  <c r="BE28" i="1"/>
  <c r="BE32" i="1"/>
  <c r="BE33" i="1"/>
  <c r="BE34" i="1"/>
  <c r="BE35" i="1"/>
  <c r="BE36" i="1"/>
  <c r="BE37" i="1"/>
  <c r="BE38" i="1"/>
  <c r="BE39" i="1"/>
  <c r="BE40" i="1"/>
  <c r="BE30" i="1"/>
  <c r="BE29" i="1"/>
  <c r="BE44" i="1"/>
  <c r="BE43" i="1"/>
  <c r="BE41" i="1"/>
  <c r="BE42" i="1"/>
  <c r="BE31" i="1"/>
  <c r="BE48" i="1"/>
  <c r="BE46" i="1"/>
  <c r="BE45" i="1"/>
  <c r="BE57" i="1"/>
  <c r="BE49" i="1"/>
  <c r="BE50" i="1"/>
  <c r="BE51" i="1"/>
  <c r="BE55" i="1"/>
  <c r="BE63" i="1"/>
  <c r="BE64" i="1"/>
  <c r="BE65" i="1"/>
  <c r="BE66" i="1"/>
  <c r="BE47" i="1"/>
  <c r="BE54" i="1"/>
  <c r="BE62" i="1"/>
  <c r="BE53" i="1"/>
  <c r="BE61" i="1"/>
  <c r="BE60" i="1"/>
  <c r="BE58" i="1"/>
  <c r="BE52" i="1"/>
  <c r="BE56" i="1"/>
  <c r="BE68" i="1"/>
  <c r="BE69" i="1"/>
  <c r="BE70" i="1"/>
  <c r="BE71" i="1"/>
  <c r="BE72" i="1"/>
  <c r="BE73" i="1"/>
  <c r="BE74" i="1"/>
  <c r="BE75" i="1"/>
  <c r="BE76" i="1"/>
  <c r="BE77" i="1"/>
  <c r="BE78" i="1"/>
  <c r="BE79" i="1"/>
  <c r="BE80" i="1"/>
  <c r="BE81" i="1"/>
  <c r="BE59" i="1"/>
  <c r="BE67" i="1"/>
  <c r="BE90" i="1"/>
  <c r="BE91" i="1"/>
  <c r="BE92" i="1"/>
  <c r="BE93" i="1"/>
  <c r="BE94" i="1"/>
  <c r="BE95" i="1"/>
  <c r="BE96" i="1"/>
  <c r="BE97" i="1"/>
  <c r="BE98" i="1"/>
  <c r="BE84" i="1"/>
  <c r="BE86" i="1"/>
  <c r="BE89" i="1"/>
  <c r="BE82" i="1"/>
  <c r="BE88" i="1"/>
  <c r="BE85" i="1"/>
  <c r="BE83" i="1"/>
  <c r="BE87" i="1"/>
  <c r="BE100" i="1"/>
  <c r="BE102" i="1"/>
  <c r="BE104" i="1"/>
  <c r="BE109" i="1"/>
  <c r="BE106" i="1"/>
  <c r="BE111" i="1"/>
  <c r="BE103" i="1"/>
  <c r="BE113" i="1"/>
  <c r="BE117" i="1"/>
  <c r="BE99" i="1"/>
  <c r="BE101" i="1"/>
  <c r="BE108" i="1"/>
  <c r="BE120" i="1"/>
  <c r="BE107" i="1"/>
  <c r="BE118" i="1"/>
  <c r="BE119" i="1"/>
  <c r="BE105" i="1"/>
  <c r="BE110" i="1"/>
  <c r="BE116" i="1"/>
  <c r="BE114" i="1"/>
  <c r="BE121" i="1"/>
  <c r="BE127" i="1"/>
  <c r="BE122" i="1"/>
  <c r="BE130" i="1"/>
  <c r="BE134" i="1"/>
  <c r="BE135" i="1"/>
  <c r="BE136" i="1"/>
  <c r="BE137" i="1"/>
  <c r="BE138" i="1"/>
  <c r="BE139" i="1"/>
  <c r="BE140" i="1"/>
  <c r="BE141" i="1"/>
  <c r="BE142" i="1"/>
  <c r="BE143" i="1"/>
  <c r="BE144" i="1"/>
  <c r="BE125" i="1"/>
  <c r="BE132" i="1"/>
  <c r="BE115" i="1"/>
  <c r="BE123" i="1"/>
  <c r="BE131" i="1"/>
  <c r="BE112" i="1"/>
  <c r="BE126" i="1"/>
  <c r="BE133" i="1"/>
  <c r="BE124" i="1"/>
  <c r="BE128" i="1"/>
  <c r="BE129" i="1"/>
  <c r="BE146" i="1"/>
  <c r="BE147" i="1"/>
  <c r="BE148" i="1"/>
  <c r="BE149" i="1"/>
  <c r="BE150" i="1"/>
  <c r="BE151" i="1"/>
  <c r="BE152" i="1"/>
  <c r="BE153" i="1"/>
  <c r="BE154" i="1"/>
  <c r="BE155" i="1"/>
  <c r="BE156" i="1"/>
  <c r="BE157" i="1"/>
  <c r="BE158" i="1"/>
  <c r="BE159" i="1"/>
  <c r="BE160" i="1"/>
  <c r="BE161" i="1"/>
  <c r="BE162" i="1"/>
  <c r="BE163" i="1"/>
  <c r="BE164" i="1"/>
  <c r="BE165" i="1"/>
  <c r="BE166" i="1"/>
  <c r="BE167" i="1"/>
  <c r="BE168" i="1"/>
  <c r="BE169" i="1"/>
  <c r="BE170" i="1"/>
  <c r="BE171" i="1"/>
  <c r="BE172" i="1"/>
  <c r="BE145" i="1"/>
  <c r="AW6" i="1"/>
  <c r="AW12" i="1"/>
  <c r="AW11" i="1"/>
  <c r="AW8" i="1"/>
  <c r="AW5" i="1"/>
  <c r="AW10" i="1"/>
  <c r="AW7" i="1"/>
  <c r="AW13" i="1"/>
  <c r="AW14" i="1"/>
  <c r="AW15" i="1"/>
  <c r="AW16" i="1"/>
  <c r="AW17" i="1"/>
  <c r="AW9" i="1"/>
  <c r="AW18" i="1"/>
  <c r="AW19" i="1"/>
  <c r="AW20" i="1"/>
  <c r="AW21" i="1"/>
  <c r="AW22" i="1"/>
  <c r="AW23" i="1"/>
  <c r="AW24" i="1"/>
  <c r="AW28" i="1"/>
  <c r="AW27" i="1"/>
  <c r="AW26" i="1"/>
  <c r="AW25" i="1"/>
  <c r="AW33" i="1"/>
  <c r="AW34" i="1"/>
  <c r="AW35" i="1"/>
  <c r="AW36" i="1"/>
  <c r="AW32" i="1"/>
  <c r="AW30" i="1"/>
  <c r="AW38" i="1"/>
  <c r="AW39" i="1"/>
  <c r="AW40" i="1"/>
  <c r="AW29" i="1"/>
  <c r="AW37" i="1"/>
  <c r="AW31" i="1"/>
  <c r="AW45" i="1"/>
  <c r="AW41" i="1"/>
  <c r="AW44" i="1"/>
  <c r="AW43" i="1"/>
  <c r="AW49" i="1"/>
  <c r="AW47" i="1"/>
  <c r="AW58" i="1"/>
  <c r="AW56" i="1"/>
  <c r="AW64" i="1"/>
  <c r="AW65" i="1"/>
  <c r="AW66" i="1"/>
  <c r="AW52" i="1"/>
  <c r="AW55" i="1"/>
  <c r="AW63" i="1"/>
  <c r="AW46" i="1"/>
  <c r="AW51" i="1"/>
  <c r="AW54" i="1"/>
  <c r="AW62" i="1"/>
  <c r="AW50" i="1"/>
  <c r="AW68" i="1"/>
  <c r="AW69" i="1"/>
  <c r="AW70" i="1"/>
  <c r="AW71" i="1"/>
  <c r="AW72" i="1"/>
  <c r="AW73" i="1"/>
  <c r="AW74" i="1"/>
  <c r="AW75" i="1"/>
  <c r="AW76" i="1"/>
  <c r="AW77" i="1"/>
  <c r="AW61" i="1"/>
  <c r="AW48" i="1"/>
  <c r="AW60" i="1"/>
  <c r="AW78" i="1"/>
  <c r="AW79" i="1"/>
  <c r="AW80" i="1"/>
  <c r="AW81" i="1"/>
  <c r="AW53" i="1"/>
  <c r="AW59" i="1"/>
  <c r="AW67" i="1"/>
  <c r="AW57" i="1"/>
  <c r="AW82" i="1"/>
  <c r="AW91" i="1"/>
  <c r="AW92" i="1"/>
  <c r="AW93" i="1"/>
  <c r="AW94" i="1"/>
  <c r="AW95" i="1"/>
  <c r="AW96" i="1"/>
  <c r="AW97" i="1"/>
  <c r="AW98" i="1"/>
  <c r="AW99" i="1"/>
  <c r="AW85" i="1"/>
  <c r="AW87" i="1"/>
  <c r="AW90" i="1"/>
  <c r="AW83" i="1"/>
  <c r="AW89" i="1"/>
  <c r="AW42" i="1"/>
  <c r="AW86" i="1"/>
  <c r="AW84" i="1"/>
  <c r="AW88" i="1"/>
  <c r="AW101" i="1"/>
  <c r="AW105" i="1"/>
  <c r="AW110" i="1"/>
  <c r="AW107" i="1"/>
  <c r="AW112" i="1"/>
  <c r="AW104" i="1"/>
  <c r="AW109" i="1"/>
  <c r="AW114" i="1"/>
  <c r="AW118" i="1"/>
  <c r="AW100" i="1"/>
  <c r="AW102" i="1"/>
  <c r="AW121" i="1"/>
  <c r="AW117" i="1"/>
  <c r="AW103" i="1"/>
  <c r="AW120" i="1"/>
  <c r="AW108" i="1"/>
  <c r="AW115" i="1"/>
  <c r="AW119" i="1"/>
  <c r="AW122" i="1"/>
  <c r="AW128" i="1"/>
  <c r="AW123" i="1"/>
  <c r="AW134" i="1"/>
  <c r="AW135" i="1"/>
  <c r="AW136" i="1"/>
  <c r="AW137" i="1"/>
  <c r="AW138" i="1"/>
  <c r="AW139" i="1"/>
  <c r="AW140" i="1"/>
  <c r="AW141" i="1"/>
  <c r="AW142" i="1"/>
  <c r="AW143" i="1"/>
  <c r="AW144" i="1"/>
  <c r="AW126" i="1"/>
  <c r="AW111" i="1"/>
  <c r="AW116" i="1"/>
  <c r="AW124" i="1"/>
  <c r="AW132" i="1"/>
  <c r="AW113" i="1"/>
  <c r="AW127" i="1"/>
  <c r="AW131" i="1"/>
  <c r="AW125" i="1"/>
  <c r="AW129" i="1"/>
  <c r="AW130" i="1"/>
  <c r="AW146" i="1"/>
  <c r="AW147" i="1"/>
  <c r="AW148" i="1"/>
  <c r="AW149" i="1"/>
  <c r="AW150" i="1"/>
  <c r="AW151" i="1"/>
  <c r="AW152" i="1"/>
  <c r="AW153" i="1"/>
  <c r="AW154" i="1"/>
  <c r="AW155" i="1"/>
  <c r="AW156" i="1"/>
  <c r="AW157" i="1"/>
  <c r="AW158" i="1"/>
  <c r="AW159" i="1"/>
  <c r="AW160" i="1"/>
  <c r="AW161" i="1"/>
  <c r="AW162" i="1"/>
  <c r="AW163" i="1"/>
  <c r="AW164" i="1"/>
  <c r="AW165" i="1"/>
  <c r="AW166" i="1"/>
  <c r="AW167" i="1"/>
  <c r="AW168" i="1"/>
  <c r="AW169" i="1"/>
  <c r="AW170" i="1"/>
  <c r="AW171" i="1"/>
  <c r="AW172" i="1"/>
  <c r="AW106" i="1"/>
  <c r="AW133" i="1"/>
  <c r="CD175" i="1"/>
  <c r="BV175" i="1"/>
  <c r="BN175" i="1"/>
  <c r="BF175" i="1"/>
  <c r="AX175" i="1"/>
  <c r="CD174" i="1"/>
  <c r="BV174" i="1"/>
  <c r="BN174" i="1"/>
  <c r="BF174" i="1"/>
  <c r="AX174" i="1"/>
  <c r="CD173" i="1"/>
  <c r="BV173" i="1"/>
  <c r="BN173" i="1"/>
  <c r="BF173" i="1"/>
  <c r="AW173" i="1"/>
  <c r="BR172" i="1"/>
  <c r="BG172" i="1"/>
  <c r="BZ171" i="1"/>
  <c r="BO171" i="1"/>
  <c r="BA171" i="1"/>
  <c r="BW170" i="1"/>
  <c r="BI170" i="1"/>
  <c r="AU170" i="1"/>
  <c r="BQ169" i="1"/>
  <c r="BC169" i="1"/>
  <c r="BY168" i="1"/>
  <c r="BK168" i="1"/>
  <c r="AZ168" i="1"/>
  <c r="BS167" i="1"/>
  <c r="BH167" i="1"/>
  <c r="AT167" i="1"/>
  <c r="CA166" i="1"/>
  <c r="BP166" i="1"/>
  <c r="BB166" i="1"/>
  <c r="BX165" i="1"/>
  <c r="BJ165" i="1"/>
  <c r="AY165" i="1"/>
  <c r="BR164" i="1"/>
  <c r="BG164" i="1"/>
  <c r="BZ163" i="1"/>
  <c r="BO163" i="1"/>
  <c r="BA163" i="1"/>
  <c r="BW162" i="1"/>
  <c r="BI162" i="1"/>
  <c r="AU162" i="1"/>
  <c r="BI159" i="1"/>
  <c r="BQ158" i="1"/>
  <c r="BY157" i="1"/>
  <c r="AY154" i="1"/>
  <c r="BG153" i="1"/>
  <c r="BO152" i="1"/>
  <c r="BW151" i="1"/>
  <c r="AY146" i="1"/>
  <c r="BF145" i="1"/>
  <c r="CB7" i="1"/>
  <c r="CB9" i="1"/>
  <c r="CB6" i="1"/>
  <c r="CB11" i="1"/>
  <c r="CB8" i="1"/>
  <c r="CB13" i="1"/>
  <c r="CB14" i="1"/>
  <c r="CB15" i="1"/>
  <c r="CB16" i="1"/>
  <c r="CB5" i="1"/>
  <c r="CB10" i="1"/>
  <c r="CB17" i="1"/>
  <c r="CB18" i="1"/>
  <c r="CB19" i="1"/>
  <c r="CB20" i="1"/>
  <c r="CB21" i="1"/>
  <c r="CB22" i="1"/>
  <c r="CB23" i="1"/>
  <c r="CB24" i="1"/>
  <c r="CB12" i="1"/>
  <c r="CB25" i="1"/>
  <c r="CB26" i="1"/>
  <c r="CB28" i="1"/>
  <c r="CB29" i="1"/>
  <c r="CB30" i="1"/>
  <c r="CB31" i="1"/>
  <c r="CB27" i="1"/>
  <c r="CB38" i="1"/>
  <c r="CB39" i="1"/>
  <c r="CB32" i="1"/>
  <c r="CB35" i="1"/>
  <c r="CB37" i="1"/>
  <c r="CB33" i="1"/>
  <c r="CB36" i="1"/>
  <c r="CB42" i="1"/>
  <c r="CB41" i="1"/>
  <c r="CB34" i="1"/>
  <c r="CB40" i="1"/>
  <c r="CB45" i="1"/>
  <c r="CB48" i="1"/>
  <c r="CB54" i="1"/>
  <c r="CB46" i="1"/>
  <c r="CB53" i="1"/>
  <c r="CB61" i="1"/>
  <c r="CB59" i="1"/>
  <c r="CB43" i="1"/>
  <c r="CB52" i="1"/>
  <c r="CB58" i="1"/>
  <c r="CB44" i="1"/>
  <c r="CB47" i="1"/>
  <c r="CB51" i="1"/>
  <c r="CB57" i="1"/>
  <c r="CB67" i="1"/>
  <c r="CB49" i="1"/>
  <c r="CB50" i="1"/>
  <c r="CB62" i="1"/>
  <c r="CB68" i="1"/>
  <c r="CB69" i="1"/>
  <c r="CB70" i="1"/>
  <c r="CB71" i="1"/>
  <c r="CB72" i="1"/>
  <c r="CB73" i="1"/>
  <c r="CB74" i="1"/>
  <c r="CB75" i="1"/>
  <c r="CB60" i="1"/>
  <c r="CB64" i="1"/>
  <c r="CB66" i="1"/>
  <c r="CB56" i="1"/>
  <c r="CB55" i="1"/>
  <c r="CB78" i="1"/>
  <c r="CB79" i="1"/>
  <c r="CB80" i="1"/>
  <c r="CB81" i="1"/>
  <c r="CB82" i="1"/>
  <c r="CB83" i="1"/>
  <c r="CB84" i="1"/>
  <c r="CB63" i="1"/>
  <c r="CB76" i="1"/>
  <c r="CB65" i="1"/>
  <c r="CB88" i="1"/>
  <c r="CB89" i="1"/>
  <c r="CB87" i="1"/>
  <c r="CB85" i="1"/>
  <c r="CB99" i="1"/>
  <c r="CB101" i="1"/>
  <c r="CB95" i="1"/>
  <c r="CB106" i="1"/>
  <c r="CB111" i="1"/>
  <c r="CB115" i="1"/>
  <c r="CB119" i="1"/>
  <c r="CB86" i="1"/>
  <c r="CB92" i="1"/>
  <c r="CB96" i="1"/>
  <c r="CB108" i="1"/>
  <c r="CB114" i="1"/>
  <c r="CB77" i="1"/>
  <c r="CB90" i="1"/>
  <c r="CB100" i="1"/>
  <c r="CB105" i="1"/>
  <c r="CB110" i="1"/>
  <c r="CB91" i="1"/>
  <c r="CB93" i="1"/>
  <c r="CB97" i="1"/>
  <c r="CB102" i="1"/>
  <c r="CB113" i="1"/>
  <c r="CB117" i="1"/>
  <c r="CB112" i="1"/>
  <c r="CB94" i="1"/>
  <c r="CB98" i="1"/>
  <c r="CB118" i="1"/>
  <c r="CB104" i="1"/>
  <c r="CB109" i="1"/>
  <c r="CB116" i="1"/>
  <c r="CB122" i="1"/>
  <c r="CB123" i="1"/>
  <c r="CB124" i="1"/>
  <c r="CB125" i="1"/>
  <c r="CB126" i="1"/>
  <c r="CB127" i="1"/>
  <c r="CB128" i="1"/>
  <c r="CB129" i="1"/>
  <c r="CB130" i="1"/>
  <c r="CB131" i="1"/>
  <c r="CB132" i="1"/>
  <c r="CB103" i="1"/>
  <c r="CB120" i="1"/>
  <c r="CB134" i="1"/>
  <c r="CB135" i="1"/>
  <c r="CB136" i="1"/>
  <c r="CB137" i="1"/>
  <c r="CB138" i="1"/>
  <c r="CB139" i="1"/>
  <c r="CB140" i="1"/>
  <c r="CB141" i="1"/>
  <c r="CB142" i="1"/>
  <c r="CB143" i="1"/>
  <c r="CB144" i="1"/>
  <c r="CB133" i="1"/>
  <c r="CB107" i="1"/>
  <c r="CB145" i="1"/>
  <c r="CB146" i="1"/>
  <c r="CB147" i="1"/>
  <c r="CB148" i="1"/>
  <c r="CB149" i="1"/>
  <c r="CB150" i="1"/>
  <c r="CB151" i="1"/>
  <c r="CB152" i="1"/>
  <c r="CB153" i="1"/>
  <c r="CB154" i="1"/>
  <c r="CB155" i="1"/>
  <c r="CB156" i="1"/>
  <c r="CB157" i="1"/>
  <c r="CB158" i="1"/>
  <c r="CB159" i="1"/>
  <c r="CB160" i="1"/>
  <c r="CB161" i="1"/>
  <c r="CB162" i="1"/>
  <c r="CB163" i="1"/>
  <c r="CB164" i="1"/>
  <c r="CB165" i="1"/>
  <c r="CB166" i="1"/>
  <c r="CB167" i="1"/>
  <c r="CB168" i="1"/>
  <c r="CB169" i="1"/>
  <c r="CB170" i="1"/>
  <c r="CB171" i="1"/>
  <c r="CB172" i="1"/>
  <c r="CB121" i="1"/>
  <c r="BT8" i="1"/>
  <c r="BT5" i="1"/>
  <c r="BT12" i="1"/>
  <c r="BT10" i="1"/>
  <c r="BT7" i="1"/>
  <c r="BT9" i="1"/>
  <c r="BT14" i="1"/>
  <c r="BT15" i="1"/>
  <c r="BT16" i="1"/>
  <c r="BT6" i="1"/>
  <c r="BT17" i="1"/>
  <c r="BT18" i="1"/>
  <c r="BT19" i="1"/>
  <c r="BT20" i="1"/>
  <c r="BT21" i="1"/>
  <c r="BT22" i="1"/>
  <c r="BT23" i="1"/>
  <c r="BT24" i="1"/>
  <c r="BT25" i="1"/>
  <c r="BT26" i="1"/>
  <c r="BT13" i="1"/>
  <c r="BT11" i="1"/>
  <c r="BT27" i="1"/>
  <c r="BT28" i="1"/>
  <c r="BT29" i="1"/>
  <c r="BT30" i="1"/>
  <c r="BT31" i="1"/>
  <c r="BT38" i="1"/>
  <c r="BT39" i="1"/>
  <c r="BT33" i="1"/>
  <c r="BT36" i="1"/>
  <c r="BT34" i="1"/>
  <c r="BT37" i="1"/>
  <c r="BT32" i="1"/>
  <c r="BT41" i="1"/>
  <c r="BT43" i="1"/>
  <c r="BT42" i="1"/>
  <c r="BT45" i="1"/>
  <c r="BT40" i="1"/>
  <c r="BT44" i="1"/>
  <c r="BT35" i="1"/>
  <c r="BT54" i="1"/>
  <c r="BT62" i="1"/>
  <c r="BT48" i="1"/>
  <c r="BT49" i="1"/>
  <c r="BT60" i="1"/>
  <c r="BT59" i="1"/>
  <c r="BT50" i="1"/>
  <c r="BT58" i="1"/>
  <c r="BT57" i="1"/>
  <c r="BT46" i="1"/>
  <c r="BT55" i="1"/>
  <c r="BT67" i="1"/>
  <c r="BT68" i="1"/>
  <c r="BT69" i="1"/>
  <c r="BT70" i="1"/>
  <c r="BT71" i="1"/>
  <c r="BT72" i="1"/>
  <c r="BT73" i="1"/>
  <c r="BT74" i="1"/>
  <c r="BT75" i="1"/>
  <c r="BT51" i="1"/>
  <c r="BT65" i="1"/>
  <c r="BT47" i="1"/>
  <c r="BT61" i="1"/>
  <c r="BT78" i="1"/>
  <c r="BT79" i="1"/>
  <c r="BT80" i="1"/>
  <c r="BT81" i="1"/>
  <c r="BT82" i="1"/>
  <c r="BT83" i="1"/>
  <c r="BT84" i="1"/>
  <c r="BT77" i="1"/>
  <c r="BT64" i="1"/>
  <c r="BT76" i="1"/>
  <c r="BT52" i="1"/>
  <c r="BT53" i="1"/>
  <c r="BT56" i="1"/>
  <c r="BT63" i="1"/>
  <c r="BT85" i="1"/>
  <c r="BT86" i="1"/>
  <c r="BT88" i="1"/>
  <c r="BT89" i="1"/>
  <c r="BT66" i="1"/>
  <c r="BT87" i="1"/>
  <c r="BT100" i="1"/>
  <c r="BT102" i="1"/>
  <c r="BT92" i="1"/>
  <c r="BT96" i="1"/>
  <c r="BT107" i="1"/>
  <c r="BT112" i="1"/>
  <c r="BT116" i="1"/>
  <c r="BT120" i="1"/>
  <c r="BT90" i="1"/>
  <c r="BT93" i="1"/>
  <c r="BT97" i="1"/>
  <c r="BT115" i="1"/>
  <c r="BT91" i="1"/>
  <c r="BT99" i="1"/>
  <c r="BT101" i="1"/>
  <c r="BT106" i="1"/>
  <c r="BT111" i="1"/>
  <c r="BT94" i="1"/>
  <c r="BT98" i="1"/>
  <c r="BT103" i="1"/>
  <c r="BT114" i="1"/>
  <c r="BT118" i="1"/>
  <c r="BT105" i="1"/>
  <c r="BT110" i="1"/>
  <c r="BT113" i="1"/>
  <c r="BT104" i="1"/>
  <c r="BT109" i="1"/>
  <c r="BT108" i="1"/>
  <c r="BT117" i="1"/>
  <c r="BT122" i="1"/>
  <c r="BT123" i="1"/>
  <c r="BT124" i="1"/>
  <c r="BT125" i="1"/>
  <c r="BT126" i="1"/>
  <c r="BT127" i="1"/>
  <c r="BT128" i="1"/>
  <c r="BT129" i="1"/>
  <c r="BT130" i="1"/>
  <c r="BT131" i="1"/>
  <c r="BT132" i="1"/>
  <c r="BT95" i="1"/>
  <c r="BT119" i="1"/>
  <c r="BT134" i="1"/>
  <c r="BT135" i="1"/>
  <c r="BT136" i="1"/>
  <c r="BT137" i="1"/>
  <c r="BT138" i="1"/>
  <c r="BT139" i="1"/>
  <c r="BT140" i="1"/>
  <c r="BT141" i="1"/>
  <c r="BT142" i="1"/>
  <c r="BT143" i="1"/>
  <c r="BT144" i="1"/>
  <c r="BT121" i="1"/>
  <c r="BT133" i="1"/>
  <c r="BT145" i="1"/>
  <c r="BT146" i="1"/>
  <c r="BT147" i="1"/>
  <c r="BT148" i="1"/>
  <c r="BT149" i="1"/>
  <c r="BT150" i="1"/>
  <c r="BT151" i="1"/>
  <c r="BT152" i="1"/>
  <c r="BT153" i="1"/>
  <c r="BT154" i="1"/>
  <c r="BT155" i="1"/>
  <c r="BT156" i="1"/>
  <c r="BT157" i="1"/>
  <c r="BT158" i="1"/>
  <c r="BT159" i="1"/>
  <c r="BT160" i="1"/>
  <c r="BT161" i="1"/>
  <c r="BT162" i="1"/>
  <c r="BT163" i="1"/>
  <c r="BT164" i="1"/>
  <c r="BT165" i="1"/>
  <c r="BT166" i="1"/>
  <c r="BT167" i="1"/>
  <c r="BT168" i="1"/>
  <c r="BT169" i="1"/>
  <c r="BT170" i="1"/>
  <c r="BT171" i="1"/>
  <c r="BT172" i="1"/>
  <c r="BL9" i="1"/>
  <c r="BL6" i="1"/>
  <c r="BL13" i="1"/>
  <c r="BL11" i="1"/>
  <c r="BL8" i="1"/>
  <c r="BL12" i="1"/>
  <c r="BL5" i="1"/>
  <c r="BL10" i="1"/>
  <c r="BL14" i="1"/>
  <c r="BL15" i="1"/>
  <c r="BL16" i="1"/>
  <c r="BL7" i="1"/>
  <c r="BL17" i="1"/>
  <c r="BL18" i="1"/>
  <c r="BL19" i="1"/>
  <c r="BL20" i="1"/>
  <c r="BL21" i="1"/>
  <c r="BL22" i="1"/>
  <c r="BL23" i="1"/>
  <c r="BL24" i="1"/>
  <c r="BL25" i="1"/>
  <c r="BL26" i="1"/>
  <c r="BL28" i="1"/>
  <c r="BL29" i="1"/>
  <c r="BL30" i="1"/>
  <c r="BL31" i="1"/>
  <c r="BL38" i="1"/>
  <c r="BL39" i="1"/>
  <c r="BL34" i="1"/>
  <c r="BL32" i="1"/>
  <c r="BL27" i="1"/>
  <c r="BL35" i="1"/>
  <c r="BL37" i="1"/>
  <c r="BL33" i="1"/>
  <c r="BL42" i="1"/>
  <c r="BL44" i="1"/>
  <c r="BL46" i="1"/>
  <c r="BL45" i="1"/>
  <c r="BL36" i="1"/>
  <c r="BL43" i="1"/>
  <c r="BL50" i="1"/>
  <c r="BL51" i="1"/>
  <c r="BL52" i="1"/>
  <c r="BL55" i="1"/>
  <c r="BL63" i="1"/>
  <c r="BL40" i="1"/>
  <c r="BL53" i="1"/>
  <c r="BL61" i="1"/>
  <c r="BL60" i="1"/>
  <c r="BL59" i="1"/>
  <c r="BL48" i="1"/>
  <c r="BL68" i="1"/>
  <c r="BL69" i="1"/>
  <c r="BL70" i="1"/>
  <c r="BL71" i="1"/>
  <c r="BL72" i="1"/>
  <c r="BL73" i="1"/>
  <c r="BL74" i="1"/>
  <c r="BL75" i="1"/>
  <c r="BL41" i="1"/>
  <c r="BL54" i="1"/>
  <c r="BL62" i="1"/>
  <c r="BL64" i="1"/>
  <c r="BL66" i="1"/>
  <c r="BL47" i="1"/>
  <c r="BL58" i="1"/>
  <c r="BL67" i="1"/>
  <c r="BL57" i="1"/>
  <c r="BL65" i="1"/>
  <c r="BL78" i="1"/>
  <c r="BL79" i="1"/>
  <c r="BL80" i="1"/>
  <c r="BL81" i="1"/>
  <c r="BL82" i="1"/>
  <c r="BL83" i="1"/>
  <c r="BL84" i="1"/>
  <c r="BL85" i="1"/>
  <c r="BL56" i="1"/>
  <c r="BL77" i="1"/>
  <c r="BL87" i="1"/>
  <c r="BL86" i="1"/>
  <c r="BL89" i="1"/>
  <c r="BL99" i="1"/>
  <c r="BL101" i="1"/>
  <c r="BL93" i="1"/>
  <c r="BL97" i="1"/>
  <c r="BL108" i="1"/>
  <c r="BL113" i="1"/>
  <c r="BL117" i="1"/>
  <c r="BL90" i="1"/>
  <c r="BL76" i="1"/>
  <c r="BL91" i="1"/>
  <c r="BL94" i="1"/>
  <c r="BL98" i="1"/>
  <c r="BL116" i="1"/>
  <c r="BL49" i="1"/>
  <c r="BL100" i="1"/>
  <c r="BL102" i="1"/>
  <c r="BL107" i="1"/>
  <c r="BL112" i="1"/>
  <c r="BL88" i="1"/>
  <c r="BL95" i="1"/>
  <c r="BL104" i="1"/>
  <c r="BL109" i="1"/>
  <c r="BL115" i="1"/>
  <c r="BL119" i="1"/>
  <c r="BL114" i="1"/>
  <c r="BL96" i="1"/>
  <c r="BL103" i="1"/>
  <c r="BL121" i="1"/>
  <c r="BL106" i="1"/>
  <c r="BL111" i="1"/>
  <c r="BL118" i="1"/>
  <c r="BL120" i="1"/>
  <c r="BL122" i="1"/>
  <c r="BL123" i="1"/>
  <c r="BL124" i="1"/>
  <c r="BL125" i="1"/>
  <c r="BL126" i="1"/>
  <c r="BL127" i="1"/>
  <c r="BL128" i="1"/>
  <c r="BL129" i="1"/>
  <c r="BL130" i="1"/>
  <c r="BL131" i="1"/>
  <c r="BL132" i="1"/>
  <c r="BL105" i="1"/>
  <c r="BL110" i="1"/>
  <c r="BL134" i="1"/>
  <c r="BL135" i="1"/>
  <c r="BL136" i="1"/>
  <c r="BL137" i="1"/>
  <c r="BL138" i="1"/>
  <c r="BL139" i="1"/>
  <c r="BL140" i="1"/>
  <c r="BL141" i="1"/>
  <c r="BL142" i="1"/>
  <c r="BL143" i="1"/>
  <c r="BL144" i="1"/>
  <c r="BL145" i="1"/>
  <c r="BL92" i="1"/>
  <c r="BL146" i="1"/>
  <c r="BL147" i="1"/>
  <c r="BL148" i="1"/>
  <c r="BL149" i="1"/>
  <c r="BL150" i="1"/>
  <c r="BL151" i="1"/>
  <c r="BL152" i="1"/>
  <c r="BL153" i="1"/>
  <c r="BL154" i="1"/>
  <c r="BL155" i="1"/>
  <c r="BL156" i="1"/>
  <c r="BL157" i="1"/>
  <c r="BL158" i="1"/>
  <c r="BL159" i="1"/>
  <c r="BL160" i="1"/>
  <c r="BL161" i="1"/>
  <c r="BL162" i="1"/>
  <c r="BL163" i="1"/>
  <c r="BL164" i="1"/>
  <c r="BL165" i="1"/>
  <c r="BL166" i="1"/>
  <c r="BL167" i="1"/>
  <c r="BL168" i="1"/>
  <c r="BL169" i="1"/>
  <c r="BL170" i="1"/>
  <c r="BL171" i="1"/>
  <c r="BL172" i="1"/>
  <c r="BL133" i="1"/>
  <c r="BD10" i="1"/>
  <c r="BD7" i="1"/>
  <c r="BD9" i="1"/>
  <c r="BD13" i="1"/>
  <c r="BD6" i="1"/>
  <c r="BD11" i="1"/>
  <c r="BD12" i="1"/>
  <c r="BD14" i="1"/>
  <c r="BD15" i="1"/>
  <c r="BD16" i="1"/>
  <c r="BD8" i="1"/>
  <c r="BD18" i="1"/>
  <c r="BD19" i="1"/>
  <c r="BD20" i="1"/>
  <c r="BD21" i="1"/>
  <c r="BD22" i="1"/>
  <c r="BD23" i="1"/>
  <c r="BD24" i="1"/>
  <c r="BD25" i="1"/>
  <c r="BD26" i="1"/>
  <c r="BD17" i="1"/>
  <c r="BD5" i="1"/>
  <c r="BD29" i="1"/>
  <c r="BD30" i="1"/>
  <c r="BD31" i="1"/>
  <c r="BD27" i="1"/>
  <c r="BD32" i="1"/>
  <c r="BD37" i="1"/>
  <c r="BD38" i="1"/>
  <c r="BD39" i="1"/>
  <c r="BD40" i="1"/>
  <c r="BD35" i="1"/>
  <c r="BD33" i="1"/>
  <c r="BD36" i="1"/>
  <c r="BD34" i="1"/>
  <c r="BD28" i="1"/>
  <c r="BD47" i="1"/>
  <c r="BD42" i="1"/>
  <c r="BD46" i="1"/>
  <c r="BD44" i="1"/>
  <c r="BD45" i="1"/>
  <c r="BD52" i="1"/>
  <c r="BD41" i="1"/>
  <c r="BD56" i="1"/>
  <c r="BD48" i="1"/>
  <c r="BD54" i="1"/>
  <c r="BD62" i="1"/>
  <c r="BD53" i="1"/>
  <c r="BD61" i="1"/>
  <c r="BD60" i="1"/>
  <c r="BD59" i="1"/>
  <c r="BD57" i="1"/>
  <c r="BD68" i="1"/>
  <c r="BD69" i="1"/>
  <c r="BD70" i="1"/>
  <c r="BD71" i="1"/>
  <c r="BD72" i="1"/>
  <c r="BD73" i="1"/>
  <c r="BD74" i="1"/>
  <c r="BD75" i="1"/>
  <c r="BD43" i="1"/>
  <c r="BD55" i="1"/>
  <c r="BD65" i="1"/>
  <c r="BD50" i="1"/>
  <c r="BD49" i="1"/>
  <c r="BD78" i="1"/>
  <c r="BD79" i="1"/>
  <c r="BD80" i="1"/>
  <c r="BD81" i="1"/>
  <c r="BD82" i="1"/>
  <c r="BD83" i="1"/>
  <c r="BD84" i="1"/>
  <c r="BD85" i="1"/>
  <c r="BD64" i="1"/>
  <c r="BD58" i="1"/>
  <c r="BD76" i="1"/>
  <c r="BD51" i="1"/>
  <c r="BD66" i="1"/>
  <c r="BD63" i="1"/>
  <c r="BD67" i="1"/>
  <c r="BD77" i="1"/>
  <c r="BD86" i="1"/>
  <c r="BD89" i="1"/>
  <c r="BD88" i="1"/>
  <c r="BD87" i="1"/>
  <c r="BD100" i="1"/>
  <c r="BD102" i="1"/>
  <c r="BD90" i="1"/>
  <c r="BD94" i="1"/>
  <c r="BD98" i="1"/>
  <c r="BD114" i="1"/>
  <c r="BD118" i="1"/>
  <c r="BD91" i="1"/>
  <c r="BD95" i="1"/>
  <c r="BD103" i="1"/>
  <c r="BD113" i="1"/>
  <c r="BD117" i="1"/>
  <c r="BD99" i="1"/>
  <c r="BD101" i="1"/>
  <c r="BD108" i="1"/>
  <c r="BD92" i="1"/>
  <c r="BD96" i="1"/>
  <c r="BD105" i="1"/>
  <c r="BD110" i="1"/>
  <c r="BD116" i="1"/>
  <c r="BD120" i="1"/>
  <c r="BD107" i="1"/>
  <c r="BD112" i="1"/>
  <c r="BD115" i="1"/>
  <c r="BD106" i="1"/>
  <c r="BD111" i="1"/>
  <c r="BD93" i="1"/>
  <c r="BD122" i="1"/>
  <c r="BD123" i="1"/>
  <c r="BD124" i="1"/>
  <c r="BD125" i="1"/>
  <c r="BD126" i="1"/>
  <c r="BD127" i="1"/>
  <c r="BD128" i="1"/>
  <c r="BD129" i="1"/>
  <c r="BD130" i="1"/>
  <c r="BD131" i="1"/>
  <c r="BD132" i="1"/>
  <c r="BD97" i="1"/>
  <c r="BD104" i="1"/>
  <c r="BD134" i="1"/>
  <c r="BD135" i="1"/>
  <c r="BD136" i="1"/>
  <c r="BD137" i="1"/>
  <c r="BD138" i="1"/>
  <c r="BD139" i="1"/>
  <c r="BD140" i="1"/>
  <c r="BD141" i="1"/>
  <c r="BD142" i="1"/>
  <c r="BD143" i="1"/>
  <c r="BD144" i="1"/>
  <c r="BD145" i="1"/>
  <c r="BD109" i="1"/>
  <c r="BD121" i="1"/>
  <c r="BD133" i="1"/>
  <c r="BD119" i="1"/>
  <c r="BD146" i="1"/>
  <c r="BD147" i="1"/>
  <c r="BD148" i="1"/>
  <c r="BD149" i="1"/>
  <c r="BD150" i="1"/>
  <c r="BD151" i="1"/>
  <c r="BD152" i="1"/>
  <c r="BD153" i="1"/>
  <c r="BD154" i="1"/>
  <c r="BD155" i="1"/>
  <c r="BD156" i="1"/>
  <c r="BD157" i="1"/>
  <c r="BD158" i="1"/>
  <c r="BD159" i="1"/>
  <c r="BD160" i="1"/>
  <c r="BD161" i="1"/>
  <c r="BD162" i="1"/>
  <c r="BD163" i="1"/>
  <c r="BD164" i="1"/>
  <c r="BD165" i="1"/>
  <c r="BD166" i="1"/>
  <c r="BD167" i="1"/>
  <c r="BD168" i="1"/>
  <c r="BD169" i="1"/>
  <c r="BD170" i="1"/>
  <c r="BD171" i="1"/>
  <c r="BD172" i="1"/>
  <c r="BD173" i="1"/>
  <c r="AV11" i="1"/>
  <c r="AV8" i="1"/>
  <c r="AV5" i="1"/>
  <c r="AV10" i="1"/>
  <c r="AV7" i="1"/>
  <c r="AV13" i="1"/>
  <c r="AV14" i="1"/>
  <c r="AV15" i="1"/>
  <c r="AV16" i="1"/>
  <c r="AV9" i="1"/>
  <c r="AV17" i="1"/>
  <c r="AV18" i="1"/>
  <c r="AV19" i="1"/>
  <c r="AV20" i="1"/>
  <c r="AV21" i="1"/>
  <c r="AV22" i="1"/>
  <c r="AV23" i="1"/>
  <c r="AV24" i="1"/>
  <c r="AV12" i="1"/>
  <c r="AV6" i="1"/>
  <c r="AV25" i="1"/>
  <c r="AV26" i="1"/>
  <c r="AV27" i="1"/>
  <c r="AV29" i="1"/>
  <c r="AV30" i="1"/>
  <c r="AV31" i="1"/>
  <c r="AV32" i="1"/>
  <c r="AV33" i="1"/>
  <c r="AV38" i="1"/>
  <c r="AV39" i="1"/>
  <c r="AV40" i="1"/>
  <c r="AV36" i="1"/>
  <c r="AV34" i="1"/>
  <c r="AV37" i="1"/>
  <c r="AV28" i="1"/>
  <c r="AV35" i="1"/>
  <c r="AV42" i="1"/>
  <c r="AV44" i="1"/>
  <c r="AV47" i="1"/>
  <c r="AV46" i="1"/>
  <c r="AV41" i="1"/>
  <c r="AV57" i="1"/>
  <c r="AV52" i="1"/>
  <c r="AV55" i="1"/>
  <c r="AV63" i="1"/>
  <c r="AV51" i="1"/>
  <c r="AV54" i="1"/>
  <c r="AV62" i="1"/>
  <c r="AV43" i="1"/>
  <c r="AV50" i="1"/>
  <c r="AV53" i="1"/>
  <c r="AV61" i="1"/>
  <c r="AV67" i="1"/>
  <c r="AV68" i="1"/>
  <c r="AV69" i="1"/>
  <c r="AV70" i="1"/>
  <c r="AV71" i="1"/>
  <c r="AV72" i="1"/>
  <c r="AV73" i="1"/>
  <c r="AV74" i="1"/>
  <c r="AV75" i="1"/>
  <c r="AV49" i="1"/>
  <c r="AV64" i="1"/>
  <c r="AV66" i="1"/>
  <c r="AV48" i="1"/>
  <c r="AV60" i="1"/>
  <c r="AV59" i="1"/>
  <c r="AV58" i="1"/>
  <c r="AV78" i="1"/>
  <c r="AV79" i="1"/>
  <c r="AV80" i="1"/>
  <c r="AV81" i="1"/>
  <c r="AV82" i="1"/>
  <c r="AV83" i="1"/>
  <c r="AV84" i="1"/>
  <c r="AV85" i="1"/>
  <c r="AV56" i="1"/>
  <c r="AV65" i="1"/>
  <c r="AV76" i="1"/>
  <c r="AV45" i="1"/>
  <c r="AV87" i="1"/>
  <c r="AV90" i="1"/>
  <c r="AV89" i="1"/>
  <c r="AV86" i="1"/>
  <c r="AV77" i="1"/>
  <c r="AV88" i="1"/>
  <c r="AV101" i="1"/>
  <c r="AV91" i="1"/>
  <c r="AV95" i="1"/>
  <c r="AV99" i="1"/>
  <c r="AV115" i="1"/>
  <c r="AV119" i="1"/>
  <c r="AV92" i="1"/>
  <c r="AV96" i="1"/>
  <c r="AV104" i="1"/>
  <c r="AV109" i="1"/>
  <c r="AV114" i="1"/>
  <c r="AV118" i="1"/>
  <c r="AV100" i="1"/>
  <c r="AV102" i="1"/>
  <c r="AV93" i="1"/>
  <c r="AV97" i="1"/>
  <c r="AV106" i="1"/>
  <c r="AV111" i="1"/>
  <c r="AV113" i="1"/>
  <c r="AV117" i="1"/>
  <c r="AV116" i="1"/>
  <c r="AV98" i="1"/>
  <c r="AV105" i="1"/>
  <c r="AV103" i="1"/>
  <c r="AV120" i="1"/>
  <c r="AV108" i="1"/>
  <c r="AV123" i="1"/>
  <c r="AV124" i="1"/>
  <c r="AV125" i="1"/>
  <c r="AV126" i="1"/>
  <c r="AV127" i="1"/>
  <c r="AV128" i="1"/>
  <c r="AV129" i="1"/>
  <c r="AV130" i="1"/>
  <c r="AV131" i="1"/>
  <c r="AV132" i="1"/>
  <c r="AV107" i="1"/>
  <c r="AV112" i="1"/>
  <c r="AV134" i="1"/>
  <c r="AV135" i="1"/>
  <c r="AV136" i="1"/>
  <c r="AV137" i="1"/>
  <c r="AV138" i="1"/>
  <c r="AV139" i="1"/>
  <c r="AV140" i="1"/>
  <c r="AV141" i="1"/>
  <c r="AV142" i="1"/>
  <c r="AV143" i="1"/>
  <c r="AV144" i="1"/>
  <c r="AV145" i="1"/>
  <c r="AV121" i="1"/>
  <c r="AV110" i="1"/>
  <c r="AV133" i="1"/>
  <c r="AV122" i="1"/>
  <c r="AV146" i="1"/>
  <c r="AV147" i="1"/>
  <c r="AV148" i="1"/>
  <c r="AV149" i="1"/>
  <c r="AV150" i="1"/>
  <c r="AV151" i="1"/>
  <c r="AV152" i="1"/>
  <c r="AV153" i="1"/>
  <c r="AV154" i="1"/>
  <c r="AV155" i="1"/>
  <c r="AV156" i="1"/>
  <c r="AV157" i="1"/>
  <c r="AV158" i="1"/>
  <c r="AV159" i="1"/>
  <c r="AV160" i="1"/>
  <c r="AV161" i="1"/>
  <c r="AV162" i="1"/>
  <c r="AV163" i="1"/>
  <c r="AV164" i="1"/>
  <c r="AV165" i="1"/>
  <c r="AV166" i="1"/>
  <c r="AV167" i="1"/>
  <c r="AV168" i="1"/>
  <c r="AV169" i="1"/>
  <c r="AV170" i="1"/>
  <c r="AV171" i="1"/>
  <c r="AV172" i="1"/>
  <c r="AV173" i="1"/>
  <c r="AV94" i="1"/>
  <c r="BQ172" i="1"/>
  <c r="BY171" i="1"/>
  <c r="AZ171" i="1"/>
  <c r="BH170" i="1"/>
  <c r="BP169" i="1"/>
  <c r="BX168" i="1"/>
  <c r="AY168" i="1"/>
  <c r="BG167" i="1"/>
  <c r="BO166" i="1"/>
  <c r="BA166" i="1"/>
  <c r="BW165" i="1"/>
  <c r="BI165" i="1"/>
  <c r="BQ164" i="1"/>
  <c r="BY163" i="1"/>
  <c r="AZ163" i="1"/>
  <c r="BH162" i="1"/>
  <c r="BG159" i="1"/>
  <c r="BO158" i="1"/>
  <c r="BW157" i="1"/>
  <c r="AY153" i="1"/>
  <c r="BG152" i="1"/>
  <c r="BO151" i="1"/>
  <c r="BW150" i="1"/>
  <c r="CA9" i="1"/>
  <c r="CA6" i="1"/>
  <c r="CA11" i="1"/>
  <c r="CA8" i="1"/>
  <c r="CA13" i="1"/>
  <c r="CA14" i="1"/>
  <c r="CA15" i="1"/>
  <c r="CA16" i="1"/>
  <c r="CA5" i="1"/>
  <c r="CA10" i="1"/>
  <c r="CA12" i="1"/>
  <c r="CA18" i="1"/>
  <c r="CA20" i="1"/>
  <c r="CA17" i="1"/>
  <c r="CA7" i="1"/>
  <c r="CA21" i="1"/>
  <c r="CA24" i="1"/>
  <c r="CA26" i="1"/>
  <c r="CA19" i="1"/>
  <c r="CA29" i="1"/>
  <c r="CA31" i="1"/>
  <c r="CA32" i="1"/>
  <c r="CA33" i="1"/>
  <c r="CA34" i="1"/>
  <c r="CA35" i="1"/>
  <c r="CA36" i="1"/>
  <c r="CA37" i="1"/>
  <c r="CA22" i="1"/>
  <c r="CA27" i="1"/>
  <c r="CA25" i="1"/>
  <c r="CA28" i="1"/>
  <c r="CA30" i="1"/>
  <c r="CA23" i="1"/>
  <c r="CA44" i="1"/>
  <c r="CA40" i="1"/>
  <c r="CA43" i="1"/>
  <c r="CA45" i="1"/>
  <c r="CA46" i="1"/>
  <c r="CA47" i="1"/>
  <c r="CA48" i="1"/>
  <c r="CA49" i="1"/>
  <c r="CA41" i="1"/>
  <c r="CA39" i="1"/>
  <c r="CA53" i="1"/>
  <c r="CA50" i="1"/>
  <c r="CA60" i="1"/>
  <c r="CA64" i="1"/>
  <c r="CA65" i="1"/>
  <c r="CA66" i="1"/>
  <c r="CA52" i="1"/>
  <c r="CA58" i="1"/>
  <c r="CA51" i="1"/>
  <c r="CA57" i="1"/>
  <c r="CA38" i="1"/>
  <c r="CA56" i="1"/>
  <c r="CA42" i="1"/>
  <c r="CA54" i="1"/>
  <c r="CA63" i="1"/>
  <c r="CA61" i="1"/>
  <c r="CA59" i="1"/>
  <c r="CA55" i="1"/>
  <c r="CA69" i="1"/>
  <c r="CA76" i="1"/>
  <c r="CA72" i="1"/>
  <c r="CA75" i="1"/>
  <c r="CA70" i="1"/>
  <c r="CA67" i="1"/>
  <c r="CA73" i="1"/>
  <c r="CA62" i="1"/>
  <c r="CA68" i="1"/>
  <c r="CA71" i="1"/>
  <c r="CA77" i="1"/>
  <c r="CA74" i="1"/>
  <c r="CA79" i="1"/>
  <c r="CA88" i="1"/>
  <c r="CA80" i="1"/>
  <c r="CA84" i="1"/>
  <c r="CA89" i="1"/>
  <c r="CA81" i="1"/>
  <c r="CA82" i="1"/>
  <c r="CA87" i="1"/>
  <c r="CA85" i="1"/>
  <c r="CA83" i="1"/>
  <c r="CA86" i="1"/>
  <c r="CA90" i="1"/>
  <c r="CA91" i="1"/>
  <c r="CA92" i="1"/>
  <c r="CA93" i="1"/>
  <c r="CA94" i="1"/>
  <c r="CA95" i="1"/>
  <c r="CA96" i="1"/>
  <c r="CA97" i="1"/>
  <c r="CA98" i="1"/>
  <c r="CA99" i="1"/>
  <c r="CA100" i="1"/>
  <c r="CA101" i="1"/>
  <c r="CA102" i="1"/>
  <c r="CA103" i="1"/>
  <c r="CA104" i="1"/>
  <c r="CA105" i="1"/>
  <c r="CA106" i="1"/>
  <c r="CA107" i="1"/>
  <c r="CA108" i="1"/>
  <c r="CA121" i="1"/>
  <c r="CA110" i="1"/>
  <c r="CA113" i="1"/>
  <c r="CA117" i="1"/>
  <c r="CA78" i="1"/>
  <c r="CA118" i="1"/>
  <c r="CA109" i="1"/>
  <c r="CA116" i="1"/>
  <c r="CA122" i="1"/>
  <c r="CA123" i="1"/>
  <c r="CA124" i="1"/>
  <c r="CA125" i="1"/>
  <c r="CA126" i="1"/>
  <c r="CA127" i="1"/>
  <c r="CA128" i="1"/>
  <c r="CA129" i="1"/>
  <c r="CA130" i="1"/>
  <c r="CA131" i="1"/>
  <c r="CA132" i="1"/>
  <c r="CA133" i="1"/>
  <c r="CA119" i="1"/>
  <c r="CA120" i="1"/>
  <c r="CA114" i="1"/>
  <c r="CA111" i="1"/>
  <c r="CA112" i="1"/>
  <c r="CA141" i="1"/>
  <c r="CA136" i="1"/>
  <c r="CA145" i="1"/>
  <c r="CA146" i="1"/>
  <c r="CA147" i="1"/>
  <c r="CA148" i="1"/>
  <c r="CA149" i="1"/>
  <c r="CA150" i="1"/>
  <c r="CA151" i="1"/>
  <c r="CA152" i="1"/>
  <c r="CA153" i="1"/>
  <c r="CA154" i="1"/>
  <c r="CA155" i="1"/>
  <c r="CA156" i="1"/>
  <c r="CA157" i="1"/>
  <c r="CA158" i="1"/>
  <c r="CA159" i="1"/>
  <c r="CA139" i="1"/>
  <c r="CA134" i="1"/>
  <c r="CA142" i="1"/>
  <c r="CA137" i="1"/>
  <c r="CA144" i="1"/>
  <c r="CA140" i="1"/>
  <c r="CA135" i="1"/>
  <c r="CA115" i="1"/>
  <c r="CA138" i="1"/>
  <c r="CA143" i="1"/>
  <c r="BS5" i="1"/>
  <c r="BS12" i="1"/>
  <c r="BS10" i="1"/>
  <c r="BS7" i="1"/>
  <c r="BS9" i="1"/>
  <c r="BS14" i="1"/>
  <c r="BS15" i="1"/>
  <c r="BS16" i="1"/>
  <c r="BS6" i="1"/>
  <c r="BS11" i="1"/>
  <c r="BS13" i="1"/>
  <c r="BS19" i="1"/>
  <c r="BS8" i="1"/>
  <c r="BS21" i="1"/>
  <c r="BS18" i="1"/>
  <c r="BS22" i="1"/>
  <c r="BS23" i="1"/>
  <c r="BS24" i="1"/>
  <c r="BS25" i="1"/>
  <c r="BS20" i="1"/>
  <c r="BS27" i="1"/>
  <c r="BS28" i="1"/>
  <c r="BS30" i="1"/>
  <c r="BS32" i="1"/>
  <c r="BS33" i="1"/>
  <c r="BS34" i="1"/>
  <c r="BS35" i="1"/>
  <c r="BS36" i="1"/>
  <c r="BS37" i="1"/>
  <c r="BS29" i="1"/>
  <c r="BS31" i="1"/>
  <c r="BS26" i="1"/>
  <c r="BS40" i="1"/>
  <c r="BS44" i="1"/>
  <c r="BS38" i="1"/>
  <c r="BS45" i="1"/>
  <c r="BS46" i="1"/>
  <c r="BS47" i="1"/>
  <c r="BS48" i="1"/>
  <c r="BS49" i="1"/>
  <c r="BS17" i="1"/>
  <c r="BS39" i="1"/>
  <c r="BS54" i="1"/>
  <c r="BS53" i="1"/>
  <c r="BS61" i="1"/>
  <c r="BS64" i="1"/>
  <c r="BS65" i="1"/>
  <c r="BS66" i="1"/>
  <c r="BS41" i="1"/>
  <c r="BS59" i="1"/>
  <c r="BS50" i="1"/>
  <c r="BS58" i="1"/>
  <c r="BS42" i="1"/>
  <c r="BS52" i="1"/>
  <c r="BS57" i="1"/>
  <c r="BS56" i="1"/>
  <c r="BS51" i="1"/>
  <c r="BS43" i="1"/>
  <c r="BS63" i="1"/>
  <c r="BS70" i="1"/>
  <c r="BS77" i="1"/>
  <c r="BS55" i="1"/>
  <c r="BS73" i="1"/>
  <c r="BS67" i="1"/>
  <c r="BS68" i="1"/>
  <c r="BS62" i="1"/>
  <c r="BS71" i="1"/>
  <c r="BS76" i="1"/>
  <c r="BS60" i="1"/>
  <c r="BS74" i="1"/>
  <c r="BS69" i="1"/>
  <c r="BS72" i="1"/>
  <c r="BS80" i="1"/>
  <c r="BS82" i="1"/>
  <c r="BS81" i="1"/>
  <c r="BS85" i="1"/>
  <c r="BS86" i="1"/>
  <c r="BS75" i="1"/>
  <c r="BS83" i="1"/>
  <c r="BS88" i="1"/>
  <c r="BS89" i="1"/>
  <c r="BS78" i="1"/>
  <c r="BS84" i="1"/>
  <c r="BS87" i="1"/>
  <c r="BS90" i="1"/>
  <c r="BS91" i="1"/>
  <c r="BS92" i="1"/>
  <c r="BS93" i="1"/>
  <c r="BS94" i="1"/>
  <c r="BS95" i="1"/>
  <c r="BS96" i="1"/>
  <c r="BS97" i="1"/>
  <c r="BS98" i="1"/>
  <c r="BS99" i="1"/>
  <c r="BS100" i="1"/>
  <c r="BS101" i="1"/>
  <c r="BS102" i="1"/>
  <c r="BS103" i="1"/>
  <c r="BS104" i="1"/>
  <c r="BS105" i="1"/>
  <c r="BS106" i="1"/>
  <c r="BS107" i="1"/>
  <c r="BS108" i="1"/>
  <c r="BS109" i="1"/>
  <c r="BS121" i="1"/>
  <c r="BS111" i="1"/>
  <c r="BS114" i="1"/>
  <c r="BS118" i="1"/>
  <c r="BS119" i="1"/>
  <c r="BS120" i="1"/>
  <c r="BS117" i="1"/>
  <c r="BS122" i="1"/>
  <c r="BS123" i="1"/>
  <c r="BS124" i="1"/>
  <c r="BS125" i="1"/>
  <c r="BS126" i="1"/>
  <c r="BS127" i="1"/>
  <c r="BS128" i="1"/>
  <c r="BS129" i="1"/>
  <c r="BS130" i="1"/>
  <c r="BS131" i="1"/>
  <c r="BS132" i="1"/>
  <c r="BS133" i="1"/>
  <c r="BS79" i="1"/>
  <c r="BS115" i="1"/>
  <c r="BS116" i="1"/>
  <c r="BS113" i="1"/>
  <c r="BS110" i="1"/>
  <c r="BS134" i="1"/>
  <c r="BS142" i="1"/>
  <c r="BS137" i="1"/>
  <c r="BS145" i="1"/>
  <c r="BS146" i="1"/>
  <c r="BS147" i="1"/>
  <c r="BS148" i="1"/>
  <c r="BS149" i="1"/>
  <c r="BS150" i="1"/>
  <c r="BS151" i="1"/>
  <c r="BS152" i="1"/>
  <c r="BS153" i="1"/>
  <c r="BS154" i="1"/>
  <c r="BS155" i="1"/>
  <c r="BS156" i="1"/>
  <c r="BS157" i="1"/>
  <c r="BS158" i="1"/>
  <c r="BS159" i="1"/>
  <c r="BS140" i="1"/>
  <c r="BS143" i="1"/>
  <c r="BS112" i="1"/>
  <c r="BS135" i="1"/>
  <c r="BS138" i="1"/>
  <c r="BS141" i="1"/>
  <c r="BS136" i="1"/>
  <c r="BS139" i="1"/>
  <c r="BS144" i="1"/>
  <c r="BK6" i="1"/>
  <c r="BK13" i="1"/>
  <c r="BK11" i="1"/>
  <c r="BK8" i="1"/>
  <c r="BK12" i="1"/>
  <c r="BK5" i="1"/>
  <c r="BK10" i="1"/>
  <c r="BK14" i="1"/>
  <c r="BK15" i="1"/>
  <c r="BK16" i="1"/>
  <c r="BK17" i="1"/>
  <c r="BK7" i="1"/>
  <c r="BK9" i="1"/>
  <c r="BK20" i="1"/>
  <c r="BK22" i="1"/>
  <c r="BK19" i="1"/>
  <c r="BK23" i="1"/>
  <c r="BK24" i="1"/>
  <c r="BK26" i="1"/>
  <c r="BK27" i="1"/>
  <c r="BK21" i="1"/>
  <c r="BK25" i="1"/>
  <c r="BK29" i="1"/>
  <c r="BK31" i="1"/>
  <c r="BK32" i="1"/>
  <c r="BK33" i="1"/>
  <c r="BK34" i="1"/>
  <c r="BK35" i="1"/>
  <c r="BK36" i="1"/>
  <c r="BK37" i="1"/>
  <c r="BK18" i="1"/>
  <c r="BK28" i="1"/>
  <c r="BK30" i="1"/>
  <c r="BK39" i="1"/>
  <c r="BK45" i="1"/>
  <c r="BK46" i="1"/>
  <c r="BK47" i="1"/>
  <c r="BK48" i="1"/>
  <c r="BK49" i="1"/>
  <c r="BK41" i="1"/>
  <c r="BK38" i="1"/>
  <c r="BK43" i="1"/>
  <c r="BK51" i="1"/>
  <c r="BK44" i="1"/>
  <c r="BK54" i="1"/>
  <c r="BK62" i="1"/>
  <c r="BK64" i="1"/>
  <c r="BK65" i="1"/>
  <c r="BK66" i="1"/>
  <c r="BK60" i="1"/>
  <c r="BK42" i="1"/>
  <c r="BK59" i="1"/>
  <c r="BK58" i="1"/>
  <c r="BK40" i="1"/>
  <c r="BK63" i="1"/>
  <c r="BK53" i="1"/>
  <c r="BK61" i="1"/>
  <c r="BK67" i="1"/>
  <c r="BK57" i="1"/>
  <c r="BK52" i="1"/>
  <c r="BK56" i="1"/>
  <c r="BK71" i="1"/>
  <c r="BK74" i="1"/>
  <c r="BK69" i="1"/>
  <c r="BK77" i="1"/>
  <c r="BK72" i="1"/>
  <c r="BK75" i="1"/>
  <c r="BK50" i="1"/>
  <c r="BK70" i="1"/>
  <c r="BK73" i="1"/>
  <c r="BK76" i="1"/>
  <c r="BK81" i="1"/>
  <c r="BK83" i="1"/>
  <c r="BK87" i="1"/>
  <c r="BK68" i="1"/>
  <c r="BK84" i="1"/>
  <c r="BK86" i="1"/>
  <c r="BK55" i="1"/>
  <c r="BK78" i="1"/>
  <c r="BK82" i="1"/>
  <c r="BK89" i="1"/>
  <c r="BK79" i="1"/>
  <c r="BK85" i="1"/>
  <c r="BK88" i="1"/>
  <c r="BK90" i="1"/>
  <c r="BK91" i="1"/>
  <c r="BK92" i="1"/>
  <c r="BK93" i="1"/>
  <c r="BK94" i="1"/>
  <c r="BK95" i="1"/>
  <c r="BK96" i="1"/>
  <c r="BK97" i="1"/>
  <c r="BK98" i="1"/>
  <c r="BK99" i="1"/>
  <c r="BK100" i="1"/>
  <c r="BK101" i="1"/>
  <c r="BK102" i="1"/>
  <c r="BK103" i="1"/>
  <c r="BK104" i="1"/>
  <c r="BK105" i="1"/>
  <c r="BK106" i="1"/>
  <c r="BK107" i="1"/>
  <c r="BK108" i="1"/>
  <c r="BK110" i="1"/>
  <c r="BK121" i="1"/>
  <c r="BK112" i="1"/>
  <c r="BK109" i="1"/>
  <c r="BK115" i="1"/>
  <c r="BK119" i="1"/>
  <c r="BK111" i="1"/>
  <c r="BK118" i="1"/>
  <c r="BK120" i="1"/>
  <c r="BK122" i="1"/>
  <c r="BK123" i="1"/>
  <c r="BK124" i="1"/>
  <c r="BK125" i="1"/>
  <c r="BK126" i="1"/>
  <c r="BK127" i="1"/>
  <c r="BK128" i="1"/>
  <c r="BK129" i="1"/>
  <c r="BK130" i="1"/>
  <c r="BK131" i="1"/>
  <c r="BK132" i="1"/>
  <c r="BK133" i="1"/>
  <c r="BK116" i="1"/>
  <c r="BK113" i="1"/>
  <c r="BK117" i="1"/>
  <c r="BK114" i="1"/>
  <c r="BK80" i="1"/>
  <c r="BK135" i="1"/>
  <c r="BK138" i="1"/>
  <c r="BK146" i="1"/>
  <c r="BK147" i="1"/>
  <c r="BK148" i="1"/>
  <c r="BK149" i="1"/>
  <c r="BK150" i="1"/>
  <c r="BK151" i="1"/>
  <c r="BK152" i="1"/>
  <c r="BK153" i="1"/>
  <c r="BK154" i="1"/>
  <c r="BK155" i="1"/>
  <c r="BK156" i="1"/>
  <c r="BK157" i="1"/>
  <c r="BK158" i="1"/>
  <c r="BK159" i="1"/>
  <c r="BK141" i="1"/>
  <c r="BK144" i="1"/>
  <c r="BK145" i="1"/>
  <c r="BK136" i="1"/>
  <c r="BK139" i="1"/>
  <c r="BK134" i="1"/>
  <c r="BK142" i="1"/>
  <c r="BK143" i="1"/>
  <c r="BK137" i="1"/>
  <c r="BK140" i="1"/>
  <c r="BC7" i="1"/>
  <c r="BC9" i="1"/>
  <c r="BC13" i="1"/>
  <c r="BC6" i="1"/>
  <c r="BC11" i="1"/>
  <c r="BC12" i="1"/>
  <c r="BC14" i="1"/>
  <c r="BC15" i="1"/>
  <c r="BC16" i="1"/>
  <c r="BC17" i="1"/>
  <c r="BC8" i="1"/>
  <c r="BC5" i="1"/>
  <c r="BC10" i="1"/>
  <c r="BC21" i="1"/>
  <c r="BC18" i="1"/>
  <c r="BC23" i="1"/>
  <c r="BC24" i="1"/>
  <c r="BC25" i="1"/>
  <c r="BC19" i="1"/>
  <c r="BC20" i="1"/>
  <c r="BC28" i="1"/>
  <c r="BC22" i="1"/>
  <c r="BC30" i="1"/>
  <c r="BC32" i="1"/>
  <c r="BC33" i="1"/>
  <c r="BC34" i="1"/>
  <c r="BC35" i="1"/>
  <c r="BC36" i="1"/>
  <c r="BC37" i="1"/>
  <c r="BC26" i="1"/>
  <c r="BC29" i="1"/>
  <c r="BC31" i="1"/>
  <c r="BC27" i="1"/>
  <c r="BC43" i="1"/>
  <c r="BC40" i="1"/>
  <c r="BC45" i="1"/>
  <c r="BC46" i="1"/>
  <c r="BC47" i="1"/>
  <c r="BC48" i="1"/>
  <c r="BC49" i="1"/>
  <c r="BC39" i="1"/>
  <c r="BC44" i="1"/>
  <c r="BC41" i="1"/>
  <c r="BC51" i="1"/>
  <c r="BC50" i="1"/>
  <c r="BC52" i="1"/>
  <c r="BC55" i="1"/>
  <c r="BC63" i="1"/>
  <c r="BC64" i="1"/>
  <c r="BC65" i="1"/>
  <c r="BC66" i="1"/>
  <c r="BC42" i="1"/>
  <c r="BC53" i="1"/>
  <c r="BC61" i="1"/>
  <c r="BC38" i="1"/>
  <c r="BC60" i="1"/>
  <c r="BC59" i="1"/>
  <c r="BC54" i="1"/>
  <c r="BC58" i="1"/>
  <c r="BC56" i="1"/>
  <c r="BC67" i="1"/>
  <c r="BC72" i="1"/>
  <c r="BC62" i="1"/>
  <c r="BC75" i="1"/>
  <c r="BC76" i="1"/>
  <c r="BC70" i="1"/>
  <c r="BC73" i="1"/>
  <c r="BC68" i="1"/>
  <c r="BC77" i="1"/>
  <c r="BC71" i="1"/>
  <c r="BC57" i="1"/>
  <c r="BC74" i="1"/>
  <c r="BC84" i="1"/>
  <c r="BC88" i="1"/>
  <c r="BC82" i="1"/>
  <c r="BC85" i="1"/>
  <c r="BC78" i="1"/>
  <c r="BC87" i="1"/>
  <c r="BC79" i="1"/>
  <c r="BC83" i="1"/>
  <c r="BC69" i="1"/>
  <c r="BC80" i="1"/>
  <c r="BC90" i="1"/>
  <c r="BC91" i="1"/>
  <c r="BC92" i="1"/>
  <c r="BC93" i="1"/>
  <c r="BC94" i="1"/>
  <c r="BC95" i="1"/>
  <c r="BC96" i="1"/>
  <c r="BC97" i="1"/>
  <c r="BC98" i="1"/>
  <c r="BC99" i="1"/>
  <c r="BC100" i="1"/>
  <c r="BC101" i="1"/>
  <c r="BC102" i="1"/>
  <c r="BC103" i="1"/>
  <c r="BC104" i="1"/>
  <c r="BC105" i="1"/>
  <c r="BC106" i="1"/>
  <c r="BC107" i="1"/>
  <c r="BC108" i="1"/>
  <c r="BC81" i="1"/>
  <c r="BC86" i="1"/>
  <c r="BC111" i="1"/>
  <c r="BC121" i="1"/>
  <c r="BC89" i="1"/>
  <c r="BC110" i="1"/>
  <c r="BC116" i="1"/>
  <c r="BC119" i="1"/>
  <c r="BC113" i="1"/>
  <c r="BC122" i="1"/>
  <c r="BC123" i="1"/>
  <c r="BC124" i="1"/>
  <c r="BC125" i="1"/>
  <c r="BC126" i="1"/>
  <c r="BC127" i="1"/>
  <c r="BC128" i="1"/>
  <c r="BC129" i="1"/>
  <c r="BC130" i="1"/>
  <c r="BC131" i="1"/>
  <c r="BC132" i="1"/>
  <c r="BC133" i="1"/>
  <c r="BC109" i="1"/>
  <c r="BC117" i="1"/>
  <c r="BC114" i="1"/>
  <c r="BC118" i="1"/>
  <c r="BC115" i="1"/>
  <c r="BC112" i="1"/>
  <c r="BC136" i="1"/>
  <c r="BC143" i="1"/>
  <c r="BC139" i="1"/>
  <c r="BC146" i="1"/>
  <c r="BC147" i="1"/>
  <c r="BC148" i="1"/>
  <c r="BC149" i="1"/>
  <c r="BC150" i="1"/>
  <c r="BC151" i="1"/>
  <c r="BC152" i="1"/>
  <c r="BC153" i="1"/>
  <c r="BC154" i="1"/>
  <c r="BC155" i="1"/>
  <c r="BC156" i="1"/>
  <c r="BC157" i="1"/>
  <c r="BC158" i="1"/>
  <c r="BC159" i="1"/>
  <c r="BC134" i="1"/>
  <c r="BC142" i="1"/>
  <c r="BC137" i="1"/>
  <c r="BC145" i="1"/>
  <c r="BC140" i="1"/>
  <c r="BC120" i="1"/>
  <c r="BC135" i="1"/>
  <c r="BC138" i="1"/>
  <c r="BC141" i="1"/>
  <c r="AU8" i="1"/>
  <c r="AU5" i="1"/>
  <c r="AU10" i="1"/>
  <c r="AU7" i="1"/>
  <c r="AU13" i="1"/>
  <c r="AU14" i="1"/>
  <c r="AU15" i="1"/>
  <c r="AU16" i="1"/>
  <c r="AU17" i="1"/>
  <c r="AU9" i="1"/>
  <c r="AU6" i="1"/>
  <c r="AU12" i="1"/>
  <c r="AU22" i="1"/>
  <c r="AU19" i="1"/>
  <c r="AU11" i="1"/>
  <c r="AU24" i="1"/>
  <c r="AU18" i="1"/>
  <c r="AU21" i="1"/>
  <c r="AU26" i="1"/>
  <c r="AU20" i="1"/>
  <c r="AU23" i="1"/>
  <c r="AU29" i="1"/>
  <c r="AU31" i="1"/>
  <c r="AU33" i="1"/>
  <c r="AU34" i="1"/>
  <c r="AU35" i="1"/>
  <c r="AU36" i="1"/>
  <c r="AU37" i="1"/>
  <c r="AU32" i="1"/>
  <c r="AU25" i="1"/>
  <c r="AU30" i="1"/>
  <c r="AU27" i="1"/>
  <c r="AU28" i="1"/>
  <c r="AU41" i="1"/>
  <c r="AU44" i="1"/>
  <c r="AU38" i="1"/>
  <c r="AU46" i="1"/>
  <c r="AU47" i="1"/>
  <c r="AU48" i="1"/>
  <c r="AU49" i="1"/>
  <c r="AU50" i="1"/>
  <c r="AU40" i="1"/>
  <c r="AU42" i="1"/>
  <c r="AU43" i="1"/>
  <c r="AU52" i="1"/>
  <c r="AU56" i="1"/>
  <c r="AU64" i="1"/>
  <c r="AU65" i="1"/>
  <c r="AU66" i="1"/>
  <c r="AU51" i="1"/>
  <c r="AU54" i="1"/>
  <c r="AU62" i="1"/>
  <c r="AU53" i="1"/>
  <c r="AU61" i="1"/>
  <c r="AU60" i="1"/>
  <c r="AU63" i="1"/>
  <c r="AU59" i="1"/>
  <c r="AU58" i="1"/>
  <c r="AU73" i="1"/>
  <c r="AU68" i="1"/>
  <c r="AU71" i="1"/>
  <c r="AU67" i="1"/>
  <c r="AU74" i="1"/>
  <c r="AU57" i="1"/>
  <c r="AU69" i="1"/>
  <c r="AU76" i="1"/>
  <c r="AU39" i="1"/>
  <c r="AU45" i="1"/>
  <c r="AU55" i="1"/>
  <c r="AU72" i="1"/>
  <c r="AU75" i="1"/>
  <c r="AU77" i="1"/>
  <c r="AU85" i="1"/>
  <c r="AU70" i="1"/>
  <c r="AU89" i="1"/>
  <c r="AU83" i="1"/>
  <c r="AU86" i="1"/>
  <c r="AU78" i="1"/>
  <c r="AU79" i="1"/>
  <c r="AU88" i="1"/>
  <c r="AU80" i="1"/>
  <c r="AU84" i="1"/>
  <c r="AU81" i="1"/>
  <c r="AU91" i="1"/>
  <c r="AU92" i="1"/>
  <c r="AU93" i="1"/>
  <c r="AU94" i="1"/>
  <c r="AU95" i="1"/>
  <c r="AU96" i="1"/>
  <c r="AU97" i="1"/>
  <c r="AU98" i="1"/>
  <c r="AU99" i="1"/>
  <c r="AU100" i="1"/>
  <c r="AU101" i="1"/>
  <c r="AU102" i="1"/>
  <c r="AU103" i="1"/>
  <c r="AU104" i="1"/>
  <c r="AU105" i="1"/>
  <c r="AU106" i="1"/>
  <c r="AU107" i="1"/>
  <c r="AU108" i="1"/>
  <c r="AU90" i="1"/>
  <c r="AU112" i="1"/>
  <c r="AU121" i="1"/>
  <c r="AU122" i="1"/>
  <c r="AU82" i="1"/>
  <c r="AU111" i="1"/>
  <c r="AU113" i="1"/>
  <c r="AU117" i="1"/>
  <c r="AU110" i="1"/>
  <c r="AU109" i="1"/>
  <c r="AU114" i="1"/>
  <c r="AU120" i="1"/>
  <c r="AU123" i="1"/>
  <c r="AU124" i="1"/>
  <c r="AU125" i="1"/>
  <c r="AU126" i="1"/>
  <c r="AU127" i="1"/>
  <c r="AU128" i="1"/>
  <c r="AU129" i="1"/>
  <c r="AU130" i="1"/>
  <c r="AU131" i="1"/>
  <c r="AU132" i="1"/>
  <c r="AU133" i="1"/>
  <c r="AU87" i="1"/>
  <c r="AU118" i="1"/>
  <c r="AU115" i="1"/>
  <c r="AU116" i="1"/>
  <c r="AU137" i="1"/>
  <c r="AU144" i="1"/>
  <c r="AU140" i="1"/>
  <c r="AU146" i="1"/>
  <c r="AU147" i="1"/>
  <c r="AU148" i="1"/>
  <c r="AU149" i="1"/>
  <c r="AU150" i="1"/>
  <c r="AU151" i="1"/>
  <c r="AU152" i="1"/>
  <c r="AU153" i="1"/>
  <c r="AU154" i="1"/>
  <c r="AU155" i="1"/>
  <c r="AU156" i="1"/>
  <c r="AU157" i="1"/>
  <c r="AU158" i="1"/>
  <c r="AU159" i="1"/>
  <c r="AU135" i="1"/>
  <c r="AU138" i="1"/>
  <c r="AU143" i="1"/>
  <c r="AU141" i="1"/>
  <c r="AU145" i="1"/>
  <c r="AU136" i="1"/>
  <c r="AU139" i="1"/>
  <c r="AU119" i="1"/>
  <c r="AU134" i="1"/>
  <c r="AU142" i="1"/>
  <c r="CB175" i="1"/>
  <c r="BT175" i="1"/>
  <c r="BL175" i="1"/>
  <c r="BD175" i="1"/>
  <c r="AV175" i="1"/>
  <c r="CB174" i="1"/>
  <c r="BT174" i="1"/>
  <c r="BL174" i="1"/>
  <c r="BD174" i="1"/>
  <c r="AV174" i="1"/>
  <c r="CB173" i="1"/>
  <c r="BT173" i="1"/>
  <c r="BL173" i="1"/>
  <c r="BC173" i="1"/>
  <c r="AT173" i="1"/>
  <c r="CA172" i="1"/>
  <c r="BP172" i="1"/>
  <c r="BB172" i="1"/>
  <c r="BX171" i="1"/>
  <c r="BJ171" i="1"/>
  <c r="AY171" i="1"/>
  <c r="BR170" i="1"/>
  <c r="BG170" i="1"/>
  <c r="BO169" i="1"/>
  <c r="BA169" i="1"/>
  <c r="BW168" i="1"/>
  <c r="BI168" i="1"/>
  <c r="AU168" i="1"/>
  <c r="BQ167" i="1"/>
  <c r="BC167" i="1"/>
  <c r="BY166" i="1"/>
  <c r="BK166" i="1"/>
  <c r="AZ166" i="1"/>
  <c r="BS165" i="1"/>
  <c r="BH165" i="1"/>
  <c r="CA164" i="1"/>
  <c r="BP164" i="1"/>
  <c r="BX163" i="1"/>
  <c r="AY163" i="1"/>
  <c r="BG162" i="1"/>
  <c r="BQ161" i="1"/>
  <c r="BA161" i="1"/>
  <c r="BY160" i="1"/>
  <c r="BI160" i="1"/>
  <c r="BA159" i="1"/>
  <c r="BI158" i="1"/>
  <c r="BQ157" i="1"/>
  <c r="BY156" i="1"/>
  <c r="AY152" i="1"/>
  <c r="BG151" i="1"/>
  <c r="BO150" i="1"/>
  <c r="BW149" i="1"/>
  <c r="BZ9" i="1"/>
  <c r="BZ6" i="1"/>
  <c r="BZ11" i="1"/>
  <c r="BZ8" i="1"/>
  <c r="BZ13" i="1"/>
  <c r="BZ14" i="1"/>
  <c r="BZ15" i="1"/>
  <c r="BZ16" i="1"/>
  <c r="BZ5" i="1"/>
  <c r="BZ10" i="1"/>
  <c r="BZ12" i="1"/>
  <c r="BZ7" i="1"/>
  <c r="BZ17" i="1"/>
  <c r="BZ18" i="1"/>
  <c r="BZ19" i="1"/>
  <c r="BZ20" i="1"/>
  <c r="BZ21" i="1"/>
  <c r="BZ22" i="1"/>
  <c r="BZ23" i="1"/>
  <c r="BZ26" i="1"/>
  <c r="BZ24" i="1"/>
  <c r="BZ25" i="1"/>
  <c r="BZ27" i="1"/>
  <c r="BZ29" i="1"/>
  <c r="BZ31" i="1"/>
  <c r="BZ32" i="1"/>
  <c r="BZ33" i="1"/>
  <c r="BZ34" i="1"/>
  <c r="BZ35" i="1"/>
  <c r="BZ36" i="1"/>
  <c r="BZ28" i="1"/>
  <c r="BZ30" i="1"/>
  <c r="BZ37" i="1"/>
  <c r="BZ38" i="1"/>
  <c r="BZ39" i="1"/>
  <c r="BZ40" i="1"/>
  <c r="BZ41" i="1"/>
  <c r="BZ43" i="1"/>
  <c r="BZ45" i="1"/>
  <c r="BZ44" i="1"/>
  <c r="BZ47" i="1"/>
  <c r="BZ46" i="1"/>
  <c r="BZ50" i="1"/>
  <c r="BZ59" i="1"/>
  <c r="BZ51" i="1"/>
  <c r="BZ57" i="1"/>
  <c r="BZ56" i="1"/>
  <c r="BZ55" i="1"/>
  <c r="BZ63" i="1"/>
  <c r="BZ53" i="1"/>
  <c r="BZ62" i="1"/>
  <c r="BZ68" i="1"/>
  <c r="BZ69" i="1"/>
  <c r="BZ70" i="1"/>
  <c r="BZ71" i="1"/>
  <c r="BZ72" i="1"/>
  <c r="BZ73" i="1"/>
  <c r="BZ74" i="1"/>
  <c r="BZ75" i="1"/>
  <c r="BZ76" i="1"/>
  <c r="BZ60" i="1"/>
  <c r="BZ64" i="1"/>
  <c r="BZ66" i="1"/>
  <c r="BZ48" i="1"/>
  <c r="BZ58" i="1"/>
  <c r="BZ42" i="1"/>
  <c r="BZ49" i="1"/>
  <c r="BZ61" i="1"/>
  <c r="BZ65" i="1"/>
  <c r="BZ67" i="1"/>
  <c r="BZ77" i="1"/>
  <c r="BZ52" i="1"/>
  <c r="BZ78" i="1"/>
  <c r="BZ79" i="1"/>
  <c r="BZ80" i="1"/>
  <c r="BZ81" i="1"/>
  <c r="BZ82" i="1"/>
  <c r="BZ83" i="1"/>
  <c r="BZ84" i="1"/>
  <c r="BZ85" i="1"/>
  <c r="BZ86" i="1"/>
  <c r="BZ87" i="1"/>
  <c r="BZ88" i="1"/>
  <c r="BZ89" i="1"/>
  <c r="BZ54" i="1"/>
  <c r="BZ90" i="1"/>
  <c r="BZ91" i="1"/>
  <c r="BZ92" i="1"/>
  <c r="BZ93" i="1"/>
  <c r="BZ94" i="1"/>
  <c r="BZ95" i="1"/>
  <c r="BZ96" i="1"/>
  <c r="BZ97" i="1"/>
  <c r="BZ98" i="1"/>
  <c r="BZ103" i="1"/>
  <c r="BZ114" i="1"/>
  <c r="BZ118" i="1"/>
  <c r="BZ100" i="1"/>
  <c r="BZ105" i="1"/>
  <c r="BZ113" i="1"/>
  <c r="BZ117" i="1"/>
  <c r="BZ102" i="1"/>
  <c r="BZ107" i="1"/>
  <c r="BZ109" i="1"/>
  <c r="BZ112" i="1"/>
  <c r="BZ116" i="1"/>
  <c r="BZ120" i="1"/>
  <c r="BZ111" i="1"/>
  <c r="BZ115" i="1"/>
  <c r="BZ99" i="1"/>
  <c r="BZ106" i="1"/>
  <c r="BZ110" i="1"/>
  <c r="BZ122" i="1"/>
  <c r="BZ123" i="1"/>
  <c r="BZ124" i="1"/>
  <c r="BZ125" i="1"/>
  <c r="BZ126" i="1"/>
  <c r="BZ127" i="1"/>
  <c r="BZ128" i="1"/>
  <c r="BZ129" i="1"/>
  <c r="BZ130" i="1"/>
  <c r="BZ101" i="1"/>
  <c r="BZ104" i="1"/>
  <c r="BZ119" i="1"/>
  <c r="BZ108" i="1"/>
  <c r="BZ121" i="1"/>
  <c r="BZ133" i="1"/>
  <c r="BZ131" i="1"/>
  <c r="BZ136" i="1"/>
  <c r="BZ145" i="1"/>
  <c r="BZ146" i="1"/>
  <c r="BZ147" i="1"/>
  <c r="BZ148" i="1"/>
  <c r="BZ149" i="1"/>
  <c r="BZ150" i="1"/>
  <c r="BZ151" i="1"/>
  <c r="BZ152" i="1"/>
  <c r="BZ153" i="1"/>
  <c r="BZ154" i="1"/>
  <c r="BZ155" i="1"/>
  <c r="BZ156" i="1"/>
  <c r="BZ157" i="1"/>
  <c r="BZ158" i="1"/>
  <c r="BZ159" i="1"/>
  <c r="BZ132" i="1"/>
  <c r="BZ139" i="1"/>
  <c r="BZ134" i="1"/>
  <c r="BZ142" i="1"/>
  <c r="BZ137" i="1"/>
  <c r="BZ144" i="1"/>
  <c r="BZ140" i="1"/>
  <c r="BZ135" i="1"/>
  <c r="BZ138" i="1"/>
  <c r="BZ143" i="1"/>
  <c r="BZ141" i="1"/>
  <c r="BR10" i="1"/>
  <c r="BR7" i="1"/>
  <c r="BR9" i="1"/>
  <c r="BR14" i="1"/>
  <c r="BR15" i="1"/>
  <c r="BR16" i="1"/>
  <c r="BR6" i="1"/>
  <c r="BR11" i="1"/>
  <c r="BR13" i="1"/>
  <c r="BR8" i="1"/>
  <c r="BR17" i="1"/>
  <c r="BR18" i="1"/>
  <c r="BR19" i="1"/>
  <c r="BR20" i="1"/>
  <c r="BR21" i="1"/>
  <c r="BR22" i="1"/>
  <c r="BR23" i="1"/>
  <c r="BR24" i="1"/>
  <c r="BR5" i="1"/>
  <c r="BR12" i="1"/>
  <c r="BR26" i="1"/>
  <c r="BR25" i="1"/>
  <c r="BR27" i="1"/>
  <c r="BR28" i="1"/>
  <c r="BR30" i="1"/>
  <c r="BR32" i="1"/>
  <c r="BR33" i="1"/>
  <c r="BR34" i="1"/>
  <c r="BR35" i="1"/>
  <c r="BR36" i="1"/>
  <c r="BR29" i="1"/>
  <c r="BR31" i="1"/>
  <c r="BR37" i="1"/>
  <c r="BR38" i="1"/>
  <c r="BR39" i="1"/>
  <c r="BR40" i="1"/>
  <c r="BR41" i="1"/>
  <c r="BR42" i="1"/>
  <c r="BR43" i="1"/>
  <c r="BR48" i="1"/>
  <c r="BR53" i="1"/>
  <c r="BR47" i="1"/>
  <c r="BR60" i="1"/>
  <c r="BR44" i="1"/>
  <c r="BR50" i="1"/>
  <c r="BR58" i="1"/>
  <c r="BR52" i="1"/>
  <c r="BR57" i="1"/>
  <c r="BR45" i="1"/>
  <c r="BR46" i="1"/>
  <c r="BR51" i="1"/>
  <c r="BR56" i="1"/>
  <c r="BR49" i="1"/>
  <c r="BR55" i="1"/>
  <c r="BR67" i="1"/>
  <c r="BR68" i="1"/>
  <c r="BR69" i="1"/>
  <c r="BR70" i="1"/>
  <c r="BR71" i="1"/>
  <c r="BR72" i="1"/>
  <c r="BR73" i="1"/>
  <c r="BR74" i="1"/>
  <c r="BR75" i="1"/>
  <c r="BR76" i="1"/>
  <c r="BR65" i="1"/>
  <c r="BR63" i="1"/>
  <c r="BR54" i="1"/>
  <c r="BR62" i="1"/>
  <c r="BR59" i="1"/>
  <c r="BR64" i="1"/>
  <c r="BR66" i="1"/>
  <c r="BR78" i="1"/>
  <c r="BR79" i="1"/>
  <c r="BR80" i="1"/>
  <c r="BR81" i="1"/>
  <c r="BR82" i="1"/>
  <c r="BR83" i="1"/>
  <c r="BR84" i="1"/>
  <c r="BR85" i="1"/>
  <c r="BR86" i="1"/>
  <c r="BR87" i="1"/>
  <c r="BR88" i="1"/>
  <c r="BR89" i="1"/>
  <c r="BR90" i="1"/>
  <c r="BR91" i="1"/>
  <c r="BR92" i="1"/>
  <c r="BR93" i="1"/>
  <c r="BR94" i="1"/>
  <c r="BR95" i="1"/>
  <c r="BR96" i="1"/>
  <c r="BR97" i="1"/>
  <c r="BR98" i="1"/>
  <c r="BR61" i="1"/>
  <c r="BR77" i="1"/>
  <c r="BR104" i="1"/>
  <c r="BR115" i="1"/>
  <c r="BR119" i="1"/>
  <c r="BR99" i="1"/>
  <c r="BR101" i="1"/>
  <c r="BR106" i="1"/>
  <c r="BR114" i="1"/>
  <c r="BR118" i="1"/>
  <c r="BR103" i="1"/>
  <c r="BR108" i="1"/>
  <c r="BR110" i="1"/>
  <c r="BR113" i="1"/>
  <c r="BR117" i="1"/>
  <c r="BR116" i="1"/>
  <c r="BR121" i="1"/>
  <c r="BR100" i="1"/>
  <c r="BR122" i="1"/>
  <c r="BR123" i="1"/>
  <c r="BR124" i="1"/>
  <c r="BR125" i="1"/>
  <c r="BR126" i="1"/>
  <c r="BR127" i="1"/>
  <c r="BR128" i="1"/>
  <c r="BR129" i="1"/>
  <c r="BR130" i="1"/>
  <c r="BR102" i="1"/>
  <c r="BR112" i="1"/>
  <c r="BR107" i="1"/>
  <c r="BR111" i="1"/>
  <c r="BR133" i="1"/>
  <c r="BR105" i="1"/>
  <c r="BR109" i="1"/>
  <c r="BR131" i="1"/>
  <c r="BR132" i="1"/>
  <c r="BR137" i="1"/>
  <c r="BR145" i="1"/>
  <c r="BR146" i="1"/>
  <c r="BR147" i="1"/>
  <c r="BR148" i="1"/>
  <c r="BR149" i="1"/>
  <c r="BR150" i="1"/>
  <c r="BR151" i="1"/>
  <c r="BR152" i="1"/>
  <c r="BR153" i="1"/>
  <c r="BR154" i="1"/>
  <c r="BR155" i="1"/>
  <c r="BR156" i="1"/>
  <c r="BR157" i="1"/>
  <c r="BR158" i="1"/>
  <c r="BR159" i="1"/>
  <c r="BR140" i="1"/>
  <c r="BR143" i="1"/>
  <c r="BR135" i="1"/>
  <c r="BR138" i="1"/>
  <c r="BR141" i="1"/>
  <c r="BR136" i="1"/>
  <c r="BR120" i="1"/>
  <c r="BR139" i="1"/>
  <c r="BR144" i="1"/>
  <c r="BR134" i="1"/>
  <c r="BR142" i="1"/>
  <c r="BJ11" i="1"/>
  <c r="BJ8" i="1"/>
  <c r="BJ12" i="1"/>
  <c r="BJ5" i="1"/>
  <c r="BJ10" i="1"/>
  <c r="BJ14" i="1"/>
  <c r="BJ15" i="1"/>
  <c r="BJ16" i="1"/>
  <c r="BJ7" i="1"/>
  <c r="BJ9" i="1"/>
  <c r="BJ18" i="1"/>
  <c r="BJ19" i="1"/>
  <c r="BJ20" i="1"/>
  <c r="BJ21" i="1"/>
  <c r="BJ22" i="1"/>
  <c r="BJ23" i="1"/>
  <c r="BJ24" i="1"/>
  <c r="BJ6" i="1"/>
  <c r="BJ13" i="1"/>
  <c r="BJ17" i="1"/>
  <c r="BJ26" i="1"/>
  <c r="BJ25" i="1"/>
  <c r="BJ29" i="1"/>
  <c r="BJ31" i="1"/>
  <c r="BJ32" i="1"/>
  <c r="BJ33" i="1"/>
  <c r="BJ34" i="1"/>
  <c r="BJ35" i="1"/>
  <c r="BJ36" i="1"/>
  <c r="BJ37" i="1"/>
  <c r="BJ28" i="1"/>
  <c r="BJ30" i="1"/>
  <c r="BJ27" i="1"/>
  <c r="BJ38" i="1"/>
  <c r="BJ39" i="1"/>
  <c r="BJ40" i="1"/>
  <c r="BJ41" i="1"/>
  <c r="BJ43" i="1"/>
  <c r="BJ42" i="1"/>
  <c r="BJ44" i="1"/>
  <c r="BJ49" i="1"/>
  <c r="BJ54" i="1"/>
  <c r="BJ53" i="1"/>
  <c r="BJ61" i="1"/>
  <c r="BJ45" i="1"/>
  <c r="BJ59" i="1"/>
  <c r="BJ58" i="1"/>
  <c r="BJ57" i="1"/>
  <c r="BJ51" i="1"/>
  <c r="BJ68" i="1"/>
  <c r="BJ69" i="1"/>
  <c r="BJ70" i="1"/>
  <c r="BJ71" i="1"/>
  <c r="BJ72" i="1"/>
  <c r="BJ73" i="1"/>
  <c r="BJ74" i="1"/>
  <c r="BJ75" i="1"/>
  <c r="BJ76" i="1"/>
  <c r="BJ62" i="1"/>
  <c r="BJ64" i="1"/>
  <c r="BJ66" i="1"/>
  <c r="BJ67" i="1"/>
  <c r="BJ47" i="1"/>
  <c r="BJ60" i="1"/>
  <c r="BJ52" i="1"/>
  <c r="BJ56" i="1"/>
  <c r="BJ50" i="1"/>
  <c r="BJ55" i="1"/>
  <c r="BJ77" i="1"/>
  <c r="BJ46" i="1"/>
  <c r="BJ48" i="1"/>
  <c r="BJ63" i="1"/>
  <c r="BJ78" i="1"/>
  <c r="BJ79" i="1"/>
  <c r="BJ80" i="1"/>
  <c r="BJ81" i="1"/>
  <c r="BJ82" i="1"/>
  <c r="BJ83" i="1"/>
  <c r="BJ84" i="1"/>
  <c r="BJ85" i="1"/>
  <c r="BJ86" i="1"/>
  <c r="BJ87" i="1"/>
  <c r="BJ88" i="1"/>
  <c r="BJ89" i="1"/>
  <c r="BJ65" i="1"/>
  <c r="BJ90" i="1"/>
  <c r="BJ91" i="1"/>
  <c r="BJ92" i="1"/>
  <c r="BJ93" i="1"/>
  <c r="BJ94" i="1"/>
  <c r="BJ95" i="1"/>
  <c r="BJ96" i="1"/>
  <c r="BJ97" i="1"/>
  <c r="BJ98" i="1"/>
  <c r="BJ105" i="1"/>
  <c r="BJ116" i="1"/>
  <c r="BJ120" i="1"/>
  <c r="BJ100" i="1"/>
  <c r="BJ102" i="1"/>
  <c r="BJ107" i="1"/>
  <c r="BJ109" i="1"/>
  <c r="BJ115" i="1"/>
  <c r="BJ104" i="1"/>
  <c r="BJ111" i="1"/>
  <c r="BJ114" i="1"/>
  <c r="BJ118" i="1"/>
  <c r="BJ103" i="1"/>
  <c r="BJ117" i="1"/>
  <c r="BJ101" i="1"/>
  <c r="BJ108" i="1"/>
  <c r="BJ112" i="1"/>
  <c r="BJ121" i="1"/>
  <c r="BJ122" i="1"/>
  <c r="BJ123" i="1"/>
  <c r="BJ124" i="1"/>
  <c r="BJ125" i="1"/>
  <c r="BJ126" i="1"/>
  <c r="BJ127" i="1"/>
  <c r="BJ128" i="1"/>
  <c r="BJ129" i="1"/>
  <c r="BJ130" i="1"/>
  <c r="BJ106" i="1"/>
  <c r="BJ113" i="1"/>
  <c r="BJ119" i="1"/>
  <c r="BJ131" i="1"/>
  <c r="BJ99" i="1"/>
  <c r="BJ133" i="1"/>
  <c r="BJ110" i="1"/>
  <c r="BJ138" i="1"/>
  <c r="BJ146" i="1"/>
  <c r="BJ147" i="1"/>
  <c r="BJ148" i="1"/>
  <c r="BJ149" i="1"/>
  <c r="BJ150" i="1"/>
  <c r="BJ151" i="1"/>
  <c r="BJ152" i="1"/>
  <c r="BJ153" i="1"/>
  <c r="BJ154" i="1"/>
  <c r="BJ155" i="1"/>
  <c r="BJ156" i="1"/>
  <c r="BJ157" i="1"/>
  <c r="BJ158" i="1"/>
  <c r="BJ159" i="1"/>
  <c r="BJ141" i="1"/>
  <c r="BJ144" i="1"/>
  <c r="BJ145" i="1"/>
  <c r="BJ136" i="1"/>
  <c r="BJ139" i="1"/>
  <c r="BJ134" i="1"/>
  <c r="BJ142" i="1"/>
  <c r="BJ143" i="1"/>
  <c r="BJ132" i="1"/>
  <c r="BJ137" i="1"/>
  <c r="BJ140" i="1"/>
  <c r="BJ135" i="1"/>
  <c r="BB9" i="1"/>
  <c r="BB13" i="1"/>
  <c r="BB6" i="1"/>
  <c r="BB11" i="1"/>
  <c r="BB12" i="1"/>
  <c r="BB14" i="1"/>
  <c r="BB15" i="1"/>
  <c r="BB16" i="1"/>
  <c r="BB8" i="1"/>
  <c r="BB5" i="1"/>
  <c r="BB10" i="1"/>
  <c r="BB18" i="1"/>
  <c r="BB19" i="1"/>
  <c r="BB20" i="1"/>
  <c r="BB21" i="1"/>
  <c r="BB22" i="1"/>
  <c r="BB23" i="1"/>
  <c r="BB24" i="1"/>
  <c r="BB25" i="1"/>
  <c r="BB27" i="1"/>
  <c r="BB30" i="1"/>
  <c r="BB32" i="1"/>
  <c r="BB33" i="1"/>
  <c r="BB34" i="1"/>
  <c r="BB35" i="1"/>
  <c r="BB36" i="1"/>
  <c r="BB37" i="1"/>
  <c r="BB28" i="1"/>
  <c r="BB17" i="1"/>
  <c r="BB29" i="1"/>
  <c r="BB31" i="1"/>
  <c r="BB7" i="1"/>
  <c r="BB26" i="1"/>
  <c r="BB38" i="1"/>
  <c r="BB39" i="1"/>
  <c r="BB40" i="1"/>
  <c r="BB41" i="1"/>
  <c r="BB42" i="1"/>
  <c r="BB44" i="1"/>
  <c r="BB50" i="1"/>
  <c r="BB45" i="1"/>
  <c r="BB52" i="1"/>
  <c r="BB49" i="1"/>
  <c r="BB51" i="1"/>
  <c r="BB54" i="1"/>
  <c r="BB62" i="1"/>
  <c r="BB47" i="1"/>
  <c r="BB60" i="1"/>
  <c r="BB59" i="1"/>
  <c r="BB58" i="1"/>
  <c r="BB46" i="1"/>
  <c r="BB53" i="1"/>
  <c r="BB57" i="1"/>
  <c r="BB68" i="1"/>
  <c r="BB69" i="1"/>
  <c r="BB70" i="1"/>
  <c r="BB71" i="1"/>
  <c r="BB72" i="1"/>
  <c r="BB73" i="1"/>
  <c r="BB74" i="1"/>
  <c r="BB75" i="1"/>
  <c r="BB76" i="1"/>
  <c r="BB43" i="1"/>
  <c r="BB55" i="1"/>
  <c r="BB65" i="1"/>
  <c r="BB67" i="1"/>
  <c r="BB64" i="1"/>
  <c r="BB48" i="1"/>
  <c r="BB56" i="1"/>
  <c r="BB66" i="1"/>
  <c r="BB77" i="1"/>
  <c r="BB63" i="1"/>
  <c r="BB61" i="1"/>
  <c r="BB78" i="1"/>
  <c r="BB79" i="1"/>
  <c r="BB80" i="1"/>
  <c r="BB81" i="1"/>
  <c r="BB82" i="1"/>
  <c r="BB83" i="1"/>
  <c r="BB84" i="1"/>
  <c r="BB85" i="1"/>
  <c r="BB86" i="1"/>
  <c r="BB87" i="1"/>
  <c r="BB88" i="1"/>
  <c r="BB89" i="1"/>
  <c r="BB90" i="1"/>
  <c r="BB91" i="1"/>
  <c r="BB92" i="1"/>
  <c r="BB93" i="1"/>
  <c r="BB94" i="1"/>
  <c r="BB95" i="1"/>
  <c r="BB96" i="1"/>
  <c r="BB97" i="1"/>
  <c r="BB98" i="1"/>
  <c r="BB106" i="1"/>
  <c r="BB113" i="1"/>
  <c r="BB117" i="1"/>
  <c r="BB99" i="1"/>
  <c r="BB101" i="1"/>
  <c r="BB108" i="1"/>
  <c r="BB110" i="1"/>
  <c r="BB116" i="1"/>
  <c r="BB105" i="1"/>
  <c r="BB112" i="1"/>
  <c r="BB115" i="1"/>
  <c r="BB119" i="1"/>
  <c r="BB118" i="1"/>
  <c r="BB102" i="1"/>
  <c r="BB122" i="1"/>
  <c r="BB123" i="1"/>
  <c r="BB124" i="1"/>
  <c r="BB125" i="1"/>
  <c r="BB126" i="1"/>
  <c r="BB127" i="1"/>
  <c r="BB128" i="1"/>
  <c r="BB129" i="1"/>
  <c r="BB130" i="1"/>
  <c r="BB109" i="1"/>
  <c r="BB104" i="1"/>
  <c r="BB114" i="1"/>
  <c r="BB121" i="1"/>
  <c r="BB103" i="1"/>
  <c r="BB120" i="1"/>
  <c r="BB107" i="1"/>
  <c r="BB132" i="1"/>
  <c r="BB100" i="1"/>
  <c r="BB111" i="1"/>
  <c r="BB133" i="1"/>
  <c r="BB139" i="1"/>
  <c r="BB146" i="1"/>
  <c r="BB147" i="1"/>
  <c r="BB148" i="1"/>
  <c r="BB149" i="1"/>
  <c r="BB150" i="1"/>
  <c r="BB151" i="1"/>
  <c r="BB152" i="1"/>
  <c r="BB153" i="1"/>
  <c r="BB154" i="1"/>
  <c r="BB155" i="1"/>
  <c r="BB156" i="1"/>
  <c r="BB157" i="1"/>
  <c r="BB158" i="1"/>
  <c r="BB159" i="1"/>
  <c r="BB131" i="1"/>
  <c r="BB134" i="1"/>
  <c r="BB142" i="1"/>
  <c r="BB137" i="1"/>
  <c r="BB145" i="1"/>
  <c r="BB140" i="1"/>
  <c r="BB135" i="1"/>
  <c r="BB144" i="1"/>
  <c r="BB138" i="1"/>
  <c r="BB141" i="1"/>
  <c r="BB136" i="1"/>
  <c r="BB143" i="1"/>
  <c r="AT5" i="1"/>
  <c r="AT10" i="1"/>
  <c r="AT7" i="1"/>
  <c r="AT13" i="1"/>
  <c r="AT14" i="1"/>
  <c r="AT15" i="1"/>
  <c r="AT16" i="1"/>
  <c r="AT9" i="1"/>
  <c r="AT6" i="1"/>
  <c r="AT12" i="1"/>
  <c r="AT11" i="1"/>
  <c r="AT18" i="1"/>
  <c r="AT19" i="1"/>
  <c r="AT20" i="1"/>
  <c r="AT21" i="1"/>
  <c r="AT22" i="1"/>
  <c r="AT23" i="1"/>
  <c r="AT24" i="1"/>
  <c r="AT17" i="1"/>
  <c r="AT8" i="1"/>
  <c r="AT26" i="1"/>
  <c r="AT25" i="1"/>
  <c r="AT28" i="1"/>
  <c r="AT29" i="1"/>
  <c r="AT31" i="1"/>
  <c r="AT33" i="1"/>
  <c r="AT34" i="1"/>
  <c r="AT35" i="1"/>
  <c r="AT36" i="1"/>
  <c r="AT37" i="1"/>
  <c r="AT30" i="1"/>
  <c r="AT27" i="1"/>
  <c r="AT32" i="1"/>
  <c r="AT38" i="1"/>
  <c r="AT39" i="1"/>
  <c r="AT40" i="1"/>
  <c r="AT41" i="1"/>
  <c r="AT43" i="1"/>
  <c r="AT45" i="1"/>
  <c r="AT51" i="1"/>
  <c r="AT47" i="1"/>
  <c r="AT42" i="1"/>
  <c r="AT55" i="1"/>
  <c r="AT63" i="1"/>
  <c r="AT53" i="1"/>
  <c r="AT61" i="1"/>
  <c r="AT46" i="1"/>
  <c r="AT50" i="1"/>
  <c r="AT60" i="1"/>
  <c r="AT44" i="1"/>
  <c r="AT48" i="1"/>
  <c r="AT49" i="1"/>
  <c r="AT59" i="1"/>
  <c r="AT52" i="1"/>
  <c r="AT68" i="1"/>
  <c r="AT69" i="1"/>
  <c r="AT70" i="1"/>
  <c r="AT71" i="1"/>
  <c r="AT72" i="1"/>
  <c r="AT73" i="1"/>
  <c r="AT74" i="1"/>
  <c r="AT75" i="1"/>
  <c r="AT76" i="1"/>
  <c r="AT64" i="1"/>
  <c r="AT66" i="1"/>
  <c r="AT62" i="1"/>
  <c r="AT58" i="1"/>
  <c r="AT54" i="1"/>
  <c r="AT57" i="1"/>
  <c r="AT56" i="1"/>
  <c r="AT67" i="1"/>
  <c r="AT65" i="1"/>
  <c r="AT77" i="1"/>
  <c r="AT78" i="1"/>
  <c r="AT79" i="1"/>
  <c r="AT80" i="1"/>
  <c r="AT81" i="1"/>
  <c r="AT82" i="1"/>
  <c r="AT83" i="1"/>
  <c r="AT84" i="1"/>
  <c r="AT85" i="1"/>
  <c r="AT86" i="1"/>
  <c r="AT87" i="1"/>
  <c r="AT88" i="1"/>
  <c r="AT89" i="1"/>
  <c r="AT90" i="1"/>
  <c r="AT91" i="1"/>
  <c r="AT92" i="1"/>
  <c r="AT93" i="1"/>
  <c r="AT94" i="1"/>
  <c r="AT95" i="1"/>
  <c r="AT96" i="1"/>
  <c r="AT97" i="1"/>
  <c r="AT98" i="1"/>
  <c r="AT99" i="1"/>
  <c r="AT107" i="1"/>
  <c r="AT109" i="1"/>
  <c r="AT114" i="1"/>
  <c r="AT118" i="1"/>
  <c r="AT100" i="1"/>
  <c r="AT102" i="1"/>
  <c r="AT111" i="1"/>
  <c r="AT113" i="1"/>
  <c r="AT117" i="1"/>
  <c r="AT106" i="1"/>
  <c r="AT103" i="1"/>
  <c r="AT116" i="1"/>
  <c r="AT120" i="1"/>
  <c r="AT105" i="1"/>
  <c r="AT104" i="1"/>
  <c r="AT123" i="1"/>
  <c r="AT124" i="1"/>
  <c r="AT125" i="1"/>
  <c r="AT126" i="1"/>
  <c r="AT127" i="1"/>
  <c r="AT128" i="1"/>
  <c r="AT129" i="1"/>
  <c r="AT130" i="1"/>
  <c r="AT108" i="1"/>
  <c r="AT115" i="1"/>
  <c r="AT119" i="1"/>
  <c r="AT122" i="1"/>
  <c r="AT121" i="1"/>
  <c r="AT110" i="1"/>
  <c r="AT101" i="1"/>
  <c r="AT112" i="1"/>
  <c r="AT133" i="1"/>
  <c r="AT132" i="1"/>
  <c r="AT140" i="1"/>
  <c r="AT146" i="1"/>
  <c r="AT147" i="1"/>
  <c r="AT148" i="1"/>
  <c r="AT149" i="1"/>
  <c r="AT150" i="1"/>
  <c r="AT151" i="1"/>
  <c r="AT152" i="1"/>
  <c r="AT153" i="1"/>
  <c r="AT154" i="1"/>
  <c r="AT155" i="1"/>
  <c r="AT156" i="1"/>
  <c r="AT157" i="1"/>
  <c r="AT158" i="1"/>
  <c r="AT159" i="1"/>
  <c r="AT135" i="1"/>
  <c r="AT138" i="1"/>
  <c r="AT143" i="1"/>
  <c r="AT141" i="1"/>
  <c r="AT145" i="1"/>
  <c r="AT136" i="1"/>
  <c r="AT139" i="1"/>
  <c r="AT134" i="1"/>
  <c r="AT142" i="1"/>
  <c r="AT131" i="1"/>
  <c r="AT137" i="1"/>
  <c r="AT144" i="1"/>
  <c r="CA175" i="1"/>
  <c r="BS175" i="1"/>
  <c r="BK175" i="1"/>
  <c r="BC175" i="1"/>
  <c r="AU175" i="1"/>
  <c r="CA174" i="1"/>
  <c r="BS174" i="1"/>
  <c r="BK174" i="1"/>
  <c r="BC174" i="1"/>
  <c r="AU174" i="1"/>
  <c r="CA173" i="1"/>
  <c r="BS173" i="1"/>
  <c r="BK173" i="1"/>
  <c r="BB173" i="1"/>
  <c r="BZ172" i="1"/>
  <c r="BO172" i="1"/>
  <c r="BA172" i="1"/>
  <c r="BW171" i="1"/>
  <c r="BI171" i="1"/>
  <c r="AU171" i="1"/>
  <c r="BQ170" i="1"/>
  <c r="BC170" i="1"/>
  <c r="BK169" i="1"/>
  <c r="AZ169" i="1"/>
  <c r="BS168" i="1"/>
  <c r="BH168" i="1"/>
  <c r="AT168" i="1"/>
  <c r="CA167" i="1"/>
  <c r="BP167" i="1"/>
  <c r="BB167" i="1"/>
  <c r="BX166" i="1"/>
  <c r="BJ166" i="1"/>
  <c r="AY166" i="1"/>
  <c r="BR165" i="1"/>
  <c r="BG165" i="1"/>
  <c r="BZ164" i="1"/>
  <c r="BO164" i="1"/>
  <c r="BW163" i="1"/>
  <c r="AU163" i="1"/>
  <c r="BC162" i="1"/>
  <c r="BO161" i="1"/>
  <c r="AY161" i="1"/>
  <c r="BW160" i="1"/>
  <c r="BG160" i="1"/>
  <c r="AY159" i="1"/>
  <c r="BG158" i="1"/>
  <c r="BO157" i="1"/>
  <c r="BW156" i="1"/>
  <c r="AY151" i="1"/>
  <c r="BG150" i="1"/>
  <c r="BO149" i="1"/>
  <c r="BW148" i="1"/>
  <c r="BY5" i="1"/>
  <c r="BY6" i="1"/>
  <c r="BY7" i="1"/>
  <c r="BY8" i="1"/>
  <c r="BY9" i="1"/>
  <c r="BY10" i="1"/>
  <c r="BY11" i="1"/>
  <c r="BY12" i="1"/>
  <c r="BY13" i="1"/>
  <c r="BY14" i="1"/>
  <c r="BY15" i="1"/>
  <c r="BY16" i="1"/>
  <c r="BY23" i="1"/>
  <c r="BY20" i="1"/>
  <c r="BY17" i="1"/>
  <c r="BY18" i="1"/>
  <c r="BY25" i="1"/>
  <c r="BY26" i="1"/>
  <c r="BY27" i="1"/>
  <c r="BY24" i="1"/>
  <c r="BY19" i="1"/>
  <c r="BY22" i="1"/>
  <c r="BY28" i="1"/>
  <c r="BY29" i="1"/>
  <c r="BY30" i="1"/>
  <c r="BY31" i="1"/>
  <c r="BY21" i="1"/>
  <c r="BY32" i="1"/>
  <c r="BY35" i="1"/>
  <c r="BY37" i="1"/>
  <c r="BY33" i="1"/>
  <c r="BY36" i="1"/>
  <c r="BY38" i="1"/>
  <c r="BY39" i="1"/>
  <c r="BY40" i="1"/>
  <c r="BY41" i="1"/>
  <c r="BY42" i="1"/>
  <c r="BY43" i="1"/>
  <c r="BY44" i="1"/>
  <c r="BY34" i="1"/>
  <c r="BY46" i="1"/>
  <c r="BY45" i="1"/>
  <c r="BY53" i="1"/>
  <c r="BY54" i="1"/>
  <c r="BY55" i="1"/>
  <c r="BY56" i="1"/>
  <c r="BY57" i="1"/>
  <c r="BY58" i="1"/>
  <c r="BY59" i="1"/>
  <c r="BY60" i="1"/>
  <c r="BY61" i="1"/>
  <c r="BY62" i="1"/>
  <c r="BY63" i="1"/>
  <c r="BY52" i="1"/>
  <c r="BY47" i="1"/>
  <c r="BY49" i="1"/>
  <c r="BY48" i="1"/>
  <c r="BY51" i="1"/>
  <c r="BY65" i="1"/>
  <c r="BY67" i="1"/>
  <c r="BY66" i="1"/>
  <c r="BY72" i="1"/>
  <c r="BY75" i="1"/>
  <c r="BY70" i="1"/>
  <c r="BY73" i="1"/>
  <c r="BY68" i="1"/>
  <c r="BY77" i="1"/>
  <c r="BY64" i="1"/>
  <c r="BY71" i="1"/>
  <c r="BY78" i="1"/>
  <c r="BY79" i="1"/>
  <c r="BY80" i="1"/>
  <c r="BY81" i="1"/>
  <c r="BY82" i="1"/>
  <c r="BY83" i="1"/>
  <c r="BY84" i="1"/>
  <c r="BY85" i="1"/>
  <c r="BY74" i="1"/>
  <c r="BY50" i="1"/>
  <c r="BY76" i="1"/>
  <c r="BY89" i="1"/>
  <c r="BY87" i="1"/>
  <c r="BY90" i="1"/>
  <c r="BY91" i="1"/>
  <c r="BY92" i="1"/>
  <c r="BY93" i="1"/>
  <c r="BY94" i="1"/>
  <c r="BY95" i="1"/>
  <c r="BY96" i="1"/>
  <c r="BY97" i="1"/>
  <c r="BY98" i="1"/>
  <c r="BY99" i="1"/>
  <c r="BY100" i="1"/>
  <c r="BY101" i="1"/>
  <c r="BY102" i="1"/>
  <c r="BY103" i="1"/>
  <c r="BY104" i="1"/>
  <c r="BY105" i="1"/>
  <c r="BY106" i="1"/>
  <c r="BY107" i="1"/>
  <c r="BY108" i="1"/>
  <c r="BY86" i="1"/>
  <c r="BY109" i="1"/>
  <c r="BY110" i="1"/>
  <c r="BY111" i="1"/>
  <c r="BY69" i="1"/>
  <c r="BY112" i="1"/>
  <c r="BY116" i="1"/>
  <c r="BY113" i="1"/>
  <c r="BY119" i="1"/>
  <c r="BY120" i="1"/>
  <c r="BY88" i="1"/>
  <c r="BY117" i="1"/>
  <c r="BY127" i="1"/>
  <c r="BY122" i="1"/>
  <c r="BY130" i="1"/>
  <c r="BY131" i="1"/>
  <c r="BY121" i="1"/>
  <c r="BY125" i="1"/>
  <c r="BY132" i="1"/>
  <c r="BY114" i="1"/>
  <c r="BY118" i="1"/>
  <c r="BY123" i="1"/>
  <c r="BY115" i="1"/>
  <c r="BY126" i="1"/>
  <c r="BY134" i="1"/>
  <c r="BY135" i="1"/>
  <c r="BY136" i="1"/>
  <c r="BY137" i="1"/>
  <c r="BY138" i="1"/>
  <c r="BY139" i="1"/>
  <c r="BY140" i="1"/>
  <c r="BY141" i="1"/>
  <c r="BY142" i="1"/>
  <c r="BY143" i="1"/>
  <c r="BY144" i="1"/>
  <c r="BY133" i="1"/>
  <c r="BY124" i="1"/>
  <c r="BY128" i="1"/>
  <c r="BY129" i="1"/>
  <c r="BY145" i="1"/>
  <c r="BY146" i="1"/>
  <c r="BY147" i="1"/>
  <c r="BY148" i="1"/>
  <c r="BY149" i="1"/>
  <c r="BY150" i="1"/>
  <c r="BY151" i="1"/>
  <c r="BY152" i="1"/>
  <c r="BY153" i="1"/>
  <c r="BY154" i="1"/>
  <c r="BY155" i="1"/>
  <c r="BQ5" i="1"/>
  <c r="BQ6" i="1"/>
  <c r="BQ7" i="1"/>
  <c r="BQ8" i="1"/>
  <c r="BQ9" i="1"/>
  <c r="BQ10" i="1"/>
  <c r="BQ11" i="1"/>
  <c r="BQ12" i="1"/>
  <c r="BQ13" i="1"/>
  <c r="BQ14" i="1"/>
  <c r="BQ15" i="1"/>
  <c r="BQ16" i="1"/>
  <c r="BQ21" i="1"/>
  <c r="BQ18" i="1"/>
  <c r="BQ19" i="1"/>
  <c r="BQ25" i="1"/>
  <c r="BQ26" i="1"/>
  <c r="BQ27" i="1"/>
  <c r="BQ22" i="1"/>
  <c r="BQ20" i="1"/>
  <c r="BQ28" i="1"/>
  <c r="BQ29" i="1"/>
  <c r="BQ30" i="1"/>
  <c r="BQ31" i="1"/>
  <c r="BQ24" i="1"/>
  <c r="BQ23" i="1"/>
  <c r="BQ17" i="1"/>
  <c r="BQ33" i="1"/>
  <c r="BQ36" i="1"/>
  <c r="BQ37" i="1"/>
  <c r="BQ34" i="1"/>
  <c r="BQ32" i="1"/>
  <c r="BQ38" i="1"/>
  <c r="BQ39" i="1"/>
  <c r="BQ40" i="1"/>
  <c r="BQ41" i="1"/>
  <c r="BQ42" i="1"/>
  <c r="BQ43" i="1"/>
  <c r="BQ44" i="1"/>
  <c r="BQ35" i="1"/>
  <c r="BQ47" i="1"/>
  <c r="BQ46" i="1"/>
  <c r="BQ45" i="1"/>
  <c r="BQ53" i="1"/>
  <c r="BQ54" i="1"/>
  <c r="BQ55" i="1"/>
  <c r="BQ56" i="1"/>
  <c r="BQ57" i="1"/>
  <c r="BQ58" i="1"/>
  <c r="BQ59" i="1"/>
  <c r="BQ60" i="1"/>
  <c r="BQ61" i="1"/>
  <c r="BQ62" i="1"/>
  <c r="BQ63" i="1"/>
  <c r="BQ49" i="1"/>
  <c r="BQ52" i="1"/>
  <c r="BQ51" i="1"/>
  <c r="BQ64" i="1"/>
  <c r="BQ66" i="1"/>
  <c r="BQ73" i="1"/>
  <c r="BQ65" i="1"/>
  <c r="BQ67" i="1"/>
  <c r="BQ68" i="1"/>
  <c r="BQ71" i="1"/>
  <c r="BQ76" i="1"/>
  <c r="BQ48" i="1"/>
  <c r="BQ74" i="1"/>
  <c r="BQ69" i="1"/>
  <c r="BQ72" i="1"/>
  <c r="BQ78" i="1"/>
  <c r="BQ79" i="1"/>
  <c r="BQ80" i="1"/>
  <c r="BQ81" i="1"/>
  <c r="BQ82" i="1"/>
  <c r="BQ83" i="1"/>
  <c r="BQ84" i="1"/>
  <c r="BQ85" i="1"/>
  <c r="BQ50" i="1"/>
  <c r="BQ75" i="1"/>
  <c r="BQ77" i="1"/>
  <c r="BQ86" i="1"/>
  <c r="BQ70" i="1"/>
  <c r="BQ88" i="1"/>
  <c r="BQ89" i="1"/>
  <c r="BQ90" i="1"/>
  <c r="BQ91" i="1"/>
  <c r="BQ92" i="1"/>
  <c r="BQ93" i="1"/>
  <c r="BQ94" i="1"/>
  <c r="BQ95" i="1"/>
  <c r="BQ96" i="1"/>
  <c r="BQ97" i="1"/>
  <c r="BQ98" i="1"/>
  <c r="BQ99" i="1"/>
  <c r="BQ100" i="1"/>
  <c r="BQ101" i="1"/>
  <c r="BQ102" i="1"/>
  <c r="BQ103" i="1"/>
  <c r="BQ104" i="1"/>
  <c r="BQ105" i="1"/>
  <c r="BQ106" i="1"/>
  <c r="BQ107" i="1"/>
  <c r="BQ108" i="1"/>
  <c r="BQ87" i="1"/>
  <c r="BQ109" i="1"/>
  <c r="BQ110" i="1"/>
  <c r="BQ111" i="1"/>
  <c r="BQ112" i="1"/>
  <c r="BQ113" i="1"/>
  <c r="BQ117" i="1"/>
  <c r="BQ114" i="1"/>
  <c r="BQ118" i="1"/>
  <c r="BQ120" i="1"/>
  <c r="BQ121" i="1"/>
  <c r="BQ128" i="1"/>
  <c r="BQ133" i="1"/>
  <c r="BQ123" i="1"/>
  <c r="BQ126" i="1"/>
  <c r="BQ115" i="1"/>
  <c r="BQ124" i="1"/>
  <c r="BQ131" i="1"/>
  <c r="BQ132" i="1"/>
  <c r="BQ127" i="1"/>
  <c r="BQ134" i="1"/>
  <c r="BQ135" i="1"/>
  <c r="BQ136" i="1"/>
  <c r="BQ137" i="1"/>
  <c r="BQ138" i="1"/>
  <c r="BQ139" i="1"/>
  <c r="BQ140" i="1"/>
  <c r="BQ141" i="1"/>
  <c r="BQ142" i="1"/>
  <c r="BQ143" i="1"/>
  <c r="BQ144" i="1"/>
  <c r="BQ116" i="1"/>
  <c r="BQ119" i="1"/>
  <c r="BQ125" i="1"/>
  <c r="BQ129" i="1"/>
  <c r="BQ122" i="1"/>
  <c r="BQ130" i="1"/>
  <c r="BQ145" i="1"/>
  <c r="BQ146" i="1"/>
  <c r="BQ147" i="1"/>
  <c r="BQ148" i="1"/>
  <c r="BQ149" i="1"/>
  <c r="BQ150" i="1"/>
  <c r="BQ151" i="1"/>
  <c r="BQ152" i="1"/>
  <c r="BQ153" i="1"/>
  <c r="BQ154" i="1"/>
  <c r="BQ155" i="1"/>
  <c r="BQ156" i="1"/>
  <c r="BI5" i="1"/>
  <c r="BI6" i="1"/>
  <c r="BI7" i="1"/>
  <c r="BI8" i="1"/>
  <c r="BI9" i="1"/>
  <c r="BI10" i="1"/>
  <c r="BI11" i="1"/>
  <c r="BI12" i="1"/>
  <c r="BI13" i="1"/>
  <c r="BI14" i="1"/>
  <c r="BI16" i="1"/>
  <c r="BI17" i="1"/>
  <c r="BI22" i="1"/>
  <c r="BI19" i="1"/>
  <c r="BI15" i="1"/>
  <c r="BI20" i="1"/>
  <c r="BI25" i="1"/>
  <c r="BI26" i="1"/>
  <c r="BI27" i="1"/>
  <c r="BI28" i="1"/>
  <c r="BI24" i="1"/>
  <c r="BI23" i="1"/>
  <c r="BI29" i="1"/>
  <c r="BI30" i="1"/>
  <c r="BI31" i="1"/>
  <c r="BI18" i="1"/>
  <c r="BI21" i="1"/>
  <c r="BI34" i="1"/>
  <c r="BI32" i="1"/>
  <c r="BI35" i="1"/>
  <c r="BI37" i="1"/>
  <c r="BI33" i="1"/>
  <c r="BI38" i="1"/>
  <c r="BI39" i="1"/>
  <c r="BI40" i="1"/>
  <c r="BI41" i="1"/>
  <c r="BI42" i="1"/>
  <c r="BI43" i="1"/>
  <c r="BI44" i="1"/>
  <c r="BI36" i="1"/>
  <c r="BI47" i="1"/>
  <c r="BI46" i="1"/>
  <c r="BI53" i="1"/>
  <c r="BI54" i="1"/>
  <c r="BI55" i="1"/>
  <c r="BI56" i="1"/>
  <c r="BI57" i="1"/>
  <c r="BI58" i="1"/>
  <c r="BI59" i="1"/>
  <c r="BI60" i="1"/>
  <c r="BI61" i="1"/>
  <c r="BI62" i="1"/>
  <c r="BI63" i="1"/>
  <c r="BI48" i="1"/>
  <c r="BI49" i="1"/>
  <c r="BI50" i="1"/>
  <c r="BI52" i="1"/>
  <c r="BI45" i="1"/>
  <c r="BI65" i="1"/>
  <c r="BI74" i="1"/>
  <c r="BI77" i="1"/>
  <c r="BI69" i="1"/>
  <c r="BI64" i="1"/>
  <c r="BI72" i="1"/>
  <c r="BI75" i="1"/>
  <c r="BI51" i="1"/>
  <c r="BI70" i="1"/>
  <c r="BI66" i="1"/>
  <c r="BI73" i="1"/>
  <c r="BI76" i="1"/>
  <c r="BI78" i="1"/>
  <c r="BI79" i="1"/>
  <c r="BI80" i="1"/>
  <c r="BI81" i="1"/>
  <c r="BI82" i="1"/>
  <c r="BI83" i="1"/>
  <c r="BI84" i="1"/>
  <c r="BI85" i="1"/>
  <c r="BI68" i="1"/>
  <c r="BI67" i="1"/>
  <c r="BI87" i="1"/>
  <c r="BI86" i="1"/>
  <c r="BI89" i="1"/>
  <c r="BI90" i="1"/>
  <c r="BI91" i="1"/>
  <c r="BI92" i="1"/>
  <c r="BI93" i="1"/>
  <c r="BI94" i="1"/>
  <c r="BI95" i="1"/>
  <c r="BI96" i="1"/>
  <c r="BI97" i="1"/>
  <c r="BI98" i="1"/>
  <c r="BI99" i="1"/>
  <c r="BI100" i="1"/>
  <c r="BI101" i="1"/>
  <c r="BI102" i="1"/>
  <c r="BI103" i="1"/>
  <c r="BI104" i="1"/>
  <c r="BI105" i="1"/>
  <c r="BI106" i="1"/>
  <c r="BI107" i="1"/>
  <c r="BI108" i="1"/>
  <c r="BI71" i="1"/>
  <c r="BI88" i="1"/>
  <c r="BI109" i="1"/>
  <c r="BI110" i="1"/>
  <c r="BI111" i="1"/>
  <c r="BI112" i="1"/>
  <c r="BI114" i="1"/>
  <c r="BI118" i="1"/>
  <c r="BI115" i="1"/>
  <c r="BI120" i="1"/>
  <c r="BI113" i="1"/>
  <c r="BI119" i="1"/>
  <c r="BI117" i="1"/>
  <c r="BI129" i="1"/>
  <c r="BI124" i="1"/>
  <c r="BI133" i="1"/>
  <c r="BI127" i="1"/>
  <c r="BI125" i="1"/>
  <c r="BI116" i="1"/>
  <c r="BI128" i="1"/>
  <c r="BI134" i="1"/>
  <c r="BI135" i="1"/>
  <c r="BI136" i="1"/>
  <c r="BI137" i="1"/>
  <c r="BI138" i="1"/>
  <c r="BI139" i="1"/>
  <c r="BI140" i="1"/>
  <c r="BI141" i="1"/>
  <c r="BI142" i="1"/>
  <c r="BI143" i="1"/>
  <c r="BI144" i="1"/>
  <c r="BI145" i="1"/>
  <c r="BI131" i="1"/>
  <c r="BI121" i="1"/>
  <c r="BI122" i="1"/>
  <c r="BI132" i="1"/>
  <c r="BI126" i="1"/>
  <c r="BI130" i="1"/>
  <c r="BI123" i="1"/>
  <c r="BI146" i="1"/>
  <c r="BI147" i="1"/>
  <c r="BI148" i="1"/>
  <c r="BI149" i="1"/>
  <c r="BI150" i="1"/>
  <c r="BI151" i="1"/>
  <c r="BI152" i="1"/>
  <c r="BI153" i="1"/>
  <c r="BI154" i="1"/>
  <c r="BI155" i="1"/>
  <c r="BI156" i="1"/>
  <c r="BA5" i="1"/>
  <c r="BA6" i="1"/>
  <c r="BA7" i="1"/>
  <c r="BA8" i="1"/>
  <c r="BA9" i="1"/>
  <c r="BA10" i="1"/>
  <c r="BA11" i="1"/>
  <c r="BA12" i="1"/>
  <c r="BA13" i="1"/>
  <c r="BA14" i="1"/>
  <c r="BA15" i="1"/>
  <c r="BA17" i="1"/>
  <c r="BA18" i="1"/>
  <c r="BA16" i="1"/>
  <c r="BA20" i="1"/>
  <c r="BA21" i="1"/>
  <c r="BA25" i="1"/>
  <c r="BA26" i="1"/>
  <c r="BA27" i="1"/>
  <c r="BA28" i="1"/>
  <c r="BA22" i="1"/>
  <c r="BA29" i="1"/>
  <c r="BA30" i="1"/>
  <c r="BA31" i="1"/>
  <c r="BA19" i="1"/>
  <c r="BA23" i="1"/>
  <c r="BA24" i="1"/>
  <c r="BA35" i="1"/>
  <c r="BA33" i="1"/>
  <c r="BA36" i="1"/>
  <c r="BA34" i="1"/>
  <c r="BA38" i="1"/>
  <c r="BA39" i="1"/>
  <c r="BA40" i="1"/>
  <c r="BA41" i="1"/>
  <c r="BA42" i="1"/>
  <c r="BA43" i="1"/>
  <c r="BA44" i="1"/>
  <c r="BA37" i="1"/>
  <c r="BA45" i="1"/>
  <c r="BA47" i="1"/>
  <c r="BA53" i="1"/>
  <c r="BA54" i="1"/>
  <c r="BA55" i="1"/>
  <c r="BA56" i="1"/>
  <c r="BA57" i="1"/>
  <c r="BA58" i="1"/>
  <c r="BA59" i="1"/>
  <c r="BA60" i="1"/>
  <c r="BA61" i="1"/>
  <c r="BA62" i="1"/>
  <c r="BA63" i="1"/>
  <c r="BA49" i="1"/>
  <c r="BA50" i="1"/>
  <c r="BA51" i="1"/>
  <c r="BA48" i="1"/>
  <c r="BA52" i="1"/>
  <c r="BA32" i="1"/>
  <c r="BA67" i="1"/>
  <c r="BA64" i="1"/>
  <c r="BA66" i="1"/>
  <c r="BA75" i="1"/>
  <c r="BA76" i="1"/>
  <c r="BA46" i="1"/>
  <c r="BA70" i="1"/>
  <c r="BA73" i="1"/>
  <c r="BA77" i="1"/>
  <c r="BA68" i="1"/>
  <c r="BA71" i="1"/>
  <c r="BA74" i="1"/>
  <c r="BA78" i="1"/>
  <c r="BA79" i="1"/>
  <c r="BA80" i="1"/>
  <c r="BA81" i="1"/>
  <c r="BA82" i="1"/>
  <c r="BA83" i="1"/>
  <c r="BA84" i="1"/>
  <c r="BA85" i="1"/>
  <c r="BA65" i="1"/>
  <c r="BA69" i="1"/>
  <c r="BA72" i="1"/>
  <c r="BA88" i="1"/>
  <c r="BA87" i="1"/>
  <c r="BA90" i="1"/>
  <c r="BA91" i="1"/>
  <c r="BA92" i="1"/>
  <c r="BA93" i="1"/>
  <c r="BA94" i="1"/>
  <c r="BA95" i="1"/>
  <c r="BA96" i="1"/>
  <c r="BA97" i="1"/>
  <c r="BA98" i="1"/>
  <c r="BA99" i="1"/>
  <c r="BA100" i="1"/>
  <c r="BA101" i="1"/>
  <c r="BA102" i="1"/>
  <c r="BA103" i="1"/>
  <c r="BA104" i="1"/>
  <c r="BA105" i="1"/>
  <c r="BA106" i="1"/>
  <c r="BA107" i="1"/>
  <c r="BA108" i="1"/>
  <c r="BA86" i="1"/>
  <c r="BA89" i="1"/>
  <c r="BA109" i="1"/>
  <c r="BA110" i="1"/>
  <c r="BA111" i="1"/>
  <c r="BA112" i="1"/>
  <c r="BA115" i="1"/>
  <c r="BA119" i="1"/>
  <c r="BA116" i="1"/>
  <c r="BA114" i="1"/>
  <c r="BA121" i="1"/>
  <c r="BA118" i="1"/>
  <c r="BA122" i="1"/>
  <c r="BA130" i="1"/>
  <c r="BA132" i="1"/>
  <c r="BA125" i="1"/>
  <c r="BA120" i="1"/>
  <c r="BA128" i="1"/>
  <c r="BA131" i="1"/>
  <c r="BA133" i="1"/>
  <c r="BA126" i="1"/>
  <c r="BA129" i="1"/>
  <c r="BA134" i="1"/>
  <c r="BA135" i="1"/>
  <c r="BA136" i="1"/>
  <c r="BA137" i="1"/>
  <c r="BA138" i="1"/>
  <c r="BA139" i="1"/>
  <c r="BA140" i="1"/>
  <c r="BA141" i="1"/>
  <c r="BA142" i="1"/>
  <c r="BA143" i="1"/>
  <c r="BA144" i="1"/>
  <c r="BA117" i="1"/>
  <c r="BA145" i="1"/>
  <c r="BA113" i="1"/>
  <c r="BA123" i="1"/>
  <c r="BA127" i="1"/>
  <c r="BA124" i="1"/>
  <c r="BA146" i="1"/>
  <c r="BA147" i="1"/>
  <c r="BA148" i="1"/>
  <c r="BA149" i="1"/>
  <c r="BA150" i="1"/>
  <c r="BA151" i="1"/>
  <c r="BA152" i="1"/>
  <c r="BA153" i="1"/>
  <c r="BA154" i="1"/>
  <c r="BA155" i="1"/>
  <c r="BA156" i="1"/>
  <c r="BA173" i="1"/>
  <c r="BY172" i="1"/>
  <c r="AZ172" i="1"/>
  <c r="BH171" i="1"/>
  <c r="CA170" i="1"/>
  <c r="BP170" i="1"/>
  <c r="AY169" i="1"/>
  <c r="BR168" i="1"/>
  <c r="BG168" i="1"/>
  <c r="BZ167" i="1"/>
  <c r="BO167" i="1"/>
  <c r="BA167" i="1"/>
  <c r="BW166" i="1"/>
  <c r="BI166" i="1"/>
  <c r="BQ165" i="1"/>
  <c r="BC165" i="1"/>
  <c r="BY164" i="1"/>
  <c r="BK164" i="1"/>
  <c r="BS163" i="1"/>
  <c r="AT163" i="1"/>
  <c r="CA162" i="1"/>
  <c r="BB162" i="1"/>
  <c r="CA161" i="1"/>
  <c r="BK161" i="1"/>
  <c r="AU161" i="1"/>
  <c r="BS160" i="1"/>
  <c r="BC160" i="1"/>
  <c r="BY159" i="1"/>
  <c r="BA158" i="1"/>
  <c r="BI157" i="1"/>
  <c r="BO156" i="1"/>
  <c r="BW155" i="1"/>
  <c r="AY150" i="1"/>
  <c r="BG149" i="1"/>
  <c r="BO148" i="1"/>
  <c r="BW147" i="1"/>
  <c r="BX5" i="1"/>
  <c r="BX6" i="1"/>
  <c r="BX7" i="1"/>
  <c r="BX8" i="1"/>
  <c r="BX9" i="1"/>
  <c r="BX10" i="1"/>
  <c r="BX11" i="1"/>
  <c r="BX14" i="1"/>
  <c r="BX15" i="1"/>
  <c r="BX16" i="1"/>
  <c r="BX13" i="1"/>
  <c r="BX12" i="1"/>
  <c r="BX20" i="1"/>
  <c r="BX17" i="1"/>
  <c r="BX22" i="1"/>
  <c r="BX19" i="1"/>
  <c r="BX23" i="1"/>
  <c r="BX18" i="1"/>
  <c r="BX25" i="1"/>
  <c r="BX27" i="1"/>
  <c r="BX28" i="1"/>
  <c r="BX29" i="1"/>
  <c r="BX30" i="1"/>
  <c r="BX31" i="1"/>
  <c r="BX26" i="1"/>
  <c r="BX35" i="1"/>
  <c r="BX37" i="1"/>
  <c r="BX21" i="1"/>
  <c r="BX33" i="1"/>
  <c r="BX36" i="1"/>
  <c r="BX38" i="1"/>
  <c r="BX39" i="1"/>
  <c r="BX40" i="1"/>
  <c r="BX41" i="1"/>
  <c r="BX42" i="1"/>
  <c r="BX43" i="1"/>
  <c r="BX44" i="1"/>
  <c r="BX34" i="1"/>
  <c r="BX24" i="1"/>
  <c r="BX32" i="1"/>
  <c r="BX45" i="1"/>
  <c r="BX46" i="1"/>
  <c r="BX47" i="1"/>
  <c r="BX48" i="1"/>
  <c r="BX49" i="1"/>
  <c r="BX50" i="1"/>
  <c r="BX52" i="1"/>
  <c r="BX51" i="1"/>
  <c r="BX58" i="1"/>
  <c r="BX56" i="1"/>
  <c r="BX55" i="1"/>
  <c r="BX63" i="1"/>
  <c r="BX54" i="1"/>
  <c r="BX62" i="1"/>
  <c r="BX61" i="1"/>
  <c r="BX64" i="1"/>
  <c r="BX66" i="1"/>
  <c r="BX59" i="1"/>
  <c r="BX57" i="1"/>
  <c r="BX65" i="1"/>
  <c r="BX67" i="1"/>
  <c r="BX75" i="1"/>
  <c r="BX70" i="1"/>
  <c r="BX73" i="1"/>
  <c r="BX68" i="1"/>
  <c r="BX77" i="1"/>
  <c r="BX71" i="1"/>
  <c r="BX78" i="1"/>
  <c r="BX79" i="1"/>
  <c r="BX80" i="1"/>
  <c r="BX81" i="1"/>
  <c r="BX82" i="1"/>
  <c r="BX83" i="1"/>
  <c r="BX84" i="1"/>
  <c r="BX85" i="1"/>
  <c r="BX86" i="1"/>
  <c r="BX87" i="1"/>
  <c r="BX88" i="1"/>
  <c r="BX89" i="1"/>
  <c r="BX60" i="1"/>
  <c r="BX74" i="1"/>
  <c r="BX53" i="1"/>
  <c r="BX69" i="1"/>
  <c r="BX76" i="1"/>
  <c r="BX72" i="1"/>
  <c r="BX90" i="1"/>
  <c r="BX91" i="1"/>
  <c r="BX92" i="1"/>
  <c r="BX93" i="1"/>
  <c r="BX94" i="1"/>
  <c r="BX95" i="1"/>
  <c r="BX96" i="1"/>
  <c r="BX97" i="1"/>
  <c r="BX98" i="1"/>
  <c r="BX99" i="1"/>
  <c r="BX100" i="1"/>
  <c r="BX101" i="1"/>
  <c r="BX102" i="1"/>
  <c r="BX103" i="1"/>
  <c r="BX104" i="1"/>
  <c r="BX105" i="1"/>
  <c r="BX106" i="1"/>
  <c r="BX107" i="1"/>
  <c r="BX108" i="1"/>
  <c r="BX110" i="1"/>
  <c r="BX113" i="1"/>
  <c r="BX117" i="1"/>
  <c r="BX112" i="1"/>
  <c r="BX116" i="1"/>
  <c r="BX109" i="1"/>
  <c r="BX115" i="1"/>
  <c r="BX119" i="1"/>
  <c r="BX118" i="1"/>
  <c r="BX122" i="1"/>
  <c r="BX123" i="1"/>
  <c r="BX124" i="1"/>
  <c r="BX125" i="1"/>
  <c r="BX126" i="1"/>
  <c r="BX127" i="1"/>
  <c r="BX128" i="1"/>
  <c r="BX129" i="1"/>
  <c r="BX130" i="1"/>
  <c r="BX131" i="1"/>
  <c r="BX120" i="1"/>
  <c r="BX114" i="1"/>
  <c r="BX121" i="1"/>
  <c r="BX132" i="1"/>
  <c r="BX134" i="1"/>
  <c r="BX135" i="1"/>
  <c r="BX136" i="1"/>
  <c r="BX137" i="1"/>
  <c r="BX138" i="1"/>
  <c r="BX139" i="1"/>
  <c r="BX140" i="1"/>
  <c r="BX141" i="1"/>
  <c r="BX142" i="1"/>
  <c r="BX111" i="1"/>
  <c r="BX144" i="1"/>
  <c r="BX143" i="1"/>
  <c r="BX145" i="1"/>
  <c r="BX146" i="1"/>
  <c r="BX147" i="1"/>
  <c r="BX148" i="1"/>
  <c r="BX149" i="1"/>
  <c r="BX150" i="1"/>
  <c r="BX151" i="1"/>
  <c r="BX152" i="1"/>
  <c r="BX153" i="1"/>
  <c r="BX154" i="1"/>
  <c r="BX155" i="1"/>
  <c r="BX156" i="1"/>
  <c r="BX157" i="1"/>
  <c r="BX158" i="1"/>
  <c r="BX159" i="1"/>
  <c r="BX160" i="1"/>
  <c r="BX161" i="1"/>
  <c r="BX133" i="1"/>
  <c r="BP5" i="1"/>
  <c r="BP6" i="1"/>
  <c r="BP7" i="1"/>
  <c r="BP8" i="1"/>
  <c r="BP9" i="1"/>
  <c r="BP10" i="1"/>
  <c r="BP11" i="1"/>
  <c r="BP14" i="1"/>
  <c r="BP15" i="1"/>
  <c r="BP16" i="1"/>
  <c r="BP13" i="1"/>
  <c r="BP12" i="1"/>
  <c r="BP21" i="1"/>
  <c r="BP18" i="1"/>
  <c r="BP23" i="1"/>
  <c r="BP24" i="1"/>
  <c r="BP19" i="1"/>
  <c r="BP20" i="1"/>
  <c r="BP26" i="1"/>
  <c r="BP28" i="1"/>
  <c r="BP29" i="1"/>
  <c r="BP30" i="1"/>
  <c r="BP31" i="1"/>
  <c r="BP27" i="1"/>
  <c r="BP17" i="1"/>
  <c r="BP36" i="1"/>
  <c r="BP37" i="1"/>
  <c r="BP34" i="1"/>
  <c r="BP25" i="1"/>
  <c r="BP32" i="1"/>
  <c r="BP38" i="1"/>
  <c r="BP39" i="1"/>
  <c r="BP40" i="1"/>
  <c r="BP41" i="1"/>
  <c r="BP42" i="1"/>
  <c r="BP43" i="1"/>
  <c r="BP44" i="1"/>
  <c r="BP22" i="1"/>
  <c r="BP35" i="1"/>
  <c r="BP45" i="1"/>
  <c r="BP46" i="1"/>
  <c r="BP47" i="1"/>
  <c r="BP48" i="1"/>
  <c r="BP49" i="1"/>
  <c r="BP50" i="1"/>
  <c r="BP33" i="1"/>
  <c r="BP59" i="1"/>
  <c r="BP51" i="1"/>
  <c r="BP57" i="1"/>
  <c r="BP56" i="1"/>
  <c r="BP55" i="1"/>
  <c r="BP63" i="1"/>
  <c r="BP65" i="1"/>
  <c r="BP54" i="1"/>
  <c r="BP62" i="1"/>
  <c r="BP64" i="1"/>
  <c r="BP66" i="1"/>
  <c r="BP53" i="1"/>
  <c r="BP61" i="1"/>
  <c r="BP67" i="1"/>
  <c r="BP68" i="1"/>
  <c r="BP71" i="1"/>
  <c r="BP76" i="1"/>
  <c r="BP74" i="1"/>
  <c r="BP60" i="1"/>
  <c r="BP69" i="1"/>
  <c r="BP52" i="1"/>
  <c r="BP58" i="1"/>
  <c r="BP72" i="1"/>
  <c r="BP78" i="1"/>
  <c r="BP79" i="1"/>
  <c r="BP80" i="1"/>
  <c r="BP81" i="1"/>
  <c r="BP82" i="1"/>
  <c r="BP83" i="1"/>
  <c r="BP84" i="1"/>
  <c r="BP85" i="1"/>
  <c r="BP86" i="1"/>
  <c r="BP87" i="1"/>
  <c r="BP88" i="1"/>
  <c r="BP89" i="1"/>
  <c r="BP75" i="1"/>
  <c r="BP77" i="1"/>
  <c r="BP70" i="1"/>
  <c r="BP90" i="1"/>
  <c r="BP91" i="1"/>
  <c r="BP92" i="1"/>
  <c r="BP93" i="1"/>
  <c r="BP94" i="1"/>
  <c r="BP95" i="1"/>
  <c r="BP96" i="1"/>
  <c r="BP97" i="1"/>
  <c r="BP98" i="1"/>
  <c r="BP99" i="1"/>
  <c r="BP100" i="1"/>
  <c r="BP101" i="1"/>
  <c r="BP102" i="1"/>
  <c r="BP103" i="1"/>
  <c r="BP104" i="1"/>
  <c r="BP105" i="1"/>
  <c r="BP106" i="1"/>
  <c r="BP107" i="1"/>
  <c r="BP108" i="1"/>
  <c r="BP73" i="1"/>
  <c r="BP111" i="1"/>
  <c r="BP114" i="1"/>
  <c r="BP118" i="1"/>
  <c r="BP113" i="1"/>
  <c r="BP117" i="1"/>
  <c r="BP110" i="1"/>
  <c r="BP116" i="1"/>
  <c r="BP120" i="1"/>
  <c r="BP109" i="1"/>
  <c r="BP122" i="1"/>
  <c r="BP123" i="1"/>
  <c r="BP124" i="1"/>
  <c r="BP125" i="1"/>
  <c r="BP126" i="1"/>
  <c r="BP127" i="1"/>
  <c r="BP128" i="1"/>
  <c r="BP129" i="1"/>
  <c r="BP130" i="1"/>
  <c r="BP131" i="1"/>
  <c r="BP112" i="1"/>
  <c r="BP115" i="1"/>
  <c r="BP119" i="1"/>
  <c r="BP121" i="1"/>
  <c r="BP134" i="1"/>
  <c r="BP135" i="1"/>
  <c r="BP136" i="1"/>
  <c r="BP137" i="1"/>
  <c r="BP138" i="1"/>
  <c r="BP139" i="1"/>
  <c r="BP140" i="1"/>
  <c r="BP141" i="1"/>
  <c r="BP142" i="1"/>
  <c r="BP143" i="1"/>
  <c r="BP133" i="1"/>
  <c r="BP132" i="1"/>
  <c r="BP145" i="1"/>
  <c r="BP146" i="1"/>
  <c r="BP147" i="1"/>
  <c r="BP148" i="1"/>
  <c r="BP149" i="1"/>
  <c r="BP150" i="1"/>
  <c r="BP151" i="1"/>
  <c r="BP152" i="1"/>
  <c r="BP153" i="1"/>
  <c r="BP154" i="1"/>
  <c r="BP155" i="1"/>
  <c r="BP156" i="1"/>
  <c r="BP157" i="1"/>
  <c r="BP158" i="1"/>
  <c r="BP159" i="1"/>
  <c r="BP160" i="1"/>
  <c r="BP161" i="1"/>
  <c r="BH5" i="1"/>
  <c r="BH6" i="1"/>
  <c r="BH7" i="1"/>
  <c r="BH8" i="1"/>
  <c r="BH9" i="1"/>
  <c r="BH10" i="1"/>
  <c r="BH11" i="1"/>
  <c r="BH12" i="1"/>
  <c r="BH14" i="1"/>
  <c r="BH15" i="1"/>
  <c r="BH16" i="1"/>
  <c r="BH17" i="1"/>
  <c r="BH13" i="1"/>
  <c r="BH22" i="1"/>
  <c r="BH19" i="1"/>
  <c r="BH24" i="1"/>
  <c r="BH20" i="1"/>
  <c r="BH23" i="1"/>
  <c r="BH29" i="1"/>
  <c r="BH30" i="1"/>
  <c r="BH31" i="1"/>
  <c r="BH28" i="1"/>
  <c r="BH18" i="1"/>
  <c r="BH21" i="1"/>
  <c r="BH25" i="1"/>
  <c r="BH26" i="1"/>
  <c r="BH27" i="1"/>
  <c r="BH32" i="1"/>
  <c r="BH35" i="1"/>
  <c r="BH37" i="1"/>
  <c r="BH33" i="1"/>
  <c r="BH38" i="1"/>
  <c r="BH39" i="1"/>
  <c r="BH40" i="1"/>
  <c r="BH41" i="1"/>
  <c r="BH42" i="1"/>
  <c r="BH43" i="1"/>
  <c r="BH44" i="1"/>
  <c r="BH36" i="1"/>
  <c r="BH34" i="1"/>
  <c r="BH45" i="1"/>
  <c r="BH46" i="1"/>
  <c r="BH47" i="1"/>
  <c r="BH48" i="1"/>
  <c r="BH49" i="1"/>
  <c r="BH50" i="1"/>
  <c r="BH53" i="1"/>
  <c r="BH60" i="1"/>
  <c r="BH58" i="1"/>
  <c r="BH52" i="1"/>
  <c r="BH57" i="1"/>
  <c r="BH51" i="1"/>
  <c r="BH56" i="1"/>
  <c r="BH63" i="1"/>
  <c r="BH64" i="1"/>
  <c r="BH66" i="1"/>
  <c r="BH67" i="1"/>
  <c r="BH54" i="1"/>
  <c r="BH61" i="1"/>
  <c r="BH59" i="1"/>
  <c r="BH55" i="1"/>
  <c r="BH65" i="1"/>
  <c r="BH69" i="1"/>
  <c r="BH72" i="1"/>
  <c r="BH62" i="1"/>
  <c r="BH75" i="1"/>
  <c r="BH70" i="1"/>
  <c r="BH73" i="1"/>
  <c r="BH76" i="1"/>
  <c r="BH78" i="1"/>
  <c r="BH79" i="1"/>
  <c r="BH80" i="1"/>
  <c r="BH81" i="1"/>
  <c r="BH82" i="1"/>
  <c r="BH83" i="1"/>
  <c r="BH84" i="1"/>
  <c r="BH85" i="1"/>
  <c r="BH86" i="1"/>
  <c r="BH87" i="1"/>
  <c r="BH88" i="1"/>
  <c r="BH89" i="1"/>
  <c r="BH68" i="1"/>
  <c r="BH71" i="1"/>
  <c r="BH90" i="1"/>
  <c r="BH91" i="1"/>
  <c r="BH92" i="1"/>
  <c r="BH93" i="1"/>
  <c r="BH94" i="1"/>
  <c r="BH95" i="1"/>
  <c r="BH96" i="1"/>
  <c r="BH97" i="1"/>
  <c r="BH98" i="1"/>
  <c r="BH99" i="1"/>
  <c r="BH100" i="1"/>
  <c r="BH101" i="1"/>
  <c r="BH102" i="1"/>
  <c r="BH103" i="1"/>
  <c r="BH104" i="1"/>
  <c r="BH105" i="1"/>
  <c r="BH106" i="1"/>
  <c r="BH107" i="1"/>
  <c r="BH108" i="1"/>
  <c r="BH77" i="1"/>
  <c r="BH112" i="1"/>
  <c r="BH115" i="1"/>
  <c r="BH119" i="1"/>
  <c r="BH74" i="1"/>
  <c r="BH114" i="1"/>
  <c r="BH118" i="1"/>
  <c r="BH111" i="1"/>
  <c r="BH113" i="1"/>
  <c r="BH117" i="1"/>
  <c r="BH121" i="1"/>
  <c r="BH122" i="1"/>
  <c r="BH123" i="1"/>
  <c r="BH124" i="1"/>
  <c r="BH125" i="1"/>
  <c r="BH126" i="1"/>
  <c r="BH127" i="1"/>
  <c r="BH128" i="1"/>
  <c r="BH129" i="1"/>
  <c r="BH130" i="1"/>
  <c r="BH131" i="1"/>
  <c r="BH110" i="1"/>
  <c r="BH116" i="1"/>
  <c r="BH109" i="1"/>
  <c r="BH133" i="1"/>
  <c r="BH120" i="1"/>
  <c r="BH134" i="1"/>
  <c r="BH135" i="1"/>
  <c r="BH136" i="1"/>
  <c r="BH137" i="1"/>
  <c r="BH138" i="1"/>
  <c r="BH139" i="1"/>
  <c r="BH140" i="1"/>
  <c r="BH141" i="1"/>
  <c r="BH142" i="1"/>
  <c r="BH132" i="1"/>
  <c r="BH144" i="1"/>
  <c r="BH143" i="1"/>
  <c r="BH146" i="1"/>
  <c r="BH147" i="1"/>
  <c r="BH148" i="1"/>
  <c r="BH149" i="1"/>
  <c r="BH150" i="1"/>
  <c r="BH151" i="1"/>
  <c r="BH152" i="1"/>
  <c r="BH153" i="1"/>
  <c r="BH154" i="1"/>
  <c r="BH155" i="1"/>
  <c r="BH156" i="1"/>
  <c r="BH157" i="1"/>
  <c r="BH158" i="1"/>
  <c r="BH159" i="1"/>
  <c r="BH160" i="1"/>
  <c r="BH161" i="1"/>
  <c r="BH145" i="1"/>
  <c r="AZ5" i="1"/>
  <c r="AZ6" i="1"/>
  <c r="AZ7" i="1"/>
  <c r="AZ8" i="1"/>
  <c r="AZ9" i="1"/>
  <c r="AZ10" i="1"/>
  <c r="AZ11" i="1"/>
  <c r="AZ13" i="1"/>
  <c r="AZ14" i="1"/>
  <c r="AZ15" i="1"/>
  <c r="AZ16" i="1"/>
  <c r="AZ17" i="1"/>
  <c r="AZ12" i="1"/>
  <c r="AZ23" i="1"/>
  <c r="AZ20" i="1"/>
  <c r="AZ18" i="1"/>
  <c r="AZ22" i="1"/>
  <c r="AZ29" i="1"/>
  <c r="AZ30" i="1"/>
  <c r="AZ31" i="1"/>
  <c r="AZ32" i="1"/>
  <c r="AZ21" i="1"/>
  <c r="AZ24" i="1"/>
  <c r="AZ26" i="1"/>
  <c r="AZ19" i="1"/>
  <c r="AZ28" i="1"/>
  <c r="AZ27" i="1"/>
  <c r="AZ33" i="1"/>
  <c r="AZ25" i="1"/>
  <c r="AZ36" i="1"/>
  <c r="AZ34" i="1"/>
  <c r="AZ38" i="1"/>
  <c r="AZ39" i="1"/>
  <c r="AZ40" i="1"/>
  <c r="AZ41" i="1"/>
  <c r="AZ42" i="1"/>
  <c r="AZ43" i="1"/>
  <c r="AZ44" i="1"/>
  <c r="AZ45" i="1"/>
  <c r="AZ37" i="1"/>
  <c r="AZ46" i="1"/>
  <c r="AZ47" i="1"/>
  <c r="AZ48" i="1"/>
  <c r="AZ49" i="1"/>
  <c r="AZ50" i="1"/>
  <c r="AZ35" i="1"/>
  <c r="AZ54" i="1"/>
  <c r="AZ53" i="1"/>
  <c r="AZ61" i="1"/>
  <c r="AZ59" i="1"/>
  <c r="AZ58" i="1"/>
  <c r="AZ57" i="1"/>
  <c r="AZ56" i="1"/>
  <c r="AZ65" i="1"/>
  <c r="AZ67" i="1"/>
  <c r="AZ64" i="1"/>
  <c r="AZ66" i="1"/>
  <c r="AZ51" i="1"/>
  <c r="AZ63" i="1"/>
  <c r="AZ62" i="1"/>
  <c r="AZ70" i="1"/>
  <c r="AZ60" i="1"/>
  <c r="AZ73" i="1"/>
  <c r="AZ77" i="1"/>
  <c r="AZ68" i="1"/>
  <c r="AZ52" i="1"/>
  <c r="AZ71" i="1"/>
  <c r="AZ74" i="1"/>
  <c r="AZ78" i="1"/>
  <c r="AZ79" i="1"/>
  <c r="AZ80" i="1"/>
  <c r="AZ81" i="1"/>
  <c r="AZ82" i="1"/>
  <c r="AZ83" i="1"/>
  <c r="AZ84" i="1"/>
  <c r="AZ85" i="1"/>
  <c r="AZ86" i="1"/>
  <c r="AZ87" i="1"/>
  <c r="AZ88" i="1"/>
  <c r="AZ89" i="1"/>
  <c r="AZ90" i="1"/>
  <c r="AZ69" i="1"/>
  <c r="AZ55" i="1"/>
  <c r="AZ72" i="1"/>
  <c r="AZ75" i="1"/>
  <c r="AZ91" i="1"/>
  <c r="AZ92" i="1"/>
  <c r="AZ93" i="1"/>
  <c r="AZ94" i="1"/>
  <c r="AZ95" i="1"/>
  <c r="AZ96" i="1"/>
  <c r="AZ97" i="1"/>
  <c r="AZ98" i="1"/>
  <c r="AZ99" i="1"/>
  <c r="AZ100" i="1"/>
  <c r="AZ101" i="1"/>
  <c r="AZ102" i="1"/>
  <c r="AZ103" i="1"/>
  <c r="AZ104" i="1"/>
  <c r="AZ105" i="1"/>
  <c r="AZ106" i="1"/>
  <c r="AZ107" i="1"/>
  <c r="AZ108" i="1"/>
  <c r="AZ76" i="1"/>
  <c r="AZ116" i="1"/>
  <c r="AZ120" i="1"/>
  <c r="AZ115" i="1"/>
  <c r="AZ112" i="1"/>
  <c r="AZ109" i="1"/>
  <c r="AZ114" i="1"/>
  <c r="AZ118" i="1"/>
  <c r="AZ111" i="1"/>
  <c r="AZ113" i="1"/>
  <c r="AZ122" i="1"/>
  <c r="AZ123" i="1"/>
  <c r="AZ124" i="1"/>
  <c r="AZ125" i="1"/>
  <c r="AZ126" i="1"/>
  <c r="AZ127" i="1"/>
  <c r="AZ128" i="1"/>
  <c r="AZ129" i="1"/>
  <c r="AZ130" i="1"/>
  <c r="AZ131" i="1"/>
  <c r="AZ110" i="1"/>
  <c r="AZ121" i="1"/>
  <c r="AZ117" i="1"/>
  <c r="AZ133" i="1"/>
  <c r="AZ119" i="1"/>
  <c r="AZ134" i="1"/>
  <c r="AZ135" i="1"/>
  <c r="AZ136" i="1"/>
  <c r="AZ137" i="1"/>
  <c r="AZ138" i="1"/>
  <c r="AZ139" i="1"/>
  <c r="AZ140" i="1"/>
  <c r="AZ141" i="1"/>
  <c r="AZ142" i="1"/>
  <c r="AZ145" i="1"/>
  <c r="AZ132" i="1"/>
  <c r="AZ144" i="1"/>
  <c r="AZ143" i="1"/>
  <c r="AZ146" i="1"/>
  <c r="AZ147" i="1"/>
  <c r="AZ148" i="1"/>
  <c r="AZ149" i="1"/>
  <c r="AZ150" i="1"/>
  <c r="AZ151" i="1"/>
  <c r="AZ152" i="1"/>
  <c r="AZ153" i="1"/>
  <c r="AZ154" i="1"/>
  <c r="AZ155" i="1"/>
  <c r="AZ156" i="1"/>
  <c r="AZ157" i="1"/>
  <c r="AZ158" i="1"/>
  <c r="AZ159" i="1"/>
  <c r="AZ160" i="1"/>
  <c r="AZ161" i="1"/>
  <c r="BY175" i="1"/>
  <c r="BQ175" i="1"/>
  <c r="BI175" i="1"/>
  <c r="BA175" i="1"/>
  <c r="BY174" i="1"/>
  <c r="BQ174" i="1"/>
  <c r="BI174" i="1"/>
  <c r="BA174" i="1"/>
  <c r="BY173" i="1"/>
  <c r="BQ173" i="1"/>
  <c r="BI173" i="1"/>
  <c r="AZ173" i="1"/>
  <c r="BX172" i="1"/>
  <c r="AY172" i="1"/>
  <c r="BG171" i="1"/>
  <c r="BZ170" i="1"/>
  <c r="BO170" i="1"/>
  <c r="BA170" i="1"/>
  <c r="BW169" i="1"/>
  <c r="BI169" i="1"/>
  <c r="BQ168" i="1"/>
  <c r="BY167" i="1"/>
  <c r="BK167" i="1"/>
  <c r="AZ167" i="1"/>
  <c r="BS166" i="1"/>
  <c r="BH166" i="1"/>
  <c r="CA165" i="1"/>
  <c r="BP165" i="1"/>
  <c r="BB165" i="1"/>
  <c r="BX164" i="1"/>
  <c r="BJ164" i="1"/>
  <c r="AY164" i="1"/>
  <c r="BR163" i="1"/>
  <c r="BG163" i="1"/>
  <c r="BZ162" i="1"/>
  <c r="BO162" i="1"/>
  <c r="BA162" i="1"/>
  <c r="BZ161" i="1"/>
  <c r="BJ161" i="1"/>
  <c r="AT161" i="1"/>
  <c r="BR160" i="1"/>
  <c r="BB160" i="1"/>
  <c r="BW159" i="1"/>
  <c r="AY158" i="1"/>
  <c r="BG157" i="1"/>
  <c r="BG156" i="1"/>
  <c r="BO155" i="1"/>
  <c r="BW154" i="1"/>
  <c r="CD144" i="1"/>
  <c r="BW5" i="1"/>
  <c r="BW6" i="1"/>
  <c r="BW7" i="1"/>
  <c r="BW8" i="1"/>
  <c r="BW9" i="1"/>
  <c r="BW10" i="1"/>
  <c r="BW11" i="1"/>
  <c r="BW12" i="1"/>
  <c r="BW13" i="1"/>
  <c r="BW14" i="1"/>
  <c r="BW15" i="1"/>
  <c r="BW17" i="1"/>
  <c r="BW19" i="1"/>
  <c r="BW16" i="1"/>
  <c r="BW20" i="1"/>
  <c r="BW18" i="1"/>
  <c r="BW25" i="1"/>
  <c r="BW27" i="1"/>
  <c r="BW28" i="1"/>
  <c r="BW29" i="1"/>
  <c r="BW30" i="1"/>
  <c r="BW31" i="1"/>
  <c r="BW22" i="1"/>
  <c r="BW21" i="1"/>
  <c r="BW26" i="1"/>
  <c r="BW24" i="1"/>
  <c r="BW23" i="1"/>
  <c r="BW32" i="1"/>
  <c r="BW33" i="1"/>
  <c r="BW34" i="1"/>
  <c r="BW35" i="1"/>
  <c r="BW36" i="1"/>
  <c r="BW38" i="1"/>
  <c r="BW39" i="1"/>
  <c r="BW40" i="1"/>
  <c r="BW41" i="1"/>
  <c r="BW42" i="1"/>
  <c r="BW43" i="1"/>
  <c r="BW37" i="1"/>
  <c r="BW49" i="1"/>
  <c r="BW50" i="1"/>
  <c r="BW52" i="1"/>
  <c r="BW51" i="1"/>
  <c r="BW57" i="1"/>
  <c r="BW47" i="1"/>
  <c r="BW55" i="1"/>
  <c r="BW63" i="1"/>
  <c r="BW44" i="1"/>
  <c r="BW54" i="1"/>
  <c r="BW62" i="1"/>
  <c r="BW48" i="1"/>
  <c r="BW53" i="1"/>
  <c r="BW61" i="1"/>
  <c r="BW64" i="1"/>
  <c r="BW65" i="1"/>
  <c r="BW66" i="1"/>
  <c r="BW67" i="1"/>
  <c r="BW60" i="1"/>
  <c r="BW45" i="1"/>
  <c r="BW58" i="1"/>
  <c r="BW46" i="1"/>
  <c r="BW56" i="1"/>
  <c r="BW68" i="1"/>
  <c r="BW69" i="1"/>
  <c r="BW70" i="1"/>
  <c r="BW71" i="1"/>
  <c r="BW72" i="1"/>
  <c r="BW73" i="1"/>
  <c r="BW74" i="1"/>
  <c r="BW75" i="1"/>
  <c r="BW59" i="1"/>
  <c r="BW77" i="1"/>
  <c r="BW78" i="1"/>
  <c r="BW79" i="1"/>
  <c r="BW80" i="1"/>
  <c r="BW81" i="1"/>
  <c r="BW82" i="1"/>
  <c r="BW83" i="1"/>
  <c r="BW84" i="1"/>
  <c r="BW85" i="1"/>
  <c r="BW86" i="1"/>
  <c r="BW87" i="1"/>
  <c r="BW88" i="1"/>
  <c r="BW76" i="1"/>
  <c r="BW90" i="1"/>
  <c r="BW91" i="1"/>
  <c r="BW92" i="1"/>
  <c r="BW93" i="1"/>
  <c r="BW94" i="1"/>
  <c r="BW95" i="1"/>
  <c r="BW96" i="1"/>
  <c r="BW97" i="1"/>
  <c r="BW98" i="1"/>
  <c r="BW99" i="1"/>
  <c r="BW100" i="1"/>
  <c r="BW101" i="1"/>
  <c r="BW109" i="1"/>
  <c r="BW110" i="1"/>
  <c r="BW111" i="1"/>
  <c r="BW112" i="1"/>
  <c r="BW113" i="1"/>
  <c r="BW114" i="1"/>
  <c r="BW115" i="1"/>
  <c r="BW116" i="1"/>
  <c r="BW117" i="1"/>
  <c r="BW118" i="1"/>
  <c r="BW119" i="1"/>
  <c r="BW120" i="1"/>
  <c r="BW108" i="1"/>
  <c r="BW102" i="1"/>
  <c r="BW89" i="1"/>
  <c r="BW107" i="1"/>
  <c r="BW104" i="1"/>
  <c r="BW121" i="1"/>
  <c r="BW106" i="1"/>
  <c r="BW105" i="1"/>
  <c r="BW103" i="1"/>
  <c r="BW122" i="1"/>
  <c r="BW130" i="1"/>
  <c r="BW131" i="1"/>
  <c r="BW132" i="1"/>
  <c r="BW125" i="1"/>
  <c r="BW128" i="1"/>
  <c r="BW126" i="1"/>
  <c r="BW129" i="1"/>
  <c r="BW133" i="1"/>
  <c r="BW123" i="1"/>
  <c r="BW139" i="1"/>
  <c r="BW127" i="1"/>
  <c r="BW134" i="1"/>
  <c r="BW142" i="1"/>
  <c r="BW144" i="1"/>
  <c r="BW124" i="1"/>
  <c r="BW137" i="1"/>
  <c r="BW140" i="1"/>
  <c r="BW135" i="1"/>
  <c r="BW143" i="1"/>
  <c r="BW138" i="1"/>
  <c r="BW141" i="1"/>
  <c r="BW136" i="1"/>
  <c r="BO5" i="1"/>
  <c r="BO6" i="1"/>
  <c r="BO7" i="1"/>
  <c r="BO8" i="1"/>
  <c r="BO9" i="1"/>
  <c r="BO10" i="1"/>
  <c r="BO11" i="1"/>
  <c r="BO12" i="1"/>
  <c r="BO13" i="1"/>
  <c r="BO14" i="1"/>
  <c r="BO16" i="1"/>
  <c r="BO18" i="1"/>
  <c r="BO20" i="1"/>
  <c r="BO17" i="1"/>
  <c r="BO21" i="1"/>
  <c r="BO26" i="1"/>
  <c r="BO28" i="1"/>
  <c r="BO29" i="1"/>
  <c r="BO30" i="1"/>
  <c r="BO31" i="1"/>
  <c r="BO15" i="1"/>
  <c r="BO27" i="1"/>
  <c r="BO23" i="1"/>
  <c r="BO25" i="1"/>
  <c r="BO24" i="1"/>
  <c r="BO22" i="1"/>
  <c r="BO32" i="1"/>
  <c r="BO33" i="1"/>
  <c r="BO34" i="1"/>
  <c r="BO35" i="1"/>
  <c r="BO36" i="1"/>
  <c r="BO37" i="1"/>
  <c r="BO38" i="1"/>
  <c r="BO39" i="1"/>
  <c r="BO40" i="1"/>
  <c r="BO41" i="1"/>
  <c r="BO42" i="1"/>
  <c r="BO19" i="1"/>
  <c r="BO44" i="1"/>
  <c r="BO43" i="1"/>
  <c r="BO47" i="1"/>
  <c r="BO49" i="1"/>
  <c r="BO48" i="1"/>
  <c r="BO50" i="1"/>
  <c r="BO52" i="1"/>
  <c r="BO58" i="1"/>
  <c r="BO56" i="1"/>
  <c r="BO45" i="1"/>
  <c r="BO46" i="1"/>
  <c r="BO55" i="1"/>
  <c r="BO63" i="1"/>
  <c r="BO54" i="1"/>
  <c r="BO62" i="1"/>
  <c r="BO64" i="1"/>
  <c r="BO65" i="1"/>
  <c r="BO66" i="1"/>
  <c r="BO67" i="1"/>
  <c r="BO53" i="1"/>
  <c r="BO61" i="1"/>
  <c r="BO60" i="1"/>
  <c r="BO68" i="1"/>
  <c r="BO69" i="1"/>
  <c r="BO70" i="1"/>
  <c r="BO71" i="1"/>
  <c r="BO72" i="1"/>
  <c r="BO73" i="1"/>
  <c r="BO74" i="1"/>
  <c r="BO75" i="1"/>
  <c r="BO57" i="1"/>
  <c r="BO76" i="1"/>
  <c r="BO78" i="1"/>
  <c r="BO79" i="1"/>
  <c r="BO80" i="1"/>
  <c r="BO81" i="1"/>
  <c r="BO82" i="1"/>
  <c r="BO83" i="1"/>
  <c r="BO84" i="1"/>
  <c r="BO85" i="1"/>
  <c r="BO86" i="1"/>
  <c r="BO87" i="1"/>
  <c r="BO88" i="1"/>
  <c r="BO77" i="1"/>
  <c r="BO51" i="1"/>
  <c r="BO89" i="1"/>
  <c r="BO90" i="1"/>
  <c r="BO91" i="1"/>
  <c r="BO92" i="1"/>
  <c r="BO93" i="1"/>
  <c r="BO94" i="1"/>
  <c r="BO95" i="1"/>
  <c r="BO96" i="1"/>
  <c r="BO97" i="1"/>
  <c r="BO98" i="1"/>
  <c r="BO99" i="1"/>
  <c r="BO100" i="1"/>
  <c r="BO101" i="1"/>
  <c r="BO102" i="1"/>
  <c r="BO59" i="1"/>
  <c r="BO109" i="1"/>
  <c r="BO110" i="1"/>
  <c r="BO111" i="1"/>
  <c r="BO112" i="1"/>
  <c r="BO113" i="1"/>
  <c r="BO114" i="1"/>
  <c r="BO115" i="1"/>
  <c r="BO116" i="1"/>
  <c r="BO117" i="1"/>
  <c r="BO118" i="1"/>
  <c r="BO119" i="1"/>
  <c r="BO120" i="1"/>
  <c r="BO103" i="1"/>
  <c r="BO108" i="1"/>
  <c r="BO105" i="1"/>
  <c r="BO121" i="1"/>
  <c r="BO104" i="1"/>
  <c r="BO107" i="1"/>
  <c r="BO106" i="1"/>
  <c r="BO123" i="1"/>
  <c r="BO126" i="1"/>
  <c r="BO129" i="1"/>
  <c r="BO132" i="1"/>
  <c r="BO127" i="1"/>
  <c r="BO122" i="1"/>
  <c r="BO130" i="1"/>
  <c r="BO140" i="1"/>
  <c r="BO124" i="1"/>
  <c r="BO135" i="1"/>
  <c r="BO128" i="1"/>
  <c r="BO138" i="1"/>
  <c r="BO125" i="1"/>
  <c r="BO141" i="1"/>
  <c r="BO131" i="1"/>
  <c r="BO133" i="1"/>
  <c r="BO136" i="1"/>
  <c r="BO144" i="1"/>
  <c r="BO139" i="1"/>
  <c r="BO134" i="1"/>
  <c r="BO142" i="1"/>
  <c r="BO137" i="1"/>
  <c r="BO143" i="1"/>
  <c r="BG5" i="1"/>
  <c r="BG6" i="1"/>
  <c r="BG7" i="1"/>
  <c r="BG8" i="1"/>
  <c r="BG9" i="1"/>
  <c r="BG10" i="1"/>
  <c r="BG11" i="1"/>
  <c r="BG12" i="1"/>
  <c r="BG13" i="1"/>
  <c r="BG14" i="1"/>
  <c r="BG17" i="1"/>
  <c r="BG19" i="1"/>
  <c r="BG15" i="1"/>
  <c r="BG21" i="1"/>
  <c r="BG18" i="1"/>
  <c r="BG22" i="1"/>
  <c r="BG29" i="1"/>
  <c r="BG30" i="1"/>
  <c r="BG31" i="1"/>
  <c r="BG28" i="1"/>
  <c r="BG26" i="1"/>
  <c r="BG27" i="1"/>
  <c r="BG16" i="1"/>
  <c r="BG25" i="1"/>
  <c r="BG20" i="1"/>
  <c r="BG23" i="1"/>
  <c r="BG32" i="1"/>
  <c r="BG33" i="1"/>
  <c r="BG34" i="1"/>
  <c r="BG35" i="1"/>
  <c r="BG36" i="1"/>
  <c r="BG37" i="1"/>
  <c r="BG38" i="1"/>
  <c r="BG39" i="1"/>
  <c r="BG40" i="1"/>
  <c r="BG41" i="1"/>
  <c r="BG42" i="1"/>
  <c r="BG24" i="1"/>
  <c r="BG44" i="1"/>
  <c r="BG45" i="1"/>
  <c r="BG43" i="1"/>
  <c r="BG46" i="1"/>
  <c r="BG59" i="1"/>
  <c r="BG52" i="1"/>
  <c r="BG57" i="1"/>
  <c r="BG48" i="1"/>
  <c r="BG49" i="1"/>
  <c r="BG50" i="1"/>
  <c r="BG51" i="1"/>
  <c r="BG56" i="1"/>
  <c r="BG47" i="1"/>
  <c r="BG55" i="1"/>
  <c r="BG63" i="1"/>
  <c r="BG64" i="1"/>
  <c r="BG65" i="1"/>
  <c r="BG66" i="1"/>
  <c r="BG67" i="1"/>
  <c r="BG62" i="1"/>
  <c r="BG53" i="1"/>
  <c r="BG60" i="1"/>
  <c r="BG58" i="1"/>
  <c r="BG68" i="1"/>
  <c r="BG69" i="1"/>
  <c r="BG70" i="1"/>
  <c r="BG71" i="1"/>
  <c r="BG72" i="1"/>
  <c r="BG73" i="1"/>
  <c r="BG74" i="1"/>
  <c r="BG75" i="1"/>
  <c r="BG76" i="1"/>
  <c r="BG78" i="1"/>
  <c r="BG79" i="1"/>
  <c r="BG80" i="1"/>
  <c r="BG81" i="1"/>
  <c r="BG82" i="1"/>
  <c r="BG83" i="1"/>
  <c r="BG84" i="1"/>
  <c r="BG85" i="1"/>
  <c r="BG86" i="1"/>
  <c r="BG87" i="1"/>
  <c r="BG88" i="1"/>
  <c r="BG54" i="1"/>
  <c r="BG61" i="1"/>
  <c r="BG77" i="1"/>
  <c r="BG90" i="1"/>
  <c r="BG91" i="1"/>
  <c r="BG92" i="1"/>
  <c r="BG93" i="1"/>
  <c r="BG94" i="1"/>
  <c r="BG95" i="1"/>
  <c r="BG96" i="1"/>
  <c r="BG97" i="1"/>
  <c r="BG98" i="1"/>
  <c r="BG99" i="1"/>
  <c r="BG100" i="1"/>
  <c r="BG101" i="1"/>
  <c r="BG102" i="1"/>
  <c r="BG89" i="1"/>
  <c r="BG109" i="1"/>
  <c r="BG110" i="1"/>
  <c r="BG111" i="1"/>
  <c r="BG112" i="1"/>
  <c r="BG113" i="1"/>
  <c r="BG114" i="1"/>
  <c r="BG115" i="1"/>
  <c r="BG116" i="1"/>
  <c r="BG117" i="1"/>
  <c r="BG118" i="1"/>
  <c r="BG119" i="1"/>
  <c r="BG120" i="1"/>
  <c r="BG104" i="1"/>
  <c r="BG106" i="1"/>
  <c r="BG121" i="1"/>
  <c r="BG108" i="1"/>
  <c r="BG107" i="1"/>
  <c r="BG105" i="1"/>
  <c r="BG124" i="1"/>
  <c r="BG127" i="1"/>
  <c r="BG122" i="1"/>
  <c r="BG130" i="1"/>
  <c r="BG128" i="1"/>
  <c r="BG132" i="1"/>
  <c r="BG123" i="1"/>
  <c r="BG141" i="1"/>
  <c r="BG136" i="1"/>
  <c r="BG125" i="1"/>
  <c r="BG131" i="1"/>
  <c r="BG133" i="1"/>
  <c r="BG139" i="1"/>
  <c r="BG143" i="1"/>
  <c r="BG129" i="1"/>
  <c r="BG134" i="1"/>
  <c r="BG142" i="1"/>
  <c r="BG126" i="1"/>
  <c r="BG137" i="1"/>
  <c r="BG103" i="1"/>
  <c r="BG140" i="1"/>
  <c r="BG135" i="1"/>
  <c r="BG145" i="1"/>
  <c r="BG138" i="1"/>
  <c r="BG144" i="1"/>
  <c r="AY5" i="1"/>
  <c r="AY6" i="1"/>
  <c r="AY7" i="1"/>
  <c r="AY8" i="1"/>
  <c r="AY9" i="1"/>
  <c r="AY10" i="1"/>
  <c r="AY11" i="1"/>
  <c r="AY12" i="1"/>
  <c r="AY13" i="1"/>
  <c r="AY14" i="1"/>
  <c r="AY17" i="1"/>
  <c r="AY20" i="1"/>
  <c r="AY15" i="1"/>
  <c r="AY16" i="1"/>
  <c r="AY22" i="1"/>
  <c r="AY19" i="1"/>
  <c r="AY23" i="1"/>
  <c r="AY29" i="1"/>
  <c r="AY30" i="1"/>
  <c r="AY31" i="1"/>
  <c r="AY28" i="1"/>
  <c r="AY26" i="1"/>
  <c r="AY27" i="1"/>
  <c r="AY24" i="1"/>
  <c r="AY25" i="1"/>
  <c r="AY33" i="1"/>
  <c r="AY34" i="1"/>
  <c r="AY35" i="1"/>
  <c r="AY36" i="1"/>
  <c r="AY18" i="1"/>
  <c r="AY21" i="1"/>
  <c r="AY38" i="1"/>
  <c r="AY39" i="1"/>
  <c r="AY40" i="1"/>
  <c r="AY41" i="1"/>
  <c r="AY42" i="1"/>
  <c r="AY37" i="1"/>
  <c r="AY32" i="1"/>
  <c r="AY45" i="1"/>
  <c r="AY43" i="1"/>
  <c r="AY46" i="1"/>
  <c r="AY48" i="1"/>
  <c r="AY53" i="1"/>
  <c r="AY60" i="1"/>
  <c r="AY58" i="1"/>
  <c r="AY57" i="1"/>
  <c r="AY52" i="1"/>
  <c r="AY56" i="1"/>
  <c r="AY64" i="1"/>
  <c r="AY65" i="1"/>
  <c r="AY66" i="1"/>
  <c r="AY67" i="1"/>
  <c r="AY55" i="1"/>
  <c r="AY47" i="1"/>
  <c r="AY50" i="1"/>
  <c r="AY49" i="1"/>
  <c r="AY51" i="1"/>
  <c r="AY63" i="1"/>
  <c r="AY62" i="1"/>
  <c r="AY68" i="1"/>
  <c r="AY69" i="1"/>
  <c r="AY70" i="1"/>
  <c r="AY71" i="1"/>
  <c r="AY72" i="1"/>
  <c r="AY73" i="1"/>
  <c r="AY74" i="1"/>
  <c r="AY75" i="1"/>
  <c r="AY77" i="1"/>
  <c r="AY78" i="1"/>
  <c r="AY79" i="1"/>
  <c r="AY80" i="1"/>
  <c r="AY81" i="1"/>
  <c r="AY82" i="1"/>
  <c r="AY83" i="1"/>
  <c r="AY84" i="1"/>
  <c r="AY85" i="1"/>
  <c r="AY86" i="1"/>
  <c r="AY87" i="1"/>
  <c r="AY88" i="1"/>
  <c r="AY44" i="1"/>
  <c r="AY54" i="1"/>
  <c r="AY61" i="1"/>
  <c r="AY59" i="1"/>
  <c r="AY76" i="1"/>
  <c r="AY91" i="1"/>
  <c r="AY92" i="1"/>
  <c r="AY93" i="1"/>
  <c r="AY94" i="1"/>
  <c r="AY95" i="1"/>
  <c r="AY96" i="1"/>
  <c r="AY97" i="1"/>
  <c r="AY98" i="1"/>
  <c r="AY99" i="1"/>
  <c r="AY100" i="1"/>
  <c r="AY101" i="1"/>
  <c r="AY102" i="1"/>
  <c r="AY90" i="1"/>
  <c r="AY109" i="1"/>
  <c r="AY110" i="1"/>
  <c r="AY111" i="1"/>
  <c r="AY112" i="1"/>
  <c r="AY113" i="1"/>
  <c r="AY114" i="1"/>
  <c r="AY115" i="1"/>
  <c r="AY116" i="1"/>
  <c r="AY117" i="1"/>
  <c r="AY118" i="1"/>
  <c r="AY119" i="1"/>
  <c r="AY120" i="1"/>
  <c r="AY89" i="1"/>
  <c r="AY103" i="1"/>
  <c r="AY105" i="1"/>
  <c r="AY107" i="1"/>
  <c r="AY121" i="1"/>
  <c r="AY122" i="1"/>
  <c r="AY106" i="1"/>
  <c r="AY104" i="1"/>
  <c r="AY108" i="1"/>
  <c r="AY125" i="1"/>
  <c r="AY133" i="1"/>
  <c r="AY128" i="1"/>
  <c r="AY131" i="1"/>
  <c r="AY123" i="1"/>
  <c r="AY129" i="1"/>
  <c r="AY124" i="1"/>
  <c r="AY134" i="1"/>
  <c r="AY142" i="1"/>
  <c r="AY132" i="1"/>
  <c r="AY137" i="1"/>
  <c r="AY140" i="1"/>
  <c r="AY144" i="1"/>
  <c r="AY126" i="1"/>
  <c r="AY135" i="1"/>
  <c r="AY130" i="1"/>
  <c r="AY138" i="1"/>
  <c r="AY127" i="1"/>
  <c r="AY141" i="1"/>
  <c r="AY143" i="1"/>
  <c r="AY136" i="1"/>
  <c r="AY139" i="1"/>
  <c r="AY145" i="1"/>
  <c r="BX175" i="1"/>
  <c r="BP175" i="1"/>
  <c r="BX174" i="1"/>
  <c r="BP174" i="1"/>
  <c r="BH174" i="1"/>
  <c r="BX173" i="1"/>
  <c r="BP173" i="1"/>
  <c r="BH173" i="1"/>
  <c r="AY173" i="1"/>
  <c r="BW172" i="1"/>
  <c r="BI172" i="1"/>
  <c r="BQ171" i="1"/>
  <c r="BY170" i="1"/>
  <c r="AZ170" i="1"/>
  <c r="BH169" i="1"/>
  <c r="BP168" i="1"/>
  <c r="BX167" i="1"/>
  <c r="AY167" i="1"/>
  <c r="BG166" i="1"/>
  <c r="BO165" i="1"/>
  <c r="BA165" i="1"/>
  <c r="BW164" i="1"/>
  <c r="BI164" i="1"/>
  <c r="BQ163" i="1"/>
  <c r="BY162" i="1"/>
  <c r="AZ162" i="1"/>
  <c r="BY161" i="1"/>
  <c r="BI161" i="1"/>
  <c r="BQ160" i="1"/>
  <c r="BA160" i="1"/>
  <c r="BQ159" i="1"/>
  <c r="BY158" i="1"/>
  <c r="BA157" i="1"/>
  <c r="AY156" i="1"/>
  <c r="BG155" i="1"/>
  <c r="BO154" i="1"/>
  <c r="BW153" i="1"/>
  <c r="AY148" i="1"/>
  <c r="BG147" i="1"/>
  <c r="BO146" i="1"/>
  <c r="BW145" i="1"/>
  <c r="BP144" i="1"/>
  <c r="B172" i="12"/>
  <c r="B124" i="12"/>
  <c r="B170" i="12"/>
  <c r="B67" i="12"/>
  <c r="B129" i="12"/>
  <c r="B90" i="12"/>
  <c r="B34" i="12"/>
  <c r="B152" i="12"/>
  <c r="B113" i="12"/>
  <c r="B33" i="12"/>
  <c r="B24" i="12"/>
  <c r="B126" i="12"/>
  <c r="B87" i="12"/>
  <c r="B55" i="12"/>
  <c r="BC176" i="1" l="1"/>
  <c r="CB176" i="1"/>
  <c r="BN176" i="1"/>
  <c r="BH176" i="1"/>
  <c r="AT176" i="1"/>
  <c r="BB176" i="1"/>
  <c r="BJ176" i="1"/>
  <c r="BR176" i="1"/>
  <c r="BZ176" i="1"/>
  <c r="AU176" i="1"/>
  <c r="BK176" i="1"/>
  <c r="BS176" i="1"/>
  <c r="CA176" i="1"/>
  <c r="AV176" i="1"/>
  <c r="BD176" i="1"/>
  <c r="BL176" i="1"/>
  <c r="BT176" i="1"/>
  <c r="AW176" i="1"/>
  <c r="BE176" i="1"/>
  <c r="BM176" i="1"/>
  <c r="BU176" i="1"/>
  <c r="CC176" i="1"/>
  <c r="AX176" i="1"/>
  <c r="BF176" i="1"/>
  <c r="BV176" i="1"/>
  <c r="CD176" i="1"/>
  <c r="BO176" i="1"/>
  <c r="BG176" i="1"/>
  <c r="BQ176" i="1"/>
  <c r="AY176" i="1"/>
  <c r="BW176" i="1"/>
  <c r="AZ176" i="1"/>
  <c r="BP176" i="1"/>
  <c r="BX176" i="1"/>
  <c r="BA176" i="1"/>
  <c r="BI176" i="1"/>
  <c r="BY176" i="1"/>
  <c r="B26" i="12"/>
  <c r="B82" i="12"/>
  <c r="B121" i="12"/>
  <c r="B153" i="12"/>
  <c r="B169" i="12"/>
  <c r="B27" i="12"/>
  <c r="B83" i="12"/>
  <c r="B115" i="12"/>
  <c r="B122" i="12"/>
  <c r="B130" i="12"/>
  <c r="B154" i="12"/>
  <c r="B28" i="12"/>
  <c r="B123" i="12"/>
  <c r="B171" i="12"/>
  <c r="B53" i="12"/>
  <c r="B116" i="12"/>
  <c r="B132" i="12"/>
  <c r="B156" i="12"/>
  <c r="B38" i="12"/>
  <c r="B46" i="12"/>
  <c r="B54" i="12"/>
  <c r="B86" i="12"/>
  <c r="B125" i="12"/>
  <c r="B157" i="12"/>
  <c r="B47" i="12"/>
  <c r="B150" i="12"/>
  <c r="B158" i="12"/>
  <c r="B48" i="12"/>
  <c r="B56" i="12"/>
  <c r="B80" i="12"/>
  <c r="B88" i="12"/>
  <c r="B127" i="12"/>
  <c r="B151" i="12"/>
  <c r="B159" i="12"/>
  <c r="B167" i="12"/>
  <c r="B25" i="12"/>
  <c r="B41" i="12"/>
  <c r="B81" i="12"/>
  <c r="B89" i="12"/>
  <c r="B128" i="12"/>
  <c r="B136" i="12"/>
  <c r="B168" i="12"/>
  <c r="M195" i="1"/>
  <c r="C106" i="12"/>
  <c r="D106" i="12" s="1"/>
  <c r="E106" i="12" s="1"/>
  <c r="C3" i="12" l="1"/>
  <c r="D3" i="12" s="1"/>
  <c r="E3" i="12" s="1"/>
  <c r="C4" i="12"/>
  <c r="D4" i="12" s="1"/>
  <c r="E4" i="12" s="1"/>
  <c r="C5" i="12"/>
  <c r="D5" i="12" s="1"/>
  <c r="E5" i="12" s="1"/>
  <c r="C6" i="12"/>
  <c r="D6" i="12" s="1"/>
  <c r="E6" i="12" s="1"/>
  <c r="C7" i="12"/>
  <c r="D7" i="12" s="1"/>
  <c r="E7" i="12" s="1"/>
  <c r="C8" i="12"/>
  <c r="D8" i="12" s="1"/>
  <c r="E8" i="12" s="1"/>
  <c r="C9" i="12"/>
  <c r="D9" i="12" s="1"/>
  <c r="E9" i="12" s="1"/>
  <c r="C10" i="12"/>
  <c r="D10" i="12" s="1"/>
  <c r="E10" i="12" s="1"/>
  <c r="C11" i="12"/>
  <c r="D11" i="12" s="1"/>
  <c r="E11" i="12" s="1"/>
  <c r="C12" i="12"/>
  <c r="D12" i="12" s="1"/>
  <c r="E12" i="12" s="1"/>
  <c r="C13" i="12"/>
  <c r="D13" i="12" s="1"/>
  <c r="E13" i="12" s="1"/>
  <c r="C14" i="12"/>
  <c r="D14" i="12" s="1"/>
  <c r="E14" i="12" s="1"/>
  <c r="C15" i="12"/>
  <c r="D15" i="12" s="1"/>
  <c r="E15" i="12" s="1"/>
  <c r="C16" i="12"/>
  <c r="D16" i="12" s="1"/>
  <c r="E16" i="12" s="1"/>
  <c r="C17" i="12"/>
  <c r="D17" i="12" s="1"/>
  <c r="E17" i="12" s="1"/>
  <c r="C18" i="12"/>
  <c r="D18" i="12" s="1"/>
  <c r="E18" i="12" s="1"/>
  <c r="C19" i="12"/>
  <c r="D19" i="12" s="1"/>
  <c r="E19" i="12" s="1"/>
  <c r="C20" i="12"/>
  <c r="D20" i="12" s="1"/>
  <c r="E20" i="12" s="1"/>
  <c r="C21" i="12"/>
  <c r="D21" i="12" s="1"/>
  <c r="E21" i="12" s="1"/>
  <c r="C22" i="12"/>
  <c r="D22" i="12" s="1"/>
  <c r="E22" i="12" s="1"/>
  <c r="C23" i="12"/>
  <c r="D23" i="12" s="1"/>
  <c r="E23" i="12" s="1"/>
  <c r="C24" i="12"/>
  <c r="D24" i="12" s="1"/>
  <c r="E24" i="12" s="1"/>
  <c r="C25" i="12"/>
  <c r="D25" i="12" s="1"/>
  <c r="E25" i="12" s="1"/>
  <c r="C26" i="12"/>
  <c r="D26" i="12" s="1"/>
  <c r="E26" i="12" s="1"/>
  <c r="C27" i="12"/>
  <c r="D27" i="12" s="1"/>
  <c r="E27" i="12" s="1"/>
  <c r="C28" i="12"/>
  <c r="D28" i="12" s="1"/>
  <c r="E28" i="12" s="1"/>
  <c r="C29" i="12"/>
  <c r="D29" i="12" s="1"/>
  <c r="E29" i="12" s="1"/>
  <c r="C30" i="12"/>
  <c r="D30" i="12" s="1"/>
  <c r="E30" i="12" s="1"/>
  <c r="C31" i="12"/>
  <c r="D31" i="12" s="1"/>
  <c r="E31" i="12" s="1"/>
  <c r="C32" i="12"/>
  <c r="D32" i="12" s="1"/>
  <c r="E32" i="12" s="1"/>
  <c r="C33" i="12"/>
  <c r="D33" i="12" s="1"/>
  <c r="E33" i="12" s="1"/>
  <c r="C34" i="12"/>
  <c r="D34" i="12" s="1"/>
  <c r="E34" i="12" s="1"/>
  <c r="C35" i="12"/>
  <c r="D35" i="12" s="1"/>
  <c r="E35" i="12" s="1"/>
  <c r="C36" i="12"/>
  <c r="D36" i="12" s="1"/>
  <c r="E36" i="12" s="1"/>
  <c r="C37" i="12"/>
  <c r="D37" i="12" s="1"/>
  <c r="E37" i="12" s="1"/>
  <c r="C38" i="12"/>
  <c r="D38" i="12" s="1"/>
  <c r="E38" i="12" s="1"/>
  <c r="C39" i="12"/>
  <c r="D39" i="12" s="1"/>
  <c r="E39" i="12" s="1"/>
  <c r="C40" i="12"/>
  <c r="D40" i="12" s="1"/>
  <c r="E40" i="12" s="1"/>
  <c r="C41" i="12"/>
  <c r="D41" i="12" s="1"/>
  <c r="E41" i="12" s="1"/>
  <c r="C42" i="12"/>
  <c r="D42" i="12" s="1"/>
  <c r="E42" i="12" s="1"/>
  <c r="C43" i="12"/>
  <c r="D43" i="12" s="1"/>
  <c r="E43" i="12" s="1"/>
  <c r="C44" i="12"/>
  <c r="D44" i="12" s="1"/>
  <c r="E44" i="12" s="1"/>
  <c r="C45" i="12"/>
  <c r="D45" i="12" s="1"/>
  <c r="E45" i="12" s="1"/>
  <c r="C46" i="12"/>
  <c r="D46" i="12" s="1"/>
  <c r="E46" i="12" s="1"/>
  <c r="C47" i="12"/>
  <c r="D47" i="12" s="1"/>
  <c r="E47" i="12" s="1"/>
  <c r="C48" i="12"/>
  <c r="D48" i="12" s="1"/>
  <c r="E48" i="12" s="1"/>
  <c r="C49" i="12"/>
  <c r="D49" i="12" s="1"/>
  <c r="E49" i="12" s="1"/>
  <c r="C50" i="12"/>
  <c r="D50" i="12" s="1"/>
  <c r="E50" i="12" s="1"/>
  <c r="C51" i="12"/>
  <c r="D51" i="12" s="1"/>
  <c r="E51" i="12" s="1"/>
  <c r="C52" i="12"/>
  <c r="D52" i="12" s="1"/>
  <c r="E52" i="12" s="1"/>
  <c r="C53" i="12"/>
  <c r="D53" i="12" s="1"/>
  <c r="E53" i="12" s="1"/>
  <c r="C54" i="12"/>
  <c r="D54" i="12" s="1"/>
  <c r="E54" i="12" s="1"/>
  <c r="C55" i="12"/>
  <c r="D55" i="12" s="1"/>
  <c r="E55" i="12" s="1"/>
  <c r="C56" i="12"/>
  <c r="D56" i="12" s="1"/>
  <c r="E56" i="12" s="1"/>
  <c r="C57" i="12"/>
  <c r="D57" i="12" s="1"/>
  <c r="E57" i="12" s="1"/>
  <c r="C58" i="12"/>
  <c r="D58" i="12" s="1"/>
  <c r="E58" i="12" s="1"/>
  <c r="C59" i="12"/>
  <c r="D59" i="12" s="1"/>
  <c r="E59" i="12" s="1"/>
  <c r="C60" i="12"/>
  <c r="D60" i="12" s="1"/>
  <c r="E60" i="12" s="1"/>
  <c r="C61" i="12"/>
  <c r="D61" i="12" s="1"/>
  <c r="E61" i="12" s="1"/>
  <c r="C62" i="12"/>
  <c r="D62" i="12" s="1"/>
  <c r="E62" i="12" s="1"/>
  <c r="C63" i="12"/>
  <c r="D63" i="12" s="1"/>
  <c r="E63" i="12" s="1"/>
  <c r="C64" i="12"/>
  <c r="D64" i="12" s="1"/>
  <c r="E64" i="12" s="1"/>
  <c r="C65" i="12"/>
  <c r="D65" i="12" s="1"/>
  <c r="E65" i="12" s="1"/>
  <c r="C66" i="12"/>
  <c r="D66" i="12" s="1"/>
  <c r="E66" i="12" s="1"/>
  <c r="C67" i="12"/>
  <c r="D67" i="12" s="1"/>
  <c r="E67" i="12" s="1"/>
  <c r="C68" i="12"/>
  <c r="D68" i="12" s="1"/>
  <c r="E68" i="12" s="1"/>
  <c r="C69" i="12"/>
  <c r="D69" i="12" s="1"/>
  <c r="E69" i="12" s="1"/>
  <c r="C70" i="12"/>
  <c r="D70" i="12" s="1"/>
  <c r="E70" i="12" s="1"/>
  <c r="C71" i="12"/>
  <c r="D71" i="12" s="1"/>
  <c r="E71" i="12" s="1"/>
  <c r="C72" i="12"/>
  <c r="D72" i="12" s="1"/>
  <c r="E72" i="12" s="1"/>
  <c r="C73" i="12"/>
  <c r="D73" i="12" s="1"/>
  <c r="E73" i="12" s="1"/>
  <c r="C74" i="12"/>
  <c r="D74" i="12" s="1"/>
  <c r="E74" i="12" s="1"/>
  <c r="C75" i="12"/>
  <c r="D75" i="12" s="1"/>
  <c r="E75" i="12" s="1"/>
  <c r="C76" i="12"/>
  <c r="D76" i="12" s="1"/>
  <c r="E76" i="12" s="1"/>
  <c r="C77" i="12"/>
  <c r="D77" i="12" s="1"/>
  <c r="E77" i="12" s="1"/>
  <c r="C78" i="12"/>
  <c r="D78" i="12" s="1"/>
  <c r="E78" i="12" s="1"/>
  <c r="C79" i="12"/>
  <c r="D79" i="12" s="1"/>
  <c r="E79" i="12" s="1"/>
  <c r="C80" i="12"/>
  <c r="D80" i="12" s="1"/>
  <c r="E80" i="12" s="1"/>
  <c r="C81" i="12"/>
  <c r="D81" i="12" s="1"/>
  <c r="E81" i="12" s="1"/>
  <c r="C82" i="12"/>
  <c r="D82" i="12" s="1"/>
  <c r="E82" i="12" s="1"/>
  <c r="C83" i="12"/>
  <c r="D83" i="12" s="1"/>
  <c r="E83" i="12" s="1"/>
  <c r="C84" i="12"/>
  <c r="D84" i="12" s="1"/>
  <c r="E84" i="12" s="1"/>
  <c r="C85" i="12"/>
  <c r="D85" i="12" s="1"/>
  <c r="E85" i="12" s="1"/>
  <c r="C86" i="12"/>
  <c r="D86" i="12" s="1"/>
  <c r="E86" i="12" s="1"/>
  <c r="C87" i="12"/>
  <c r="D87" i="12" s="1"/>
  <c r="E87" i="12" s="1"/>
  <c r="C88" i="12"/>
  <c r="D88" i="12" s="1"/>
  <c r="E88" i="12" s="1"/>
  <c r="C89" i="12"/>
  <c r="D89" i="12" s="1"/>
  <c r="E89" i="12" s="1"/>
  <c r="C90" i="12"/>
  <c r="D90" i="12" s="1"/>
  <c r="E90" i="12" s="1"/>
  <c r="C91" i="12"/>
  <c r="D91" i="12" s="1"/>
  <c r="E91" i="12" s="1"/>
  <c r="C92" i="12"/>
  <c r="D92" i="12" s="1"/>
  <c r="E92" i="12" s="1"/>
  <c r="C93" i="12"/>
  <c r="D93" i="12" s="1"/>
  <c r="E93" i="12" s="1"/>
  <c r="C94" i="12"/>
  <c r="D94" i="12" s="1"/>
  <c r="E94" i="12" s="1"/>
  <c r="C95" i="12"/>
  <c r="D95" i="12" s="1"/>
  <c r="E95" i="12" s="1"/>
  <c r="C96" i="12"/>
  <c r="D96" i="12" s="1"/>
  <c r="E96" i="12" s="1"/>
  <c r="C97" i="12"/>
  <c r="D97" i="12" s="1"/>
  <c r="E97" i="12" s="1"/>
  <c r="C98" i="12"/>
  <c r="D98" i="12" s="1"/>
  <c r="E98" i="12" s="1"/>
  <c r="C99" i="12"/>
  <c r="D99" i="12" s="1"/>
  <c r="E99" i="12" s="1"/>
  <c r="C100" i="12"/>
  <c r="D100" i="12" s="1"/>
  <c r="E100" i="12" s="1"/>
  <c r="C101" i="12"/>
  <c r="D101" i="12" s="1"/>
  <c r="E101" i="12" s="1"/>
  <c r="C102" i="12"/>
  <c r="D102" i="12" s="1"/>
  <c r="E102" i="12" s="1"/>
  <c r="C103" i="12"/>
  <c r="D103" i="12" s="1"/>
  <c r="E103" i="12" s="1"/>
  <c r="C104" i="12"/>
  <c r="D104" i="12" s="1"/>
  <c r="E104" i="12" s="1"/>
  <c r="C105" i="12"/>
  <c r="D105" i="12" s="1"/>
  <c r="E105" i="12" s="1"/>
  <c r="C107" i="12"/>
  <c r="D107" i="12" s="1"/>
  <c r="E107" i="12" s="1"/>
  <c r="C108" i="12"/>
  <c r="D108" i="12" s="1"/>
  <c r="E108" i="12" s="1"/>
  <c r="C109" i="12"/>
  <c r="D109" i="12" s="1"/>
  <c r="E109" i="12" s="1"/>
  <c r="C110" i="12"/>
  <c r="D110" i="12" s="1"/>
  <c r="E110" i="12" s="1"/>
  <c r="C111" i="12"/>
  <c r="D111" i="12" s="1"/>
  <c r="E111" i="12" s="1"/>
  <c r="C112" i="12"/>
  <c r="D112" i="12" s="1"/>
  <c r="E112" i="12" s="1"/>
  <c r="C113" i="12"/>
  <c r="D113" i="12" s="1"/>
  <c r="E113" i="12" s="1"/>
  <c r="C114" i="12"/>
  <c r="D114" i="12" s="1"/>
  <c r="E114" i="12" s="1"/>
  <c r="C115" i="12"/>
  <c r="D115" i="12" s="1"/>
  <c r="E115" i="12" s="1"/>
  <c r="C116" i="12"/>
  <c r="D116" i="12" s="1"/>
  <c r="E116" i="12" s="1"/>
  <c r="C117" i="12"/>
  <c r="D117" i="12" s="1"/>
  <c r="E117" i="12" s="1"/>
  <c r="C118" i="12"/>
  <c r="D118" i="12" s="1"/>
  <c r="E118" i="12" s="1"/>
  <c r="C119" i="12"/>
  <c r="D119" i="12" s="1"/>
  <c r="E119" i="12" s="1"/>
  <c r="C120" i="12"/>
  <c r="D120" i="12" s="1"/>
  <c r="E120" i="12" s="1"/>
  <c r="C121" i="12"/>
  <c r="D121" i="12" s="1"/>
  <c r="E121" i="12" s="1"/>
  <c r="C122" i="12"/>
  <c r="D122" i="12" s="1"/>
  <c r="E122" i="12" s="1"/>
  <c r="C123" i="12"/>
  <c r="D123" i="12" s="1"/>
  <c r="E123" i="12" s="1"/>
  <c r="C124" i="12"/>
  <c r="D124" i="12" s="1"/>
  <c r="E124" i="12" s="1"/>
  <c r="C125" i="12"/>
  <c r="D125" i="12" s="1"/>
  <c r="E125" i="12" s="1"/>
  <c r="C126" i="12"/>
  <c r="D126" i="12" s="1"/>
  <c r="E126" i="12" s="1"/>
  <c r="C127" i="12"/>
  <c r="D127" i="12" s="1"/>
  <c r="E127" i="12" s="1"/>
  <c r="C128" i="12"/>
  <c r="D128" i="12" s="1"/>
  <c r="E128" i="12" s="1"/>
  <c r="C129" i="12"/>
  <c r="D129" i="12" s="1"/>
  <c r="E129" i="12" s="1"/>
  <c r="C130" i="12"/>
  <c r="D130" i="12" s="1"/>
  <c r="E130" i="12" s="1"/>
  <c r="C131" i="12"/>
  <c r="D131" i="12" s="1"/>
  <c r="E131" i="12" s="1"/>
  <c r="C132" i="12"/>
  <c r="D132" i="12" s="1"/>
  <c r="E132" i="12" s="1"/>
  <c r="C133" i="12"/>
  <c r="D133" i="12" s="1"/>
  <c r="E133" i="12" s="1"/>
  <c r="C134" i="12"/>
  <c r="D134" i="12" s="1"/>
  <c r="E134" i="12" s="1"/>
  <c r="C135" i="12"/>
  <c r="D135" i="12" s="1"/>
  <c r="E135" i="12" s="1"/>
  <c r="C136" i="12"/>
  <c r="D136" i="12" s="1"/>
  <c r="E136" i="12" s="1"/>
  <c r="C137" i="12"/>
  <c r="D137" i="12" s="1"/>
  <c r="E137" i="12" s="1"/>
  <c r="C138" i="12"/>
  <c r="D138" i="12" s="1"/>
  <c r="E138" i="12" s="1"/>
  <c r="C139" i="12"/>
  <c r="D139" i="12" s="1"/>
  <c r="E139" i="12" s="1"/>
  <c r="C140" i="12"/>
  <c r="D140" i="12" s="1"/>
  <c r="E140" i="12" s="1"/>
  <c r="C141" i="12"/>
  <c r="D141" i="12" s="1"/>
  <c r="E141" i="12" s="1"/>
  <c r="C142" i="12"/>
  <c r="D142" i="12" s="1"/>
  <c r="E142" i="12" s="1"/>
  <c r="C143" i="12"/>
  <c r="D143" i="12" s="1"/>
  <c r="E143" i="12" s="1"/>
  <c r="C144" i="12"/>
  <c r="D144" i="12" s="1"/>
  <c r="E144" i="12" s="1"/>
  <c r="C145" i="12"/>
  <c r="D145" i="12" s="1"/>
  <c r="E145" i="12" s="1"/>
  <c r="C146" i="12"/>
  <c r="D146" i="12" s="1"/>
  <c r="E146" i="12" s="1"/>
  <c r="C147" i="12"/>
  <c r="D147" i="12" s="1"/>
  <c r="E147" i="12" s="1"/>
  <c r="C148" i="12"/>
  <c r="D148" i="12" s="1"/>
  <c r="E148" i="12" s="1"/>
  <c r="C149" i="12"/>
  <c r="D149" i="12" s="1"/>
  <c r="E149" i="12" s="1"/>
  <c r="C150" i="12"/>
  <c r="D150" i="12" s="1"/>
  <c r="E150" i="12" s="1"/>
  <c r="C151" i="12"/>
  <c r="D151" i="12" s="1"/>
  <c r="E151" i="12" s="1"/>
  <c r="C152" i="12"/>
  <c r="D152" i="12" s="1"/>
  <c r="E152" i="12" s="1"/>
  <c r="C153" i="12"/>
  <c r="D153" i="12" s="1"/>
  <c r="E153" i="12" s="1"/>
  <c r="C154" i="12"/>
  <c r="D154" i="12" s="1"/>
  <c r="E154" i="12" s="1"/>
  <c r="C155" i="12"/>
  <c r="D155" i="12" s="1"/>
  <c r="E155" i="12" s="1"/>
  <c r="C156" i="12"/>
  <c r="D156" i="12" s="1"/>
  <c r="E156" i="12" s="1"/>
  <c r="C157" i="12"/>
  <c r="D157" i="12" s="1"/>
  <c r="E157" i="12" s="1"/>
  <c r="C158" i="12"/>
  <c r="D158" i="12" s="1"/>
  <c r="E158" i="12" s="1"/>
  <c r="C159" i="12"/>
  <c r="D159" i="12" s="1"/>
  <c r="E159" i="12" s="1"/>
  <c r="C160" i="12"/>
  <c r="D160" i="12" s="1"/>
  <c r="E160" i="12" s="1"/>
  <c r="C161" i="12"/>
  <c r="D161" i="12" s="1"/>
  <c r="E161" i="12" s="1"/>
  <c r="C162" i="12"/>
  <c r="D162" i="12" s="1"/>
  <c r="E162" i="12" s="1"/>
  <c r="C163" i="12"/>
  <c r="D163" i="12" s="1"/>
  <c r="E163" i="12" s="1"/>
  <c r="C164" i="12"/>
  <c r="D164" i="12" s="1"/>
  <c r="E164" i="12" s="1"/>
  <c r="C165" i="12"/>
  <c r="D165" i="12" s="1"/>
  <c r="E165" i="12" s="1"/>
  <c r="C166" i="12"/>
  <c r="D166" i="12" s="1"/>
  <c r="E166" i="12" s="1"/>
  <c r="C167" i="12"/>
  <c r="D167" i="12" s="1"/>
  <c r="E167" i="12" s="1"/>
  <c r="C168" i="12"/>
  <c r="D168" i="12" s="1"/>
  <c r="E168" i="12" s="1"/>
  <c r="C169" i="12"/>
  <c r="D169" i="12" s="1"/>
  <c r="E169" i="12" s="1"/>
  <c r="C170" i="12"/>
  <c r="D170" i="12" s="1"/>
  <c r="E170" i="12" s="1"/>
  <c r="C171" i="12"/>
  <c r="D171" i="12" s="1"/>
  <c r="E171" i="12" s="1"/>
  <c r="C172" i="12"/>
  <c r="D172" i="12" s="1"/>
  <c r="E172" i="12" s="1"/>
  <c r="C2" i="12"/>
  <c r="D2" i="12" s="1"/>
  <c r="E2" i="12" s="1"/>
  <c r="P41" i="4"/>
  <c r="C67" i="5"/>
  <c r="C156"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3" i="5"/>
  <c r="F2" i="12" l="1"/>
  <c r="F69" i="1"/>
  <c r="F5" i="1"/>
  <c r="F158" i="1"/>
  <c r="C48" i="5" l="1"/>
  <c r="F50" i="1"/>
  <c r="C106" i="5"/>
  <c r="F108" i="1"/>
  <c r="C100" i="5"/>
  <c r="F102" i="1"/>
  <c r="C26" i="5"/>
  <c r="F28" i="1"/>
  <c r="C89" i="5"/>
  <c r="F91" i="1"/>
  <c r="C50" i="5"/>
  <c r="F52" i="1"/>
  <c r="C62" i="5"/>
  <c r="F64" i="1"/>
  <c r="C15" i="5"/>
  <c r="F17" i="1"/>
  <c r="C149" i="5"/>
  <c r="F151" i="1"/>
  <c r="C126" i="5"/>
  <c r="F128" i="1"/>
  <c r="C33" i="5"/>
  <c r="F35" i="1"/>
  <c r="C133" i="5"/>
  <c r="F135" i="1"/>
  <c r="C79" i="5"/>
  <c r="F81" i="1"/>
  <c r="C151" i="5"/>
  <c r="F153" i="1"/>
  <c r="C58" i="5"/>
  <c r="F60" i="1"/>
  <c r="C122" i="5"/>
  <c r="F124" i="1"/>
  <c r="C131" i="5"/>
  <c r="F133" i="1"/>
  <c r="C78" i="5"/>
  <c r="F80" i="1"/>
  <c r="C121" i="5"/>
  <c r="F123" i="1"/>
  <c r="C107" i="5"/>
  <c r="F109" i="1"/>
  <c r="C12" i="5"/>
  <c r="F14" i="1"/>
  <c r="C23" i="5"/>
  <c r="F25" i="1"/>
  <c r="C13" i="5"/>
  <c r="F15" i="1"/>
  <c r="C110" i="5"/>
  <c r="F112" i="1"/>
  <c r="C11" i="5"/>
  <c r="F13" i="1"/>
  <c r="C147" i="5"/>
  <c r="F149" i="1"/>
  <c r="C53" i="5"/>
  <c r="F55" i="1"/>
  <c r="C165" i="5"/>
  <c r="F167" i="1"/>
  <c r="C81" i="5"/>
  <c r="F83" i="1"/>
  <c r="C141" i="5"/>
  <c r="F143" i="1"/>
  <c r="C114" i="5"/>
  <c r="F116" i="1"/>
  <c r="C99" i="5"/>
  <c r="F101" i="1"/>
  <c r="C5" i="5"/>
  <c r="F7" i="1"/>
  <c r="C128" i="5"/>
  <c r="F130" i="1"/>
  <c r="C142" i="5"/>
  <c r="F144" i="1"/>
  <c r="C28" i="5"/>
  <c r="F30" i="1"/>
  <c r="C87" i="5"/>
  <c r="F89" i="1"/>
  <c r="C159" i="5"/>
  <c r="F161" i="1"/>
  <c r="C66" i="5"/>
  <c r="F68" i="1"/>
  <c r="C27" i="5"/>
  <c r="F29" i="1"/>
  <c r="C155" i="5"/>
  <c r="F157" i="1"/>
  <c r="C86" i="5"/>
  <c r="F88" i="1"/>
  <c r="C129" i="5"/>
  <c r="F131" i="1"/>
  <c r="C163" i="5"/>
  <c r="F165" i="1"/>
  <c r="C161" i="5"/>
  <c r="F163" i="1"/>
  <c r="C20" i="5"/>
  <c r="F22" i="1"/>
  <c r="C162" i="5"/>
  <c r="F164" i="1"/>
  <c r="C21" i="5"/>
  <c r="F23" i="1"/>
  <c r="C134" i="5"/>
  <c r="F136" i="1"/>
  <c r="C63" i="5"/>
  <c r="F65" i="1"/>
  <c r="C124" i="5"/>
  <c r="F126" i="1"/>
  <c r="C54" i="5"/>
  <c r="F56" i="1"/>
  <c r="C123" i="5"/>
  <c r="F125" i="1"/>
  <c r="C164" i="5"/>
  <c r="F166" i="1"/>
  <c r="C136" i="5"/>
  <c r="F138" i="1"/>
  <c r="C41" i="5"/>
  <c r="F43" i="1"/>
  <c r="C80" i="5"/>
  <c r="F82" i="1"/>
  <c r="C144" i="5"/>
  <c r="F146" i="1"/>
  <c r="C150" i="5"/>
  <c r="F152" i="1"/>
  <c r="C49" i="5"/>
  <c r="F51" i="1"/>
  <c r="C31" i="5"/>
  <c r="F33" i="1"/>
  <c r="C95" i="5"/>
  <c r="F97" i="1"/>
  <c r="C167" i="5"/>
  <c r="F169" i="1"/>
  <c r="C74" i="5"/>
  <c r="F76" i="1"/>
  <c r="C138" i="5"/>
  <c r="F140" i="1"/>
  <c r="C35" i="5"/>
  <c r="F37" i="1"/>
  <c r="C94" i="5"/>
  <c r="F96" i="1"/>
  <c r="C137" i="5"/>
  <c r="F139" i="1"/>
  <c r="C16" i="5"/>
  <c r="F18" i="1"/>
  <c r="C36" i="5"/>
  <c r="F38" i="1"/>
  <c r="C60" i="5"/>
  <c r="F62" i="1"/>
  <c r="C135" i="5"/>
  <c r="F137" i="1"/>
  <c r="C37" i="5"/>
  <c r="F39" i="1"/>
  <c r="C127" i="5"/>
  <c r="F129" i="1"/>
  <c r="C105" i="5"/>
  <c r="F107" i="1"/>
  <c r="C120" i="5"/>
  <c r="F122" i="1"/>
  <c r="C71" i="5"/>
  <c r="F73" i="1"/>
  <c r="C113" i="5"/>
  <c r="F115" i="1"/>
  <c r="C70" i="5"/>
  <c r="F72" i="1"/>
  <c r="C45" i="5"/>
  <c r="F47" i="1"/>
  <c r="C64" i="5"/>
  <c r="F66" i="1"/>
  <c r="C72" i="5"/>
  <c r="F74" i="1"/>
  <c r="C24" i="5"/>
  <c r="F26" i="1"/>
  <c r="C152" i="5"/>
  <c r="F154" i="1"/>
  <c r="C158" i="5"/>
  <c r="F160" i="1"/>
  <c r="C57" i="5"/>
  <c r="F59" i="1"/>
  <c r="C39" i="5"/>
  <c r="F41" i="1"/>
  <c r="C103" i="5"/>
  <c r="F105" i="1"/>
  <c r="C29" i="5"/>
  <c r="F31" i="1"/>
  <c r="C82" i="5"/>
  <c r="F84" i="1"/>
  <c r="C146" i="5"/>
  <c r="F148" i="1"/>
  <c r="C14" i="5"/>
  <c r="F16" i="1"/>
  <c r="C102" i="5"/>
  <c r="F104" i="1"/>
  <c r="C145" i="5"/>
  <c r="F147" i="1"/>
  <c r="C52" i="5"/>
  <c r="F54" i="1"/>
  <c r="C44" i="5"/>
  <c r="F46" i="1"/>
  <c r="C75" i="5"/>
  <c r="F77" i="1"/>
  <c r="C61" i="5"/>
  <c r="F63" i="1"/>
  <c r="C43" i="5"/>
  <c r="F45" i="1"/>
  <c r="C85" i="5"/>
  <c r="F87" i="1"/>
  <c r="C112" i="5"/>
  <c r="F114" i="1"/>
  <c r="C17" i="5"/>
  <c r="F19" i="1"/>
  <c r="C42" i="5"/>
  <c r="F44" i="1"/>
  <c r="C46" i="5"/>
  <c r="F48" i="1"/>
  <c r="C19" i="5"/>
  <c r="F21" i="1"/>
  <c r="C7" i="5"/>
  <c r="F9" i="1"/>
  <c r="C6" i="5"/>
  <c r="F8" i="1"/>
  <c r="C157" i="5"/>
  <c r="F159" i="1"/>
  <c r="C139" i="5"/>
  <c r="F141" i="1"/>
  <c r="C32" i="5"/>
  <c r="F34" i="1"/>
  <c r="C96" i="5"/>
  <c r="F98" i="1"/>
  <c r="C160" i="5"/>
  <c r="F162" i="1"/>
  <c r="C166" i="5"/>
  <c r="F168" i="1"/>
  <c r="C65" i="5"/>
  <c r="F67" i="1"/>
  <c r="C47" i="5"/>
  <c r="F49" i="1"/>
  <c r="C111" i="5"/>
  <c r="F113" i="1"/>
  <c r="C117" i="5"/>
  <c r="F119" i="1"/>
  <c r="C90" i="5"/>
  <c r="F92" i="1"/>
  <c r="C154" i="5"/>
  <c r="F156" i="1"/>
  <c r="C83" i="5"/>
  <c r="F85" i="1"/>
  <c r="C22" i="5"/>
  <c r="F24" i="1"/>
  <c r="C84" i="5"/>
  <c r="F86" i="1"/>
  <c r="C140" i="5"/>
  <c r="F142" i="1"/>
  <c r="C10" i="5"/>
  <c r="F12" i="1"/>
  <c r="C69" i="5"/>
  <c r="F71" i="1"/>
  <c r="C51" i="5"/>
  <c r="F53" i="1"/>
  <c r="C93" i="5"/>
  <c r="F95" i="1"/>
  <c r="C30" i="5"/>
  <c r="F32" i="1"/>
  <c r="C115" i="5"/>
  <c r="F117" i="1"/>
  <c r="C108" i="5"/>
  <c r="F110" i="1"/>
  <c r="C143" i="5"/>
  <c r="F145" i="1"/>
  <c r="C148" i="5"/>
  <c r="F150" i="1"/>
  <c r="C8" i="5"/>
  <c r="F10" i="1"/>
  <c r="C40" i="5"/>
  <c r="F42" i="1"/>
  <c r="C104" i="5"/>
  <c r="F106" i="1"/>
  <c r="C168" i="5"/>
  <c r="F170" i="1"/>
  <c r="C9" i="5"/>
  <c r="F11" i="1"/>
  <c r="C73" i="5"/>
  <c r="F75" i="1"/>
  <c r="C55" i="5"/>
  <c r="F57" i="1"/>
  <c r="C119" i="5"/>
  <c r="F121" i="1"/>
  <c r="C34" i="5"/>
  <c r="F36" i="1"/>
  <c r="C98" i="5"/>
  <c r="F100" i="1"/>
  <c r="C170" i="5"/>
  <c r="F172" i="1"/>
  <c r="C38" i="5"/>
  <c r="F40" i="1"/>
  <c r="C97" i="5"/>
  <c r="F99" i="1"/>
  <c r="C169" i="5"/>
  <c r="F171" i="1"/>
  <c r="C76" i="5"/>
  <c r="F78" i="1"/>
  <c r="C116" i="5"/>
  <c r="F118" i="1"/>
  <c r="C172" i="5"/>
  <c r="F174" i="1"/>
  <c r="C18" i="5"/>
  <c r="F20" i="1"/>
  <c r="C77" i="5"/>
  <c r="F79" i="1"/>
  <c r="C59" i="5"/>
  <c r="F61" i="1"/>
  <c r="C4" i="5"/>
  <c r="F6" i="1"/>
  <c r="C101" i="5"/>
  <c r="F103" i="1"/>
  <c r="C109" i="5"/>
  <c r="F111" i="1"/>
  <c r="F7" i="12" l="1"/>
  <c r="F8" i="12"/>
  <c r="F21" i="12"/>
  <c r="F15" i="12"/>
  <c r="F16" i="12"/>
  <c r="F9" i="12"/>
  <c r="F3" i="12"/>
  <c r="F19" i="12"/>
  <c r="F13" i="12"/>
  <c r="F23" i="12"/>
  <c r="F4" i="12"/>
  <c r="F17" i="12"/>
  <c r="F11" i="12"/>
  <c r="F20" i="12"/>
  <c r="F18" i="12"/>
  <c r="F5" i="12"/>
  <c r="F22" i="12"/>
  <c r="F12" i="12"/>
  <c r="F10" i="12"/>
  <c r="F6" i="12"/>
  <c r="F14" i="12"/>
  <c r="C92" i="5"/>
  <c r="F94" i="1"/>
  <c r="C118" i="5"/>
  <c r="F120" i="1"/>
  <c r="C173" i="5"/>
  <c r="F175" i="1"/>
  <c r="C56" i="5"/>
  <c r="F58" i="1"/>
  <c r="C91" i="5"/>
  <c r="F93" i="1"/>
  <c r="C25" i="5"/>
  <c r="F122" i="12" s="1"/>
  <c r="F27" i="1"/>
  <c r="C132" i="5"/>
  <c r="F134" i="1"/>
  <c r="C88" i="5"/>
  <c r="F90" i="1"/>
  <c r="C68" i="5"/>
  <c r="F70" i="1"/>
  <c r="C171" i="5"/>
  <c r="F173" i="1"/>
  <c r="C125" i="5"/>
  <c r="F127" i="1"/>
  <c r="C153" i="5"/>
  <c r="F155" i="1"/>
  <c r="C130" i="5"/>
  <c r="F132" i="1"/>
  <c r="G57" i="4"/>
  <c r="D2" i="9"/>
  <c r="D3" i="9"/>
  <c r="D4" i="9"/>
  <c r="D5" i="9"/>
  <c r="D6" i="9"/>
  <c r="D7" i="9"/>
  <c r="D8" i="9"/>
  <c r="D9" i="9"/>
  <c r="D10" i="9"/>
  <c r="D11" i="9"/>
  <c r="D12" i="9"/>
  <c r="D13" i="9"/>
  <c r="D14" i="9"/>
  <c r="D15" i="9"/>
  <c r="D16" i="9"/>
  <c r="D17" i="9"/>
  <c r="D18" i="9"/>
  <c r="D19" i="9"/>
  <c r="D20" i="9"/>
  <c r="D21" i="9"/>
  <c r="D22" i="9"/>
  <c r="D23" i="9"/>
  <c r="D24" i="9"/>
  <c r="D25" i="9"/>
  <c r="D26" i="9"/>
  <c r="D27" i="9"/>
  <c r="D28" i="9"/>
  <c r="D29" i="9"/>
  <c r="D30" i="9"/>
  <c r="D31" i="9"/>
  <c r="D32" i="9"/>
  <c r="D33" i="9"/>
  <c r="D34" i="9"/>
  <c r="D35" i="9"/>
  <c r="D36" i="9"/>
  <c r="D37" i="9"/>
  <c r="D38" i="9"/>
  <c r="D39" i="9"/>
  <c r="D40" i="9"/>
  <c r="D41" i="9"/>
  <c r="D42" i="9"/>
  <c r="D43" i="9"/>
  <c r="D44" i="9"/>
  <c r="D45" i="9"/>
  <c r="D46" i="9"/>
  <c r="D47" i="9"/>
  <c r="D48" i="9"/>
  <c r="D49" i="9"/>
  <c r="D50" i="9"/>
  <c r="D51" i="9"/>
  <c r="D52" i="9"/>
  <c r="D53" i="9"/>
  <c r="D54" i="9"/>
  <c r="D55" i="9"/>
  <c r="D56" i="9"/>
  <c r="D57" i="9"/>
  <c r="D58" i="9"/>
  <c r="D59" i="9"/>
  <c r="D60" i="9"/>
  <c r="D61" i="9"/>
  <c r="D62" i="9"/>
  <c r="D63" i="9"/>
  <c r="D64" i="9"/>
  <c r="D65" i="9"/>
  <c r="D66" i="9"/>
  <c r="D67" i="9"/>
  <c r="D68" i="9"/>
  <c r="D69" i="9"/>
  <c r="D70" i="9"/>
  <c r="D71" i="9"/>
  <c r="D72" i="9"/>
  <c r="D73" i="9"/>
  <c r="D74" i="9"/>
  <c r="D75" i="9"/>
  <c r="D76" i="9"/>
  <c r="D77" i="9"/>
  <c r="D78" i="9"/>
  <c r="D79" i="9"/>
  <c r="D80" i="9"/>
  <c r="D81" i="9"/>
  <c r="D82" i="9"/>
  <c r="D83" i="9"/>
  <c r="D84" i="9"/>
  <c r="D85" i="9"/>
  <c r="D86" i="9"/>
  <c r="D87" i="9"/>
  <c r="D88" i="9"/>
  <c r="D89" i="9"/>
  <c r="D90" i="9"/>
  <c r="D91" i="9"/>
  <c r="D92" i="9"/>
  <c r="D93" i="9"/>
  <c r="D94" i="9"/>
  <c r="D95" i="9"/>
  <c r="D96" i="9"/>
  <c r="D97" i="9"/>
  <c r="D98" i="9"/>
  <c r="D99" i="9"/>
  <c r="D100" i="9"/>
  <c r="D101" i="9"/>
  <c r="D102" i="9"/>
  <c r="D103" i="9"/>
  <c r="D104" i="9"/>
  <c r="D105" i="9"/>
  <c r="D106" i="9"/>
  <c r="D107" i="9"/>
  <c r="D108" i="9"/>
  <c r="D109" i="9"/>
  <c r="D110" i="9"/>
  <c r="D111" i="9"/>
  <c r="D112" i="9"/>
  <c r="D113" i="9"/>
  <c r="D114" i="9"/>
  <c r="D115" i="9"/>
  <c r="D116" i="9"/>
  <c r="D117" i="9"/>
  <c r="D118" i="9"/>
  <c r="D119" i="9"/>
  <c r="D120" i="9"/>
  <c r="D121" i="9"/>
  <c r="D122" i="9"/>
  <c r="D123" i="9"/>
  <c r="D124" i="9"/>
  <c r="D125" i="9"/>
  <c r="D126" i="9"/>
  <c r="D127" i="9"/>
  <c r="D128" i="9"/>
  <c r="D129" i="9"/>
  <c r="D130" i="9"/>
  <c r="D131" i="9"/>
  <c r="D132" i="9"/>
  <c r="D133" i="9"/>
  <c r="D134" i="9"/>
  <c r="D135" i="9"/>
  <c r="D136" i="9"/>
  <c r="D137" i="9"/>
  <c r="D138" i="9"/>
  <c r="D139" i="9"/>
  <c r="D140" i="9"/>
  <c r="D141" i="9"/>
  <c r="D142" i="9"/>
  <c r="D143" i="9"/>
  <c r="D144" i="9"/>
  <c r="D145" i="9"/>
  <c r="D146" i="9"/>
  <c r="D147" i="9"/>
  <c r="D148" i="9"/>
  <c r="D149" i="9"/>
  <c r="D150" i="9"/>
  <c r="D151" i="9"/>
  <c r="D152" i="9"/>
  <c r="D153" i="9"/>
  <c r="D154" i="9"/>
  <c r="D155" i="9"/>
  <c r="D156" i="9"/>
  <c r="D157" i="9"/>
  <c r="D158" i="9"/>
  <c r="D159" i="9"/>
  <c r="D160" i="9"/>
  <c r="D161" i="9"/>
  <c r="D162" i="9"/>
  <c r="D163" i="9"/>
  <c r="D164" i="9"/>
  <c r="D165" i="9"/>
  <c r="D166" i="9"/>
  <c r="D167" i="9"/>
  <c r="D168" i="9"/>
  <c r="D169" i="9"/>
  <c r="D170" i="9"/>
  <c r="D171" i="9"/>
  <c r="D172" i="9"/>
  <c r="E175" i="5" a="1"/>
  <c r="E175" i="5" s="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5" i="1"/>
  <c r="H178" i="5"/>
  <c r="A175" i="9"/>
  <c r="H176" i="5"/>
  <c r="H175" i="5"/>
  <c r="G124" i="4"/>
  <c r="B175" i="5"/>
  <c r="F175" i="5" a="1"/>
  <c r="F175" i="5" s="1"/>
  <c r="D175" i="5" a="1"/>
  <c r="D175" i="5" s="1"/>
  <c r="D132" i="1"/>
  <c r="D124" i="1"/>
  <c r="D116" i="1"/>
  <c r="D108" i="1"/>
  <c r="D100" i="1"/>
  <c r="D92" i="1"/>
  <c r="D84" i="1"/>
  <c r="D76" i="1"/>
  <c r="D68" i="1"/>
  <c r="D60" i="1"/>
  <c r="D52" i="1"/>
  <c r="D44" i="1"/>
  <c r="D36" i="1"/>
  <c r="D28" i="1"/>
  <c r="D20" i="1"/>
  <c r="D12" i="1"/>
  <c r="D134" i="1"/>
  <c r="D34" i="1"/>
  <c r="G122" i="4"/>
  <c r="G123" i="4"/>
  <c r="G121" i="4"/>
  <c r="D10" i="1"/>
  <c r="D82" i="1"/>
  <c r="D139" i="1"/>
  <c r="D107" i="1"/>
  <c r="D75" i="1"/>
  <c r="D43" i="1"/>
  <c r="D11" i="1"/>
  <c r="D131" i="1"/>
  <c r="D99" i="1"/>
  <c r="D67" i="1"/>
  <c r="D35" i="1"/>
  <c r="D169" i="1"/>
  <c r="D153" i="1"/>
  <c r="D145" i="1"/>
  <c r="D137" i="1"/>
  <c r="D129" i="1"/>
  <c r="D121" i="1"/>
  <c r="D113" i="1"/>
  <c r="D105" i="1"/>
  <c r="D89" i="1"/>
  <c r="D81" i="1"/>
  <c r="D65" i="1"/>
  <c r="D57" i="1"/>
  <c r="D49" i="1"/>
  <c r="D41" i="1"/>
  <c r="D33" i="1"/>
  <c r="D25" i="1"/>
  <c r="D17" i="1"/>
  <c r="D155" i="1"/>
  <c r="D123" i="1"/>
  <c r="D91" i="1"/>
  <c r="D59" i="1"/>
  <c r="D27" i="1"/>
  <c r="D144" i="1"/>
  <c r="D72" i="1"/>
  <c r="D8" i="1"/>
  <c r="D147" i="1"/>
  <c r="D115" i="1"/>
  <c r="D83" i="1"/>
  <c r="D51" i="1"/>
  <c r="D19" i="1"/>
  <c r="D175" i="1"/>
  <c r="D167" i="1"/>
  <c r="D151" i="1"/>
  <c r="D135" i="1"/>
  <c r="D127" i="1"/>
  <c r="D173" i="1"/>
  <c r="D165" i="1"/>
  <c r="D93" i="1"/>
  <c r="D85" i="1"/>
  <c r="D77" i="1"/>
  <c r="D69" i="1"/>
  <c r="D61" i="1"/>
  <c r="D53" i="1"/>
  <c r="D45" i="1"/>
  <c r="D37" i="1"/>
  <c r="D29" i="1"/>
  <c r="D21" i="1"/>
  <c r="D13" i="1"/>
  <c r="D97" i="1"/>
  <c r="D161" i="1"/>
  <c r="F60" i="12" l="1"/>
  <c r="F87" i="12"/>
  <c r="F114" i="12"/>
  <c r="F78" i="12"/>
  <c r="F132" i="12"/>
  <c r="F84" i="12"/>
  <c r="F63" i="12"/>
  <c r="F37" i="12"/>
  <c r="F169" i="12"/>
  <c r="F81" i="12"/>
  <c r="F47" i="12"/>
  <c r="F115" i="12"/>
  <c r="F26" i="12"/>
  <c r="F62" i="12"/>
  <c r="F94" i="12"/>
  <c r="F57" i="12"/>
  <c r="F27" i="12"/>
  <c r="F145" i="12"/>
  <c r="F137" i="12"/>
  <c r="F167" i="12"/>
  <c r="F43" i="12"/>
  <c r="F130" i="12"/>
  <c r="F172" i="12"/>
  <c r="F152" i="12"/>
  <c r="F158" i="12"/>
  <c r="F133" i="12"/>
  <c r="F108" i="12"/>
  <c r="F90" i="12"/>
  <c r="F110" i="12"/>
  <c r="F50" i="12"/>
  <c r="F80" i="12"/>
  <c r="F119" i="12"/>
  <c r="F106" i="12"/>
  <c r="F135" i="12"/>
  <c r="F100" i="12"/>
  <c r="F125" i="12"/>
  <c r="F49" i="12"/>
  <c r="F123" i="12"/>
  <c r="F74" i="12"/>
  <c r="F104" i="12"/>
  <c r="F109" i="12"/>
  <c r="F89" i="12"/>
  <c r="F95" i="12"/>
  <c r="F36" i="12"/>
  <c r="F35" i="12"/>
  <c r="F61" i="12"/>
  <c r="F46" i="12"/>
  <c r="F171" i="12"/>
  <c r="F102" i="12"/>
  <c r="F42" i="12"/>
  <c r="F72" i="12"/>
  <c r="F127" i="12"/>
  <c r="F51" i="12"/>
  <c r="F70" i="12"/>
  <c r="F40" i="12"/>
  <c r="F105" i="12"/>
  <c r="F45" i="12"/>
  <c r="F25" i="12"/>
  <c r="F31" i="12"/>
  <c r="F121" i="12"/>
  <c r="F151" i="12"/>
  <c r="F34" i="12"/>
  <c r="F82" i="12"/>
  <c r="F156" i="12"/>
  <c r="F99" i="12"/>
  <c r="F154" i="12"/>
  <c r="F38" i="12"/>
  <c r="F139" i="12"/>
  <c r="F124" i="12"/>
  <c r="F143" i="12"/>
  <c r="G58" i="4"/>
  <c r="F126" i="12"/>
  <c r="F56" i="12"/>
  <c r="F92" i="12"/>
  <c r="F153" i="12"/>
  <c r="F131" i="12"/>
  <c r="F52" i="12"/>
  <c r="F140" i="12"/>
  <c r="F117" i="12"/>
  <c r="F58" i="12"/>
  <c r="F88" i="12"/>
  <c r="F120" i="12"/>
  <c r="F168" i="12"/>
  <c r="F93" i="12"/>
  <c r="F136" i="12"/>
  <c r="F142" i="12"/>
  <c r="F148" i="12"/>
  <c r="F67" i="12"/>
  <c r="F107" i="12"/>
  <c r="F170" i="12"/>
  <c r="P42" i="4"/>
  <c r="F30" i="12"/>
  <c r="F86" i="12"/>
  <c r="F155" i="12"/>
  <c r="F116" i="12"/>
  <c r="F160" i="12"/>
  <c r="F166" i="12"/>
  <c r="F68" i="12"/>
  <c r="F112" i="12"/>
  <c r="F75" i="12"/>
  <c r="F159" i="12"/>
  <c r="F54" i="12"/>
  <c r="F141" i="12"/>
  <c r="F24" i="12"/>
  <c r="F83" i="12"/>
  <c r="F41" i="12"/>
  <c r="F29" i="12"/>
  <c r="F73" i="12"/>
  <c r="F79" i="12"/>
  <c r="F85" i="12"/>
  <c r="F128" i="12"/>
  <c r="F134" i="12"/>
  <c r="F77" i="12"/>
  <c r="F69" i="12"/>
  <c r="F59" i="12"/>
  <c r="F53" i="12"/>
  <c r="F97" i="12"/>
  <c r="F103" i="12"/>
  <c r="F147" i="12"/>
  <c r="F111" i="12"/>
  <c r="F129" i="12"/>
  <c r="F96" i="12"/>
  <c r="F157" i="12"/>
  <c r="F164" i="12"/>
  <c r="F138" i="12"/>
  <c r="F28" i="12"/>
  <c r="F64" i="12"/>
  <c r="F76" i="12"/>
  <c r="F65" i="12"/>
  <c r="F71" i="12"/>
  <c r="F161" i="12"/>
  <c r="F162" i="12"/>
  <c r="F55" i="12"/>
  <c r="F163" i="12"/>
  <c r="F33" i="12"/>
  <c r="F39" i="12"/>
  <c r="F118" i="12"/>
  <c r="F149" i="12"/>
  <c r="F66" i="12"/>
  <c r="F32" i="12"/>
  <c r="F113" i="12"/>
  <c r="F101" i="12"/>
  <c r="F144" i="12"/>
  <c r="F150" i="12"/>
  <c r="F91" i="12"/>
  <c r="F48" i="12"/>
  <c r="F146" i="12"/>
  <c r="F98" i="12"/>
  <c r="F44" i="12"/>
  <c r="F165" i="12"/>
  <c r="N193" i="1"/>
  <c r="N192" i="1"/>
  <c r="K187" i="1"/>
  <c r="P49" i="4"/>
  <c r="N190" i="1"/>
  <c r="K181" i="1"/>
  <c r="C178" i="1"/>
  <c r="K183" i="1"/>
  <c r="K182" i="1"/>
  <c r="K180" i="1"/>
  <c r="N191" i="1"/>
  <c r="K184" i="1"/>
  <c r="K185" i="1"/>
  <c r="K186" i="1"/>
  <c r="K189" i="1"/>
  <c r="K188" i="1"/>
  <c r="C179" i="1"/>
  <c r="D16" i="1"/>
  <c r="D80" i="1"/>
  <c r="D152" i="1"/>
  <c r="D88" i="1"/>
  <c r="D24" i="1"/>
  <c r="D160" i="1"/>
  <c r="D32" i="1"/>
  <c r="D104" i="1"/>
  <c r="D168" i="1"/>
  <c r="D112" i="1"/>
  <c r="D7" i="1"/>
  <c r="D120" i="1"/>
  <c r="D40" i="1"/>
  <c r="D48" i="1"/>
  <c r="D128" i="1"/>
  <c r="D56" i="1"/>
  <c r="D64" i="1"/>
  <c r="D136" i="1"/>
  <c r="D159" i="1"/>
  <c r="D55" i="1"/>
  <c r="D79" i="1"/>
  <c r="D119" i="1"/>
  <c r="D143" i="1"/>
  <c r="D149" i="1"/>
  <c r="D87" i="1"/>
  <c r="D157" i="1"/>
  <c r="D95" i="1"/>
  <c r="D23" i="1"/>
  <c r="D164" i="1"/>
  <c r="D172" i="1"/>
  <c r="D71" i="1"/>
  <c r="D63" i="1"/>
  <c r="D140" i="1"/>
  <c r="D109" i="1"/>
  <c r="D15" i="1"/>
  <c r="D6" i="1"/>
  <c r="D117" i="1"/>
  <c r="D31" i="1"/>
  <c r="D101" i="1"/>
  <c r="D125" i="1"/>
  <c r="D39" i="1"/>
  <c r="D171" i="1"/>
  <c r="D86" i="1"/>
  <c r="D47" i="1"/>
  <c r="D133" i="1"/>
  <c r="D163" i="1"/>
  <c r="D141" i="1"/>
  <c r="D103" i="1"/>
  <c r="D73" i="1"/>
  <c r="D111" i="1"/>
  <c r="D148" i="1"/>
  <c r="D96" i="1"/>
  <c r="D156" i="1"/>
  <c r="D90" i="1"/>
  <c r="D50" i="1"/>
  <c r="D38" i="1"/>
  <c r="D94" i="1"/>
  <c r="D142" i="1"/>
  <c r="D26" i="1"/>
  <c r="D18" i="1"/>
  <c r="D46" i="1"/>
  <c r="D98" i="1"/>
  <c r="D150" i="1"/>
  <c r="D9" i="1"/>
  <c r="D154" i="1"/>
  <c r="D170" i="1"/>
  <c r="D54" i="1"/>
  <c r="D102" i="1"/>
  <c r="D158" i="1"/>
  <c r="D122" i="1"/>
  <c r="D138" i="1"/>
  <c r="D62" i="1"/>
  <c r="D110" i="1"/>
  <c r="D162" i="1"/>
  <c r="D174" i="1"/>
  <c r="D5" i="1"/>
  <c r="D58" i="1"/>
  <c r="D106" i="1"/>
  <c r="D14" i="1"/>
  <c r="D66" i="1"/>
  <c r="D118" i="1"/>
  <c r="D166" i="1"/>
  <c r="D146" i="1"/>
  <c r="D74" i="1"/>
  <c r="D22" i="1"/>
  <c r="D70" i="1"/>
  <c r="D126" i="1"/>
  <c r="D114" i="1"/>
  <c r="D42" i="1"/>
  <c r="D30" i="1"/>
  <c r="D78" i="1"/>
  <c r="D130" i="1"/>
  <c r="F176" i="12" l="1"/>
  <c r="F174" i="12"/>
  <c r="F175" i="12"/>
  <c r="H128" i="4"/>
  <c r="H127" i="4"/>
  <c r="H126" i="4"/>
  <c r="H129" i="4"/>
  <c r="AI5" i="1"/>
  <c r="AI6" i="1"/>
  <c r="AI7" i="1"/>
  <c r="AI8" i="1"/>
  <c r="AI9" i="1"/>
  <c r="AI10" i="1"/>
  <c r="AI11" i="1"/>
  <c r="AI12" i="1"/>
  <c r="AI13" i="1"/>
  <c r="AI14" i="1"/>
  <c r="AI15" i="1"/>
  <c r="AI22" i="1"/>
  <c r="AI19" i="1"/>
  <c r="AI24" i="1"/>
  <c r="AI16" i="1"/>
  <c r="AI17" i="1"/>
  <c r="AI26" i="1"/>
  <c r="AI29" i="1"/>
  <c r="AI30" i="1"/>
  <c r="AI31" i="1"/>
  <c r="AI32" i="1"/>
  <c r="AI20" i="1"/>
  <c r="AI25" i="1"/>
  <c r="AI21" i="1"/>
  <c r="AI18" i="1"/>
  <c r="AI28" i="1"/>
  <c r="AI33" i="1"/>
  <c r="AI34" i="1"/>
  <c r="AI35" i="1"/>
  <c r="AI36" i="1"/>
  <c r="AI27" i="1"/>
  <c r="AI37" i="1"/>
  <c r="AI38" i="1"/>
  <c r="AI39" i="1"/>
  <c r="AI40" i="1"/>
  <c r="AI41" i="1"/>
  <c r="AI42" i="1"/>
  <c r="AI43" i="1"/>
  <c r="AI44" i="1"/>
  <c r="AI23" i="1"/>
  <c r="AI47" i="1"/>
  <c r="AI45" i="1"/>
  <c r="AI46" i="1"/>
  <c r="AI51" i="1"/>
  <c r="AI48" i="1"/>
  <c r="AI52" i="1"/>
  <c r="AI54" i="1"/>
  <c r="AI62" i="1"/>
  <c r="AI60" i="1"/>
  <c r="AI59" i="1"/>
  <c r="AI58" i="1"/>
  <c r="AI65" i="1"/>
  <c r="AI66" i="1"/>
  <c r="AI67" i="1"/>
  <c r="AI57" i="1"/>
  <c r="AI53" i="1"/>
  <c r="AI55" i="1"/>
  <c r="AI64" i="1"/>
  <c r="AI68" i="1"/>
  <c r="AI69" i="1"/>
  <c r="AI70" i="1"/>
  <c r="AI71" i="1"/>
  <c r="AI72" i="1"/>
  <c r="AI73" i="1"/>
  <c r="AI74" i="1"/>
  <c r="AI75" i="1"/>
  <c r="AI63" i="1"/>
  <c r="AI61" i="1"/>
  <c r="AI50" i="1"/>
  <c r="AI78" i="1"/>
  <c r="AI79" i="1"/>
  <c r="AI80" i="1"/>
  <c r="AI81" i="1"/>
  <c r="AI82" i="1"/>
  <c r="AI83" i="1"/>
  <c r="AI84" i="1"/>
  <c r="AI85" i="1"/>
  <c r="AI86" i="1"/>
  <c r="AI87" i="1"/>
  <c r="AI88" i="1"/>
  <c r="AI89" i="1"/>
  <c r="AI77" i="1"/>
  <c r="AI76" i="1"/>
  <c r="AI49" i="1"/>
  <c r="AI91" i="1"/>
  <c r="AI92" i="1"/>
  <c r="AI93" i="1"/>
  <c r="AI94" i="1"/>
  <c r="AI95" i="1"/>
  <c r="AI96" i="1"/>
  <c r="AI97" i="1"/>
  <c r="AI98" i="1"/>
  <c r="AI99" i="1"/>
  <c r="AI100" i="1"/>
  <c r="AI101" i="1"/>
  <c r="AI102" i="1"/>
  <c r="AI109" i="1"/>
  <c r="AI110" i="1"/>
  <c r="AI111" i="1"/>
  <c r="AI112" i="1"/>
  <c r="AI113" i="1"/>
  <c r="AI114" i="1"/>
  <c r="AI115" i="1"/>
  <c r="AI116" i="1"/>
  <c r="AI117" i="1"/>
  <c r="AI118" i="1"/>
  <c r="AI119" i="1"/>
  <c r="AI120" i="1"/>
  <c r="AI121" i="1"/>
  <c r="AI56" i="1"/>
  <c r="AI105" i="1"/>
  <c r="AI107" i="1"/>
  <c r="AI104" i="1"/>
  <c r="AI122" i="1"/>
  <c r="AI90" i="1"/>
  <c r="AI103" i="1"/>
  <c r="AI108" i="1"/>
  <c r="AI106" i="1"/>
  <c r="AI127" i="1"/>
  <c r="AI130" i="1"/>
  <c r="AI125" i="1"/>
  <c r="AI133" i="1"/>
  <c r="AI123" i="1"/>
  <c r="AI132" i="1"/>
  <c r="AI126" i="1"/>
  <c r="AI136" i="1"/>
  <c r="AI144" i="1"/>
  <c r="AI139" i="1"/>
  <c r="AI145" i="1"/>
  <c r="AI134" i="1"/>
  <c r="AI142" i="1"/>
  <c r="AI137" i="1"/>
  <c r="AI143" i="1"/>
  <c r="AI140" i="1"/>
  <c r="AI124" i="1"/>
  <c r="AI128" i="1"/>
  <c r="AI131" i="1"/>
  <c r="AI135" i="1"/>
  <c r="AI138" i="1"/>
  <c r="AI129" i="1"/>
  <c r="AI141" i="1"/>
  <c r="AI150" i="1"/>
  <c r="AI169" i="1"/>
  <c r="AI151" i="1"/>
  <c r="AI160" i="1"/>
  <c r="AI166" i="1"/>
  <c r="AI152" i="1"/>
  <c r="AI163" i="1"/>
  <c r="AI171" i="1"/>
  <c r="AI153" i="1"/>
  <c r="AI157" i="1"/>
  <c r="AI161" i="1"/>
  <c r="AI168" i="1"/>
  <c r="AI146" i="1"/>
  <c r="AI154" i="1"/>
  <c r="AI165" i="1"/>
  <c r="AI173" i="1"/>
  <c r="AI147" i="1"/>
  <c r="AI155" i="1"/>
  <c r="AI158" i="1"/>
  <c r="AI170" i="1"/>
  <c r="AI148" i="1"/>
  <c r="AI156" i="1"/>
  <c r="AI167" i="1"/>
  <c r="AI149" i="1"/>
  <c r="AI159" i="1"/>
  <c r="AI162" i="1"/>
  <c r="AI164" i="1"/>
  <c r="AI172" i="1"/>
  <c r="AI174" i="1"/>
  <c r="AI175" i="1"/>
  <c r="Q5" i="1"/>
  <c r="Q10" i="1"/>
  <c r="Q7" i="1"/>
  <c r="Q12" i="1"/>
  <c r="Q9" i="1"/>
  <c r="Q6" i="1"/>
  <c r="Q14" i="1"/>
  <c r="Q11" i="1"/>
  <c r="Q8" i="1"/>
  <c r="Q17" i="1"/>
  <c r="Q21" i="1"/>
  <c r="Q13" i="1"/>
  <c r="Q18" i="1"/>
  <c r="Q15" i="1"/>
  <c r="Q16" i="1"/>
  <c r="Q23" i="1"/>
  <c r="Q20" i="1"/>
  <c r="Q24" i="1"/>
  <c r="Q27" i="1"/>
  <c r="Q19" i="1"/>
  <c r="Q28" i="1"/>
  <c r="Q26" i="1"/>
  <c r="Q32" i="1"/>
  <c r="Q29" i="1"/>
  <c r="Q31" i="1"/>
  <c r="Q22" i="1"/>
  <c r="Q33" i="1"/>
  <c r="Q34" i="1"/>
  <c r="Q35" i="1"/>
  <c r="Q36" i="1"/>
  <c r="Q37" i="1"/>
  <c r="Q25" i="1"/>
  <c r="Q39" i="1"/>
  <c r="Q40" i="1"/>
  <c r="Q41" i="1"/>
  <c r="Q42" i="1"/>
  <c r="Q43" i="1"/>
  <c r="Q30" i="1"/>
  <c r="Q38" i="1"/>
  <c r="Q46" i="1"/>
  <c r="Q47" i="1"/>
  <c r="Q48" i="1"/>
  <c r="Q49" i="1"/>
  <c r="Q50" i="1"/>
  <c r="Q51" i="1"/>
  <c r="Q52" i="1"/>
  <c r="Q53" i="1"/>
  <c r="Q45" i="1"/>
  <c r="Q55" i="1"/>
  <c r="Q63" i="1"/>
  <c r="Q61" i="1"/>
  <c r="Q60" i="1"/>
  <c r="Q65" i="1"/>
  <c r="Q66" i="1"/>
  <c r="Q67" i="1"/>
  <c r="Q68" i="1"/>
  <c r="Q59" i="1"/>
  <c r="Q58" i="1"/>
  <c r="Q56" i="1"/>
  <c r="Q54" i="1"/>
  <c r="Q69" i="1"/>
  <c r="Q70" i="1"/>
  <c r="Q71" i="1"/>
  <c r="Q72" i="1"/>
  <c r="Q73" i="1"/>
  <c r="Q74" i="1"/>
  <c r="Q75" i="1"/>
  <c r="Q76" i="1"/>
  <c r="Q77" i="1"/>
  <c r="Q78" i="1"/>
  <c r="Q57" i="1"/>
  <c r="Q44" i="1"/>
  <c r="Q64" i="1"/>
  <c r="Q79" i="1"/>
  <c r="Q80" i="1"/>
  <c r="Q81" i="1"/>
  <c r="Q62" i="1"/>
  <c r="Q83" i="1"/>
  <c r="Q89" i="1"/>
  <c r="Q91" i="1"/>
  <c r="Q92" i="1"/>
  <c r="Q90" i="1"/>
  <c r="Q84" i="1"/>
  <c r="Q88" i="1"/>
  <c r="Q109" i="1"/>
  <c r="Q110" i="1"/>
  <c r="Q111" i="1"/>
  <c r="Q112" i="1"/>
  <c r="Q113" i="1"/>
  <c r="Q114" i="1"/>
  <c r="Q115" i="1"/>
  <c r="Q116" i="1"/>
  <c r="Q117" i="1"/>
  <c r="Q118" i="1"/>
  <c r="Q119" i="1"/>
  <c r="Q120" i="1"/>
  <c r="Q86" i="1"/>
  <c r="Q82" i="1"/>
  <c r="Q85" i="1"/>
  <c r="Q87" i="1"/>
  <c r="Q94" i="1"/>
  <c r="Q98" i="1"/>
  <c r="Q104" i="1"/>
  <c r="Q95" i="1"/>
  <c r="Q99" i="1"/>
  <c r="Q101" i="1"/>
  <c r="Q106" i="1"/>
  <c r="Q96" i="1"/>
  <c r="Q103" i="1"/>
  <c r="Q108" i="1"/>
  <c r="Q93" i="1"/>
  <c r="Q97" i="1"/>
  <c r="Q100" i="1"/>
  <c r="Q102" i="1"/>
  <c r="Q121" i="1"/>
  <c r="Q107" i="1"/>
  <c r="Q123" i="1"/>
  <c r="Q124" i="1"/>
  <c r="Q125" i="1"/>
  <c r="Q126" i="1"/>
  <c r="Q127" i="1"/>
  <c r="Q128" i="1"/>
  <c r="Q129" i="1"/>
  <c r="Q130" i="1"/>
  <c r="Q132" i="1"/>
  <c r="Q105" i="1"/>
  <c r="Q134" i="1"/>
  <c r="Q135" i="1"/>
  <c r="Q136" i="1"/>
  <c r="Q137" i="1"/>
  <c r="Q138" i="1"/>
  <c r="Q139" i="1"/>
  <c r="Q140" i="1"/>
  <c r="Q141" i="1"/>
  <c r="Q142" i="1"/>
  <c r="Q143" i="1"/>
  <c r="Q131" i="1"/>
  <c r="Q145" i="1"/>
  <c r="Q133"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22" i="1"/>
  <c r="Q144" i="1"/>
  <c r="Q174" i="1"/>
  <c r="Q175" i="1"/>
  <c r="AA5" i="1"/>
  <c r="AA9" i="1"/>
  <c r="AA13" i="1"/>
  <c r="AA17" i="1"/>
  <c r="AA21" i="1"/>
  <c r="AA25" i="1"/>
  <c r="AA29" i="1"/>
  <c r="AA33" i="1"/>
  <c r="AA37" i="1"/>
  <c r="AA41" i="1"/>
  <c r="AA45" i="1"/>
  <c r="AA49" i="1"/>
  <c r="AA53" i="1"/>
  <c r="AA57" i="1"/>
  <c r="AA61" i="1"/>
  <c r="AA65" i="1"/>
  <c r="AA69" i="1"/>
  <c r="AA73" i="1"/>
  <c r="AA77" i="1"/>
  <c r="AA81" i="1"/>
  <c r="AA85" i="1"/>
  <c r="AA89" i="1"/>
  <c r="AA93" i="1"/>
  <c r="AA97" i="1"/>
  <c r="AA101" i="1"/>
  <c r="AA105" i="1"/>
  <c r="AA109" i="1"/>
  <c r="AA113" i="1"/>
  <c r="AA117" i="1"/>
  <c r="AA121" i="1"/>
  <c r="AA125" i="1"/>
  <c r="AA129" i="1"/>
  <c r="AA133" i="1"/>
  <c r="AA137" i="1"/>
  <c r="AA141" i="1"/>
  <c r="AA145" i="1"/>
  <c r="AA149" i="1"/>
  <c r="AA153" i="1"/>
  <c r="AA157" i="1"/>
  <c r="AA161" i="1"/>
  <c r="AA165" i="1"/>
  <c r="AA169" i="1"/>
  <c r="AA173" i="1"/>
  <c r="AA6" i="1"/>
  <c r="AA10" i="1"/>
  <c r="AA14" i="1"/>
  <c r="AA18" i="1"/>
  <c r="AA22" i="1"/>
  <c r="AA26" i="1"/>
  <c r="AA30" i="1"/>
  <c r="AA34" i="1"/>
  <c r="AA38" i="1"/>
  <c r="AA42" i="1"/>
  <c r="AA46" i="1"/>
  <c r="AA50" i="1"/>
  <c r="AA54" i="1"/>
  <c r="AA58" i="1"/>
  <c r="AA62" i="1"/>
  <c r="AA66" i="1"/>
  <c r="AA70" i="1"/>
  <c r="AA74" i="1"/>
  <c r="AA78" i="1"/>
  <c r="AA82" i="1"/>
  <c r="AA86" i="1"/>
  <c r="AA90" i="1"/>
  <c r="AA94" i="1"/>
  <c r="AA98" i="1"/>
  <c r="AA102" i="1"/>
  <c r="AA106" i="1"/>
  <c r="AA110" i="1"/>
  <c r="AA114" i="1"/>
  <c r="AA118" i="1"/>
  <c r="AA122" i="1"/>
  <c r="AA126" i="1"/>
  <c r="AA130" i="1"/>
  <c r="AA134" i="1"/>
  <c r="AA138" i="1"/>
  <c r="AA142" i="1"/>
  <c r="AA146" i="1"/>
  <c r="AA150" i="1"/>
  <c r="AA154" i="1"/>
  <c r="AA158" i="1"/>
  <c r="AA162" i="1"/>
  <c r="AA166" i="1"/>
  <c r="AA170" i="1"/>
  <c r="AA174" i="1"/>
  <c r="AA7" i="1"/>
  <c r="AA11" i="1"/>
  <c r="AA15" i="1"/>
  <c r="AA19" i="1"/>
  <c r="AA23" i="1"/>
  <c r="AA27" i="1"/>
  <c r="AA31" i="1"/>
  <c r="AA35" i="1"/>
  <c r="AA39" i="1"/>
  <c r="AA43" i="1"/>
  <c r="AA47" i="1"/>
  <c r="AA51" i="1"/>
  <c r="AA55" i="1"/>
  <c r="AA59" i="1"/>
  <c r="AA63" i="1"/>
  <c r="AA67" i="1"/>
  <c r="AA71" i="1"/>
  <c r="AA75" i="1"/>
  <c r="AA79" i="1"/>
  <c r="AA83" i="1"/>
  <c r="AA87" i="1"/>
  <c r="AA91" i="1"/>
  <c r="AA95" i="1"/>
  <c r="AA99" i="1"/>
  <c r="AA103" i="1"/>
  <c r="AA107" i="1"/>
  <c r="AA111" i="1"/>
  <c r="AA115" i="1"/>
  <c r="AA119" i="1"/>
  <c r="AA123" i="1"/>
  <c r="AA127" i="1"/>
  <c r="AA131" i="1"/>
  <c r="AA135" i="1"/>
  <c r="AA139" i="1"/>
  <c r="AA143" i="1"/>
  <c r="AA147" i="1"/>
  <c r="AA151" i="1"/>
  <c r="AA155" i="1"/>
  <c r="AA159" i="1"/>
  <c r="AA163" i="1"/>
  <c r="AA167" i="1"/>
  <c r="AA171" i="1"/>
  <c r="AA175" i="1"/>
  <c r="AA8" i="1"/>
  <c r="AA12" i="1"/>
  <c r="AA16" i="1"/>
  <c r="AA20" i="1"/>
  <c r="AA24" i="1"/>
  <c r="AA28" i="1"/>
  <c r="AA32" i="1"/>
  <c r="AA36" i="1"/>
  <c r="AA40" i="1"/>
  <c r="AA44" i="1"/>
  <c r="AA48" i="1"/>
  <c r="AA52" i="1"/>
  <c r="AA56" i="1"/>
  <c r="AA60" i="1"/>
  <c r="AA64" i="1"/>
  <c r="AA68" i="1"/>
  <c r="AA72" i="1"/>
  <c r="AA76" i="1"/>
  <c r="AA80" i="1"/>
  <c r="AA84" i="1"/>
  <c r="AA88" i="1"/>
  <c r="AA92" i="1"/>
  <c r="AA96" i="1"/>
  <c r="AA100" i="1"/>
  <c r="AA104" i="1"/>
  <c r="AA108" i="1"/>
  <c r="AA112" i="1"/>
  <c r="AA116" i="1"/>
  <c r="AA120" i="1"/>
  <c r="AA124" i="1"/>
  <c r="AA128" i="1"/>
  <c r="AA132" i="1"/>
  <c r="AA136" i="1"/>
  <c r="AA140" i="1"/>
  <c r="AA144" i="1"/>
  <c r="AA148" i="1"/>
  <c r="AA152" i="1"/>
  <c r="AA156" i="1"/>
  <c r="AA160" i="1"/>
  <c r="AA164" i="1"/>
  <c r="AA168" i="1"/>
  <c r="AA172" i="1"/>
  <c r="V11" i="1"/>
  <c r="V14" i="1"/>
  <c r="V8" i="1"/>
  <c r="V5" i="1"/>
  <c r="V13" i="1"/>
  <c r="V10" i="1"/>
  <c r="V7" i="1"/>
  <c r="V15" i="1"/>
  <c r="V16" i="1"/>
  <c r="V17" i="1"/>
  <c r="V12" i="1"/>
  <c r="V9" i="1"/>
  <c r="V6" i="1"/>
  <c r="V22" i="1"/>
  <c r="V19" i="1"/>
  <c r="V20" i="1"/>
  <c r="V28" i="1"/>
  <c r="V21" i="1"/>
  <c r="V23" i="1"/>
  <c r="V25" i="1"/>
  <c r="V18" i="1"/>
  <c r="V27" i="1"/>
  <c r="V24" i="1"/>
  <c r="V30" i="1"/>
  <c r="V33" i="1"/>
  <c r="V34" i="1"/>
  <c r="V35" i="1"/>
  <c r="V36" i="1"/>
  <c r="V37" i="1"/>
  <c r="V38" i="1"/>
  <c r="V32" i="1"/>
  <c r="V29" i="1"/>
  <c r="V31" i="1"/>
  <c r="V39" i="1"/>
  <c r="V46" i="1"/>
  <c r="V47" i="1"/>
  <c r="V48" i="1"/>
  <c r="V49" i="1"/>
  <c r="V50" i="1"/>
  <c r="V42" i="1"/>
  <c r="V44" i="1"/>
  <c r="V40" i="1"/>
  <c r="V45" i="1"/>
  <c r="V52" i="1"/>
  <c r="V43" i="1"/>
  <c r="V59" i="1"/>
  <c r="V65" i="1"/>
  <c r="V66" i="1"/>
  <c r="V57" i="1"/>
  <c r="V51" i="1"/>
  <c r="V56" i="1"/>
  <c r="V64" i="1"/>
  <c r="V26" i="1"/>
  <c r="V41" i="1"/>
  <c r="V55" i="1"/>
  <c r="V63" i="1"/>
  <c r="V62" i="1"/>
  <c r="V60" i="1"/>
  <c r="V58" i="1"/>
  <c r="V68" i="1"/>
  <c r="V54" i="1"/>
  <c r="V67" i="1"/>
  <c r="V61" i="1"/>
  <c r="V76" i="1"/>
  <c r="V71" i="1"/>
  <c r="V74" i="1"/>
  <c r="V78" i="1"/>
  <c r="V69" i="1"/>
  <c r="V72" i="1"/>
  <c r="V77" i="1"/>
  <c r="V75" i="1"/>
  <c r="V70" i="1"/>
  <c r="V87" i="1"/>
  <c r="V79" i="1"/>
  <c r="V83" i="1"/>
  <c r="V53" i="1"/>
  <c r="V73" i="1"/>
  <c r="V80" i="1"/>
  <c r="V89" i="1"/>
  <c r="V81" i="1"/>
  <c r="V84" i="1"/>
  <c r="V86" i="1"/>
  <c r="V88" i="1"/>
  <c r="V90" i="1"/>
  <c r="V82" i="1"/>
  <c r="V91" i="1"/>
  <c r="V92" i="1"/>
  <c r="V93" i="1"/>
  <c r="V94" i="1"/>
  <c r="V95" i="1"/>
  <c r="V96" i="1"/>
  <c r="V97" i="1"/>
  <c r="V98" i="1"/>
  <c r="V99" i="1"/>
  <c r="V100" i="1"/>
  <c r="V101" i="1"/>
  <c r="V102" i="1"/>
  <c r="V103" i="1"/>
  <c r="V104" i="1"/>
  <c r="V105" i="1"/>
  <c r="V106" i="1"/>
  <c r="V107" i="1"/>
  <c r="V108" i="1"/>
  <c r="V122" i="1"/>
  <c r="V85" i="1"/>
  <c r="V109" i="1"/>
  <c r="V116" i="1"/>
  <c r="V111" i="1"/>
  <c r="V117" i="1"/>
  <c r="V115" i="1"/>
  <c r="V123" i="1"/>
  <c r="V124" i="1"/>
  <c r="V125" i="1"/>
  <c r="V126" i="1"/>
  <c r="V127" i="1"/>
  <c r="V128" i="1"/>
  <c r="V129" i="1"/>
  <c r="V130" i="1"/>
  <c r="V131" i="1"/>
  <c r="V132" i="1"/>
  <c r="V133" i="1"/>
  <c r="V112" i="1"/>
  <c r="V113" i="1"/>
  <c r="V110" i="1"/>
  <c r="V114" i="1"/>
  <c r="V118" i="1"/>
  <c r="V120" i="1"/>
  <c r="V121" i="1"/>
  <c r="V140" i="1"/>
  <c r="V135" i="1"/>
  <c r="V144" i="1"/>
  <c r="V146" i="1"/>
  <c r="V147" i="1"/>
  <c r="V148" i="1"/>
  <c r="V149" i="1"/>
  <c r="V150" i="1"/>
  <c r="V151" i="1"/>
  <c r="V152" i="1"/>
  <c r="V153" i="1"/>
  <c r="V154" i="1"/>
  <c r="V155" i="1"/>
  <c r="V156" i="1"/>
  <c r="V157" i="1"/>
  <c r="V158" i="1"/>
  <c r="V159" i="1"/>
  <c r="V160" i="1"/>
  <c r="V138" i="1"/>
  <c r="V141" i="1"/>
  <c r="V136" i="1"/>
  <c r="V143" i="1"/>
  <c r="V139" i="1"/>
  <c r="V119" i="1"/>
  <c r="V134" i="1"/>
  <c r="V142" i="1"/>
  <c r="V137" i="1"/>
  <c r="V145" i="1"/>
  <c r="V167" i="1"/>
  <c r="V164" i="1"/>
  <c r="V172" i="1"/>
  <c r="V162" i="1"/>
  <c r="V169" i="1"/>
  <c r="V166" i="1"/>
  <c r="V174" i="1"/>
  <c r="V175" i="1"/>
  <c r="V163" i="1"/>
  <c r="V171" i="1"/>
  <c r="V168" i="1"/>
  <c r="V161" i="1"/>
  <c r="V165" i="1"/>
  <c r="V173" i="1"/>
  <c r="V170" i="1"/>
  <c r="O7" i="1"/>
  <c r="O12" i="1"/>
  <c r="O9" i="1"/>
  <c r="O6" i="1"/>
  <c r="O14" i="1"/>
  <c r="O11" i="1"/>
  <c r="O8" i="1"/>
  <c r="O13" i="1"/>
  <c r="O15" i="1"/>
  <c r="O16" i="1"/>
  <c r="O17" i="1"/>
  <c r="O5" i="1"/>
  <c r="O18" i="1"/>
  <c r="O19" i="1"/>
  <c r="O20" i="1"/>
  <c r="O21" i="1"/>
  <c r="O22" i="1"/>
  <c r="O23" i="1"/>
  <c r="O24" i="1"/>
  <c r="O25" i="1"/>
  <c r="O26" i="1"/>
  <c r="O27" i="1"/>
  <c r="O10" i="1"/>
  <c r="O29" i="1"/>
  <c r="O30" i="1"/>
  <c r="O31" i="1"/>
  <c r="O32" i="1"/>
  <c r="O28" i="1"/>
  <c r="O37" i="1"/>
  <c r="O39" i="1"/>
  <c r="O40" i="1"/>
  <c r="O35" i="1"/>
  <c r="O38" i="1"/>
  <c r="O33" i="1"/>
  <c r="O36" i="1"/>
  <c r="O42" i="1"/>
  <c r="O41" i="1"/>
  <c r="O34" i="1"/>
  <c r="O45" i="1"/>
  <c r="O50" i="1"/>
  <c r="O43" i="1"/>
  <c r="O48" i="1"/>
  <c r="O54" i="1"/>
  <c r="O61" i="1"/>
  <c r="O46" i="1"/>
  <c r="O52" i="1"/>
  <c r="O59" i="1"/>
  <c r="O47" i="1"/>
  <c r="O49" i="1"/>
  <c r="O58" i="1"/>
  <c r="O57" i="1"/>
  <c r="O56" i="1"/>
  <c r="O67" i="1"/>
  <c r="O69" i="1"/>
  <c r="O70" i="1"/>
  <c r="O71" i="1"/>
  <c r="O72" i="1"/>
  <c r="O73" i="1"/>
  <c r="O74" i="1"/>
  <c r="O75" i="1"/>
  <c r="O76" i="1"/>
  <c r="O55" i="1"/>
  <c r="O66" i="1"/>
  <c r="O51" i="1"/>
  <c r="O53" i="1"/>
  <c r="O64" i="1"/>
  <c r="O44" i="1"/>
  <c r="O63" i="1"/>
  <c r="O79" i="1"/>
  <c r="O80" i="1"/>
  <c r="O81" i="1"/>
  <c r="O82" i="1"/>
  <c r="O83" i="1"/>
  <c r="O84" i="1"/>
  <c r="O85" i="1"/>
  <c r="O62" i="1"/>
  <c r="O60" i="1"/>
  <c r="O78" i="1"/>
  <c r="O68" i="1"/>
  <c r="O90" i="1"/>
  <c r="O77" i="1"/>
  <c r="O88" i="1"/>
  <c r="O86" i="1"/>
  <c r="O65" i="1"/>
  <c r="O87" i="1"/>
  <c r="O89" i="1"/>
  <c r="O101" i="1"/>
  <c r="O95" i="1"/>
  <c r="O99" i="1"/>
  <c r="O106" i="1"/>
  <c r="O111" i="1"/>
  <c r="O115" i="1"/>
  <c r="O119" i="1"/>
  <c r="O103" i="1"/>
  <c r="O96" i="1"/>
  <c r="O108" i="1"/>
  <c r="O114" i="1"/>
  <c r="O118" i="1"/>
  <c r="O100" i="1"/>
  <c r="O102" i="1"/>
  <c r="O105" i="1"/>
  <c r="O110" i="1"/>
  <c r="O91" i="1"/>
  <c r="O93" i="1"/>
  <c r="O97" i="1"/>
  <c r="O113" i="1"/>
  <c r="O117" i="1"/>
  <c r="O104" i="1"/>
  <c r="O109" i="1"/>
  <c r="O121" i="1"/>
  <c r="O107" i="1"/>
  <c r="O112" i="1"/>
  <c r="O92" i="1"/>
  <c r="O116" i="1"/>
  <c r="O123" i="1"/>
  <c r="O124" i="1"/>
  <c r="O125" i="1"/>
  <c r="O126" i="1"/>
  <c r="O127" i="1"/>
  <c r="O128" i="1"/>
  <c r="O129" i="1"/>
  <c r="O130" i="1"/>
  <c r="O131" i="1"/>
  <c r="O132" i="1"/>
  <c r="O133" i="1"/>
  <c r="O94" i="1"/>
  <c r="O98" i="1"/>
  <c r="O134" i="1"/>
  <c r="O135" i="1"/>
  <c r="O136" i="1"/>
  <c r="O137" i="1"/>
  <c r="O138" i="1"/>
  <c r="O139" i="1"/>
  <c r="O140" i="1"/>
  <c r="O141" i="1"/>
  <c r="O142" i="1"/>
  <c r="O143" i="1"/>
  <c r="O144" i="1"/>
  <c r="O145" i="1"/>
  <c r="O122" i="1"/>
  <c r="O120" i="1"/>
  <c r="O146" i="1"/>
  <c r="O147" i="1"/>
  <c r="O148" i="1"/>
  <c r="O149" i="1"/>
  <c r="O150" i="1"/>
  <c r="O151" i="1"/>
  <c r="O152" i="1"/>
  <c r="O153" i="1"/>
  <c r="O154" i="1"/>
  <c r="O155" i="1"/>
  <c r="O156" i="1"/>
  <c r="O157" i="1"/>
  <c r="O158" i="1"/>
  <c r="O159" i="1"/>
  <c r="O160" i="1"/>
  <c r="O161" i="1"/>
  <c r="O162" i="1"/>
  <c r="O163" i="1"/>
  <c r="O164" i="1"/>
  <c r="O165" i="1"/>
  <c r="O166" i="1"/>
  <c r="O167" i="1"/>
  <c r="O168" i="1"/>
  <c r="O169" i="1"/>
  <c r="O170" i="1"/>
  <c r="O171" i="1"/>
  <c r="O172" i="1"/>
  <c r="O173" i="1"/>
  <c r="O174" i="1"/>
  <c r="O175" i="1"/>
  <c r="AE10" i="1"/>
  <c r="AE13" i="1"/>
  <c r="AE7" i="1"/>
  <c r="AE12" i="1"/>
  <c r="AE9" i="1"/>
  <c r="AE6" i="1"/>
  <c r="AE15" i="1"/>
  <c r="AE16" i="1"/>
  <c r="AE17" i="1"/>
  <c r="AE11" i="1"/>
  <c r="AE8" i="1"/>
  <c r="AE14" i="1"/>
  <c r="AE5" i="1"/>
  <c r="AE21" i="1"/>
  <c r="AE18" i="1"/>
  <c r="AE19" i="1"/>
  <c r="AE28" i="1"/>
  <c r="AE24" i="1"/>
  <c r="AE22" i="1"/>
  <c r="AE23" i="1"/>
  <c r="AE26" i="1"/>
  <c r="AE25" i="1"/>
  <c r="AE27" i="1"/>
  <c r="AE32" i="1"/>
  <c r="AE29" i="1"/>
  <c r="AE31" i="1"/>
  <c r="AE33" i="1"/>
  <c r="AE34" i="1"/>
  <c r="AE35" i="1"/>
  <c r="AE36" i="1"/>
  <c r="AE37" i="1"/>
  <c r="AE38" i="1"/>
  <c r="AE20" i="1"/>
  <c r="AE30" i="1"/>
  <c r="AE40" i="1"/>
  <c r="AE41" i="1"/>
  <c r="AE45" i="1"/>
  <c r="AE46" i="1"/>
  <c r="AE47" i="1"/>
  <c r="AE48" i="1"/>
  <c r="AE49" i="1"/>
  <c r="AE50" i="1"/>
  <c r="AE44" i="1"/>
  <c r="AE42" i="1"/>
  <c r="AE51" i="1"/>
  <c r="AE58" i="1"/>
  <c r="AE65" i="1"/>
  <c r="AE66" i="1"/>
  <c r="AE56" i="1"/>
  <c r="AE64" i="1"/>
  <c r="AE55" i="1"/>
  <c r="AE63" i="1"/>
  <c r="AE54" i="1"/>
  <c r="AE62" i="1"/>
  <c r="AE53" i="1"/>
  <c r="AE52" i="1"/>
  <c r="AE67" i="1"/>
  <c r="AE61" i="1"/>
  <c r="AE60" i="1"/>
  <c r="AE75" i="1"/>
  <c r="AE78" i="1"/>
  <c r="AE43" i="1"/>
  <c r="AE59" i="1"/>
  <c r="AE70" i="1"/>
  <c r="AE57" i="1"/>
  <c r="AE73" i="1"/>
  <c r="AE77" i="1"/>
  <c r="AE68" i="1"/>
  <c r="AE39" i="1"/>
  <c r="AE71" i="1"/>
  <c r="AE76" i="1"/>
  <c r="AE74" i="1"/>
  <c r="AE69" i="1"/>
  <c r="AE82" i="1"/>
  <c r="AE86" i="1"/>
  <c r="AE79" i="1"/>
  <c r="AE85" i="1"/>
  <c r="AE88" i="1"/>
  <c r="AE80" i="1"/>
  <c r="AE90" i="1"/>
  <c r="AE81" i="1"/>
  <c r="AE83" i="1"/>
  <c r="AE87" i="1"/>
  <c r="AE91" i="1"/>
  <c r="AE92" i="1"/>
  <c r="AE93" i="1"/>
  <c r="AE94" i="1"/>
  <c r="AE95" i="1"/>
  <c r="AE96" i="1"/>
  <c r="AE97" i="1"/>
  <c r="AE98" i="1"/>
  <c r="AE99" i="1"/>
  <c r="AE100" i="1"/>
  <c r="AE101" i="1"/>
  <c r="AE102" i="1"/>
  <c r="AE103" i="1"/>
  <c r="AE104" i="1"/>
  <c r="AE105" i="1"/>
  <c r="AE106" i="1"/>
  <c r="AE107" i="1"/>
  <c r="AE108" i="1"/>
  <c r="AE84" i="1"/>
  <c r="AE89" i="1"/>
  <c r="AE72" i="1"/>
  <c r="AE122" i="1"/>
  <c r="AE115" i="1"/>
  <c r="AE119" i="1"/>
  <c r="AE110" i="1"/>
  <c r="AE112" i="1"/>
  <c r="AE111" i="1"/>
  <c r="AE116" i="1"/>
  <c r="AE114" i="1"/>
  <c r="AE123" i="1"/>
  <c r="AE124" i="1"/>
  <c r="AE125" i="1"/>
  <c r="AE126" i="1"/>
  <c r="AE127" i="1"/>
  <c r="AE128" i="1"/>
  <c r="AE129" i="1"/>
  <c r="AE130" i="1"/>
  <c r="AE131" i="1"/>
  <c r="AE132" i="1"/>
  <c r="AE133" i="1"/>
  <c r="AE121" i="1"/>
  <c r="AE109" i="1"/>
  <c r="AE113" i="1"/>
  <c r="AE117" i="1"/>
  <c r="AE118" i="1"/>
  <c r="AE139" i="1"/>
  <c r="AE134" i="1"/>
  <c r="AE142" i="1"/>
  <c r="AE143" i="1"/>
  <c r="AE146" i="1"/>
  <c r="AE147" i="1"/>
  <c r="AE148" i="1"/>
  <c r="AE149" i="1"/>
  <c r="AE150" i="1"/>
  <c r="AE151" i="1"/>
  <c r="AE152" i="1"/>
  <c r="AE153" i="1"/>
  <c r="AE154" i="1"/>
  <c r="AE155" i="1"/>
  <c r="AE156" i="1"/>
  <c r="AE157" i="1"/>
  <c r="AE158" i="1"/>
  <c r="AE159" i="1"/>
  <c r="AE160" i="1"/>
  <c r="AE137" i="1"/>
  <c r="AE120" i="1"/>
  <c r="AE140" i="1"/>
  <c r="AE135" i="1"/>
  <c r="AE138" i="1"/>
  <c r="AE141" i="1"/>
  <c r="AE144" i="1"/>
  <c r="AE145" i="1"/>
  <c r="AE136" i="1"/>
  <c r="AE166" i="1"/>
  <c r="AE163" i="1"/>
  <c r="AE171" i="1"/>
  <c r="AE161" i="1"/>
  <c r="AE168" i="1"/>
  <c r="AE165" i="1"/>
  <c r="AE173" i="1"/>
  <c r="AE174" i="1"/>
  <c r="AE175" i="1"/>
  <c r="AE170" i="1"/>
  <c r="AE167" i="1"/>
  <c r="AE162" i="1"/>
  <c r="AE164" i="1"/>
  <c r="AE172" i="1"/>
  <c r="AE169" i="1"/>
  <c r="AR5" i="1"/>
  <c r="AR6" i="1"/>
  <c r="AR7" i="1"/>
  <c r="AR8" i="1"/>
  <c r="AR9" i="1"/>
  <c r="AR10" i="1"/>
  <c r="AR11" i="1"/>
  <c r="AR14" i="1"/>
  <c r="AR15" i="1"/>
  <c r="AR16" i="1"/>
  <c r="AR17" i="1"/>
  <c r="AR13" i="1"/>
  <c r="AR12" i="1"/>
  <c r="AR21" i="1"/>
  <c r="AR18" i="1"/>
  <c r="AR19" i="1"/>
  <c r="AR22" i="1"/>
  <c r="AR24" i="1"/>
  <c r="AR23" i="1"/>
  <c r="AR25" i="1"/>
  <c r="AR29" i="1"/>
  <c r="AR30" i="1"/>
  <c r="AR31" i="1"/>
  <c r="AR32" i="1"/>
  <c r="AR20" i="1"/>
  <c r="AR27" i="1"/>
  <c r="AR26" i="1"/>
  <c r="AR28" i="1"/>
  <c r="AR34" i="1"/>
  <c r="AR37" i="1"/>
  <c r="AR35" i="1"/>
  <c r="AR38" i="1"/>
  <c r="AR39" i="1"/>
  <c r="AR40" i="1"/>
  <c r="AR41" i="1"/>
  <c r="AR42" i="1"/>
  <c r="AR43" i="1"/>
  <c r="AR44" i="1"/>
  <c r="AR45" i="1"/>
  <c r="AR33" i="1"/>
  <c r="AR46" i="1"/>
  <c r="AR47" i="1"/>
  <c r="AR48" i="1"/>
  <c r="AR49" i="1"/>
  <c r="AR50" i="1"/>
  <c r="AR51" i="1"/>
  <c r="AR36" i="1"/>
  <c r="AR52" i="1"/>
  <c r="AR54" i="1"/>
  <c r="AR62" i="1"/>
  <c r="AR60" i="1"/>
  <c r="AR59" i="1"/>
  <c r="AR58" i="1"/>
  <c r="AR66" i="1"/>
  <c r="AR63" i="1"/>
  <c r="AR61" i="1"/>
  <c r="AR57" i="1"/>
  <c r="AR65" i="1"/>
  <c r="AR67" i="1"/>
  <c r="AR53" i="1"/>
  <c r="AR56" i="1"/>
  <c r="AR71" i="1"/>
  <c r="AR74" i="1"/>
  <c r="AR69" i="1"/>
  <c r="AR76" i="1"/>
  <c r="AR72" i="1"/>
  <c r="AR77" i="1"/>
  <c r="AR55" i="1"/>
  <c r="AR75" i="1"/>
  <c r="AR78" i="1"/>
  <c r="AR79" i="1"/>
  <c r="AR80" i="1"/>
  <c r="AR81" i="1"/>
  <c r="AR82" i="1"/>
  <c r="AR83" i="1"/>
  <c r="AR84" i="1"/>
  <c r="AR85" i="1"/>
  <c r="AR86" i="1"/>
  <c r="AR87" i="1"/>
  <c r="AR88" i="1"/>
  <c r="AR89" i="1"/>
  <c r="AR90" i="1"/>
  <c r="AR70" i="1"/>
  <c r="AR73" i="1"/>
  <c r="AR64" i="1"/>
  <c r="AR68" i="1"/>
  <c r="AR91" i="1"/>
  <c r="AR92" i="1"/>
  <c r="AR93" i="1"/>
  <c r="AR94" i="1"/>
  <c r="AR95" i="1"/>
  <c r="AR96" i="1"/>
  <c r="AR97" i="1"/>
  <c r="AR98" i="1"/>
  <c r="AR99" i="1"/>
  <c r="AR100" i="1"/>
  <c r="AR101" i="1"/>
  <c r="AR102" i="1"/>
  <c r="AR103" i="1"/>
  <c r="AR104" i="1"/>
  <c r="AR105" i="1"/>
  <c r="AR106" i="1"/>
  <c r="AR107" i="1"/>
  <c r="AR108" i="1"/>
  <c r="AR113" i="1"/>
  <c r="AR117" i="1"/>
  <c r="AR116" i="1"/>
  <c r="AR110" i="1"/>
  <c r="AR115" i="1"/>
  <c r="AR119" i="1"/>
  <c r="AR114" i="1"/>
  <c r="AR120" i="1"/>
  <c r="AR123" i="1"/>
  <c r="AR124" i="1"/>
  <c r="AR125" i="1"/>
  <c r="AR126" i="1"/>
  <c r="AR127" i="1"/>
  <c r="AR128" i="1"/>
  <c r="AR129" i="1"/>
  <c r="AR130" i="1"/>
  <c r="AR131" i="1"/>
  <c r="AR132" i="1"/>
  <c r="AR122" i="1"/>
  <c r="AR112" i="1"/>
  <c r="AR118" i="1"/>
  <c r="AR121" i="1"/>
  <c r="AR111" i="1"/>
  <c r="AR109" i="1"/>
  <c r="AR133" i="1"/>
  <c r="AR134" i="1"/>
  <c r="AR135" i="1"/>
  <c r="AR136" i="1"/>
  <c r="AR137" i="1"/>
  <c r="AR138" i="1"/>
  <c r="AR139" i="1"/>
  <c r="AR140" i="1"/>
  <c r="AR141" i="1"/>
  <c r="AR142" i="1"/>
  <c r="AR143" i="1"/>
  <c r="AR145" i="1"/>
  <c r="AR144" i="1"/>
  <c r="AR146" i="1"/>
  <c r="AR147" i="1"/>
  <c r="AR148" i="1"/>
  <c r="AR149" i="1"/>
  <c r="AR150" i="1"/>
  <c r="AR151" i="1"/>
  <c r="AR152" i="1"/>
  <c r="AR153" i="1"/>
  <c r="AR154" i="1"/>
  <c r="AR155" i="1"/>
  <c r="AR156" i="1"/>
  <c r="AR157" i="1"/>
  <c r="AR158" i="1"/>
  <c r="AR159" i="1"/>
  <c r="AR160" i="1"/>
  <c r="AR161" i="1"/>
  <c r="AR162" i="1"/>
  <c r="AR163" i="1"/>
  <c r="AR171" i="1"/>
  <c r="AR174" i="1"/>
  <c r="AR175" i="1"/>
  <c r="AR168" i="1"/>
  <c r="AR165" i="1"/>
  <c r="AR173" i="1"/>
  <c r="AR170" i="1"/>
  <c r="AR167" i="1"/>
  <c r="AR164" i="1"/>
  <c r="AR172" i="1"/>
  <c r="AR169" i="1"/>
  <c r="AR166" i="1"/>
  <c r="W6" i="1"/>
  <c r="W11" i="1"/>
  <c r="W14" i="1"/>
  <c r="W8" i="1"/>
  <c r="W5" i="1"/>
  <c r="W13" i="1"/>
  <c r="W10" i="1"/>
  <c r="W7" i="1"/>
  <c r="W15" i="1"/>
  <c r="W16" i="1"/>
  <c r="W17" i="1"/>
  <c r="W12" i="1"/>
  <c r="W9" i="1"/>
  <c r="W18" i="1"/>
  <c r="W19" i="1"/>
  <c r="W20" i="1"/>
  <c r="W21" i="1"/>
  <c r="W22" i="1"/>
  <c r="W23" i="1"/>
  <c r="W24" i="1"/>
  <c r="W25" i="1"/>
  <c r="W26" i="1"/>
  <c r="W27" i="1"/>
  <c r="W28" i="1"/>
  <c r="W29" i="1"/>
  <c r="W30" i="1"/>
  <c r="W31" i="1"/>
  <c r="W32" i="1"/>
  <c r="W36" i="1"/>
  <c r="W39" i="1"/>
  <c r="W40" i="1"/>
  <c r="W38" i="1"/>
  <c r="W34" i="1"/>
  <c r="W37" i="1"/>
  <c r="W35" i="1"/>
  <c r="W41" i="1"/>
  <c r="W43" i="1"/>
  <c r="W45" i="1"/>
  <c r="W33" i="1"/>
  <c r="W49" i="1"/>
  <c r="W51" i="1"/>
  <c r="W44" i="1"/>
  <c r="W50" i="1"/>
  <c r="W53" i="1"/>
  <c r="W52" i="1"/>
  <c r="W60" i="1"/>
  <c r="W48" i="1"/>
  <c r="W58" i="1"/>
  <c r="W57" i="1"/>
  <c r="W46" i="1"/>
  <c r="W56" i="1"/>
  <c r="W64" i="1"/>
  <c r="W63" i="1"/>
  <c r="W61" i="1"/>
  <c r="W69" i="1"/>
  <c r="W70" i="1"/>
  <c r="W71" i="1"/>
  <c r="W72" i="1"/>
  <c r="W73" i="1"/>
  <c r="W74" i="1"/>
  <c r="W75" i="1"/>
  <c r="W76" i="1"/>
  <c r="W59" i="1"/>
  <c r="W65" i="1"/>
  <c r="W42" i="1"/>
  <c r="W68" i="1"/>
  <c r="W55" i="1"/>
  <c r="W54" i="1"/>
  <c r="W79" i="1"/>
  <c r="W80" i="1"/>
  <c r="W81" i="1"/>
  <c r="W82" i="1"/>
  <c r="W83" i="1"/>
  <c r="W84" i="1"/>
  <c r="W85" i="1"/>
  <c r="W47" i="1"/>
  <c r="W78" i="1"/>
  <c r="W62" i="1"/>
  <c r="W67" i="1"/>
  <c r="W77" i="1"/>
  <c r="W66" i="1"/>
  <c r="W87" i="1"/>
  <c r="W89" i="1"/>
  <c r="W86" i="1"/>
  <c r="W88" i="1"/>
  <c r="W90" i="1"/>
  <c r="W100" i="1"/>
  <c r="W102" i="1"/>
  <c r="W94" i="1"/>
  <c r="W98" i="1"/>
  <c r="W105" i="1"/>
  <c r="W110" i="1"/>
  <c r="W114" i="1"/>
  <c r="W118" i="1"/>
  <c r="W95" i="1"/>
  <c r="W99" i="1"/>
  <c r="W107" i="1"/>
  <c r="W112" i="1"/>
  <c r="W113" i="1"/>
  <c r="W117" i="1"/>
  <c r="W101" i="1"/>
  <c r="W104" i="1"/>
  <c r="W109" i="1"/>
  <c r="W96" i="1"/>
  <c r="W116" i="1"/>
  <c r="W120" i="1"/>
  <c r="W121" i="1"/>
  <c r="W93" i="1"/>
  <c r="W91" i="1"/>
  <c r="W119" i="1"/>
  <c r="W97" i="1"/>
  <c r="W122" i="1"/>
  <c r="W115" i="1"/>
  <c r="W123" i="1"/>
  <c r="W124" i="1"/>
  <c r="W125" i="1"/>
  <c r="W126" i="1"/>
  <c r="W127" i="1"/>
  <c r="W128" i="1"/>
  <c r="W129" i="1"/>
  <c r="W130" i="1"/>
  <c r="W131" i="1"/>
  <c r="W132" i="1"/>
  <c r="W92" i="1"/>
  <c r="W108" i="1"/>
  <c r="W111" i="1"/>
  <c r="W133" i="1"/>
  <c r="W134" i="1"/>
  <c r="W135" i="1"/>
  <c r="W136" i="1"/>
  <c r="W137" i="1"/>
  <c r="W138" i="1"/>
  <c r="W139" i="1"/>
  <c r="W140" i="1"/>
  <c r="W141" i="1"/>
  <c r="W142" i="1"/>
  <c r="W143" i="1"/>
  <c r="W144" i="1"/>
  <c r="W145" i="1"/>
  <c r="W103" i="1"/>
  <c r="W106" i="1"/>
  <c r="W146" i="1"/>
  <c r="W147" i="1"/>
  <c r="W148" i="1"/>
  <c r="W149" i="1"/>
  <c r="W150" i="1"/>
  <c r="W151" i="1"/>
  <c r="W152" i="1"/>
  <c r="W153" i="1"/>
  <c r="W154" i="1"/>
  <c r="W155" i="1"/>
  <c r="W156" i="1"/>
  <c r="W157" i="1"/>
  <c r="W158" i="1"/>
  <c r="W159" i="1"/>
  <c r="W160" i="1"/>
  <c r="W161" i="1"/>
  <c r="W162" i="1"/>
  <c r="W163" i="1"/>
  <c r="W164" i="1"/>
  <c r="W165" i="1"/>
  <c r="W166" i="1"/>
  <c r="W167" i="1"/>
  <c r="W168" i="1"/>
  <c r="W169" i="1"/>
  <c r="W170" i="1"/>
  <c r="W171" i="1"/>
  <c r="W172" i="1"/>
  <c r="W173" i="1"/>
  <c r="W174" i="1"/>
  <c r="W175" i="1"/>
  <c r="Z5" i="1"/>
  <c r="Z6" i="1"/>
  <c r="Z7" i="1"/>
  <c r="Z8" i="1"/>
  <c r="Z9" i="1"/>
  <c r="Z10" i="1"/>
  <c r="Z11" i="1"/>
  <c r="Z12" i="1"/>
  <c r="Z13" i="1"/>
  <c r="Z14" i="1"/>
  <c r="Z16" i="1"/>
  <c r="Z23" i="1"/>
  <c r="Z20" i="1"/>
  <c r="Z18" i="1"/>
  <c r="Z17" i="1"/>
  <c r="Z24" i="1"/>
  <c r="Z27" i="1"/>
  <c r="Z29" i="1"/>
  <c r="Z30" i="1"/>
  <c r="Z31" i="1"/>
  <c r="Z32" i="1"/>
  <c r="Z22" i="1"/>
  <c r="Z26" i="1"/>
  <c r="Z21" i="1"/>
  <c r="Z25" i="1"/>
  <c r="Z19" i="1"/>
  <c r="Z28" i="1"/>
  <c r="Z33" i="1"/>
  <c r="Z34" i="1"/>
  <c r="Z35" i="1"/>
  <c r="Z36" i="1"/>
  <c r="Z39" i="1"/>
  <c r="Z40" i="1"/>
  <c r="Z41" i="1"/>
  <c r="Z42" i="1"/>
  <c r="Z43" i="1"/>
  <c r="Z38" i="1"/>
  <c r="Z15" i="1"/>
  <c r="Z37" i="1"/>
  <c r="Z45" i="1"/>
  <c r="Z44" i="1"/>
  <c r="Z48" i="1"/>
  <c r="Z47" i="1"/>
  <c r="Z55" i="1"/>
  <c r="Z63" i="1"/>
  <c r="Z52" i="1"/>
  <c r="Z53" i="1"/>
  <c r="Z61" i="1"/>
  <c r="Z60" i="1"/>
  <c r="Z59" i="1"/>
  <c r="Z65" i="1"/>
  <c r="Z66" i="1"/>
  <c r="Z67" i="1"/>
  <c r="Z68" i="1"/>
  <c r="Z64" i="1"/>
  <c r="Z62" i="1"/>
  <c r="Z46" i="1"/>
  <c r="Z58" i="1"/>
  <c r="Z57" i="1"/>
  <c r="Z69" i="1"/>
  <c r="Z70" i="1"/>
  <c r="Z71" i="1"/>
  <c r="Z72" i="1"/>
  <c r="Z73" i="1"/>
  <c r="Z74" i="1"/>
  <c r="Z75" i="1"/>
  <c r="Z51" i="1"/>
  <c r="Z54" i="1"/>
  <c r="Z76" i="1"/>
  <c r="Z50" i="1"/>
  <c r="Z79" i="1"/>
  <c r="Z80" i="1"/>
  <c r="Z81" i="1"/>
  <c r="Z82" i="1"/>
  <c r="Z83" i="1"/>
  <c r="Z84" i="1"/>
  <c r="Z85" i="1"/>
  <c r="Z86" i="1"/>
  <c r="Z87" i="1"/>
  <c r="Z88" i="1"/>
  <c r="Z89" i="1"/>
  <c r="Z78" i="1"/>
  <c r="Z49" i="1"/>
  <c r="Z56" i="1"/>
  <c r="Z77" i="1"/>
  <c r="Z90" i="1"/>
  <c r="Z91" i="1"/>
  <c r="Z92" i="1"/>
  <c r="Z93" i="1"/>
  <c r="Z94" i="1"/>
  <c r="Z95" i="1"/>
  <c r="Z96" i="1"/>
  <c r="Z97" i="1"/>
  <c r="Z98" i="1"/>
  <c r="Z99" i="1"/>
  <c r="Z100" i="1"/>
  <c r="Z101" i="1"/>
  <c r="Z102" i="1"/>
  <c r="Z109" i="1"/>
  <c r="Z110" i="1"/>
  <c r="Z111" i="1"/>
  <c r="Z112" i="1"/>
  <c r="Z113" i="1"/>
  <c r="Z114" i="1"/>
  <c r="Z115" i="1"/>
  <c r="Z116" i="1"/>
  <c r="Z117" i="1"/>
  <c r="Z118" i="1"/>
  <c r="Z119" i="1"/>
  <c r="Z120" i="1"/>
  <c r="Z121" i="1"/>
  <c r="Z106" i="1"/>
  <c r="Z103" i="1"/>
  <c r="Z108" i="1"/>
  <c r="Z105" i="1"/>
  <c r="Z122" i="1"/>
  <c r="Z104" i="1"/>
  <c r="Z107" i="1"/>
  <c r="Z128" i="1"/>
  <c r="Z123" i="1"/>
  <c r="Z126" i="1"/>
  <c r="Z124" i="1"/>
  <c r="Z127" i="1"/>
  <c r="Z130" i="1"/>
  <c r="Z137" i="1"/>
  <c r="Z140" i="1"/>
  <c r="Z135" i="1"/>
  <c r="Z145" i="1"/>
  <c r="Z131" i="1"/>
  <c r="Z138" i="1"/>
  <c r="Z144" i="1"/>
  <c r="Z132" i="1"/>
  <c r="Z141" i="1"/>
  <c r="Z136" i="1"/>
  <c r="Z125" i="1"/>
  <c r="Z129" i="1"/>
  <c r="Z139" i="1"/>
  <c r="Z143" i="1"/>
  <c r="Z133" i="1"/>
  <c r="Z134" i="1"/>
  <c r="Z142" i="1"/>
  <c r="Z151" i="1"/>
  <c r="Z170" i="1"/>
  <c r="Z152" i="1"/>
  <c r="Z157" i="1"/>
  <c r="Z167" i="1"/>
  <c r="Z153" i="1"/>
  <c r="Z164" i="1"/>
  <c r="Z172" i="1"/>
  <c r="Z146" i="1"/>
  <c r="Z154" i="1"/>
  <c r="Z158" i="1"/>
  <c r="Z162" i="1"/>
  <c r="Z169" i="1"/>
  <c r="Z147" i="1"/>
  <c r="Z155" i="1"/>
  <c r="Z166" i="1"/>
  <c r="Z148" i="1"/>
  <c r="Z156" i="1"/>
  <c r="Z159" i="1"/>
  <c r="Z163" i="1"/>
  <c r="Z171" i="1"/>
  <c r="Z149" i="1"/>
  <c r="Z168" i="1"/>
  <c r="Z150" i="1"/>
  <c r="Z160" i="1"/>
  <c r="Z161" i="1"/>
  <c r="Z165" i="1"/>
  <c r="Z173" i="1"/>
  <c r="Z174" i="1"/>
  <c r="Z175" i="1"/>
  <c r="AS5" i="1"/>
  <c r="AS6" i="1"/>
  <c r="AS7" i="1"/>
  <c r="AS8" i="1"/>
  <c r="AS9" i="1"/>
  <c r="AS10" i="1"/>
  <c r="AS11" i="1"/>
  <c r="AS12" i="1"/>
  <c r="AS13" i="1"/>
  <c r="AS14" i="1"/>
  <c r="AS16" i="1"/>
  <c r="AS15" i="1"/>
  <c r="AS19" i="1"/>
  <c r="AS17" i="1"/>
  <c r="AS21" i="1"/>
  <c r="AS18" i="1"/>
  <c r="AS22" i="1"/>
  <c r="AS25" i="1"/>
  <c r="AS26" i="1"/>
  <c r="AS27" i="1"/>
  <c r="AS28" i="1"/>
  <c r="AS24" i="1"/>
  <c r="AS23" i="1"/>
  <c r="AS29" i="1"/>
  <c r="AS30" i="1"/>
  <c r="AS31" i="1"/>
  <c r="AS32" i="1"/>
  <c r="AS36" i="1"/>
  <c r="AS34" i="1"/>
  <c r="AS37" i="1"/>
  <c r="AS20" i="1"/>
  <c r="AS35" i="1"/>
  <c r="AS38" i="1"/>
  <c r="AS39" i="1"/>
  <c r="AS40" i="1"/>
  <c r="AS41" i="1"/>
  <c r="AS42" i="1"/>
  <c r="AS43" i="1"/>
  <c r="AS44" i="1"/>
  <c r="AS45" i="1"/>
  <c r="AS46" i="1"/>
  <c r="AS48" i="1"/>
  <c r="AS53" i="1"/>
  <c r="AS54" i="1"/>
  <c r="AS55" i="1"/>
  <c r="AS56" i="1"/>
  <c r="AS57" i="1"/>
  <c r="AS58" i="1"/>
  <c r="AS59" i="1"/>
  <c r="AS60" i="1"/>
  <c r="AS61" i="1"/>
  <c r="AS62" i="1"/>
  <c r="AS63" i="1"/>
  <c r="AS64" i="1"/>
  <c r="AS52" i="1"/>
  <c r="AS50" i="1"/>
  <c r="AS49" i="1"/>
  <c r="AS51" i="1"/>
  <c r="AS33" i="1"/>
  <c r="AS65" i="1"/>
  <c r="AS67" i="1"/>
  <c r="AS68" i="1"/>
  <c r="AS71" i="1"/>
  <c r="AS66" i="1"/>
  <c r="AS74" i="1"/>
  <c r="AS69" i="1"/>
  <c r="AS76" i="1"/>
  <c r="AS72" i="1"/>
  <c r="AS77" i="1"/>
  <c r="AS47" i="1"/>
  <c r="AS75" i="1"/>
  <c r="AS78" i="1"/>
  <c r="AS79" i="1"/>
  <c r="AS80" i="1"/>
  <c r="AS81" i="1"/>
  <c r="AS82" i="1"/>
  <c r="AS83" i="1"/>
  <c r="AS84" i="1"/>
  <c r="AS85" i="1"/>
  <c r="AS70" i="1"/>
  <c r="AS89" i="1"/>
  <c r="AS86" i="1"/>
  <c r="AS73" i="1"/>
  <c r="AS88" i="1"/>
  <c r="AS91" i="1"/>
  <c r="AS92" i="1"/>
  <c r="AS93" i="1"/>
  <c r="AS94" i="1"/>
  <c r="AS95" i="1"/>
  <c r="AS96" i="1"/>
  <c r="AS97" i="1"/>
  <c r="AS98" i="1"/>
  <c r="AS99" i="1"/>
  <c r="AS100" i="1"/>
  <c r="AS101" i="1"/>
  <c r="AS102" i="1"/>
  <c r="AS103" i="1"/>
  <c r="AS104" i="1"/>
  <c r="AS105" i="1"/>
  <c r="AS106" i="1"/>
  <c r="AS107" i="1"/>
  <c r="AS108" i="1"/>
  <c r="AS87" i="1"/>
  <c r="AS90" i="1"/>
  <c r="AS109" i="1"/>
  <c r="AS110" i="1"/>
  <c r="AS111" i="1"/>
  <c r="AS112" i="1"/>
  <c r="AS116" i="1"/>
  <c r="AS117" i="1"/>
  <c r="AS115" i="1"/>
  <c r="AS119" i="1"/>
  <c r="AS122" i="1"/>
  <c r="AS113" i="1"/>
  <c r="AS114" i="1"/>
  <c r="AS123" i="1"/>
  <c r="AS120" i="1"/>
  <c r="AS121" i="1"/>
  <c r="AS126" i="1"/>
  <c r="AS129" i="1"/>
  <c r="AS132" i="1"/>
  <c r="AS127" i="1"/>
  <c r="AS130" i="1"/>
  <c r="AS131" i="1"/>
  <c r="AS134" i="1"/>
  <c r="AS135" i="1"/>
  <c r="AS136" i="1"/>
  <c r="AS137" i="1"/>
  <c r="AS138" i="1"/>
  <c r="AS139" i="1"/>
  <c r="AS140" i="1"/>
  <c r="AS141" i="1"/>
  <c r="AS142" i="1"/>
  <c r="AS143" i="1"/>
  <c r="AS144" i="1"/>
  <c r="AS125" i="1"/>
  <c r="AS145" i="1"/>
  <c r="AS118" i="1"/>
  <c r="AS133" i="1"/>
  <c r="AS124" i="1"/>
  <c r="AS128" i="1"/>
  <c r="AS146" i="1"/>
  <c r="AS147" i="1"/>
  <c r="AS148" i="1"/>
  <c r="AS149" i="1"/>
  <c r="AS150" i="1"/>
  <c r="AS151" i="1"/>
  <c r="AS152" i="1"/>
  <c r="AS153" i="1"/>
  <c r="AS154" i="1"/>
  <c r="AS155" i="1"/>
  <c r="AS156" i="1"/>
  <c r="AS158" i="1"/>
  <c r="AS161" i="1"/>
  <c r="AS166" i="1"/>
  <c r="AS163" i="1"/>
  <c r="AS171" i="1"/>
  <c r="AS174" i="1"/>
  <c r="AS175" i="1"/>
  <c r="AS159" i="1"/>
  <c r="AS168" i="1"/>
  <c r="AS165" i="1"/>
  <c r="AS173" i="1"/>
  <c r="AS160" i="1"/>
  <c r="AS162" i="1"/>
  <c r="AS170" i="1"/>
  <c r="AS167" i="1"/>
  <c r="AS157" i="1"/>
  <c r="AS164" i="1"/>
  <c r="AS172" i="1"/>
  <c r="AS169" i="1"/>
  <c r="N12" i="1"/>
  <c r="N9" i="1"/>
  <c r="N6" i="1"/>
  <c r="N14" i="1"/>
  <c r="N11" i="1"/>
  <c r="N8" i="1"/>
  <c r="N13" i="1"/>
  <c r="N15" i="1"/>
  <c r="N16" i="1"/>
  <c r="N17" i="1"/>
  <c r="N5" i="1"/>
  <c r="N10" i="1"/>
  <c r="N18" i="1"/>
  <c r="N7" i="1"/>
  <c r="N20" i="1"/>
  <c r="N21" i="1"/>
  <c r="N26" i="1"/>
  <c r="N28" i="1"/>
  <c r="N29" i="1"/>
  <c r="N31" i="1"/>
  <c r="N33" i="1"/>
  <c r="N34" i="1"/>
  <c r="N35" i="1"/>
  <c r="N36" i="1"/>
  <c r="N37" i="1"/>
  <c r="N38" i="1"/>
  <c r="N22" i="1"/>
  <c r="N23" i="1"/>
  <c r="N25" i="1"/>
  <c r="N27" i="1"/>
  <c r="N19" i="1"/>
  <c r="N30" i="1"/>
  <c r="N24" i="1"/>
  <c r="N32" i="1"/>
  <c r="N40" i="1"/>
  <c r="N44" i="1"/>
  <c r="N46" i="1"/>
  <c r="N47" i="1"/>
  <c r="N48" i="1"/>
  <c r="N49" i="1"/>
  <c r="N50" i="1"/>
  <c r="N39" i="1"/>
  <c r="N43" i="1"/>
  <c r="N42" i="1"/>
  <c r="N53" i="1"/>
  <c r="N60" i="1"/>
  <c r="N65" i="1"/>
  <c r="N66" i="1"/>
  <c r="N67" i="1"/>
  <c r="N58" i="1"/>
  <c r="N41" i="1"/>
  <c r="N57" i="1"/>
  <c r="N56" i="1"/>
  <c r="N64" i="1"/>
  <c r="N55" i="1"/>
  <c r="N51" i="1"/>
  <c r="N54" i="1"/>
  <c r="N45" i="1"/>
  <c r="N63" i="1"/>
  <c r="N62" i="1"/>
  <c r="N68" i="1"/>
  <c r="N69" i="1"/>
  <c r="N72" i="1"/>
  <c r="N75" i="1"/>
  <c r="N70" i="1"/>
  <c r="N73" i="1"/>
  <c r="N78" i="1"/>
  <c r="N76" i="1"/>
  <c r="N61" i="1"/>
  <c r="N71" i="1"/>
  <c r="N77" i="1"/>
  <c r="N79" i="1"/>
  <c r="N88" i="1"/>
  <c r="N52" i="1"/>
  <c r="N80" i="1"/>
  <c r="N84" i="1"/>
  <c r="N86" i="1"/>
  <c r="N59" i="1"/>
  <c r="N81" i="1"/>
  <c r="N82" i="1"/>
  <c r="N87" i="1"/>
  <c r="N85" i="1"/>
  <c r="N74" i="1"/>
  <c r="N89" i="1"/>
  <c r="N83" i="1"/>
  <c r="N91" i="1"/>
  <c r="N92" i="1"/>
  <c r="N93" i="1"/>
  <c r="N94" i="1"/>
  <c r="N95" i="1"/>
  <c r="N96" i="1"/>
  <c r="N97" i="1"/>
  <c r="N98" i="1"/>
  <c r="N99" i="1"/>
  <c r="N100" i="1"/>
  <c r="N101" i="1"/>
  <c r="N102" i="1"/>
  <c r="N103" i="1"/>
  <c r="N104" i="1"/>
  <c r="N105" i="1"/>
  <c r="N106" i="1"/>
  <c r="N107" i="1"/>
  <c r="N108" i="1"/>
  <c r="N122" i="1"/>
  <c r="N110" i="1"/>
  <c r="N113" i="1"/>
  <c r="N117" i="1"/>
  <c r="N90" i="1"/>
  <c r="N112" i="1"/>
  <c r="N121" i="1"/>
  <c r="N120" i="1"/>
  <c r="N118" i="1"/>
  <c r="N116" i="1"/>
  <c r="N123" i="1"/>
  <c r="N124" i="1"/>
  <c r="N125" i="1"/>
  <c r="N126" i="1"/>
  <c r="N127" i="1"/>
  <c r="N128" i="1"/>
  <c r="N129" i="1"/>
  <c r="N130" i="1"/>
  <c r="N131" i="1"/>
  <c r="N132" i="1"/>
  <c r="N133" i="1"/>
  <c r="N134" i="1"/>
  <c r="N114" i="1"/>
  <c r="N119" i="1"/>
  <c r="N111" i="1"/>
  <c r="N109" i="1"/>
  <c r="N115" i="1"/>
  <c r="N141" i="1"/>
  <c r="N136" i="1"/>
  <c r="N145" i="1"/>
  <c r="N146" i="1"/>
  <c r="N147" i="1"/>
  <c r="N148" i="1"/>
  <c r="N149" i="1"/>
  <c r="N150" i="1"/>
  <c r="N151" i="1"/>
  <c r="N152" i="1"/>
  <c r="N153" i="1"/>
  <c r="N154" i="1"/>
  <c r="N155" i="1"/>
  <c r="N156" i="1"/>
  <c r="N157" i="1"/>
  <c r="N158" i="1"/>
  <c r="N159" i="1"/>
  <c r="N160" i="1"/>
  <c r="N139" i="1"/>
  <c r="N142" i="1"/>
  <c r="N137" i="1"/>
  <c r="N144" i="1"/>
  <c r="N140" i="1"/>
  <c r="N135" i="1"/>
  <c r="N138" i="1"/>
  <c r="N143" i="1"/>
  <c r="N168" i="1"/>
  <c r="N165" i="1"/>
  <c r="N173" i="1"/>
  <c r="N161" i="1"/>
  <c r="N170" i="1"/>
  <c r="N167" i="1"/>
  <c r="N174" i="1"/>
  <c r="N175" i="1"/>
  <c r="N164" i="1"/>
  <c r="N172" i="1"/>
  <c r="N169" i="1"/>
  <c r="N162" i="1"/>
  <c r="N166" i="1"/>
  <c r="N163" i="1"/>
  <c r="N171" i="1"/>
  <c r="AH11" i="1"/>
  <c r="AH8" i="1"/>
  <c r="AH14" i="1"/>
  <c r="AH5" i="1"/>
  <c r="AH10" i="1"/>
  <c r="AH13" i="1"/>
  <c r="AH7" i="1"/>
  <c r="AH12" i="1"/>
  <c r="AH9" i="1"/>
  <c r="AH6" i="1"/>
  <c r="AH17" i="1"/>
  <c r="AH15" i="1"/>
  <c r="AH19" i="1"/>
  <c r="AH21" i="1"/>
  <c r="AH18" i="1"/>
  <c r="AH22" i="1"/>
  <c r="AH20" i="1"/>
  <c r="AH25" i="1"/>
  <c r="AH23" i="1"/>
  <c r="AH27" i="1"/>
  <c r="AH28" i="1"/>
  <c r="AH16" i="1"/>
  <c r="AH29" i="1"/>
  <c r="AH31" i="1"/>
  <c r="AH33" i="1"/>
  <c r="AH34" i="1"/>
  <c r="AH35" i="1"/>
  <c r="AH36" i="1"/>
  <c r="AH37" i="1"/>
  <c r="AH26" i="1"/>
  <c r="AH32" i="1"/>
  <c r="AH38" i="1"/>
  <c r="AH39" i="1"/>
  <c r="AH40" i="1"/>
  <c r="AH41" i="1"/>
  <c r="AH42" i="1"/>
  <c r="AH43" i="1"/>
  <c r="AH24" i="1"/>
  <c r="AH30" i="1"/>
  <c r="AH46" i="1"/>
  <c r="AH47" i="1"/>
  <c r="AH48" i="1"/>
  <c r="AH49" i="1"/>
  <c r="AH50" i="1"/>
  <c r="AH51" i="1"/>
  <c r="AH52" i="1"/>
  <c r="AH45" i="1"/>
  <c r="AH54" i="1"/>
  <c r="AH53" i="1"/>
  <c r="AH61" i="1"/>
  <c r="AH44" i="1"/>
  <c r="AH59" i="1"/>
  <c r="AH58" i="1"/>
  <c r="AH65" i="1"/>
  <c r="AH66" i="1"/>
  <c r="AH67" i="1"/>
  <c r="AH57" i="1"/>
  <c r="AH56" i="1"/>
  <c r="AH64" i="1"/>
  <c r="AH68" i="1"/>
  <c r="AH69" i="1"/>
  <c r="AH70" i="1"/>
  <c r="AH71" i="1"/>
  <c r="AH72" i="1"/>
  <c r="AH73" i="1"/>
  <c r="AH74" i="1"/>
  <c r="AH75" i="1"/>
  <c r="AH76" i="1"/>
  <c r="AH77" i="1"/>
  <c r="AH63" i="1"/>
  <c r="AH78" i="1"/>
  <c r="AH79" i="1"/>
  <c r="AH80" i="1"/>
  <c r="AH81" i="1"/>
  <c r="AH55" i="1"/>
  <c r="AH62" i="1"/>
  <c r="AH60" i="1"/>
  <c r="AH87" i="1"/>
  <c r="AH84" i="1"/>
  <c r="AH91" i="1"/>
  <c r="AH92" i="1"/>
  <c r="AH89" i="1"/>
  <c r="AH82" i="1"/>
  <c r="AH109" i="1"/>
  <c r="AH110" i="1"/>
  <c r="AH111" i="1"/>
  <c r="AH112" i="1"/>
  <c r="AH113" i="1"/>
  <c r="AH114" i="1"/>
  <c r="AH115" i="1"/>
  <c r="AH116" i="1"/>
  <c r="AH117" i="1"/>
  <c r="AH118" i="1"/>
  <c r="AH119" i="1"/>
  <c r="AH120" i="1"/>
  <c r="AH85" i="1"/>
  <c r="AH86" i="1"/>
  <c r="AH88" i="1"/>
  <c r="AH83" i="1"/>
  <c r="AH90" i="1"/>
  <c r="AH96" i="1"/>
  <c r="AH93" i="1"/>
  <c r="AH97" i="1"/>
  <c r="AH101" i="1"/>
  <c r="AH104" i="1"/>
  <c r="AH94" i="1"/>
  <c r="AH98" i="1"/>
  <c r="AH106" i="1"/>
  <c r="AH103" i="1"/>
  <c r="AH108" i="1"/>
  <c r="AH95" i="1"/>
  <c r="AH107" i="1"/>
  <c r="AH122" i="1"/>
  <c r="AH99" i="1"/>
  <c r="AH100" i="1"/>
  <c r="AH105" i="1"/>
  <c r="AH102" i="1"/>
  <c r="AH121" i="1"/>
  <c r="AH123" i="1"/>
  <c r="AH124" i="1"/>
  <c r="AH125" i="1"/>
  <c r="AH126" i="1"/>
  <c r="AH127" i="1"/>
  <c r="AH128" i="1"/>
  <c r="AH129" i="1"/>
  <c r="AH130" i="1"/>
  <c r="AH133" i="1"/>
  <c r="AH134" i="1"/>
  <c r="AH135" i="1"/>
  <c r="AH136" i="1"/>
  <c r="AH137" i="1"/>
  <c r="AH138" i="1"/>
  <c r="AH139" i="1"/>
  <c r="AH140" i="1"/>
  <c r="AH141" i="1"/>
  <c r="AH142" i="1"/>
  <c r="AH145" i="1"/>
  <c r="AH143" i="1"/>
  <c r="AH131" i="1"/>
  <c r="AH146" i="1"/>
  <c r="AH147" i="1"/>
  <c r="AH148" i="1"/>
  <c r="AH149" i="1"/>
  <c r="AH150" i="1"/>
  <c r="AH151" i="1"/>
  <c r="AH152" i="1"/>
  <c r="AH153" i="1"/>
  <c r="AH154" i="1"/>
  <c r="AH155" i="1"/>
  <c r="AH156" i="1"/>
  <c r="AH157" i="1"/>
  <c r="AH158" i="1"/>
  <c r="AH159" i="1"/>
  <c r="AH160" i="1"/>
  <c r="AH161" i="1"/>
  <c r="AH162" i="1"/>
  <c r="AH163" i="1"/>
  <c r="AH164" i="1"/>
  <c r="AH165" i="1"/>
  <c r="AH166" i="1"/>
  <c r="AH167" i="1"/>
  <c r="AH168" i="1"/>
  <c r="AH169" i="1"/>
  <c r="AH170" i="1"/>
  <c r="AH171" i="1"/>
  <c r="AH172" i="1"/>
  <c r="AH173" i="1"/>
  <c r="AH132" i="1"/>
  <c r="AH144" i="1"/>
  <c r="AH174" i="1"/>
  <c r="AH175" i="1"/>
  <c r="AG8" i="1"/>
  <c r="AG14" i="1"/>
  <c r="AG5" i="1"/>
  <c r="AG10" i="1"/>
  <c r="AG13" i="1"/>
  <c r="AG7" i="1"/>
  <c r="AG12" i="1"/>
  <c r="AG9" i="1"/>
  <c r="AG6" i="1"/>
  <c r="AG15" i="1"/>
  <c r="AG16" i="1"/>
  <c r="AG17" i="1"/>
  <c r="AG18" i="1"/>
  <c r="AG19" i="1"/>
  <c r="AG20" i="1"/>
  <c r="AG21" i="1"/>
  <c r="AG22" i="1"/>
  <c r="AG23" i="1"/>
  <c r="AG24" i="1"/>
  <c r="AG11" i="1"/>
  <c r="AG25" i="1"/>
  <c r="AG28" i="1"/>
  <c r="AG27" i="1"/>
  <c r="AG32" i="1"/>
  <c r="AG33" i="1"/>
  <c r="AG34" i="1"/>
  <c r="AG35" i="1"/>
  <c r="AG36" i="1"/>
  <c r="AG26" i="1"/>
  <c r="AG29" i="1"/>
  <c r="AG38" i="1"/>
  <c r="AG39" i="1"/>
  <c r="AG40" i="1"/>
  <c r="AG37" i="1"/>
  <c r="AG31" i="1"/>
  <c r="AG30" i="1"/>
  <c r="AG43" i="1"/>
  <c r="AG45" i="1"/>
  <c r="AG42" i="1"/>
  <c r="AG46" i="1"/>
  <c r="AG52" i="1"/>
  <c r="AG53" i="1"/>
  <c r="AG60" i="1"/>
  <c r="AG47" i="1"/>
  <c r="AG51" i="1"/>
  <c r="AG58" i="1"/>
  <c r="AG65" i="1"/>
  <c r="AG66" i="1"/>
  <c r="AG57" i="1"/>
  <c r="AG50" i="1"/>
  <c r="AG56" i="1"/>
  <c r="AG64" i="1"/>
  <c r="AG49" i="1"/>
  <c r="AG55" i="1"/>
  <c r="AG41" i="1"/>
  <c r="AG48" i="1"/>
  <c r="AG68" i="1"/>
  <c r="AG69" i="1"/>
  <c r="AG70" i="1"/>
  <c r="AG71" i="1"/>
  <c r="AG72" i="1"/>
  <c r="AG73" i="1"/>
  <c r="AG74" i="1"/>
  <c r="AG75" i="1"/>
  <c r="AG76" i="1"/>
  <c r="AG77" i="1"/>
  <c r="AG78" i="1"/>
  <c r="AG63" i="1"/>
  <c r="AG62" i="1"/>
  <c r="AG67" i="1"/>
  <c r="AG61" i="1"/>
  <c r="AG79" i="1"/>
  <c r="AG80" i="1"/>
  <c r="AG81" i="1"/>
  <c r="AG54" i="1"/>
  <c r="AG59" i="1"/>
  <c r="AG44" i="1"/>
  <c r="AG84" i="1"/>
  <c r="AG91" i="1"/>
  <c r="AG92" i="1"/>
  <c r="AG93" i="1"/>
  <c r="AG94" i="1"/>
  <c r="AG95" i="1"/>
  <c r="AG96" i="1"/>
  <c r="AG97" i="1"/>
  <c r="AG98" i="1"/>
  <c r="AG99" i="1"/>
  <c r="AG89" i="1"/>
  <c r="AG82" i="1"/>
  <c r="AG85" i="1"/>
  <c r="AG86" i="1"/>
  <c r="AG88" i="1"/>
  <c r="AG83" i="1"/>
  <c r="AG90" i="1"/>
  <c r="AG101" i="1"/>
  <c r="AG107" i="1"/>
  <c r="AG112" i="1"/>
  <c r="AG106" i="1"/>
  <c r="AG111" i="1"/>
  <c r="AG116" i="1"/>
  <c r="AG87" i="1"/>
  <c r="AG100" i="1"/>
  <c r="AG102" i="1"/>
  <c r="AG103" i="1"/>
  <c r="AG121" i="1"/>
  <c r="AG113" i="1"/>
  <c r="AG122" i="1"/>
  <c r="AG120" i="1"/>
  <c r="AG105" i="1"/>
  <c r="AG110" i="1"/>
  <c r="AG104" i="1"/>
  <c r="AG109" i="1"/>
  <c r="AG117" i="1"/>
  <c r="AG119" i="1"/>
  <c r="AG115" i="1"/>
  <c r="AG130" i="1"/>
  <c r="AG133" i="1"/>
  <c r="AG125" i="1"/>
  <c r="AG134" i="1"/>
  <c r="AG135" i="1"/>
  <c r="AG136" i="1"/>
  <c r="AG137" i="1"/>
  <c r="AG138" i="1"/>
  <c r="AG139" i="1"/>
  <c r="AG140" i="1"/>
  <c r="AG141" i="1"/>
  <c r="AG142" i="1"/>
  <c r="AG143" i="1"/>
  <c r="AG144" i="1"/>
  <c r="AG128" i="1"/>
  <c r="AG132" i="1"/>
  <c r="AG108" i="1"/>
  <c r="AG126" i="1"/>
  <c r="AG114" i="1"/>
  <c r="AG129" i="1"/>
  <c r="AG131" i="1"/>
  <c r="AG118" i="1"/>
  <c r="AG123" i="1"/>
  <c r="AG127" i="1"/>
  <c r="AG146" i="1"/>
  <c r="AG147" i="1"/>
  <c r="AG148" i="1"/>
  <c r="AG149" i="1"/>
  <c r="AG150" i="1"/>
  <c r="AG151" i="1"/>
  <c r="AG152" i="1"/>
  <c r="AG153" i="1"/>
  <c r="AG154" i="1"/>
  <c r="AG155" i="1"/>
  <c r="AG156" i="1"/>
  <c r="AG157" i="1"/>
  <c r="AG158" i="1"/>
  <c r="AG159" i="1"/>
  <c r="AG160" i="1"/>
  <c r="AG161" i="1"/>
  <c r="AG162" i="1"/>
  <c r="AG163" i="1"/>
  <c r="AG164" i="1"/>
  <c r="AG165" i="1"/>
  <c r="AG166" i="1"/>
  <c r="AG167" i="1"/>
  <c r="AG168" i="1"/>
  <c r="AG169" i="1"/>
  <c r="AG170" i="1"/>
  <c r="AG171" i="1"/>
  <c r="AG172" i="1"/>
  <c r="AG173" i="1"/>
  <c r="AG124" i="1"/>
  <c r="AG145" i="1"/>
  <c r="AG174" i="1"/>
  <c r="AG175" i="1"/>
  <c r="AQ5" i="1"/>
  <c r="AQ6" i="1"/>
  <c r="AQ7" i="1"/>
  <c r="AQ8" i="1"/>
  <c r="AQ9" i="1"/>
  <c r="AQ10" i="1"/>
  <c r="AQ11" i="1"/>
  <c r="AQ12" i="1"/>
  <c r="AQ13" i="1"/>
  <c r="AQ14" i="1"/>
  <c r="AQ16" i="1"/>
  <c r="AQ21" i="1"/>
  <c r="AQ17" i="1"/>
  <c r="AQ18" i="1"/>
  <c r="AQ23" i="1"/>
  <c r="AQ20" i="1"/>
  <c r="AQ15" i="1"/>
  <c r="AQ24" i="1"/>
  <c r="AQ25" i="1"/>
  <c r="AQ29" i="1"/>
  <c r="AQ30" i="1"/>
  <c r="AQ31" i="1"/>
  <c r="AQ19" i="1"/>
  <c r="AQ32" i="1"/>
  <c r="AQ28" i="1"/>
  <c r="AQ27" i="1"/>
  <c r="AQ33" i="1"/>
  <c r="AQ34" i="1"/>
  <c r="AQ35" i="1"/>
  <c r="AQ36" i="1"/>
  <c r="AQ37" i="1"/>
  <c r="AQ26" i="1"/>
  <c r="AQ38" i="1"/>
  <c r="AQ39" i="1"/>
  <c r="AQ40" i="1"/>
  <c r="AQ41" i="1"/>
  <c r="AQ42" i="1"/>
  <c r="AQ43" i="1"/>
  <c r="AQ22" i="1"/>
  <c r="AQ45" i="1"/>
  <c r="AQ47" i="1"/>
  <c r="AQ46" i="1"/>
  <c r="AQ44" i="1"/>
  <c r="AQ54" i="1"/>
  <c r="AQ51" i="1"/>
  <c r="AQ53" i="1"/>
  <c r="AQ61" i="1"/>
  <c r="AQ49" i="1"/>
  <c r="AQ59" i="1"/>
  <c r="AQ48" i="1"/>
  <c r="AQ58" i="1"/>
  <c r="AQ57" i="1"/>
  <c r="AQ65" i="1"/>
  <c r="AQ66" i="1"/>
  <c r="AQ67" i="1"/>
  <c r="AQ64" i="1"/>
  <c r="AQ62" i="1"/>
  <c r="AQ60" i="1"/>
  <c r="AQ56" i="1"/>
  <c r="AQ55" i="1"/>
  <c r="AQ68" i="1"/>
  <c r="AQ69" i="1"/>
  <c r="AQ70" i="1"/>
  <c r="AQ71" i="1"/>
  <c r="AQ72" i="1"/>
  <c r="AQ73" i="1"/>
  <c r="AQ74" i="1"/>
  <c r="AQ75" i="1"/>
  <c r="AQ76" i="1"/>
  <c r="AQ52" i="1"/>
  <c r="AQ77" i="1"/>
  <c r="AQ63" i="1"/>
  <c r="AQ78" i="1"/>
  <c r="AQ79" i="1"/>
  <c r="AQ80" i="1"/>
  <c r="AQ81" i="1"/>
  <c r="AQ82" i="1"/>
  <c r="AQ83" i="1"/>
  <c r="AQ84" i="1"/>
  <c r="AQ85" i="1"/>
  <c r="AQ86" i="1"/>
  <c r="AQ87" i="1"/>
  <c r="AQ88" i="1"/>
  <c r="AQ89" i="1"/>
  <c r="AQ50" i="1"/>
  <c r="AQ91" i="1"/>
  <c r="AQ92" i="1"/>
  <c r="AQ93" i="1"/>
  <c r="AQ94" i="1"/>
  <c r="AQ95" i="1"/>
  <c r="AQ96" i="1"/>
  <c r="AQ97" i="1"/>
  <c r="AQ98" i="1"/>
  <c r="AQ99" i="1"/>
  <c r="AQ100" i="1"/>
  <c r="AQ101" i="1"/>
  <c r="AQ102" i="1"/>
  <c r="AQ109" i="1"/>
  <c r="AQ110" i="1"/>
  <c r="AQ111" i="1"/>
  <c r="AQ112" i="1"/>
  <c r="AQ113" i="1"/>
  <c r="AQ114" i="1"/>
  <c r="AQ115" i="1"/>
  <c r="AQ116" i="1"/>
  <c r="AQ117" i="1"/>
  <c r="AQ118" i="1"/>
  <c r="AQ119" i="1"/>
  <c r="AQ120" i="1"/>
  <c r="AQ121" i="1"/>
  <c r="AQ90" i="1"/>
  <c r="AQ104" i="1"/>
  <c r="AQ106" i="1"/>
  <c r="AQ103" i="1"/>
  <c r="AQ108" i="1"/>
  <c r="AQ122" i="1"/>
  <c r="AQ107" i="1"/>
  <c r="AQ126" i="1"/>
  <c r="AQ129" i="1"/>
  <c r="AQ132" i="1"/>
  <c r="AQ133" i="1"/>
  <c r="AQ124" i="1"/>
  <c r="AQ105" i="1"/>
  <c r="AQ130" i="1"/>
  <c r="AQ131" i="1"/>
  <c r="AQ125" i="1"/>
  <c r="AQ135" i="1"/>
  <c r="AQ143" i="1"/>
  <c r="AQ145" i="1"/>
  <c r="AQ138" i="1"/>
  <c r="AQ141" i="1"/>
  <c r="AQ136" i="1"/>
  <c r="AQ123" i="1"/>
  <c r="AQ127" i="1"/>
  <c r="AQ139" i="1"/>
  <c r="AQ134" i="1"/>
  <c r="AQ142" i="1"/>
  <c r="AQ128" i="1"/>
  <c r="AQ137" i="1"/>
  <c r="AQ140" i="1"/>
  <c r="AQ149" i="1"/>
  <c r="AQ168" i="1"/>
  <c r="AQ150" i="1"/>
  <c r="AQ159" i="1"/>
  <c r="AQ165" i="1"/>
  <c r="AQ173" i="1"/>
  <c r="AQ151" i="1"/>
  <c r="AQ170" i="1"/>
  <c r="AQ152" i="1"/>
  <c r="AQ160" i="1"/>
  <c r="AQ162" i="1"/>
  <c r="AQ167" i="1"/>
  <c r="AQ153" i="1"/>
  <c r="AQ164" i="1"/>
  <c r="AQ172" i="1"/>
  <c r="AQ146" i="1"/>
  <c r="AQ154" i="1"/>
  <c r="AQ157" i="1"/>
  <c r="AQ169" i="1"/>
  <c r="AQ144" i="1"/>
  <c r="AQ147" i="1"/>
  <c r="AQ155" i="1"/>
  <c r="AQ166" i="1"/>
  <c r="AQ148" i="1"/>
  <c r="AQ156" i="1"/>
  <c r="AQ158" i="1"/>
  <c r="AQ161" i="1"/>
  <c r="AQ163" i="1"/>
  <c r="AQ171" i="1"/>
  <c r="AQ174" i="1"/>
  <c r="AQ175" i="1"/>
  <c r="AP10" i="1"/>
  <c r="AP7" i="1"/>
  <c r="AP13" i="1"/>
  <c r="AP9" i="1"/>
  <c r="AP12" i="1"/>
  <c r="AP6" i="1"/>
  <c r="AP11" i="1"/>
  <c r="AP8" i="1"/>
  <c r="AP14" i="1"/>
  <c r="AP16" i="1"/>
  <c r="AP5" i="1"/>
  <c r="AP17" i="1"/>
  <c r="AP18" i="1"/>
  <c r="AP20" i="1"/>
  <c r="AP15" i="1"/>
  <c r="AP21" i="1"/>
  <c r="AP23" i="1"/>
  <c r="AP19" i="1"/>
  <c r="AP28" i="1"/>
  <c r="AP26" i="1"/>
  <c r="AP25" i="1"/>
  <c r="AP30" i="1"/>
  <c r="AP24" i="1"/>
  <c r="AP27" i="1"/>
  <c r="AP33" i="1"/>
  <c r="AP34" i="1"/>
  <c r="AP35" i="1"/>
  <c r="AP36" i="1"/>
  <c r="AP37" i="1"/>
  <c r="AP29" i="1"/>
  <c r="AP38" i="1"/>
  <c r="AP39" i="1"/>
  <c r="AP40" i="1"/>
  <c r="AP41" i="1"/>
  <c r="AP42" i="1"/>
  <c r="AP43" i="1"/>
  <c r="AP22" i="1"/>
  <c r="AP32" i="1"/>
  <c r="AP31" i="1"/>
  <c r="AP46" i="1"/>
  <c r="AP47" i="1"/>
  <c r="AP48" i="1"/>
  <c r="AP49" i="1"/>
  <c r="AP50" i="1"/>
  <c r="AP51" i="1"/>
  <c r="AP52" i="1"/>
  <c r="AP44" i="1"/>
  <c r="AP53" i="1"/>
  <c r="AP60" i="1"/>
  <c r="AP58" i="1"/>
  <c r="AP57" i="1"/>
  <c r="AP65" i="1"/>
  <c r="AP66" i="1"/>
  <c r="AP67" i="1"/>
  <c r="AP45" i="1"/>
  <c r="AP56" i="1"/>
  <c r="AP64" i="1"/>
  <c r="AP63" i="1"/>
  <c r="AP61" i="1"/>
  <c r="AP59" i="1"/>
  <c r="AP54" i="1"/>
  <c r="AP55" i="1"/>
  <c r="AP68" i="1"/>
  <c r="AP69" i="1"/>
  <c r="AP70" i="1"/>
  <c r="AP71" i="1"/>
  <c r="AP72" i="1"/>
  <c r="AP73" i="1"/>
  <c r="AP74" i="1"/>
  <c r="AP75" i="1"/>
  <c r="AP76" i="1"/>
  <c r="AP77" i="1"/>
  <c r="AP78" i="1"/>
  <c r="AP79" i="1"/>
  <c r="AP80" i="1"/>
  <c r="AP81" i="1"/>
  <c r="AP86" i="1"/>
  <c r="AP83" i="1"/>
  <c r="AP91" i="1"/>
  <c r="AP88" i="1"/>
  <c r="AP109" i="1"/>
  <c r="AP110" i="1"/>
  <c r="AP111" i="1"/>
  <c r="AP112" i="1"/>
  <c r="AP113" i="1"/>
  <c r="AP114" i="1"/>
  <c r="AP115" i="1"/>
  <c r="AP116" i="1"/>
  <c r="AP117" i="1"/>
  <c r="AP118" i="1"/>
  <c r="AP119" i="1"/>
  <c r="AP120" i="1"/>
  <c r="AP84" i="1"/>
  <c r="AP90" i="1"/>
  <c r="AP87" i="1"/>
  <c r="AP82" i="1"/>
  <c r="AP95" i="1"/>
  <c r="AP99" i="1"/>
  <c r="AP89" i="1"/>
  <c r="AP92" i="1"/>
  <c r="AP96" i="1"/>
  <c r="AP100" i="1"/>
  <c r="AP102" i="1"/>
  <c r="AP103" i="1"/>
  <c r="AP85" i="1"/>
  <c r="AP93" i="1"/>
  <c r="AP97" i="1"/>
  <c r="AP108" i="1"/>
  <c r="AP105" i="1"/>
  <c r="AP121" i="1"/>
  <c r="AP98" i="1"/>
  <c r="AP104" i="1"/>
  <c r="AP62" i="1"/>
  <c r="AP107" i="1"/>
  <c r="AP94" i="1"/>
  <c r="AP101" i="1"/>
  <c r="AP106" i="1"/>
  <c r="AP123" i="1"/>
  <c r="AP124" i="1"/>
  <c r="AP125" i="1"/>
  <c r="AP126" i="1"/>
  <c r="AP127" i="1"/>
  <c r="AP128" i="1"/>
  <c r="AP129" i="1"/>
  <c r="AP130" i="1"/>
  <c r="AP132" i="1"/>
  <c r="AP133" i="1"/>
  <c r="AP134" i="1"/>
  <c r="AP135" i="1"/>
  <c r="AP136" i="1"/>
  <c r="AP137" i="1"/>
  <c r="AP138" i="1"/>
  <c r="AP139" i="1"/>
  <c r="AP140" i="1"/>
  <c r="AP141" i="1"/>
  <c r="AP142" i="1"/>
  <c r="AP122" i="1"/>
  <c r="AP144" i="1"/>
  <c r="AP146" i="1"/>
  <c r="AP147" i="1"/>
  <c r="AP148" i="1"/>
  <c r="AP149" i="1"/>
  <c r="AP150" i="1"/>
  <c r="AP151" i="1"/>
  <c r="AP152" i="1"/>
  <c r="AP153" i="1"/>
  <c r="AP154" i="1"/>
  <c r="AP155" i="1"/>
  <c r="AP156" i="1"/>
  <c r="AP157" i="1"/>
  <c r="AP158" i="1"/>
  <c r="AP159" i="1"/>
  <c r="AP160" i="1"/>
  <c r="AP161" i="1"/>
  <c r="AP162" i="1"/>
  <c r="AP163" i="1"/>
  <c r="AP164" i="1"/>
  <c r="AP165" i="1"/>
  <c r="AP166" i="1"/>
  <c r="AP167" i="1"/>
  <c r="AP168" i="1"/>
  <c r="AP169" i="1"/>
  <c r="AP170" i="1"/>
  <c r="AP171" i="1"/>
  <c r="AP172" i="1"/>
  <c r="AP173" i="1"/>
  <c r="AP131" i="1"/>
  <c r="AP143" i="1"/>
  <c r="AP145" i="1"/>
  <c r="AP174" i="1"/>
  <c r="AP175" i="1"/>
  <c r="J5" i="1"/>
  <c r="J9" i="1"/>
  <c r="J13" i="1"/>
  <c r="J17" i="1"/>
  <c r="J21" i="1"/>
  <c r="J25" i="1"/>
  <c r="J29" i="1"/>
  <c r="J33" i="1"/>
  <c r="J37" i="1"/>
  <c r="J41" i="1"/>
  <c r="J45" i="1"/>
  <c r="J49" i="1"/>
  <c r="J53" i="1"/>
  <c r="J57" i="1"/>
  <c r="J61" i="1"/>
  <c r="J65" i="1"/>
  <c r="J69" i="1"/>
  <c r="J73" i="1"/>
  <c r="J77" i="1"/>
  <c r="J81" i="1"/>
  <c r="J85" i="1"/>
  <c r="J89" i="1"/>
  <c r="J93" i="1"/>
  <c r="J97" i="1"/>
  <c r="J101" i="1"/>
  <c r="J105" i="1"/>
  <c r="J109" i="1"/>
  <c r="J113" i="1"/>
  <c r="J117" i="1"/>
  <c r="J121" i="1"/>
  <c r="J125" i="1"/>
  <c r="J129" i="1"/>
  <c r="J133" i="1"/>
  <c r="J137" i="1"/>
  <c r="J141" i="1"/>
  <c r="J145" i="1"/>
  <c r="J149" i="1"/>
  <c r="J153" i="1"/>
  <c r="J157" i="1"/>
  <c r="J161" i="1"/>
  <c r="J165" i="1"/>
  <c r="J169" i="1"/>
  <c r="J173" i="1"/>
  <c r="J6" i="1"/>
  <c r="J10" i="1"/>
  <c r="J14" i="1"/>
  <c r="J18" i="1"/>
  <c r="J22" i="1"/>
  <c r="J26" i="1"/>
  <c r="J30" i="1"/>
  <c r="J34" i="1"/>
  <c r="J38" i="1"/>
  <c r="J42" i="1"/>
  <c r="J46" i="1"/>
  <c r="J50" i="1"/>
  <c r="J54" i="1"/>
  <c r="J58" i="1"/>
  <c r="J62" i="1"/>
  <c r="J66" i="1"/>
  <c r="J70" i="1"/>
  <c r="J74" i="1"/>
  <c r="J78" i="1"/>
  <c r="J82" i="1"/>
  <c r="J86" i="1"/>
  <c r="J90" i="1"/>
  <c r="J94" i="1"/>
  <c r="J98" i="1"/>
  <c r="J102" i="1"/>
  <c r="J106" i="1"/>
  <c r="J110" i="1"/>
  <c r="J114" i="1"/>
  <c r="J118" i="1"/>
  <c r="J122" i="1"/>
  <c r="J126" i="1"/>
  <c r="J130" i="1"/>
  <c r="J134" i="1"/>
  <c r="J138" i="1"/>
  <c r="J142" i="1"/>
  <c r="J146" i="1"/>
  <c r="J150" i="1"/>
  <c r="J154" i="1"/>
  <c r="J158" i="1"/>
  <c r="J162" i="1"/>
  <c r="J166" i="1"/>
  <c r="J170" i="1"/>
  <c r="J174" i="1"/>
  <c r="J7" i="1"/>
  <c r="J11" i="1"/>
  <c r="J15" i="1"/>
  <c r="J19" i="1"/>
  <c r="J23" i="1"/>
  <c r="J27" i="1"/>
  <c r="J31" i="1"/>
  <c r="J35" i="1"/>
  <c r="J39" i="1"/>
  <c r="J43" i="1"/>
  <c r="J47" i="1"/>
  <c r="J51" i="1"/>
  <c r="J55" i="1"/>
  <c r="J59" i="1"/>
  <c r="J63" i="1"/>
  <c r="J67" i="1"/>
  <c r="J71" i="1"/>
  <c r="J75" i="1"/>
  <c r="J79" i="1"/>
  <c r="J83" i="1"/>
  <c r="J87" i="1"/>
  <c r="J91" i="1"/>
  <c r="J95" i="1"/>
  <c r="J99" i="1"/>
  <c r="J103" i="1"/>
  <c r="J107" i="1"/>
  <c r="J111" i="1"/>
  <c r="J115" i="1"/>
  <c r="J119" i="1"/>
  <c r="J123" i="1"/>
  <c r="J127" i="1"/>
  <c r="J131" i="1"/>
  <c r="J135" i="1"/>
  <c r="J139" i="1"/>
  <c r="J143" i="1"/>
  <c r="J147" i="1"/>
  <c r="J151" i="1"/>
  <c r="J155" i="1"/>
  <c r="J159" i="1"/>
  <c r="J163" i="1"/>
  <c r="J167" i="1"/>
  <c r="J171" i="1"/>
  <c r="J175" i="1"/>
  <c r="J8" i="1"/>
  <c r="J12" i="1"/>
  <c r="J16" i="1"/>
  <c r="J20" i="1"/>
  <c r="J24" i="1"/>
  <c r="J28" i="1"/>
  <c r="J32" i="1"/>
  <c r="J36" i="1"/>
  <c r="J40" i="1"/>
  <c r="J44" i="1"/>
  <c r="J48" i="1"/>
  <c r="J52" i="1"/>
  <c r="J56" i="1"/>
  <c r="J60" i="1"/>
  <c r="J64" i="1"/>
  <c r="J68" i="1"/>
  <c r="J72" i="1"/>
  <c r="J76" i="1"/>
  <c r="J80" i="1"/>
  <c r="J84" i="1"/>
  <c r="J88" i="1"/>
  <c r="J92" i="1"/>
  <c r="J96" i="1"/>
  <c r="J100" i="1"/>
  <c r="J104" i="1"/>
  <c r="J108" i="1"/>
  <c r="J112" i="1"/>
  <c r="J116" i="1"/>
  <c r="J120" i="1"/>
  <c r="J124" i="1"/>
  <c r="J128" i="1"/>
  <c r="J132" i="1"/>
  <c r="J136" i="1"/>
  <c r="J140" i="1"/>
  <c r="J144" i="1"/>
  <c r="J148" i="1"/>
  <c r="J152" i="1"/>
  <c r="J156" i="1"/>
  <c r="J160" i="1"/>
  <c r="J164" i="1"/>
  <c r="J168" i="1"/>
  <c r="J172" i="1"/>
  <c r="AD7" i="1"/>
  <c r="AD12" i="1"/>
  <c r="AD9" i="1"/>
  <c r="AD6" i="1"/>
  <c r="AD15" i="1"/>
  <c r="AD16" i="1"/>
  <c r="AD17" i="1"/>
  <c r="AD11" i="1"/>
  <c r="AD8" i="1"/>
  <c r="AD14" i="1"/>
  <c r="AD5" i="1"/>
  <c r="AD13" i="1"/>
  <c r="AD18" i="1"/>
  <c r="AD19" i="1"/>
  <c r="AD20" i="1"/>
  <c r="AD21" i="1"/>
  <c r="AD22" i="1"/>
  <c r="AD23" i="1"/>
  <c r="AD24" i="1"/>
  <c r="AD10" i="1"/>
  <c r="AD27" i="1"/>
  <c r="AD26" i="1"/>
  <c r="AD29" i="1"/>
  <c r="AD31" i="1"/>
  <c r="AD33" i="1"/>
  <c r="AD34" i="1"/>
  <c r="AD35" i="1"/>
  <c r="AD36" i="1"/>
  <c r="AD37" i="1"/>
  <c r="AD30" i="1"/>
  <c r="AD25" i="1"/>
  <c r="AD32" i="1"/>
  <c r="AD28" i="1"/>
  <c r="AD39" i="1"/>
  <c r="AD40" i="1"/>
  <c r="AD41" i="1"/>
  <c r="AD38" i="1"/>
  <c r="AD43" i="1"/>
  <c r="AD47" i="1"/>
  <c r="AD46" i="1"/>
  <c r="AD51" i="1"/>
  <c r="AD44" i="1"/>
  <c r="AD57" i="1"/>
  <c r="AD50" i="1"/>
  <c r="AD55" i="1"/>
  <c r="AD63" i="1"/>
  <c r="AD49" i="1"/>
  <c r="AD54" i="1"/>
  <c r="AD62" i="1"/>
  <c r="AD52" i="1"/>
  <c r="AD53" i="1"/>
  <c r="AD61" i="1"/>
  <c r="AD68" i="1"/>
  <c r="AD69" i="1"/>
  <c r="AD70" i="1"/>
  <c r="AD71" i="1"/>
  <c r="AD72" i="1"/>
  <c r="AD73" i="1"/>
  <c r="AD74" i="1"/>
  <c r="AD75" i="1"/>
  <c r="AD76" i="1"/>
  <c r="AD66" i="1"/>
  <c r="AD67" i="1"/>
  <c r="AD64" i="1"/>
  <c r="AD60" i="1"/>
  <c r="AD42" i="1"/>
  <c r="AD45" i="1"/>
  <c r="AD59" i="1"/>
  <c r="AD48" i="1"/>
  <c r="AD65" i="1"/>
  <c r="AD77" i="1"/>
  <c r="AD58" i="1"/>
  <c r="AD56" i="1"/>
  <c r="AD79" i="1"/>
  <c r="AD80" i="1"/>
  <c r="AD81" i="1"/>
  <c r="AD82" i="1"/>
  <c r="AD83" i="1"/>
  <c r="AD84" i="1"/>
  <c r="AD85" i="1"/>
  <c r="AD86" i="1"/>
  <c r="AD87" i="1"/>
  <c r="AD88" i="1"/>
  <c r="AD89" i="1"/>
  <c r="AD90" i="1"/>
  <c r="AD78" i="1"/>
  <c r="AD91" i="1"/>
  <c r="AD92" i="1"/>
  <c r="AD93" i="1"/>
  <c r="AD94" i="1"/>
  <c r="AD95" i="1"/>
  <c r="AD96" i="1"/>
  <c r="AD97" i="1"/>
  <c r="AD98" i="1"/>
  <c r="AD99" i="1"/>
  <c r="AD111" i="1"/>
  <c r="AD116" i="1"/>
  <c r="AD120" i="1"/>
  <c r="AD100" i="1"/>
  <c r="AD102" i="1"/>
  <c r="AD103" i="1"/>
  <c r="AD115" i="1"/>
  <c r="AD108" i="1"/>
  <c r="AD110" i="1"/>
  <c r="AD105" i="1"/>
  <c r="AD114" i="1"/>
  <c r="AD118" i="1"/>
  <c r="AD107" i="1"/>
  <c r="AD113" i="1"/>
  <c r="AD122" i="1"/>
  <c r="AD106" i="1"/>
  <c r="AD123" i="1"/>
  <c r="AD124" i="1"/>
  <c r="AD125" i="1"/>
  <c r="AD126" i="1"/>
  <c r="AD127" i="1"/>
  <c r="AD128" i="1"/>
  <c r="AD129" i="1"/>
  <c r="AD130" i="1"/>
  <c r="AD131" i="1"/>
  <c r="AD121" i="1"/>
  <c r="AD109" i="1"/>
  <c r="AD117" i="1"/>
  <c r="AD101" i="1"/>
  <c r="AD104" i="1"/>
  <c r="AD119" i="1"/>
  <c r="AD112" i="1"/>
  <c r="AD132" i="1"/>
  <c r="AD133" i="1"/>
  <c r="AD134" i="1"/>
  <c r="AD142" i="1"/>
  <c r="AD143" i="1"/>
  <c r="AD146" i="1"/>
  <c r="AD147" i="1"/>
  <c r="AD148" i="1"/>
  <c r="AD149" i="1"/>
  <c r="AD150" i="1"/>
  <c r="AD151" i="1"/>
  <c r="AD152" i="1"/>
  <c r="AD153" i="1"/>
  <c r="AD154" i="1"/>
  <c r="AD155" i="1"/>
  <c r="AD156" i="1"/>
  <c r="AD157" i="1"/>
  <c r="AD158" i="1"/>
  <c r="AD159" i="1"/>
  <c r="AD160" i="1"/>
  <c r="AD137" i="1"/>
  <c r="AD140" i="1"/>
  <c r="AD135" i="1"/>
  <c r="AD138" i="1"/>
  <c r="AD141" i="1"/>
  <c r="AD136" i="1"/>
  <c r="AD139" i="1"/>
  <c r="AD163" i="1"/>
  <c r="AD171" i="1"/>
  <c r="AD161" i="1"/>
  <c r="AD168" i="1"/>
  <c r="AD165" i="1"/>
  <c r="AD173" i="1"/>
  <c r="AD174" i="1"/>
  <c r="AD175" i="1"/>
  <c r="AD145" i="1"/>
  <c r="AD170" i="1"/>
  <c r="AD167" i="1"/>
  <c r="AD144" i="1"/>
  <c r="AD162" i="1"/>
  <c r="AD164" i="1"/>
  <c r="AD172" i="1"/>
  <c r="AD169" i="1"/>
  <c r="AD166" i="1"/>
  <c r="P10" i="1"/>
  <c r="P7" i="1"/>
  <c r="P12" i="1"/>
  <c r="P9" i="1"/>
  <c r="P6" i="1"/>
  <c r="P14" i="1"/>
  <c r="P11" i="1"/>
  <c r="P8" i="1"/>
  <c r="P13" i="1"/>
  <c r="P15" i="1"/>
  <c r="P16" i="1"/>
  <c r="P17" i="1"/>
  <c r="P18" i="1"/>
  <c r="P19" i="1"/>
  <c r="P20" i="1"/>
  <c r="P21" i="1"/>
  <c r="P22" i="1"/>
  <c r="P23" i="1"/>
  <c r="P24" i="1"/>
  <c r="P25" i="1"/>
  <c r="P27" i="1"/>
  <c r="P26" i="1"/>
  <c r="P5" i="1"/>
  <c r="P28" i="1"/>
  <c r="P33" i="1"/>
  <c r="P34" i="1"/>
  <c r="P35" i="1"/>
  <c r="P36" i="1"/>
  <c r="P37" i="1"/>
  <c r="P31" i="1"/>
  <c r="P39" i="1"/>
  <c r="P40" i="1"/>
  <c r="P30" i="1"/>
  <c r="P38" i="1"/>
  <c r="P29" i="1"/>
  <c r="P32" i="1"/>
  <c r="P45" i="1"/>
  <c r="P44" i="1"/>
  <c r="P43" i="1"/>
  <c r="P47" i="1"/>
  <c r="P46" i="1"/>
  <c r="P41" i="1"/>
  <c r="P51" i="1"/>
  <c r="P55" i="1"/>
  <c r="P48" i="1"/>
  <c r="P54" i="1"/>
  <c r="P62" i="1"/>
  <c r="P53" i="1"/>
  <c r="P60" i="1"/>
  <c r="P65" i="1"/>
  <c r="P66" i="1"/>
  <c r="P50" i="1"/>
  <c r="P52" i="1"/>
  <c r="P59" i="1"/>
  <c r="P42" i="1"/>
  <c r="P49" i="1"/>
  <c r="P58" i="1"/>
  <c r="P57" i="1"/>
  <c r="P69" i="1"/>
  <c r="P70" i="1"/>
  <c r="P71" i="1"/>
  <c r="P72" i="1"/>
  <c r="P73" i="1"/>
  <c r="P74" i="1"/>
  <c r="P75" i="1"/>
  <c r="P76" i="1"/>
  <c r="P77" i="1"/>
  <c r="P78" i="1"/>
  <c r="P64" i="1"/>
  <c r="P79" i="1"/>
  <c r="P80" i="1"/>
  <c r="P81" i="1"/>
  <c r="P67" i="1"/>
  <c r="P56" i="1"/>
  <c r="P63" i="1"/>
  <c r="P91" i="1"/>
  <c r="P92" i="1"/>
  <c r="P93" i="1"/>
  <c r="P94" i="1"/>
  <c r="P95" i="1"/>
  <c r="P96" i="1"/>
  <c r="P97" i="1"/>
  <c r="P98" i="1"/>
  <c r="P99" i="1"/>
  <c r="P68" i="1"/>
  <c r="P90" i="1"/>
  <c r="P84" i="1"/>
  <c r="P88" i="1"/>
  <c r="P86" i="1"/>
  <c r="P82" i="1"/>
  <c r="P61" i="1"/>
  <c r="P85" i="1"/>
  <c r="P87" i="1"/>
  <c r="P101" i="1"/>
  <c r="P103" i="1"/>
  <c r="P83" i="1"/>
  <c r="P108" i="1"/>
  <c r="P114" i="1"/>
  <c r="P118" i="1"/>
  <c r="P100" i="1"/>
  <c r="P102" i="1"/>
  <c r="P105" i="1"/>
  <c r="P110" i="1"/>
  <c r="P104" i="1"/>
  <c r="P109" i="1"/>
  <c r="P115" i="1"/>
  <c r="P120" i="1"/>
  <c r="P113" i="1"/>
  <c r="P121" i="1"/>
  <c r="P107" i="1"/>
  <c r="P112" i="1"/>
  <c r="P106" i="1"/>
  <c r="P111" i="1"/>
  <c r="P122" i="1"/>
  <c r="P116" i="1"/>
  <c r="P124" i="1"/>
  <c r="P132" i="1"/>
  <c r="P117" i="1"/>
  <c r="P127" i="1"/>
  <c r="P134" i="1"/>
  <c r="P135" i="1"/>
  <c r="P136" i="1"/>
  <c r="P137" i="1"/>
  <c r="P138" i="1"/>
  <c r="P139" i="1"/>
  <c r="P140" i="1"/>
  <c r="P141" i="1"/>
  <c r="P142" i="1"/>
  <c r="P143" i="1"/>
  <c r="P144" i="1"/>
  <c r="P145" i="1"/>
  <c r="P130" i="1"/>
  <c r="P133" i="1"/>
  <c r="P89" i="1"/>
  <c r="P128" i="1"/>
  <c r="P123" i="1"/>
  <c r="P131"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25" i="1"/>
  <c r="P119" i="1"/>
  <c r="P129" i="1"/>
  <c r="P126" i="1"/>
  <c r="P174" i="1"/>
  <c r="P175" i="1"/>
  <c r="AB5" i="1"/>
  <c r="AB6" i="1"/>
  <c r="AB7" i="1"/>
  <c r="AB8" i="1"/>
  <c r="AB9" i="1"/>
  <c r="AB10" i="1"/>
  <c r="AB11" i="1"/>
  <c r="AB12" i="1"/>
  <c r="AB15" i="1"/>
  <c r="AB16" i="1"/>
  <c r="AB17" i="1"/>
  <c r="AB14" i="1"/>
  <c r="AB13" i="1"/>
  <c r="AB18" i="1"/>
  <c r="AB20" i="1"/>
  <c r="AB21" i="1"/>
  <c r="AB24" i="1"/>
  <c r="AB27" i="1"/>
  <c r="AB29" i="1"/>
  <c r="AB30" i="1"/>
  <c r="AB31" i="1"/>
  <c r="AB32" i="1"/>
  <c r="AB22" i="1"/>
  <c r="AB25" i="1"/>
  <c r="AB26" i="1"/>
  <c r="AB33" i="1"/>
  <c r="AB36" i="1"/>
  <c r="AB19" i="1"/>
  <c r="AB28" i="1"/>
  <c r="AB34" i="1"/>
  <c r="AB39" i="1"/>
  <c r="AB40" i="1"/>
  <c r="AB41" i="1"/>
  <c r="AB42" i="1"/>
  <c r="AB43" i="1"/>
  <c r="AB44" i="1"/>
  <c r="AB45" i="1"/>
  <c r="AB38" i="1"/>
  <c r="AB23" i="1"/>
  <c r="AB35" i="1"/>
  <c r="AB46" i="1"/>
  <c r="AB47" i="1"/>
  <c r="AB48" i="1"/>
  <c r="AB49" i="1"/>
  <c r="AB50" i="1"/>
  <c r="AB51" i="1"/>
  <c r="AB37" i="1"/>
  <c r="AB56" i="1"/>
  <c r="AB64" i="1"/>
  <c r="AB54" i="1"/>
  <c r="AB62" i="1"/>
  <c r="AB52" i="1"/>
  <c r="AB53" i="1"/>
  <c r="AB61" i="1"/>
  <c r="AB60" i="1"/>
  <c r="AB66" i="1"/>
  <c r="AB67" i="1"/>
  <c r="AB63" i="1"/>
  <c r="AB59" i="1"/>
  <c r="AB65" i="1"/>
  <c r="AB58" i="1"/>
  <c r="AB73" i="1"/>
  <c r="AB57" i="1"/>
  <c r="AB68" i="1"/>
  <c r="AB55" i="1"/>
  <c r="AB71" i="1"/>
  <c r="AB76" i="1"/>
  <c r="AB74" i="1"/>
  <c r="AB69" i="1"/>
  <c r="AB79" i="1"/>
  <c r="AB80" i="1"/>
  <c r="AB81" i="1"/>
  <c r="AB82" i="1"/>
  <c r="AB83" i="1"/>
  <c r="AB84" i="1"/>
  <c r="AB85" i="1"/>
  <c r="AB86" i="1"/>
  <c r="AB87" i="1"/>
  <c r="AB88" i="1"/>
  <c r="AB89" i="1"/>
  <c r="AB90" i="1"/>
  <c r="AB72" i="1"/>
  <c r="AB78" i="1"/>
  <c r="AB75" i="1"/>
  <c r="AB70" i="1"/>
  <c r="AB77" i="1"/>
  <c r="AB91" i="1"/>
  <c r="AB92" i="1"/>
  <c r="AB93" i="1"/>
  <c r="AB94" i="1"/>
  <c r="AB95" i="1"/>
  <c r="AB96" i="1"/>
  <c r="AB97" i="1"/>
  <c r="AB98" i="1"/>
  <c r="AB99" i="1"/>
  <c r="AB100" i="1"/>
  <c r="AB101" i="1"/>
  <c r="AB102" i="1"/>
  <c r="AB103" i="1"/>
  <c r="AB104" i="1"/>
  <c r="AB105" i="1"/>
  <c r="AB106" i="1"/>
  <c r="AB107" i="1"/>
  <c r="AB108" i="1"/>
  <c r="AB115" i="1"/>
  <c r="AB119" i="1"/>
  <c r="AB110" i="1"/>
  <c r="AB114" i="1"/>
  <c r="AB118" i="1"/>
  <c r="AB112" i="1"/>
  <c r="AB113" i="1"/>
  <c r="AB117" i="1"/>
  <c r="AB116" i="1"/>
  <c r="AB123" i="1"/>
  <c r="AB124" i="1"/>
  <c r="AB125" i="1"/>
  <c r="AB126" i="1"/>
  <c r="AB127" i="1"/>
  <c r="AB128" i="1"/>
  <c r="AB129" i="1"/>
  <c r="AB130" i="1"/>
  <c r="AB131" i="1"/>
  <c r="AB132" i="1"/>
  <c r="AB121" i="1"/>
  <c r="AB109" i="1"/>
  <c r="AB122" i="1"/>
  <c r="AB111" i="1"/>
  <c r="AB133" i="1"/>
  <c r="AB134" i="1"/>
  <c r="AB135" i="1"/>
  <c r="AB136" i="1"/>
  <c r="AB137" i="1"/>
  <c r="AB138" i="1"/>
  <c r="AB139" i="1"/>
  <c r="AB140" i="1"/>
  <c r="AB141" i="1"/>
  <c r="AB142" i="1"/>
  <c r="AB120" i="1"/>
  <c r="AB145" i="1"/>
  <c r="AB144" i="1"/>
  <c r="AB146" i="1"/>
  <c r="AB147" i="1"/>
  <c r="AB148" i="1"/>
  <c r="AB149" i="1"/>
  <c r="AB150" i="1"/>
  <c r="AB151" i="1"/>
  <c r="AB152" i="1"/>
  <c r="AB153" i="1"/>
  <c r="AB154" i="1"/>
  <c r="AB155" i="1"/>
  <c r="AB156" i="1"/>
  <c r="AB157" i="1"/>
  <c r="AB158" i="1"/>
  <c r="AB159" i="1"/>
  <c r="AB160" i="1"/>
  <c r="AB161" i="1"/>
  <c r="AB162" i="1"/>
  <c r="AB143" i="1"/>
  <c r="AB165" i="1"/>
  <c r="AB173" i="1"/>
  <c r="AB174" i="1"/>
  <c r="AB175" i="1"/>
  <c r="AB170" i="1"/>
  <c r="AB167" i="1"/>
  <c r="AB164" i="1"/>
  <c r="AB172" i="1"/>
  <c r="AB169" i="1"/>
  <c r="AB166" i="1"/>
  <c r="AB163" i="1"/>
  <c r="AB171" i="1"/>
  <c r="AB168" i="1"/>
  <c r="S5" i="1"/>
  <c r="S6" i="1"/>
  <c r="S7" i="1"/>
  <c r="S8" i="1"/>
  <c r="S9" i="1"/>
  <c r="S10" i="1"/>
  <c r="S11" i="1"/>
  <c r="S12" i="1"/>
  <c r="S13" i="1"/>
  <c r="S15" i="1"/>
  <c r="S16" i="1"/>
  <c r="S17" i="1"/>
  <c r="S14" i="1"/>
  <c r="S19" i="1"/>
  <c r="S21" i="1"/>
  <c r="S18" i="1"/>
  <c r="S22" i="1"/>
  <c r="S23" i="1"/>
  <c r="S25" i="1"/>
  <c r="S29" i="1"/>
  <c r="S30" i="1"/>
  <c r="S31" i="1"/>
  <c r="S32" i="1"/>
  <c r="S20" i="1"/>
  <c r="S24" i="1"/>
  <c r="S26" i="1"/>
  <c r="S28" i="1"/>
  <c r="S27" i="1"/>
  <c r="S34" i="1"/>
  <c r="S37" i="1"/>
  <c r="S35" i="1"/>
  <c r="S39" i="1"/>
  <c r="S40" i="1"/>
  <c r="S41" i="1"/>
  <c r="S42" i="1"/>
  <c r="S43" i="1"/>
  <c r="S44" i="1"/>
  <c r="S45" i="1"/>
  <c r="S33" i="1"/>
  <c r="S36" i="1"/>
  <c r="S38" i="1"/>
  <c r="S46" i="1"/>
  <c r="S47" i="1"/>
  <c r="S48" i="1"/>
  <c r="S49" i="1"/>
  <c r="S50" i="1"/>
  <c r="S51" i="1"/>
  <c r="S52" i="1"/>
  <c r="S57" i="1"/>
  <c r="S55" i="1"/>
  <c r="S63" i="1"/>
  <c r="S54" i="1"/>
  <c r="S62" i="1"/>
  <c r="S53" i="1"/>
  <c r="S61" i="1"/>
  <c r="S60" i="1"/>
  <c r="S65" i="1"/>
  <c r="S68" i="1"/>
  <c r="S58" i="1"/>
  <c r="S67" i="1"/>
  <c r="S56" i="1"/>
  <c r="S66" i="1"/>
  <c r="S59" i="1"/>
  <c r="S74" i="1"/>
  <c r="S69" i="1"/>
  <c r="S77" i="1"/>
  <c r="S72" i="1"/>
  <c r="S64" i="1"/>
  <c r="S75" i="1"/>
  <c r="S70" i="1"/>
  <c r="S79" i="1"/>
  <c r="S80" i="1"/>
  <c r="S81" i="1"/>
  <c r="S82" i="1"/>
  <c r="S83" i="1"/>
  <c r="S84" i="1"/>
  <c r="S85" i="1"/>
  <c r="S86" i="1"/>
  <c r="S87" i="1"/>
  <c r="S88" i="1"/>
  <c r="S89" i="1"/>
  <c r="S90" i="1"/>
  <c r="S73" i="1"/>
  <c r="S76" i="1"/>
  <c r="S78" i="1"/>
  <c r="S71" i="1"/>
  <c r="S91" i="1"/>
  <c r="S92" i="1"/>
  <c r="S93" i="1"/>
  <c r="S94" i="1"/>
  <c r="S95" i="1"/>
  <c r="S96" i="1"/>
  <c r="S97" i="1"/>
  <c r="S98" i="1"/>
  <c r="S99" i="1"/>
  <c r="S100" i="1"/>
  <c r="S101" i="1"/>
  <c r="S102" i="1"/>
  <c r="S103" i="1"/>
  <c r="S104" i="1"/>
  <c r="S105" i="1"/>
  <c r="S106" i="1"/>
  <c r="S107" i="1"/>
  <c r="S108" i="1"/>
  <c r="S109" i="1"/>
  <c r="S116" i="1"/>
  <c r="S120" i="1"/>
  <c r="S121" i="1"/>
  <c r="S111" i="1"/>
  <c r="S115" i="1"/>
  <c r="S114" i="1"/>
  <c r="S118" i="1"/>
  <c r="S117" i="1"/>
  <c r="S119" i="1"/>
  <c r="S122" i="1"/>
  <c r="S123" i="1"/>
  <c r="S124" i="1"/>
  <c r="S125" i="1"/>
  <c r="S126" i="1"/>
  <c r="S127" i="1"/>
  <c r="S128" i="1"/>
  <c r="S129" i="1"/>
  <c r="S130" i="1"/>
  <c r="S131" i="1"/>
  <c r="S132" i="1"/>
  <c r="S113" i="1"/>
  <c r="S110" i="1"/>
  <c r="S112" i="1"/>
  <c r="S134" i="1"/>
  <c r="S135" i="1"/>
  <c r="S136" i="1"/>
  <c r="S137" i="1"/>
  <c r="S138" i="1"/>
  <c r="S139" i="1"/>
  <c r="S140" i="1"/>
  <c r="S141" i="1"/>
  <c r="S142" i="1"/>
  <c r="S133" i="1"/>
  <c r="S143" i="1"/>
  <c r="S145" i="1"/>
  <c r="S146" i="1"/>
  <c r="S147" i="1"/>
  <c r="S148" i="1"/>
  <c r="S149" i="1"/>
  <c r="S150" i="1"/>
  <c r="S151" i="1"/>
  <c r="S152" i="1"/>
  <c r="S153" i="1"/>
  <c r="S154" i="1"/>
  <c r="S155" i="1"/>
  <c r="S156" i="1"/>
  <c r="S157" i="1"/>
  <c r="S158" i="1"/>
  <c r="S159" i="1"/>
  <c r="S160" i="1"/>
  <c r="S161" i="1"/>
  <c r="S162" i="1"/>
  <c r="S144" i="1"/>
  <c r="S166" i="1"/>
  <c r="S174" i="1"/>
  <c r="S175" i="1"/>
  <c r="S163" i="1"/>
  <c r="S171" i="1"/>
  <c r="S168" i="1"/>
  <c r="S165" i="1"/>
  <c r="S173" i="1"/>
  <c r="S170" i="1"/>
  <c r="S167" i="1"/>
  <c r="S164" i="1"/>
  <c r="S172" i="1"/>
  <c r="S169" i="1"/>
  <c r="AL6" i="1"/>
  <c r="AL11" i="1"/>
  <c r="AL8" i="1"/>
  <c r="AL5" i="1"/>
  <c r="AL14" i="1"/>
  <c r="AL15" i="1"/>
  <c r="AL16" i="1"/>
  <c r="AL10" i="1"/>
  <c r="AL7" i="1"/>
  <c r="AL13" i="1"/>
  <c r="AL18" i="1"/>
  <c r="AL19" i="1"/>
  <c r="AL20" i="1"/>
  <c r="AL21" i="1"/>
  <c r="AL22" i="1"/>
  <c r="AL23" i="1"/>
  <c r="AL24" i="1"/>
  <c r="AL12" i="1"/>
  <c r="AL17" i="1"/>
  <c r="AL9" i="1"/>
  <c r="AL27" i="1"/>
  <c r="AL26" i="1"/>
  <c r="AL25" i="1"/>
  <c r="AL30" i="1"/>
  <c r="AL33" i="1"/>
  <c r="AL34" i="1"/>
  <c r="AL35" i="1"/>
  <c r="AL36" i="1"/>
  <c r="AL37" i="1"/>
  <c r="AL29" i="1"/>
  <c r="AL31" i="1"/>
  <c r="AL32" i="1"/>
  <c r="AL28" i="1"/>
  <c r="AL38" i="1"/>
  <c r="AL39" i="1"/>
  <c r="AL40" i="1"/>
  <c r="AL41" i="1"/>
  <c r="AL42" i="1"/>
  <c r="AL46" i="1"/>
  <c r="AL43" i="1"/>
  <c r="AL44" i="1"/>
  <c r="AL52" i="1"/>
  <c r="AL49" i="1"/>
  <c r="AL50" i="1"/>
  <c r="AL56" i="1"/>
  <c r="AL64" i="1"/>
  <c r="AL54" i="1"/>
  <c r="AL62" i="1"/>
  <c r="AL45" i="1"/>
  <c r="AL53" i="1"/>
  <c r="AL61" i="1"/>
  <c r="AL47" i="1"/>
  <c r="AL51" i="1"/>
  <c r="AL60" i="1"/>
  <c r="AL59" i="1"/>
  <c r="AL67" i="1"/>
  <c r="AL68" i="1"/>
  <c r="AL69" i="1"/>
  <c r="AL70" i="1"/>
  <c r="AL71" i="1"/>
  <c r="AL72" i="1"/>
  <c r="AL73" i="1"/>
  <c r="AL74" i="1"/>
  <c r="AL75" i="1"/>
  <c r="AL76" i="1"/>
  <c r="AL57" i="1"/>
  <c r="AL65" i="1"/>
  <c r="AL48" i="1"/>
  <c r="AL55" i="1"/>
  <c r="AL66" i="1"/>
  <c r="AL63" i="1"/>
  <c r="AL78" i="1"/>
  <c r="AL79" i="1"/>
  <c r="AL80" i="1"/>
  <c r="AL81" i="1"/>
  <c r="AL82" i="1"/>
  <c r="AL83" i="1"/>
  <c r="AL84" i="1"/>
  <c r="AL85" i="1"/>
  <c r="AL86" i="1"/>
  <c r="AL87" i="1"/>
  <c r="AL88" i="1"/>
  <c r="AL89" i="1"/>
  <c r="AL90" i="1"/>
  <c r="AL58" i="1"/>
  <c r="AL77" i="1"/>
  <c r="AL91" i="1"/>
  <c r="AL92" i="1"/>
  <c r="AL93" i="1"/>
  <c r="AL94" i="1"/>
  <c r="AL95" i="1"/>
  <c r="AL96" i="1"/>
  <c r="AL97" i="1"/>
  <c r="AL98" i="1"/>
  <c r="AL99" i="1"/>
  <c r="AL103" i="1"/>
  <c r="AL108" i="1"/>
  <c r="AL110" i="1"/>
  <c r="AL115" i="1"/>
  <c r="AL119" i="1"/>
  <c r="AL121" i="1"/>
  <c r="AL101" i="1"/>
  <c r="AL112" i="1"/>
  <c r="AL114" i="1"/>
  <c r="AL118" i="1"/>
  <c r="AL107" i="1"/>
  <c r="AL109" i="1"/>
  <c r="AL104" i="1"/>
  <c r="AL113" i="1"/>
  <c r="AL117" i="1"/>
  <c r="AL123" i="1"/>
  <c r="AL124" i="1"/>
  <c r="AL125" i="1"/>
  <c r="AL126" i="1"/>
  <c r="AL127" i="1"/>
  <c r="AL128" i="1"/>
  <c r="AL129" i="1"/>
  <c r="AL130" i="1"/>
  <c r="AL111" i="1"/>
  <c r="AL106" i="1"/>
  <c r="AL116" i="1"/>
  <c r="AL100" i="1"/>
  <c r="AL105" i="1"/>
  <c r="AL122" i="1"/>
  <c r="AL131" i="1"/>
  <c r="AL102" i="1"/>
  <c r="AL133" i="1"/>
  <c r="AL141" i="1"/>
  <c r="AL146" i="1"/>
  <c r="AL147" i="1"/>
  <c r="AL148" i="1"/>
  <c r="AL149" i="1"/>
  <c r="AL150" i="1"/>
  <c r="AL151" i="1"/>
  <c r="AL152" i="1"/>
  <c r="AL153" i="1"/>
  <c r="AL154" i="1"/>
  <c r="AL155" i="1"/>
  <c r="AL156" i="1"/>
  <c r="AL157" i="1"/>
  <c r="AL158" i="1"/>
  <c r="AL159" i="1"/>
  <c r="AL160" i="1"/>
  <c r="AL136" i="1"/>
  <c r="AL139" i="1"/>
  <c r="AL144" i="1"/>
  <c r="AL134" i="1"/>
  <c r="AL142" i="1"/>
  <c r="AL120" i="1"/>
  <c r="AL137" i="1"/>
  <c r="AL145" i="1"/>
  <c r="AL140" i="1"/>
  <c r="AL143" i="1"/>
  <c r="AL132" i="1"/>
  <c r="AL135" i="1"/>
  <c r="AL138" i="1"/>
  <c r="AL170" i="1"/>
  <c r="AL162" i="1"/>
  <c r="AL167" i="1"/>
  <c r="AL164" i="1"/>
  <c r="AL172" i="1"/>
  <c r="AL174" i="1"/>
  <c r="AL175" i="1"/>
  <c r="AL169" i="1"/>
  <c r="AL166" i="1"/>
  <c r="AL161" i="1"/>
  <c r="AL163" i="1"/>
  <c r="AL171" i="1"/>
  <c r="AL168" i="1"/>
  <c r="AL165" i="1"/>
  <c r="AL173" i="1"/>
  <c r="M9" i="1"/>
  <c r="M6" i="1"/>
  <c r="M14" i="1"/>
  <c r="M11" i="1"/>
  <c r="M8" i="1"/>
  <c r="M13" i="1"/>
  <c r="M15" i="1"/>
  <c r="M16" i="1"/>
  <c r="M17" i="1"/>
  <c r="M5" i="1"/>
  <c r="M10" i="1"/>
  <c r="M7" i="1"/>
  <c r="M12" i="1"/>
  <c r="M18" i="1"/>
  <c r="M19" i="1"/>
  <c r="M20" i="1"/>
  <c r="M21" i="1"/>
  <c r="M22" i="1"/>
  <c r="M23" i="1"/>
  <c r="M24" i="1"/>
  <c r="M26" i="1"/>
  <c r="M28" i="1"/>
  <c r="M25" i="1"/>
  <c r="M29" i="1"/>
  <c r="M31" i="1"/>
  <c r="M33" i="1"/>
  <c r="M34" i="1"/>
  <c r="M35" i="1"/>
  <c r="M36" i="1"/>
  <c r="M37" i="1"/>
  <c r="M27" i="1"/>
  <c r="M30" i="1"/>
  <c r="M32" i="1"/>
  <c r="M38" i="1"/>
  <c r="M39" i="1"/>
  <c r="M40" i="1"/>
  <c r="M41" i="1"/>
  <c r="M42" i="1"/>
  <c r="M43" i="1"/>
  <c r="M45" i="1"/>
  <c r="M44" i="1"/>
  <c r="M48" i="1"/>
  <c r="M47" i="1"/>
  <c r="M51" i="1"/>
  <c r="M53" i="1"/>
  <c r="M52" i="1"/>
  <c r="M59" i="1"/>
  <c r="M49" i="1"/>
  <c r="M50" i="1"/>
  <c r="M57" i="1"/>
  <c r="M56" i="1"/>
  <c r="M64" i="1"/>
  <c r="M55" i="1"/>
  <c r="M63" i="1"/>
  <c r="M69" i="1"/>
  <c r="M70" i="1"/>
  <c r="M71" i="1"/>
  <c r="M72" i="1"/>
  <c r="M73" i="1"/>
  <c r="M74" i="1"/>
  <c r="M75" i="1"/>
  <c r="M76" i="1"/>
  <c r="M54" i="1"/>
  <c r="M66" i="1"/>
  <c r="M46" i="1"/>
  <c r="M62" i="1"/>
  <c r="M68" i="1"/>
  <c r="M61" i="1"/>
  <c r="M60" i="1"/>
  <c r="M67" i="1"/>
  <c r="M58" i="1"/>
  <c r="M78" i="1"/>
  <c r="M77" i="1"/>
  <c r="M65" i="1"/>
  <c r="M79" i="1"/>
  <c r="M80" i="1"/>
  <c r="M81" i="1"/>
  <c r="M82" i="1"/>
  <c r="M83" i="1"/>
  <c r="M84" i="1"/>
  <c r="M85" i="1"/>
  <c r="M86" i="1"/>
  <c r="M87" i="1"/>
  <c r="M88" i="1"/>
  <c r="M89" i="1"/>
  <c r="M90" i="1"/>
  <c r="M91" i="1"/>
  <c r="M92" i="1"/>
  <c r="M93" i="1"/>
  <c r="M94" i="1"/>
  <c r="M95" i="1"/>
  <c r="M96" i="1"/>
  <c r="M97" i="1"/>
  <c r="M98" i="1"/>
  <c r="M99" i="1"/>
  <c r="M103" i="1"/>
  <c r="M114" i="1"/>
  <c r="M118" i="1"/>
  <c r="M100" i="1"/>
  <c r="M102" i="1"/>
  <c r="M105" i="1"/>
  <c r="M113" i="1"/>
  <c r="M117" i="1"/>
  <c r="M112" i="1"/>
  <c r="M107" i="1"/>
  <c r="M109" i="1"/>
  <c r="M116" i="1"/>
  <c r="M120" i="1"/>
  <c r="M115" i="1"/>
  <c r="M108" i="1"/>
  <c r="M123" i="1"/>
  <c r="M124" i="1"/>
  <c r="M125" i="1"/>
  <c r="M126" i="1"/>
  <c r="M127" i="1"/>
  <c r="M128" i="1"/>
  <c r="M129" i="1"/>
  <c r="M130" i="1"/>
  <c r="M131" i="1"/>
  <c r="M101" i="1"/>
  <c r="M111" i="1"/>
  <c r="M122" i="1"/>
  <c r="M106" i="1"/>
  <c r="M110" i="1"/>
  <c r="M104" i="1"/>
  <c r="M133" i="1"/>
  <c r="M121" i="1"/>
  <c r="M119" i="1"/>
  <c r="M136" i="1"/>
  <c r="M145" i="1"/>
  <c r="M146" i="1"/>
  <c r="M147" i="1"/>
  <c r="M148" i="1"/>
  <c r="M149" i="1"/>
  <c r="M150" i="1"/>
  <c r="M151" i="1"/>
  <c r="M152" i="1"/>
  <c r="M153" i="1"/>
  <c r="M154" i="1"/>
  <c r="M155" i="1"/>
  <c r="M156" i="1"/>
  <c r="M157" i="1"/>
  <c r="M158" i="1"/>
  <c r="M159" i="1"/>
  <c r="M160" i="1"/>
  <c r="M132" i="1"/>
  <c r="M139" i="1"/>
  <c r="M142" i="1"/>
  <c r="M134" i="1"/>
  <c r="M137" i="1"/>
  <c r="M144" i="1"/>
  <c r="M140" i="1"/>
  <c r="M135" i="1"/>
  <c r="M138" i="1"/>
  <c r="M143" i="1"/>
  <c r="M141" i="1"/>
  <c r="M165" i="1"/>
  <c r="M173" i="1"/>
  <c r="M161" i="1"/>
  <c r="M170" i="1"/>
  <c r="M167" i="1"/>
  <c r="M174" i="1"/>
  <c r="M175" i="1"/>
  <c r="M164" i="1"/>
  <c r="M172" i="1"/>
  <c r="M169" i="1"/>
  <c r="M162" i="1"/>
  <c r="M166" i="1"/>
  <c r="M163" i="1"/>
  <c r="M171" i="1"/>
  <c r="M168" i="1"/>
  <c r="Y12" i="1"/>
  <c r="Y9" i="1"/>
  <c r="Y6" i="1"/>
  <c r="Y11" i="1"/>
  <c r="Y14" i="1"/>
  <c r="Y8" i="1"/>
  <c r="Y5" i="1"/>
  <c r="Y13" i="1"/>
  <c r="Y10" i="1"/>
  <c r="Y15" i="1"/>
  <c r="Y16" i="1"/>
  <c r="Y20" i="1"/>
  <c r="Y22" i="1"/>
  <c r="Y7" i="1"/>
  <c r="Y19" i="1"/>
  <c r="Y23" i="1"/>
  <c r="Y26" i="1"/>
  <c r="Y18" i="1"/>
  <c r="Y24" i="1"/>
  <c r="Y17" i="1"/>
  <c r="Y30" i="1"/>
  <c r="Y21" i="1"/>
  <c r="Y33" i="1"/>
  <c r="Y34" i="1"/>
  <c r="Y35" i="1"/>
  <c r="Y36" i="1"/>
  <c r="Y37" i="1"/>
  <c r="Y28" i="1"/>
  <c r="Y32" i="1"/>
  <c r="Y31" i="1"/>
  <c r="Y39" i="1"/>
  <c r="Y40" i="1"/>
  <c r="Y41" i="1"/>
  <c r="Y42" i="1"/>
  <c r="Y43" i="1"/>
  <c r="Y38" i="1"/>
  <c r="Y27" i="1"/>
  <c r="Y46" i="1"/>
  <c r="Y47" i="1"/>
  <c r="Y48" i="1"/>
  <c r="Y49" i="1"/>
  <c r="Y50" i="1"/>
  <c r="Y51" i="1"/>
  <c r="Y52" i="1"/>
  <c r="Y45" i="1"/>
  <c r="Y29" i="1"/>
  <c r="Y25" i="1"/>
  <c r="Y44" i="1"/>
  <c r="Y55" i="1"/>
  <c r="Y54" i="1"/>
  <c r="Y62" i="1"/>
  <c r="Y60" i="1"/>
  <c r="Y59" i="1"/>
  <c r="Y65" i="1"/>
  <c r="Y66" i="1"/>
  <c r="Y67" i="1"/>
  <c r="Y68" i="1"/>
  <c r="Y58" i="1"/>
  <c r="Y63" i="1"/>
  <c r="Y61" i="1"/>
  <c r="Y57" i="1"/>
  <c r="Y69" i="1"/>
  <c r="Y70" i="1"/>
  <c r="Y71" i="1"/>
  <c r="Y72" i="1"/>
  <c r="Y73" i="1"/>
  <c r="Y74" i="1"/>
  <c r="Y75" i="1"/>
  <c r="Y76" i="1"/>
  <c r="Y77" i="1"/>
  <c r="Y78" i="1"/>
  <c r="Y56" i="1"/>
  <c r="Y53" i="1"/>
  <c r="Y79" i="1"/>
  <c r="Y80" i="1"/>
  <c r="Y81" i="1"/>
  <c r="Y64" i="1"/>
  <c r="Y82" i="1"/>
  <c r="Y86" i="1"/>
  <c r="Y88" i="1"/>
  <c r="Y90" i="1"/>
  <c r="Y85" i="1"/>
  <c r="Y91" i="1"/>
  <c r="Y92" i="1"/>
  <c r="Y83" i="1"/>
  <c r="Y87" i="1"/>
  <c r="Y109" i="1"/>
  <c r="Y110" i="1"/>
  <c r="Y111" i="1"/>
  <c r="Y112" i="1"/>
  <c r="Y113" i="1"/>
  <c r="Y114" i="1"/>
  <c r="Y115" i="1"/>
  <c r="Y116" i="1"/>
  <c r="Y117" i="1"/>
  <c r="Y118" i="1"/>
  <c r="Y119" i="1"/>
  <c r="Y120" i="1"/>
  <c r="Y89" i="1"/>
  <c r="Y84" i="1"/>
  <c r="Y93" i="1"/>
  <c r="Y97" i="1"/>
  <c r="Y103" i="1"/>
  <c r="Y94" i="1"/>
  <c r="Y98" i="1"/>
  <c r="Y100" i="1"/>
  <c r="Y102" i="1"/>
  <c r="Y105" i="1"/>
  <c r="Y95" i="1"/>
  <c r="Y99" i="1"/>
  <c r="Y107" i="1"/>
  <c r="Y106" i="1"/>
  <c r="Y104" i="1"/>
  <c r="Y101" i="1"/>
  <c r="Y96" i="1"/>
  <c r="Y108" i="1"/>
  <c r="Y123" i="1"/>
  <c r="Y124" i="1"/>
  <c r="Y125" i="1"/>
  <c r="Y126" i="1"/>
  <c r="Y127" i="1"/>
  <c r="Y128" i="1"/>
  <c r="Y129" i="1"/>
  <c r="Y130" i="1"/>
  <c r="Y122" i="1"/>
  <c r="Y131" i="1"/>
  <c r="Y133" i="1"/>
  <c r="Y134" i="1"/>
  <c r="Y135" i="1"/>
  <c r="Y136" i="1"/>
  <c r="Y137" i="1"/>
  <c r="Y138" i="1"/>
  <c r="Y139" i="1"/>
  <c r="Y140" i="1"/>
  <c r="Y141" i="1"/>
  <c r="Y142" i="1"/>
  <c r="Y121" i="1"/>
  <c r="Y145" i="1"/>
  <c r="Y144" i="1"/>
  <c r="Y132"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43" i="1"/>
  <c r="Y174" i="1"/>
  <c r="Y175" i="1"/>
  <c r="I5" i="1"/>
  <c r="I6" i="1"/>
  <c r="I7" i="1"/>
  <c r="I8" i="1"/>
  <c r="I9" i="1"/>
  <c r="I10" i="1"/>
  <c r="I11" i="1"/>
  <c r="I12" i="1"/>
  <c r="I13" i="1"/>
  <c r="I14" i="1"/>
  <c r="I15" i="1"/>
  <c r="I17" i="1"/>
  <c r="I16" i="1"/>
  <c r="I22" i="1"/>
  <c r="I19" i="1"/>
  <c r="I20" i="1"/>
  <c r="I24" i="1"/>
  <c r="I29" i="1"/>
  <c r="I30" i="1"/>
  <c r="I31" i="1"/>
  <c r="I32" i="1"/>
  <c r="I18" i="1"/>
  <c r="I27" i="1"/>
  <c r="I23" i="1"/>
  <c r="I25" i="1"/>
  <c r="I33" i="1"/>
  <c r="I34" i="1"/>
  <c r="I35" i="1"/>
  <c r="I36" i="1"/>
  <c r="I37" i="1"/>
  <c r="I28" i="1"/>
  <c r="I39" i="1"/>
  <c r="I40" i="1"/>
  <c r="I41" i="1"/>
  <c r="I42" i="1"/>
  <c r="I43" i="1"/>
  <c r="I26" i="1"/>
  <c r="I38" i="1"/>
  <c r="I49" i="1"/>
  <c r="I52" i="1"/>
  <c r="I46" i="1"/>
  <c r="I50" i="1"/>
  <c r="I57" i="1"/>
  <c r="I55" i="1"/>
  <c r="I63" i="1"/>
  <c r="I21" i="1"/>
  <c r="I51" i="1"/>
  <c r="I54" i="1"/>
  <c r="I62" i="1"/>
  <c r="I44" i="1"/>
  <c r="I61" i="1"/>
  <c r="I65" i="1"/>
  <c r="I66" i="1"/>
  <c r="I67" i="1"/>
  <c r="I68" i="1"/>
  <c r="I53" i="1"/>
  <c r="I45" i="1"/>
  <c r="I64" i="1"/>
  <c r="I47" i="1"/>
  <c r="I60" i="1"/>
  <c r="I59" i="1"/>
  <c r="I69" i="1"/>
  <c r="I70" i="1"/>
  <c r="I71" i="1"/>
  <c r="I72" i="1"/>
  <c r="I73" i="1"/>
  <c r="I74" i="1"/>
  <c r="I75" i="1"/>
  <c r="I76" i="1"/>
  <c r="I78" i="1"/>
  <c r="I58" i="1"/>
  <c r="I77" i="1"/>
  <c r="I56" i="1"/>
  <c r="I79" i="1"/>
  <c r="I80" i="1"/>
  <c r="I81" i="1"/>
  <c r="I82" i="1"/>
  <c r="I83" i="1"/>
  <c r="I84" i="1"/>
  <c r="I85" i="1"/>
  <c r="I86" i="1"/>
  <c r="I87" i="1"/>
  <c r="I88" i="1"/>
  <c r="I89" i="1"/>
  <c r="I48" i="1"/>
  <c r="I91" i="1"/>
  <c r="I92" i="1"/>
  <c r="I93" i="1"/>
  <c r="I94" i="1"/>
  <c r="I95" i="1"/>
  <c r="I96" i="1"/>
  <c r="I97" i="1"/>
  <c r="I98" i="1"/>
  <c r="I99" i="1"/>
  <c r="I100" i="1"/>
  <c r="I101" i="1"/>
  <c r="I102" i="1"/>
  <c r="I109" i="1"/>
  <c r="I110" i="1"/>
  <c r="I111" i="1"/>
  <c r="I112" i="1"/>
  <c r="I113" i="1"/>
  <c r="I114" i="1"/>
  <c r="I115" i="1"/>
  <c r="I116" i="1"/>
  <c r="I117" i="1"/>
  <c r="I118" i="1"/>
  <c r="I119" i="1"/>
  <c r="I120" i="1"/>
  <c r="I121" i="1"/>
  <c r="I90" i="1"/>
  <c r="I103" i="1"/>
  <c r="I108" i="1"/>
  <c r="I107" i="1"/>
  <c r="I104" i="1"/>
  <c r="I122" i="1"/>
  <c r="I106" i="1"/>
  <c r="I105" i="1"/>
  <c r="I130" i="1"/>
  <c r="I125" i="1"/>
  <c r="I128" i="1"/>
  <c r="I126" i="1"/>
  <c r="I134" i="1"/>
  <c r="I129" i="1"/>
  <c r="I132" i="1"/>
  <c r="I127" i="1"/>
  <c r="I131" i="1"/>
  <c r="I139" i="1"/>
  <c r="I124" i="1"/>
  <c r="I142" i="1"/>
  <c r="I144" i="1"/>
  <c r="I133" i="1"/>
  <c r="I137" i="1"/>
  <c r="I140" i="1"/>
  <c r="I135" i="1"/>
  <c r="I143" i="1"/>
  <c r="I138" i="1"/>
  <c r="I141" i="1"/>
  <c r="I145" i="1"/>
  <c r="I123" i="1"/>
  <c r="I136" i="1"/>
  <c r="I153" i="1"/>
  <c r="I164" i="1"/>
  <c r="I172" i="1"/>
  <c r="I146" i="1"/>
  <c r="I154" i="1"/>
  <c r="I159" i="1"/>
  <c r="I169" i="1"/>
  <c r="I147" i="1"/>
  <c r="I155" i="1"/>
  <c r="I166" i="1"/>
  <c r="I148" i="1"/>
  <c r="I156" i="1"/>
  <c r="I160" i="1"/>
  <c r="I162" i="1"/>
  <c r="I163" i="1"/>
  <c r="I171" i="1"/>
  <c r="I149" i="1"/>
  <c r="I168" i="1"/>
  <c r="I150" i="1"/>
  <c r="I157" i="1"/>
  <c r="I165" i="1"/>
  <c r="I173" i="1"/>
  <c r="I151" i="1"/>
  <c r="I170" i="1"/>
  <c r="I152" i="1"/>
  <c r="I158" i="1"/>
  <c r="I161" i="1"/>
  <c r="I167" i="1"/>
  <c r="I174" i="1"/>
  <c r="I175" i="1"/>
  <c r="T5" i="1"/>
  <c r="T6" i="1"/>
  <c r="T7" i="1"/>
  <c r="T8" i="1"/>
  <c r="T9" i="1"/>
  <c r="T10" i="1"/>
  <c r="T11" i="1"/>
  <c r="T12" i="1"/>
  <c r="T13" i="1"/>
  <c r="T14" i="1"/>
  <c r="T15" i="1"/>
  <c r="T22" i="1"/>
  <c r="T19" i="1"/>
  <c r="T24" i="1"/>
  <c r="T16" i="1"/>
  <c r="T17" i="1"/>
  <c r="T26" i="1"/>
  <c r="T27" i="1"/>
  <c r="T28" i="1"/>
  <c r="T21" i="1"/>
  <c r="T23" i="1"/>
  <c r="T25" i="1"/>
  <c r="T29" i="1"/>
  <c r="T30" i="1"/>
  <c r="T31" i="1"/>
  <c r="T32" i="1"/>
  <c r="T20" i="1"/>
  <c r="T18" i="1"/>
  <c r="T34" i="1"/>
  <c r="T37" i="1"/>
  <c r="T35" i="1"/>
  <c r="T39" i="1"/>
  <c r="T40" i="1"/>
  <c r="T41" i="1"/>
  <c r="T42" i="1"/>
  <c r="T43" i="1"/>
  <c r="T44" i="1"/>
  <c r="T45" i="1"/>
  <c r="T33" i="1"/>
  <c r="T36" i="1"/>
  <c r="T38" i="1"/>
  <c r="T53" i="1"/>
  <c r="T54" i="1"/>
  <c r="T55" i="1"/>
  <c r="T56" i="1"/>
  <c r="T57" i="1"/>
  <c r="T58" i="1"/>
  <c r="T59" i="1"/>
  <c r="T60" i="1"/>
  <c r="T61" i="1"/>
  <c r="T62" i="1"/>
  <c r="T63" i="1"/>
  <c r="T64" i="1"/>
  <c r="T46" i="1"/>
  <c r="T48" i="1"/>
  <c r="T52" i="1"/>
  <c r="T67" i="1"/>
  <c r="T50" i="1"/>
  <c r="T47" i="1"/>
  <c r="T51" i="1"/>
  <c r="T66" i="1"/>
  <c r="T65" i="1"/>
  <c r="T68" i="1"/>
  <c r="T71" i="1"/>
  <c r="T78" i="1"/>
  <c r="T74" i="1"/>
  <c r="T69" i="1"/>
  <c r="T77" i="1"/>
  <c r="T72" i="1"/>
  <c r="T49" i="1"/>
  <c r="T75" i="1"/>
  <c r="T70" i="1"/>
  <c r="T79" i="1"/>
  <c r="T80" i="1"/>
  <c r="T81" i="1"/>
  <c r="T82" i="1"/>
  <c r="T83" i="1"/>
  <c r="T84" i="1"/>
  <c r="T85" i="1"/>
  <c r="T86" i="1"/>
  <c r="T73" i="1"/>
  <c r="T89" i="1"/>
  <c r="T76" i="1"/>
  <c r="T88" i="1"/>
  <c r="T90" i="1"/>
  <c r="T91" i="1"/>
  <c r="T92" i="1"/>
  <c r="T93" i="1"/>
  <c r="T94" i="1"/>
  <c r="T95" i="1"/>
  <c r="T96" i="1"/>
  <c r="T97" i="1"/>
  <c r="T98" i="1"/>
  <c r="T99" i="1"/>
  <c r="T100" i="1"/>
  <c r="T101" i="1"/>
  <c r="T102" i="1"/>
  <c r="T103" i="1"/>
  <c r="T104" i="1"/>
  <c r="T105" i="1"/>
  <c r="T106" i="1"/>
  <c r="T107" i="1"/>
  <c r="T108" i="1"/>
  <c r="T109" i="1"/>
  <c r="T110" i="1"/>
  <c r="T111" i="1"/>
  <c r="T112" i="1"/>
  <c r="T87" i="1"/>
  <c r="T115" i="1"/>
  <c r="T119" i="1"/>
  <c r="T118" i="1"/>
  <c r="T120" i="1"/>
  <c r="T116" i="1"/>
  <c r="T126" i="1"/>
  <c r="T131" i="1"/>
  <c r="T113" i="1"/>
  <c r="T129" i="1"/>
  <c r="T117" i="1"/>
  <c r="T124" i="1"/>
  <c r="T114" i="1"/>
  <c r="T130" i="1"/>
  <c r="T125" i="1"/>
  <c r="T134" i="1"/>
  <c r="T135" i="1"/>
  <c r="T136" i="1"/>
  <c r="T137" i="1"/>
  <c r="T138" i="1"/>
  <c r="T139" i="1"/>
  <c r="T140" i="1"/>
  <c r="T141" i="1"/>
  <c r="T142" i="1"/>
  <c r="T143" i="1"/>
  <c r="T144" i="1"/>
  <c r="T121" i="1"/>
  <c r="T122" i="1"/>
  <c r="T123" i="1"/>
  <c r="T127" i="1"/>
  <c r="T132" i="1"/>
  <c r="T128" i="1"/>
  <c r="T133" i="1"/>
  <c r="T146" i="1"/>
  <c r="T147" i="1"/>
  <c r="T148" i="1"/>
  <c r="T149" i="1"/>
  <c r="T150" i="1"/>
  <c r="T151" i="1"/>
  <c r="T152" i="1"/>
  <c r="T153" i="1"/>
  <c r="T154" i="1"/>
  <c r="T155" i="1"/>
  <c r="T156" i="1"/>
  <c r="T157" i="1"/>
  <c r="T162" i="1"/>
  <c r="T169" i="1"/>
  <c r="T166" i="1"/>
  <c r="T174" i="1"/>
  <c r="T175" i="1"/>
  <c r="T145" i="1"/>
  <c r="T158" i="1"/>
  <c r="T163" i="1"/>
  <c r="T171" i="1"/>
  <c r="T168" i="1"/>
  <c r="T159" i="1"/>
  <c r="T161" i="1"/>
  <c r="T165" i="1"/>
  <c r="T173" i="1"/>
  <c r="T170" i="1"/>
  <c r="T160" i="1"/>
  <c r="T167" i="1"/>
  <c r="T164" i="1"/>
  <c r="T172" i="1"/>
  <c r="AM9" i="1"/>
  <c r="AM12" i="1"/>
  <c r="AM6" i="1"/>
  <c r="AM11" i="1"/>
  <c r="AM8" i="1"/>
  <c r="AM5" i="1"/>
  <c r="AM14" i="1"/>
  <c r="AM15" i="1"/>
  <c r="AM16" i="1"/>
  <c r="AM17" i="1"/>
  <c r="AM10" i="1"/>
  <c r="AM7" i="1"/>
  <c r="AM13" i="1"/>
  <c r="AM23" i="1"/>
  <c r="AM20" i="1"/>
  <c r="AM18" i="1"/>
  <c r="AM19" i="1"/>
  <c r="AM21" i="1"/>
  <c r="AM27" i="1"/>
  <c r="AM22" i="1"/>
  <c r="AM25" i="1"/>
  <c r="AM30" i="1"/>
  <c r="AM33" i="1"/>
  <c r="AM34" i="1"/>
  <c r="AM35" i="1"/>
  <c r="AM36" i="1"/>
  <c r="AM37" i="1"/>
  <c r="AM24" i="1"/>
  <c r="AM28" i="1"/>
  <c r="AM29" i="1"/>
  <c r="AM31" i="1"/>
  <c r="AM32" i="1"/>
  <c r="AM26" i="1"/>
  <c r="AM45" i="1"/>
  <c r="AM39" i="1"/>
  <c r="AM44" i="1"/>
  <c r="AM41" i="1"/>
  <c r="AM46" i="1"/>
  <c r="AM47" i="1"/>
  <c r="AM48" i="1"/>
  <c r="AM49" i="1"/>
  <c r="AM50" i="1"/>
  <c r="AM38" i="1"/>
  <c r="AM43" i="1"/>
  <c r="AM42" i="1"/>
  <c r="AM40" i="1"/>
  <c r="AM57" i="1"/>
  <c r="AM65" i="1"/>
  <c r="AM66" i="1"/>
  <c r="AM55" i="1"/>
  <c r="AM63" i="1"/>
  <c r="AM52" i="1"/>
  <c r="AM54" i="1"/>
  <c r="AM62" i="1"/>
  <c r="AM53" i="1"/>
  <c r="AM61" i="1"/>
  <c r="AM60" i="1"/>
  <c r="AM58" i="1"/>
  <c r="AM56" i="1"/>
  <c r="AM74" i="1"/>
  <c r="AM76" i="1"/>
  <c r="AM77" i="1"/>
  <c r="AM67" i="1"/>
  <c r="AM69" i="1"/>
  <c r="AM51" i="1"/>
  <c r="AM72" i="1"/>
  <c r="AM59" i="1"/>
  <c r="AM75" i="1"/>
  <c r="AM70" i="1"/>
  <c r="AM73" i="1"/>
  <c r="AM64" i="1"/>
  <c r="AM68" i="1"/>
  <c r="AM90" i="1"/>
  <c r="AM78" i="1"/>
  <c r="AM84" i="1"/>
  <c r="AM87" i="1"/>
  <c r="AM79" i="1"/>
  <c r="AM71" i="1"/>
  <c r="AM80" i="1"/>
  <c r="AM82" i="1"/>
  <c r="AM89" i="1"/>
  <c r="AM81" i="1"/>
  <c r="AM85" i="1"/>
  <c r="AM86" i="1"/>
  <c r="AM91" i="1"/>
  <c r="AM92" i="1"/>
  <c r="AM93" i="1"/>
  <c r="AM94" i="1"/>
  <c r="AM95" i="1"/>
  <c r="AM96" i="1"/>
  <c r="AM97" i="1"/>
  <c r="AM98" i="1"/>
  <c r="AM99" i="1"/>
  <c r="AM100" i="1"/>
  <c r="AM101" i="1"/>
  <c r="AM102" i="1"/>
  <c r="AM103" i="1"/>
  <c r="AM104" i="1"/>
  <c r="AM105" i="1"/>
  <c r="AM106" i="1"/>
  <c r="AM107" i="1"/>
  <c r="AM108" i="1"/>
  <c r="AM122" i="1"/>
  <c r="AM88" i="1"/>
  <c r="AM112" i="1"/>
  <c r="AM114" i="1"/>
  <c r="AM118" i="1"/>
  <c r="AM83" i="1"/>
  <c r="AM109" i="1"/>
  <c r="AM115" i="1"/>
  <c r="AM113" i="1"/>
  <c r="AM123" i="1"/>
  <c r="AM124" i="1"/>
  <c r="AM125" i="1"/>
  <c r="AM126" i="1"/>
  <c r="AM127" i="1"/>
  <c r="AM128" i="1"/>
  <c r="AM129" i="1"/>
  <c r="AM130" i="1"/>
  <c r="AM131" i="1"/>
  <c r="AM132" i="1"/>
  <c r="AM133" i="1"/>
  <c r="AM111" i="1"/>
  <c r="AM110" i="1"/>
  <c r="AM120" i="1"/>
  <c r="AM121" i="1"/>
  <c r="AM116" i="1"/>
  <c r="AM119" i="1"/>
  <c r="AM117" i="1"/>
  <c r="AM138" i="1"/>
  <c r="AM141" i="1"/>
  <c r="AM146" i="1"/>
  <c r="AM147" i="1"/>
  <c r="AM148" i="1"/>
  <c r="AM149" i="1"/>
  <c r="AM150" i="1"/>
  <c r="AM151" i="1"/>
  <c r="AM152" i="1"/>
  <c r="AM153" i="1"/>
  <c r="AM154" i="1"/>
  <c r="AM155" i="1"/>
  <c r="AM156" i="1"/>
  <c r="AM157" i="1"/>
  <c r="AM158" i="1"/>
  <c r="AM159" i="1"/>
  <c r="AM160" i="1"/>
  <c r="AM136" i="1"/>
  <c r="AM139" i="1"/>
  <c r="AM144" i="1"/>
  <c r="AM134" i="1"/>
  <c r="AM142" i="1"/>
  <c r="AM137" i="1"/>
  <c r="AM140" i="1"/>
  <c r="AM143" i="1"/>
  <c r="AM135" i="1"/>
  <c r="AM165" i="1"/>
  <c r="AM173" i="1"/>
  <c r="AM170" i="1"/>
  <c r="AM162" i="1"/>
  <c r="AM167" i="1"/>
  <c r="AM164" i="1"/>
  <c r="AM172" i="1"/>
  <c r="AM174" i="1"/>
  <c r="AM175" i="1"/>
  <c r="AM145" i="1"/>
  <c r="AM169" i="1"/>
  <c r="AM166" i="1"/>
  <c r="AM161" i="1"/>
  <c r="AM163" i="1"/>
  <c r="AM171" i="1"/>
  <c r="AM168" i="1"/>
  <c r="K5" i="1"/>
  <c r="K6" i="1"/>
  <c r="K7" i="1"/>
  <c r="K8" i="1"/>
  <c r="K9" i="1"/>
  <c r="K10" i="1"/>
  <c r="K11" i="1"/>
  <c r="K12" i="1"/>
  <c r="K14" i="1"/>
  <c r="K15" i="1"/>
  <c r="K16" i="1"/>
  <c r="K17" i="1"/>
  <c r="K13" i="1"/>
  <c r="K20" i="1"/>
  <c r="K22" i="1"/>
  <c r="K25" i="1"/>
  <c r="K19" i="1"/>
  <c r="K23" i="1"/>
  <c r="K28" i="1"/>
  <c r="K24" i="1"/>
  <c r="K29" i="1"/>
  <c r="K30" i="1"/>
  <c r="K31" i="1"/>
  <c r="K32" i="1"/>
  <c r="K18" i="1"/>
  <c r="K27" i="1"/>
  <c r="K21" i="1"/>
  <c r="K35" i="1"/>
  <c r="K33" i="1"/>
  <c r="K36" i="1"/>
  <c r="K39" i="1"/>
  <c r="K40" i="1"/>
  <c r="K41" i="1"/>
  <c r="K42" i="1"/>
  <c r="K43" i="1"/>
  <c r="K44" i="1"/>
  <c r="K45" i="1"/>
  <c r="K34" i="1"/>
  <c r="K26" i="1"/>
  <c r="K37" i="1"/>
  <c r="K46" i="1"/>
  <c r="K47" i="1"/>
  <c r="K48" i="1"/>
  <c r="K49" i="1"/>
  <c r="K50" i="1"/>
  <c r="K51" i="1"/>
  <c r="K53" i="1"/>
  <c r="K58" i="1"/>
  <c r="K38" i="1"/>
  <c r="K56" i="1"/>
  <c r="K64" i="1"/>
  <c r="K55" i="1"/>
  <c r="K63" i="1"/>
  <c r="K54" i="1"/>
  <c r="K62" i="1"/>
  <c r="K66" i="1"/>
  <c r="K68" i="1"/>
  <c r="K61" i="1"/>
  <c r="K65" i="1"/>
  <c r="K60" i="1"/>
  <c r="K67" i="1"/>
  <c r="K75" i="1"/>
  <c r="K70" i="1"/>
  <c r="K78" i="1"/>
  <c r="K73" i="1"/>
  <c r="K76" i="1"/>
  <c r="K77" i="1"/>
  <c r="K71" i="1"/>
  <c r="K79" i="1"/>
  <c r="K80" i="1"/>
  <c r="K81" i="1"/>
  <c r="K82" i="1"/>
  <c r="K83" i="1"/>
  <c r="K84" i="1"/>
  <c r="K85" i="1"/>
  <c r="K86" i="1"/>
  <c r="K87" i="1"/>
  <c r="K88" i="1"/>
  <c r="K89" i="1"/>
  <c r="K90" i="1"/>
  <c r="K74" i="1"/>
  <c r="K52" i="1"/>
  <c r="K59" i="1"/>
  <c r="K69" i="1"/>
  <c r="K91" i="1"/>
  <c r="K92" i="1"/>
  <c r="K93" i="1"/>
  <c r="K94" i="1"/>
  <c r="K95" i="1"/>
  <c r="K96" i="1"/>
  <c r="K97" i="1"/>
  <c r="K98" i="1"/>
  <c r="K99" i="1"/>
  <c r="K100" i="1"/>
  <c r="K101" i="1"/>
  <c r="K102" i="1"/>
  <c r="K103" i="1"/>
  <c r="K104" i="1"/>
  <c r="K105" i="1"/>
  <c r="K106" i="1"/>
  <c r="K107" i="1"/>
  <c r="K108" i="1"/>
  <c r="K72" i="1"/>
  <c r="K110" i="1"/>
  <c r="K113" i="1"/>
  <c r="K117" i="1"/>
  <c r="K112" i="1"/>
  <c r="K116" i="1"/>
  <c r="K109" i="1"/>
  <c r="K57" i="1"/>
  <c r="K115" i="1"/>
  <c r="K119" i="1"/>
  <c r="K118" i="1"/>
  <c r="K123" i="1"/>
  <c r="K124" i="1"/>
  <c r="K125" i="1"/>
  <c r="K126" i="1"/>
  <c r="K127" i="1"/>
  <c r="K128" i="1"/>
  <c r="K129" i="1"/>
  <c r="K130" i="1"/>
  <c r="K131" i="1"/>
  <c r="K132" i="1"/>
  <c r="K122" i="1"/>
  <c r="K111" i="1"/>
  <c r="K114" i="1"/>
  <c r="K120" i="1"/>
  <c r="K121" i="1"/>
  <c r="K135" i="1"/>
  <c r="K136" i="1"/>
  <c r="K137" i="1"/>
  <c r="K138" i="1"/>
  <c r="K139" i="1"/>
  <c r="K140" i="1"/>
  <c r="K141" i="1"/>
  <c r="K142" i="1"/>
  <c r="K134" i="1"/>
  <c r="K144" i="1"/>
  <c r="K133" i="1"/>
  <c r="K143" i="1"/>
  <c r="K146" i="1"/>
  <c r="K147" i="1"/>
  <c r="K148" i="1"/>
  <c r="K149" i="1"/>
  <c r="K150" i="1"/>
  <c r="K151" i="1"/>
  <c r="K152" i="1"/>
  <c r="K153" i="1"/>
  <c r="K154" i="1"/>
  <c r="K155" i="1"/>
  <c r="K156" i="1"/>
  <c r="K157" i="1"/>
  <c r="K158" i="1"/>
  <c r="K159" i="1"/>
  <c r="K160" i="1"/>
  <c r="K161" i="1"/>
  <c r="K162" i="1"/>
  <c r="K145" i="1"/>
  <c r="K167" i="1"/>
  <c r="K174" i="1"/>
  <c r="K175" i="1"/>
  <c r="K164" i="1"/>
  <c r="K172" i="1"/>
  <c r="K169" i="1"/>
  <c r="K166" i="1"/>
  <c r="K163" i="1"/>
  <c r="K171" i="1"/>
  <c r="K168" i="1"/>
  <c r="K165" i="1"/>
  <c r="K173" i="1"/>
  <c r="K170" i="1"/>
  <c r="AK5" i="1"/>
  <c r="AK6" i="1"/>
  <c r="AK7" i="1"/>
  <c r="AK8" i="1"/>
  <c r="AK9" i="1"/>
  <c r="AK10" i="1"/>
  <c r="AK11" i="1"/>
  <c r="AK12" i="1"/>
  <c r="AK13" i="1"/>
  <c r="AK14" i="1"/>
  <c r="AK17" i="1"/>
  <c r="AK20" i="1"/>
  <c r="AK22" i="1"/>
  <c r="AK19" i="1"/>
  <c r="AK16" i="1"/>
  <c r="AK23" i="1"/>
  <c r="AK25" i="1"/>
  <c r="AK26" i="1"/>
  <c r="AK27" i="1"/>
  <c r="AK28" i="1"/>
  <c r="AK18" i="1"/>
  <c r="AK29" i="1"/>
  <c r="AK30" i="1"/>
  <c r="AK31" i="1"/>
  <c r="AK24" i="1"/>
  <c r="AK15" i="1"/>
  <c r="AK32" i="1"/>
  <c r="AK21" i="1"/>
  <c r="AK35" i="1"/>
  <c r="AK33" i="1"/>
  <c r="AK36" i="1"/>
  <c r="AK37" i="1"/>
  <c r="AK38" i="1"/>
  <c r="AK39" i="1"/>
  <c r="AK40" i="1"/>
  <c r="AK41" i="1"/>
  <c r="AK42" i="1"/>
  <c r="AK43" i="1"/>
  <c r="AK44" i="1"/>
  <c r="AK45" i="1"/>
  <c r="AK34" i="1"/>
  <c r="AK49" i="1"/>
  <c r="AK53" i="1"/>
  <c r="AK54" i="1"/>
  <c r="AK55" i="1"/>
  <c r="AK56" i="1"/>
  <c r="AK57" i="1"/>
  <c r="AK58" i="1"/>
  <c r="AK59" i="1"/>
  <c r="AK60" i="1"/>
  <c r="AK61" i="1"/>
  <c r="AK62" i="1"/>
  <c r="AK63" i="1"/>
  <c r="AK64" i="1"/>
  <c r="AK46" i="1"/>
  <c r="AK48" i="1"/>
  <c r="AK52" i="1"/>
  <c r="AK47" i="1"/>
  <c r="AK51" i="1"/>
  <c r="AK50" i="1"/>
  <c r="AK66" i="1"/>
  <c r="AK67" i="1"/>
  <c r="AK69" i="1"/>
  <c r="AK72" i="1"/>
  <c r="AK75" i="1"/>
  <c r="AK65" i="1"/>
  <c r="AK70" i="1"/>
  <c r="AK73" i="1"/>
  <c r="AK68" i="1"/>
  <c r="AK78" i="1"/>
  <c r="AK79" i="1"/>
  <c r="AK80" i="1"/>
  <c r="AK81" i="1"/>
  <c r="AK82" i="1"/>
  <c r="AK83" i="1"/>
  <c r="AK84" i="1"/>
  <c r="AK85" i="1"/>
  <c r="AK86" i="1"/>
  <c r="AK71" i="1"/>
  <c r="AK77" i="1"/>
  <c r="AK90" i="1"/>
  <c r="AK87" i="1"/>
  <c r="AK89" i="1"/>
  <c r="AK91" i="1"/>
  <c r="AK92" i="1"/>
  <c r="AK93" i="1"/>
  <c r="AK94" i="1"/>
  <c r="AK95" i="1"/>
  <c r="AK96" i="1"/>
  <c r="AK97" i="1"/>
  <c r="AK98" i="1"/>
  <c r="AK99" i="1"/>
  <c r="AK100" i="1"/>
  <c r="AK101" i="1"/>
  <c r="AK102" i="1"/>
  <c r="AK103" i="1"/>
  <c r="AK104" i="1"/>
  <c r="AK105" i="1"/>
  <c r="AK106" i="1"/>
  <c r="AK107" i="1"/>
  <c r="AK108" i="1"/>
  <c r="AK76" i="1"/>
  <c r="AK74" i="1"/>
  <c r="AK88" i="1"/>
  <c r="AK109" i="1"/>
  <c r="AK110" i="1"/>
  <c r="AK111" i="1"/>
  <c r="AK112" i="1"/>
  <c r="AK113" i="1"/>
  <c r="AK117" i="1"/>
  <c r="AK119" i="1"/>
  <c r="AK121" i="1"/>
  <c r="AK118" i="1"/>
  <c r="AK116" i="1"/>
  <c r="AK120" i="1"/>
  <c r="AK114" i="1"/>
  <c r="AK115" i="1"/>
  <c r="AK124" i="1"/>
  <c r="AK131" i="1"/>
  <c r="AK127" i="1"/>
  <c r="AK130" i="1"/>
  <c r="AK128" i="1"/>
  <c r="AK133" i="1"/>
  <c r="AK123" i="1"/>
  <c r="AK132" i="1"/>
  <c r="AK134" i="1"/>
  <c r="AK135" i="1"/>
  <c r="AK136" i="1"/>
  <c r="AK137" i="1"/>
  <c r="AK138" i="1"/>
  <c r="AK139" i="1"/>
  <c r="AK140" i="1"/>
  <c r="AK141" i="1"/>
  <c r="AK142" i="1"/>
  <c r="AK143" i="1"/>
  <c r="AK144" i="1"/>
  <c r="AK129" i="1"/>
  <c r="AK122" i="1"/>
  <c r="AK126" i="1"/>
  <c r="AK145" i="1"/>
  <c r="AK125" i="1"/>
  <c r="AK146" i="1"/>
  <c r="AK147" i="1"/>
  <c r="AK148" i="1"/>
  <c r="AK149" i="1"/>
  <c r="AK150" i="1"/>
  <c r="AK151" i="1"/>
  <c r="AK152" i="1"/>
  <c r="AK153" i="1"/>
  <c r="AK154" i="1"/>
  <c r="AK155" i="1"/>
  <c r="AK156" i="1"/>
  <c r="AK159" i="1"/>
  <c r="AK162" i="1"/>
  <c r="AK167" i="1"/>
  <c r="AK164" i="1"/>
  <c r="AK172" i="1"/>
  <c r="AK174" i="1"/>
  <c r="AK175" i="1"/>
  <c r="AK160" i="1"/>
  <c r="AK169" i="1"/>
  <c r="AK166" i="1"/>
  <c r="AK157" i="1"/>
  <c r="AK161" i="1"/>
  <c r="AK163" i="1"/>
  <c r="AK171" i="1"/>
  <c r="AK168" i="1"/>
  <c r="AK158" i="1"/>
  <c r="AK165" i="1"/>
  <c r="AK173" i="1"/>
  <c r="AK170" i="1"/>
  <c r="AJ5" i="1"/>
  <c r="AJ6" i="1"/>
  <c r="AJ7" i="1"/>
  <c r="AJ8" i="1"/>
  <c r="AJ9" i="1"/>
  <c r="AJ10" i="1"/>
  <c r="AJ11" i="1"/>
  <c r="AJ15" i="1"/>
  <c r="AJ16" i="1"/>
  <c r="AJ17" i="1"/>
  <c r="AJ14" i="1"/>
  <c r="AJ13" i="1"/>
  <c r="AJ12" i="1"/>
  <c r="AJ22" i="1"/>
  <c r="AJ19" i="1"/>
  <c r="AJ20" i="1"/>
  <c r="AJ26" i="1"/>
  <c r="AJ29" i="1"/>
  <c r="AJ30" i="1"/>
  <c r="AJ31" i="1"/>
  <c r="AJ32" i="1"/>
  <c r="AJ24" i="1"/>
  <c r="AJ28" i="1"/>
  <c r="AJ23" i="1"/>
  <c r="AJ18" i="1"/>
  <c r="AJ25" i="1"/>
  <c r="AJ27" i="1"/>
  <c r="AJ21" i="1"/>
  <c r="AJ35" i="1"/>
  <c r="AJ33" i="1"/>
  <c r="AJ36" i="1"/>
  <c r="AJ37" i="1"/>
  <c r="AJ38" i="1"/>
  <c r="AJ39" i="1"/>
  <c r="AJ40" i="1"/>
  <c r="AJ41" i="1"/>
  <c r="AJ42" i="1"/>
  <c r="AJ43" i="1"/>
  <c r="AJ44" i="1"/>
  <c r="AJ45" i="1"/>
  <c r="AJ34" i="1"/>
  <c r="AJ46" i="1"/>
  <c r="AJ47" i="1"/>
  <c r="AJ48" i="1"/>
  <c r="AJ49" i="1"/>
  <c r="AJ50" i="1"/>
  <c r="AJ51" i="1"/>
  <c r="AJ55" i="1"/>
  <c r="AJ63" i="1"/>
  <c r="AJ53" i="1"/>
  <c r="AJ61" i="1"/>
  <c r="AJ60" i="1"/>
  <c r="AJ59" i="1"/>
  <c r="AJ58" i="1"/>
  <c r="AJ65" i="1"/>
  <c r="AJ54" i="1"/>
  <c r="AJ56" i="1"/>
  <c r="AJ66" i="1"/>
  <c r="AJ52" i="1"/>
  <c r="AJ72" i="1"/>
  <c r="AJ75" i="1"/>
  <c r="AJ70" i="1"/>
  <c r="AJ57" i="1"/>
  <c r="AJ73" i="1"/>
  <c r="AJ68" i="1"/>
  <c r="AJ78" i="1"/>
  <c r="AJ79" i="1"/>
  <c r="AJ80" i="1"/>
  <c r="AJ81" i="1"/>
  <c r="AJ82" i="1"/>
  <c r="AJ83" i="1"/>
  <c r="AJ84" i="1"/>
  <c r="AJ85" i="1"/>
  <c r="AJ86" i="1"/>
  <c r="AJ87" i="1"/>
  <c r="AJ88" i="1"/>
  <c r="AJ89" i="1"/>
  <c r="AJ90" i="1"/>
  <c r="AJ64" i="1"/>
  <c r="AJ71" i="1"/>
  <c r="AJ77" i="1"/>
  <c r="AJ62" i="1"/>
  <c r="AJ74" i="1"/>
  <c r="AJ76" i="1"/>
  <c r="AJ91" i="1"/>
  <c r="AJ92" i="1"/>
  <c r="AJ93" i="1"/>
  <c r="AJ94" i="1"/>
  <c r="AJ95" i="1"/>
  <c r="AJ96" i="1"/>
  <c r="AJ97" i="1"/>
  <c r="AJ98" i="1"/>
  <c r="AJ99" i="1"/>
  <c r="AJ100" i="1"/>
  <c r="AJ101" i="1"/>
  <c r="AJ102" i="1"/>
  <c r="AJ103" i="1"/>
  <c r="AJ104" i="1"/>
  <c r="AJ105" i="1"/>
  <c r="AJ106" i="1"/>
  <c r="AJ107" i="1"/>
  <c r="AJ108" i="1"/>
  <c r="AJ69" i="1"/>
  <c r="AJ114" i="1"/>
  <c r="AJ118" i="1"/>
  <c r="AJ109" i="1"/>
  <c r="AJ113" i="1"/>
  <c r="AJ117" i="1"/>
  <c r="AJ111" i="1"/>
  <c r="AJ116" i="1"/>
  <c r="AJ120" i="1"/>
  <c r="AJ115" i="1"/>
  <c r="AJ123" i="1"/>
  <c r="AJ124" i="1"/>
  <c r="AJ125" i="1"/>
  <c r="AJ126" i="1"/>
  <c r="AJ127" i="1"/>
  <c r="AJ128" i="1"/>
  <c r="AJ129" i="1"/>
  <c r="AJ130" i="1"/>
  <c r="AJ131" i="1"/>
  <c r="AJ132" i="1"/>
  <c r="AJ112" i="1"/>
  <c r="AJ122" i="1"/>
  <c r="AJ67" i="1"/>
  <c r="AJ110" i="1"/>
  <c r="AJ119" i="1"/>
  <c r="AJ134" i="1"/>
  <c r="AJ135" i="1"/>
  <c r="AJ136" i="1"/>
  <c r="AJ137" i="1"/>
  <c r="AJ138" i="1"/>
  <c r="AJ139" i="1"/>
  <c r="AJ140" i="1"/>
  <c r="AJ141" i="1"/>
  <c r="AJ142" i="1"/>
  <c r="AJ144" i="1"/>
  <c r="AJ121" i="1"/>
  <c r="AJ133" i="1"/>
  <c r="AJ145" i="1"/>
  <c r="AJ143" i="1"/>
  <c r="AJ146" i="1"/>
  <c r="AJ147" i="1"/>
  <c r="AJ148" i="1"/>
  <c r="AJ149" i="1"/>
  <c r="AJ150" i="1"/>
  <c r="AJ151" i="1"/>
  <c r="AJ152" i="1"/>
  <c r="AJ153" i="1"/>
  <c r="AJ154" i="1"/>
  <c r="AJ155" i="1"/>
  <c r="AJ156" i="1"/>
  <c r="AJ157" i="1"/>
  <c r="AJ158" i="1"/>
  <c r="AJ159" i="1"/>
  <c r="AJ160" i="1"/>
  <c r="AJ161" i="1"/>
  <c r="AJ162" i="1"/>
  <c r="AJ164" i="1"/>
  <c r="AJ172" i="1"/>
  <c r="AJ174" i="1"/>
  <c r="AJ175" i="1"/>
  <c r="AJ169" i="1"/>
  <c r="AJ166" i="1"/>
  <c r="AJ163" i="1"/>
  <c r="AJ171" i="1"/>
  <c r="AJ168" i="1"/>
  <c r="AJ165" i="1"/>
  <c r="AJ173" i="1"/>
  <c r="AJ170" i="1"/>
  <c r="AJ167" i="1"/>
  <c r="AO7" i="1"/>
  <c r="AO13" i="1"/>
  <c r="AO9" i="1"/>
  <c r="AO12" i="1"/>
  <c r="AO6" i="1"/>
  <c r="AO11" i="1"/>
  <c r="AO8" i="1"/>
  <c r="AO5" i="1"/>
  <c r="AO14" i="1"/>
  <c r="AO15" i="1"/>
  <c r="AO16" i="1"/>
  <c r="AO17" i="1"/>
  <c r="AO18" i="1"/>
  <c r="AO19" i="1"/>
  <c r="AO20" i="1"/>
  <c r="AO21" i="1"/>
  <c r="AO22" i="1"/>
  <c r="AO23" i="1"/>
  <c r="AO24" i="1"/>
  <c r="AO10" i="1"/>
  <c r="AO28" i="1"/>
  <c r="AO27" i="1"/>
  <c r="AO26" i="1"/>
  <c r="AO33" i="1"/>
  <c r="AO34" i="1"/>
  <c r="AO35" i="1"/>
  <c r="AO36" i="1"/>
  <c r="AO25" i="1"/>
  <c r="AO29" i="1"/>
  <c r="AO38" i="1"/>
  <c r="AO39" i="1"/>
  <c r="AO40" i="1"/>
  <c r="AO32" i="1"/>
  <c r="AO31" i="1"/>
  <c r="AO37" i="1"/>
  <c r="AO45" i="1"/>
  <c r="AO30" i="1"/>
  <c r="AO42" i="1"/>
  <c r="AO41" i="1"/>
  <c r="AO50" i="1"/>
  <c r="AO51" i="1"/>
  <c r="AO59" i="1"/>
  <c r="AO46" i="1"/>
  <c r="AO48" i="1"/>
  <c r="AO57" i="1"/>
  <c r="AO65" i="1"/>
  <c r="AO66" i="1"/>
  <c r="AO43" i="1"/>
  <c r="AO44" i="1"/>
  <c r="AO56" i="1"/>
  <c r="AO64" i="1"/>
  <c r="AO55" i="1"/>
  <c r="AO63" i="1"/>
  <c r="AO47" i="1"/>
  <c r="AO62" i="1"/>
  <c r="AO49" i="1"/>
  <c r="AO60" i="1"/>
  <c r="AO54" i="1"/>
  <c r="AO58" i="1"/>
  <c r="AO67" i="1"/>
  <c r="AO68" i="1"/>
  <c r="AO69" i="1"/>
  <c r="AO70" i="1"/>
  <c r="AO71" i="1"/>
  <c r="AO72" i="1"/>
  <c r="AO73" i="1"/>
  <c r="AO74" i="1"/>
  <c r="AO75" i="1"/>
  <c r="AO76" i="1"/>
  <c r="AO77" i="1"/>
  <c r="AO53" i="1"/>
  <c r="AO52" i="1"/>
  <c r="AO78" i="1"/>
  <c r="AO79" i="1"/>
  <c r="AO80" i="1"/>
  <c r="AO81" i="1"/>
  <c r="AO61" i="1"/>
  <c r="AO83" i="1"/>
  <c r="AO91" i="1"/>
  <c r="AO92" i="1"/>
  <c r="AO93" i="1"/>
  <c r="AO94" i="1"/>
  <c r="AO95" i="1"/>
  <c r="AO96" i="1"/>
  <c r="AO97" i="1"/>
  <c r="AO98" i="1"/>
  <c r="AO99" i="1"/>
  <c r="AO88" i="1"/>
  <c r="AO84" i="1"/>
  <c r="AO90" i="1"/>
  <c r="AO87" i="1"/>
  <c r="AO82" i="1"/>
  <c r="AO85" i="1"/>
  <c r="AO89" i="1"/>
  <c r="AO86" i="1"/>
  <c r="AO100" i="1"/>
  <c r="AO102" i="1"/>
  <c r="AO106" i="1"/>
  <c r="AO111" i="1"/>
  <c r="AO108" i="1"/>
  <c r="AO105" i="1"/>
  <c r="AO110" i="1"/>
  <c r="AO115" i="1"/>
  <c r="AO119" i="1"/>
  <c r="AO101" i="1"/>
  <c r="AO104" i="1"/>
  <c r="AO109" i="1"/>
  <c r="AO122" i="1"/>
  <c r="AO103" i="1"/>
  <c r="AO107" i="1"/>
  <c r="AO112" i="1"/>
  <c r="AO118" i="1"/>
  <c r="AO121" i="1"/>
  <c r="AO116" i="1"/>
  <c r="AO120" i="1"/>
  <c r="AO129" i="1"/>
  <c r="AO124" i="1"/>
  <c r="AO134" i="1"/>
  <c r="AO135" i="1"/>
  <c r="AO136" i="1"/>
  <c r="AO137" i="1"/>
  <c r="AO138" i="1"/>
  <c r="AO139" i="1"/>
  <c r="AO140" i="1"/>
  <c r="AO141" i="1"/>
  <c r="AO142" i="1"/>
  <c r="AO143" i="1"/>
  <c r="AO144" i="1"/>
  <c r="AO127" i="1"/>
  <c r="AO131" i="1"/>
  <c r="AO113" i="1"/>
  <c r="AO125" i="1"/>
  <c r="AO117" i="1"/>
  <c r="AO128" i="1"/>
  <c r="AO126" i="1"/>
  <c r="AO130" i="1"/>
  <c r="AO123" i="1"/>
  <c r="AO146" i="1"/>
  <c r="AO147" i="1"/>
  <c r="AO148" i="1"/>
  <c r="AO149" i="1"/>
  <c r="AO150" i="1"/>
  <c r="AO151" i="1"/>
  <c r="AO152" i="1"/>
  <c r="AO153" i="1"/>
  <c r="AO154" i="1"/>
  <c r="AO155" i="1"/>
  <c r="AO156" i="1"/>
  <c r="AO157" i="1"/>
  <c r="AO158" i="1"/>
  <c r="AO159" i="1"/>
  <c r="AO160" i="1"/>
  <c r="AO161" i="1"/>
  <c r="AO162" i="1"/>
  <c r="AO163" i="1"/>
  <c r="AO164" i="1"/>
  <c r="AO165" i="1"/>
  <c r="AO166" i="1"/>
  <c r="AO167" i="1"/>
  <c r="AO168" i="1"/>
  <c r="AO169" i="1"/>
  <c r="AO170" i="1"/>
  <c r="AO171" i="1"/>
  <c r="AO172" i="1"/>
  <c r="AO173" i="1"/>
  <c r="AO133" i="1"/>
  <c r="AO114" i="1"/>
  <c r="AO145" i="1"/>
  <c r="AO132" i="1"/>
  <c r="AO174" i="1"/>
  <c r="AO175" i="1"/>
  <c r="L5" i="1"/>
  <c r="L6" i="1"/>
  <c r="L7" i="1"/>
  <c r="L8" i="1"/>
  <c r="L9" i="1"/>
  <c r="L10" i="1"/>
  <c r="L11" i="1"/>
  <c r="L12" i="1"/>
  <c r="L13" i="1"/>
  <c r="L14" i="1"/>
  <c r="L15" i="1"/>
  <c r="L23" i="1"/>
  <c r="L16" i="1"/>
  <c r="L20" i="1"/>
  <c r="L17" i="1"/>
  <c r="L18" i="1"/>
  <c r="L26" i="1"/>
  <c r="L27" i="1"/>
  <c r="L28" i="1"/>
  <c r="L21" i="1"/>
  <c r="L19" i="1"/>
  <c r="L24" i="1"/>
  <c r="L29" i="1"/>
  <c r="L30" i="1"/>
  <c r="L31" i="1"/>
  <c r="L25" i="1"/>
  <c r="L22" i="1"/>
  <c r="L32" i="1"/>
  <c r="L38" i="1"/>
  <c r="L35" i="1"/>
  <c r="L33" i="1"/>
  <c r="L36" i="1"/>
  <c r="L39" i="1"/>
  <c r="L40" i="1"/>
  <c r="L41" i="1"/>
  <c r="L42" i="1"/>
  <c r="L43" i="1"/>
  <c r="L44" i="1"/>
  <c r="L45" i="1"/>
  <c r="L34" i="1"/>
  <c r="L37" i="1"/>
  <c r="L46" i="1"/>
  <c r="L54" i="1"/>
  <c r="L55" i="1"/>
  <c r="L56" i="1"/>
  <c r="L57" i="1"/>
  <c r="L58" i="1"/>
  <c r="L59" i="1"/>
  <c r="L60" i="1"/>
  <c r="L61" i="1"/>
  <c r="L62" i="1"/>
  <c r="L63" i="1"/>
  <c r="L64" i="1"/>
  <c r="L52" i="1"/>
  <c r="L47" i="1"/>
  <c r="L51" i="1"/>
  <c r="L50" i="1"/>
  <c r="L53" i="1"/>
  <c r="L68" i="1"/>
  <c r="L49" i="1"/>
  <c r="L65" i="1"/>
  <c r="L72" i="1"/>
  <c r="L67" i="1"/>
  <c r="L75" i="1"/>
  <c r="L70" i="1"/>
  <c r="L78" i="1"/>
  <c r="L73" i="1"/>
  <c r="L66" i="1"/>
  <c r="L76" i="1"/>
  <c r="L77" i="1"/>
  <c r="L71" i="1"/>
  <c r="L79" i="1"/>
  <c r="L80" i="1"/>
  <c r="L81" i="1"/>
  <c r="L82" i="1"/>
  <c r="L83" i="1"/>
  <c r="L84" i="1"/>
  <c r="L85" i="1"/>
  <c r="L86" i="1"/>
  <c r="L74" i="1"/>
  <c r="L87" i="1"/>
  <c r="L69" i="1"/>
  <c r="L89" i="1"/>
  <c r="L91" i="1"/>
  <c r="L92" i="1"/>
  <c r="L93" i="1"/>
  <c r="L94" i="1"/>
  <c r="L95" i="1"/>
  <c r="L96" i="1"/>
  <c r="L97" i="1"/>
  <c r="L98" i="1"/>
  <c r="L99" i="1"/>
  <c r="L100" i="1"/>
  <c r="L101" i="1"/>
  <c r="L102" i="1"/>
  <c r="L103" i="1"/>
  <c r="L104" i="1"/>
  <c r="L105" i="1"/>
  <c r="L106" i="1"/>
  <c r="L107" i="1"/>
  <c r="L108" i="1"/>
  <c r="L48" i="1"/>
  <c r="L90" i="1"/>
  <c r="L109" i="1"/>
  <c r="L110" i="1"/>
  <c r="L111" i="1"/>
  <c r="L112" i="1"/>
  <c r="L88" i="1"/>
  <c r="L116" i="1"/>
  <c r="L121" i="1"/>
  <c r="L113" i="1"/>
  <c r="L122" i="1"/>
  <c r="L119" i="1"/>
  <c r="L117" i="1"/>
  <c r="L127" i="1"/>
  <c r="L133" i="1"/>
  <c r="L130" i="1"/>
  <c r="L114" i="1"/>
  <c r="L120" i="1"/>
  <c r="L125" i="1"/>
  <c r="L118" i="1"/>
  <c r="L115" i="1"/>
  <c r="L123" i="1"/>
  <c r="L131" i="1"/>
  <c r="L126" i="1"/>
  <c r="L135" i="1"/>
  <c r="L136" i="1"/>
  <c r="L137" i="1"/>
  <c r="L138" i="1"/>
  <c r="L139" i="1"/>
  <c r="L140" i="1"/>
  <c r="L141" i="1"/>
  <c r="L142" i="1"/>
  <c r="L143" i="1"/>
  <c r="L144" i="1"/>
  <c r="L145" i="1"/>
  <c r="L132" i="1"/>
  <c r="L124" i="1"/>
  <c r="L128" i="1"/>
  <c r="L134" i="1"/>
  <c r="L129" i="1"/>
  <c r="L146" i="1"/>
  <c r="L147" i="1"/>
  <c r="L148" i="1"/>
  <c r="L149" i="1"/>
  <c r="L150" i="1"/>
  <c r="L151" i="1"/>
  <c r="L152" i="1"/>
  <c r="L153" i="1"/>
  <c r="L154" i="1"/>
  <c r="L155" i="1"/>
  <c r="L156" i="1"/>
  <c r="L158" i="1"/>
  <c r="L161" i="1"/>
  <c r="L170" i="1"/>
  <c r="L167" i="1"/>
  <c r="L174" i="1"/>
  <c r="L175" i="1"/>
  <c r="L159" i="1"/>
  <c r="L164" i="1"/>
  <c r="L172" i="1"/>
  <c r="L169" i="1"/>
  <c r="L160" i="1"/>
  <c r="L162" i="1"/>
  <c r="L166" i="1"/>
  <c r="L163" i="1"/>
  <c r="L171" i="1"/>
  <c r="L157" i="1"/>
  <c r="L168" i="1"/>
  <c r="L165" i="1"/>
  <c r="L173" i="1"/>
  <c r="AC5" i="1"/>
  <c r="AC6" i="1"/>
  <c r="AC7" i="1"/>
  <c r="AC8" i="1"/>
  <c r="AC9" i="1"/>
  <c r="AC10" i="1"/>
  <c r="AC11" i="1"/>
  <c r="AC12" i="1"/>
  <c r="AC13" i="1"/>
  <c r="AC14" i="1"/>
  <c r="AC15" i="1"/>
  <c r="AC21" i="1"/>
  <c r="AC18" i="1"/>
  <c r="AC23" i="1"/>
  <c r="AC20" i="1"/>
  <c r="AC24" i="1"/>
  <c r="AC25" i="1"/>
  <c r="AC26" i="1"/>
  <c r="AC27" i="1"/>
  <c r="AC28" i="1"/>
  <c r="AC17" i="1"/>
  <c r="AC16" i="1"/>
  <c r="AC29" i="1"/>
  <c r="AC30" i="1"/>
  <c r="AC31" i="1"/>
  <c r="AC22" i="1"/>
  <c r="AC32" i="1"/>
  <c r="AC37" i="1"/>
  <c r="AC33" i="1"/>
  <c r="AC36" i="1"/>
  <c r="AC19" i="1"/>
  <c r="AC34" i="1"/>
  <c r="AC39" i="1"/>
  <c r="AC40" i="1"/>
  <c r="AC41" i="1"/>
  <c r="AC42" i="1"/>
  <c r="AC43" i="1"/>
  <c r="AC44" i="1"/>
  <c r="AC45" i="1"/>
  <c r="AC38" i="1"/>
  <c r="AC35" i="1"/>
  <c r="AC50" i="1"/>
  <c r="AC52" i="1"/>
  <c r="AC53" i="1"/>
  <c r="AC54" i="1"/>
  <c r="AC55" i="1"/>
  <c r="AC56" i="1"/>
  <c r="AC57" i="1"/>
  <c r="AC58" i="1"/>
  <c r="AC59" i="1"/>
  <c r="AC60" i="1"/>
  <c r="AC61" i="1"/>
  <c r="AC62" i="1"/>
  <c r="AC63" i="1"/>
  <c r="AC64" i="1"/>
  <c r="AC47" i="1"/>
  <c r="AC49" i="1"/>
  <c r="AC48" i="1"/>
  <c r="AC46" i="1"/>
  <c r="AC65" i="1"/>
  <c r="AC70" i="1"/>
  <c r="AC77" i="1"/>
  <c r="AC51" i="1"/>
  <c r="AC73" i="1"/>
  <c r="AC68" i="1"/>
  <c r="AC71" i="1"/>
  <c r="AC76" i="1"/>
  <c r="AC74" i="1"/>
  <c r="AC69" i="1"/>
  <c r="AC79" i="1"/>
  <c r="AC80" i="1"/>
  <c r="AC81" i="1"/>
  <c r="AC82" i="1"/>
  <c r="AC83" i="1"/>
  <c r="AC84" i="1"/>
  <c r="AC85" i="1"/>
  <c r="AC86" i="1"/>
  <c r="AC67" i="1"/>
  <c r="AC72" i="1"/>
  <c r="AC78" i="1"/>
  <c r="AC75" i="1"/>
  <c r="AC88" i="1"/>
  <c r="AC90" i="1"/>
  <c r="AC87" i="1"/>
  <c r="AC91" i="1"/>
  <c r="AC92" i="1"/>
  <c r="AC93" i="1"/>
  <c r="AC94" i="1"/>
  <c r="AC95" i="1"/>
  <c r="AC96" i="1"/>
  <c r="AC97" i="1"/>
  <c r="AC98" i="1"/>
  <c r="AC99" i="1"/>
  <c r="AC100" i="1"/>
  <c r="AC101" i="1"/>
  <c r="AC102" i="1"/>
  <c r="AC103" i="1"/>
  <c r="AC104" i="1"/>
  <c r="AC105" i="1"/>
  <c r="AC106" i="1"/>
  <c r="AC107" i="1"/>
  <c r="AC108" i="1"/>
  <c r="AC66" i="1"/>
  <c r="AC89" i="1"/>
  <c r="AC109" i="1"/>
  <c r="AC110" i="1"/>
  <c r="AC111" i="1"/>
  <c r="AC112" i="1"/>
  <c r="AC121" i="1"/>
  <c r="AC114" i="1"/>
  <c r="AC118" i="1"/>
  <c r="AC120" i="1"/>
  <c r="AC117" i="1"/>
  <c r="AC119" i="1"/>
  <c r="AC115" i="1"/>
  <c r="AC125" i="1"/>
  <c r="AC132" i="1"/>
  <c r="AC116" i="1"/>
  <c r="AC122" i="1"/>
  <c r="AC128" i="1"/>
  <c r="AC113" i="1"/>
  <c r="AC123" i="1"/>
  <c r="AC129" i="1"/>
  <c r="AC131" i="1"/>
  <c r="AC124" i="1"/>
  <c r="AC133" i="1"/>
  <c r="AC134" i="1"/>
  <c r="AC135" i="1"/>
  <c r="AC136" i="1"/>
  <c r="AC137" i="1"/>
  <c r="AC138" i="1"/>
  <c r="AC139" i="1"/>
  <c r="AC140" i="1"/>
  <c r="AC141" i="1"/>
  <c r="AC142" i="1"/>
  <c r="AC143" i="1"/>
  <c r="AC144" i="1"/>
  <c r="AC126" i="1"/>
  <c r="AC130" i="1"/>
  <c r="AC127" i="1"/>
  <c r="AC145" i="1"/>
  <c r="AC146" i="1"/>
  <c r="AC147" i="1"/>
  <c r="AC148" i="1"/>
  <c r="AC149" i="1"/>
  <c r="AC150" i="1"/>
  <c r="AC151" i="1"/>
  <c r="AC152" i="1"/>
  <c r="AC153" i="1"/>
  <c r="AC154" i="1"/>
  <c r="AC155" i="1"/>
  <c r="AC156" i="1"/>
  <c r="AC160" i="1"/>
  <c r="AC161" i="1"/>
  <c r="AC168" i="1"/>
  <c r="AC165" i="1"/>
  <c r="AC173" i="1"/>
  <c r="AC174" i="1"/>
  <c r="AC175" i="1"/>
  <c r="AC157" i="1"/>
  <c r="AC170" i="1"/>
  <c r="AC167" i="1"/>
  <c r="AC158" i="1"/>
  <c r="AC162" i="1"/>
  <c r="AC164" i="1"/>
  <c r="AC172" i="1"/>
  <c r="AC169" i="1"/>
  <c r="AC159" i="1"/>
  <c r="AC166" i="1"/>
  <c r="AC163" i="1"/>
  <c r="AC171" i="1"/>
  <c r="X9" i="1"/>
  <c r="X6" i="1"/>
  <c r="X11" i="1"/>
  <c r="X14" i="1"/>
  <c r="X8" i="1"/>
  <c r="X5" i="1"/>
  <c r="X13" i="1"/>
  <c r="X10" i="1"/>
  <c r="X7" i="1"/>
  <c r="X15" i="1"/>
  <c r="X16" i="1"/>
  <c r="X17" i="1"/>
  <c r="X18" i="1"/>
  <c r="X19" i="1"/>
  <c r="X20" i="1"/>
  <c r="X21" i="1"/>
  <c r="X22" i="1"/>
  <c r="X23" i="1"/>
  <c r="X24" i="1"/>
  <c r="X25" i="1"/>
  <c r="X26" i="1"/>
  <c r="X33" i="1"/>
  <c r="X34" i="1"/>
  <c r="X35" i="1"/>
  <c r="X36" i="1"/>
  <c r="X28" i="1"/>
  <c r="X32" i="1"/>
  <c r="X31" i="1"/>
  <c r="X39" i="1"/>
  <c r="X40" i="1"/>
  <c r="X38" i="1"/>
  <c r="X12" i="1"/>
  <c r="X30" i="1"/>
  <c r="X37" i="1"/>
  <c r="X27" i="1"/>
  <c r="X29" i="1"/>
  <c r="X44" i="1"/>
  <c r="X42" i="1"/>
  <c r="X41" i="1"/>
  <c r="X43" i="1"/>
  <c r="X46" i="1"/>
  <c r="X47" i="1"/>
  <c r="X54" i="1"/>
  <c r="X45" i="1"/>
  <c r="X49" i="1"/>
  <c r="X50" i="1"/>
  <c r="X53" i="1"/>
  <c r="X61" i="1"/>
  <c r="X59" i="1"/>
  <c r="X65" i="1"/>
  <c r="X66" i="1"/>
  <c r="X48" i="1"/>
  <c r="X58" i="1"/>
  <c r="X51" i="1"/>
  <c r="X57" i="1"/>
  <c r="X64" i="1"/>
  <c r="X52" i="1"/>
  <c r="X62" i="1"/>
  <c r="X60" i="1"/>
  <c r="X69" i="1"/>
  <c r="X70" i="1"/>
  <c r="X71" i="1"/>
  <c r="X72" i="1"/>
  <c r="X73" i="1"/>
  <c r="X74" i="1"/>
  <c r="X75" i="1"/>
  <c r="X76" i="1"/>
  <c r="X77" i="1"/>
  <c r="X78" i="1"/>
  <c r="X56" i="1"/>
  <c r="X68" i="1"/>
  <c r="X63" i="1"/>
  <c r="X55" i="1"/>
  <c r="X79" i="1"/>
  <c r="X80" i="1"/>
  <c r="X81" i="1"/>
  <c r="X67" i="1"/>
  <c r="X85" i="1"/>
  <c r="X91" i="1"/>
  <c r="X92" i="1"/>
  <c r="X93" i="1"/>
  <c r="X94" i="1"/>
  <c r="X95" i="1"/>
  <c r="X96" i="1"/>
  <c r="X97" i="1"/>
  <c r="X98" i="1"/>
  <c r="X99" i="1"/>
  <c r="X83" i="1"/>
  <c r="X87" i="1"/>
  <c r="X89" i="1"/>
  <c r="X84" i="1"/>
  <c r="X103" i="1"/>
  <c r="X82" i="1"/>
  <c r="X100" i="1"/>
  <c r="X102" i="1"/>
  <c r="X108" i="1"/>
  <c r="X88" i="1"/>
  <c r="X107" i="1"/>
  <c r="X112" i="1"/>
  <c r="X113" i="1"/>
  <c r="X117" i="1"/>
  <c r="X101" i="1"/>
  <c r="X104" i="1"/>
  <c r="X109" i="1"/>
  <c r="X90" i="1"/>
  <c r="X106" i="1"/>
  <c r="X111" i="1"/>
  <c r="X121" i="1"/>
  <c r="X105" i="1"/>
  <c r="X110" i="1"/>
  <c r="X114" i="1"/>
  <c r="X86" i="1"/>
  <c r="X119" i="1"/>
  <c r="X122" i="1"/>
  <c r="X118" i="1"/>
  <c r="X120" i="1"/>
  <c r="X116" i="1"/>
  <c r="X123" i="1"/>
  <c r="X126" i="1"/>
  <c r="X131" i="1"/>
  <c r="X133" i="1"/>
  <c r="X134" i="1"/>
  <c r="X135" i="1"/>
  <c r="X136" i="1"/>
  <c r="X137" i="1"/>
  <c r="X138" i="1"/>
  <c r="X139" i="1"/>
  <c r="X140" i="1"/>
  <c r="X141" i="1"/>
  <c r="X142" i="1"/>
  <c r="X143" i="1"/>
  <c r="X144" i="1"/>
  <c r="X129" i="1"/>
  <c r="X127" i="1"/>
  <c r="X130" i="1"/>
  <c r="X132" i="1"/>
  <c r="X145" i="1"/>
  <c r="X124" i="1"/>
  <c r="X146" i="1"/>
  <c r="X147" i="1"/>
  <c r="X148" i="1"/>
  <c r="X149" i="1"/>
  <c r="X150" i="1"/>
  <c r="X151" i="1"/>
  <c r="X152" i="1"/>
  <c r="X153" i="1"/>
  <c r="X154" i="1"/>
  <c r="X155" i="1"/>
  <c r="X156" i="1"/>
  <c r="X157" i="1"/>
  <c r="X158" i="1"/>
  <c r="X159" i="1"/>
  <c r="X160" i="1"/>
  <c r="X161" i="1"/>
  <c r="X162" i="1"/>
  <c r="X163" i="1"/>
  <c r="X164" i="1"/>
  <c r="X165" i="1"/>
  <c r="X166" i="1"/>
  <c r="X167" i="1"/>
  <c r="X168" i="1"/>
  <c r="X169" i="1"/>
  <c r="X170" i="1"/>
  <c r="X171" i="1"/>
  <c r="X172" i="1"/>
  <c r="X173" i="1"/>
  <c r="X128" i="1"/>
  <c r="X125" i="1"/>
  <c r="X115" i="1"/>
  <c r="X174" i="1"/>
  <c r="X175" i="1"/>
  <c r="H7" i="1"/>
  <c r="H15" i="1"/>
  <c r="H23" i="1"/>
  <c r="H31" i="1"/>
  <c r="H39" i="1"/>
  <c r="H47" i="1"/>
  <c r="H55" i="1"/>
  <c r="H63" i="1"/>
  <c r="H71" i="1"/>
  <c r="H79" i="1"/>
  <c r="H87" i="1"/>
  <c r="H95" i="1"/>
  <c r="H103" i="1"/>
  <c r="H110" i="1"/>
  <c r="H118" i="1"/>
  <c r="H126" i="1"/>
  <c r="H134" i="1"/>
  <c r="H142" i="1"/>
  <c r="H150" i="1"/>
  <c r="H158" i="1"/>
  <c r="H166" i="1"/>
  <c r="H174" i="1"/>
  <c r="H8" i="1"/>
  <c r="H16" i="1"/>
  <c r="H24" i="1"/>
  <c r="H32" i="1"/>
  <c r="H40" i="1"/>
  <c r="H48" i="1"/>
  <c r="H56" i="1"/>
  <c r="H64" i="1"/>
  <c r="H72" i="1"/>
  <c r="H80" i="1"/>
  <c r="H88" i="1"/>
  <c r="H96" i="1"/>
  <c r="H104" i="1"/>
  <c r="H111" i="1"/>
  <c r="H119" i="1"/>
  <c r="H127" i="1"/>
  <c r="H135" i="1"/>
  <c r="H143" i="1"/>
  <c r="H151" i="1"/>
  <c r="H159" i="1"/>
  <c r="H167" i="1"/>
  <c r="H175" i="1"/>
  <c r="H9" i="1"/>
  <c r="H17" i="1"/>
  <c r="H25" i="1"/>
  <c r="H33" i="1"/>
  <c r="H41" i="1"/>
  <c r="H49" i="1"/>
  <c r="H57" i="1"/>
  <c r="H65" i="1"/>
  <c r="H73" i="1"/>
  <c r="H81" i="1"/>
  <c r="H89" i="1"/>
  <c r="H97" i="1"/>
  <c r="H105" i="1"/>
  <c r="H112" i="1"/>
  <c r="H120" i="1"/>
  <c r="H128" i="1"/>
  <c r="H136" i="1"/>
  <c r="H144" i="1"/>
  <c r="H152" i="1"/>
  <c r="H160" i="1"/>
  <c r="H168" i="1"/>
  <c r="H5" i="1"/>
  <c r="H10" i="1"/>
  <c r="H18" i="1"/>
  <c r="H26" i="1"/>
  <c r="H34" i="1"/>
  <c r="H42" i="1"/>
  <c r="H50" i="1"/>
  <c r="H58" i="1"/>
  <c r="H66" i="1"/>
  <c r="H74" i="1"/>
  <c r="H82" i="1"/>
  <c r="H90" i="1"/>
  <c r="H98" i="1"/>
  <c r="H106" i="1"/>
  <c r="H113" i="1"/>
  <c r="H121" i="1"/>
  <c r="H129" i="1"/>
  <c r="H137" i="1"/>
  <c r="H145" i="1"/>
  <c r="H153" i="1"/>
  <c r="H161" i="1"/>
  <c r="H169" i="1"/>
  <c r="H11" i="1"/>
  <c r="H19" i="1"/>
  <c r="H27" i="1"/>
  <c r="H35" i="1"/>
  <c r="H43" i="1"/>
  <c r="H51" i="1"/>
  <c r="H59" i="1"/>
  <c r="H67" i="1"/>
  <c r="H75" i="1"/>
  <c r="H83" i="1"/>
  <c r="H91" i="1"/>
  <c r="H99" i="1"/>
  <c r="H107" i="1"/>
  <c r="H114" i="1"/>
  <c r="H122" i="1"/>
  <c r="H130" i="1"/>
  <c r="H138" i="1"/>
  <c r="H146" i="1"/>
  <c r="H154" i="1"/>
  <c r="H162" i="1"/>
  <c r="H170" i="1"/>
  <c r="H12" i="1"/>
  <c r="H20" i="1"/>
  <c r="H28" i="1"/>
  <c r="H36" i="1"/>
  <c r="H44" i="1"/>
  <c r="H52" i="1"/>
  <c r="H60" i="1"/>
  <c r="H68" i="1"/>
  <c r="H76" i="1"/>
  <c r="H84" i="1"/>
  <c r="H92" i="1"/>
  <c r="H100" i="1"/>
  <c r="H108" i="1"/>
  <c r="H115" i="1"/>
  <c r="H123" i="1"/>
  <c r="H131" i="1"/>
  <c r="H139" i="1"/>
  <c r="H147" i="1"/>
  <c r="H155" i="1"/>
  <c r="H163" i="1"/>
  <c r="H171" i="1"/>
  <c r="H13" i="1"/>
  <c r="H21" i="1"/>
  <c r="H29" i="1"/>
  <c r="H37" i="1"/>
  <c r="H45" i="1"/>
  <c r="H53" i="1"/>
  <c r="H61" i="1"/>
  <c r="H69" i="1"/>
  <c r="H77" i="1"/>
  <c r="H85" i="1"/>
  <c r="H93" i="1"/>
  <c r="H101" i="1"/>
  <c r="H116" i="1"/>
  <c r="H124" i="1"/>
  <c r="H132" i="1"/>
  <c r="H140" i="1"/>
  <c r="H148" i="1"/>
  <c r="H156" i="1"/>
  <c r="H164" i="1"/>
  <c r="H172" i="1"/>
  <c r="H6" i="1"/>
  <c r="H14" i="1"/>
  <c r="H22" i="1"/>
  <c r="H30" i="1"/>
  <c r="H38" i="1"/>
  <c r="H46" i="1"/>
  <c r="H54" i="1"/>
  <c r="H62" i="1"/>
  <c r="H70" i="1"/>
  <c r="H78" i="1"/>
  <c r="H86" i="1"/>
  <c r="H94" i="1"/>
  <c r="H102" i="1"/>
  <c r="H109" i="1"/>
  <c r="H117" i="1"/>
  <c r="H125" i="1"/>
  <c r="H133" i="1"/>
  <c r="H141" i="1"/>
  <c r="H149" i="1"/>
  <c r="H157" i="1"/>
  <c r="H165" i="1"/>
  <c r="H173" i="1"/>
  <c r="AF5" i="1"/>
  <c r="AF10" i="1"/>
  <c r="AF13" i="1"/>
  <c r="AF7" i="1"/>
  <c r="AF12" i="1"/>
  <c r="AF9" i="1"/>
  <c r="AF6" i="1"/>
  <c r="AF15" i="1"/>
  <c r="AF16" i="1"/>
  <c r="AF17" i="1"/>
  <c r="AF11" i="1"/>
  <c r="AF18" i="1"/>
  <c r="AF19" i="1"/>
  <c r="AF20" i="1"/>
  <c r="AF21" i="1"/>
  <c r="AF22" i="1"/>
  <c r="AF23" i="1"/>
  <c r="AF24" i="1"/>
  <c r="AF8" i="1"/>
  <c r="AF25" i="1"/>
  <c r="AF26" i="1"/>
  <c r="AF27" i="1"/>
  <c r="AF14" i="1"/>
  <c r="AF28" i="1"/>
  <c r="AF29" i="1"/>
  <c r="AF30" i="1"/>
  <c r="AF31" i="1"/>
  <c r="AF32" i="1"/>
  <c r="AF35" i="1"/>
  <c r="AF38" i="1"/>
  <c r="AF39" i="1"/>
  <c r="AF40" i="1"/>
  <c r="AF37" i="1"/>
  <c r="AF33" i="1"/>
  <c r="AF36" i="1"/>
  <c r="AF34" i="1"/>
  <c r="AF42" i="1"/>
  <c r="AF44" i="1"/>
  <c r="AF46" i="1"/>
  <c r="AF48" i="1"/>
  <c r="AF59" i="1"/>
  <c r="AF43" i="1"/>
  <c r="AF45" i="1"/>
  <c r="AF57" i="1"/>
  <c r="AF50" i="1"/>
  <c r="AF56" i="1"/>
  <c r="AF64" i="1"/>
  <c r="AF49" i="1"/>
  <c r="AF55" i="1"/>
  <c r="AF63" i="1"/>
  <c r="AF51" i="1"/>
  <c r="AF54" i="1"/>
  <c r="AF68" i="1"/>
  <c r="AF69" i="1"/>
  <c r="AF70" i="1"/>
  <c r="AF71" i="1"/>
  <c r="AF72" i="1"/>
  <c r="AF73" i="1"/>
  <c r="AF74" i="1"/>
  <c r="AF75" i="1"/>
  <c r="AF76" i="1"/>
  <c r="AF66" i="1"/>
  <c r="AF52" i="1"/>
  <c r="AF62" i="1"/>
  <c r="AF67" i="1"/>
  <c r="AF61" i="1"/>
  <c r="AF79" i="1"/>
  <c r="AF80" i="1"/>
  <c r="AF81" i="1"/>
  <c r="AF82" i="1"/>
  <c r="AF83" i="1"/>
  <c r="AF84" i="1"/>
  <c r="AF85" i="1"/>
  <c r="AF53" i="1"/>
  <c r="AF78" i="1"/>
  <c r="AF65" i="1"/>
  <c r="AF77" i="1"/>
  <c r="AF47" i="1"/>
  <c r="AF60" i="1"/>
  <c r="AF41" i="1"/>
  <c r="AF58" i="1"/>
  <c r="AF89" i="1"/>
  <c r="AF86" i="1"/>
  <c r="AF88" i="1"/>
  <c r="AF90" i="1"/>
  <c r="AF87" i="1"/>
  <c r="AF92" i="1"/>
  <c r="AF101" i="1"/>
  <c r="AF93" i="1"/>
  <c r="AF97" i="1"/>
  <c r="AF104" i="1"/>
  <c r="AF109" i="1"/>
  <c r="AF113" i="1"/>
  <c r="AF117" i="1"/>
  <c r="AF94" i="1"/>
  <c r="AF98" i="1"/>
  <c r="AF106" i="1"/>
  <c r="AF111" i="1"/>
  <c r="AF116" i="1"/>
  <c r="AF100" i="1"/>
  <c r="AF102" i="1"/>
  <c r="AF103" i="1"/>
  <c r="AF95" i="1"/>
  <c r="AF99" i="1"/>
  <c r="AF108" i="1"/>
  <c r="AF115" i="1"/>
  <c r="AF119" i="1"/>
  <c r="AF118" i="1"/>
  <c r="AF107" i="1"/>
  <c r="AF120" i="1"/>
  <c r="AF91" i="1"/>
  <c r="AF105" i="1"/>
  <c r="AF110" i="1"/>
  <c r="AF114" i="1"/>
  <c r="AF123" i="1"/>
  <c r="AF124" i="1"/>
  <c r="AF125" i="1"/>
  <c r="AF126" i="1"/>
  <c r="AF127" i="1"/>
  <c r="AF128" i="1"/>
  <c r="AF129" i="1"/>
  <c r="AF130" i="1"/>
  <c r="AF131" i="1"/>
  <c r="AF132" i="1"/>
  <c r="AF96" i="1"/>
  <c r="AF134" i="1"/>
  <c r="AF135" i="1"/>
  <c r="AF136" i="1"/>
  <c r="AF137" i="1"/>
  <c r="AF138" i="1"/>
  <c r="AF139" i="1"/>
  <c r="AF140" i="1"/>
  <c r="AF141" i="1"/>
  <c r="AF142" i="1"/>
  <c r="AF143" i="1"/>
  <c r="AF144" i="1"/>
  <c r="AF145" i="1"/>
  <c r="AF112" i="1"/>
  <c r="AF122" i="1"/>
  <c r="AF121" i="1"/>
  <c r="AF133" i="1"/>
  <c r="AF146" i="1"/>
  <c r="AF147" i="1"/>
  <c r="AF148" i="1"/>
  <c r="AF149" i="1"/>
  <c r="AF150" i="1"/>
  <c r="AF151" i="1"/>
  <c r="AF152" i="1"/>
  <c r="AF153" i="1"/>
  <c r="AF154" i="1"/>
  <c r="AF155" i="1"/>
  <c r="AF156" i="1"/>
  <c r="AF157" i="1"/>
  <c r="AF158" i="1"/>
  <c r="AF159" i="1"/>
  <c r="AF160" i="1"/>
  <c r="AF161" i="1"/>
  <c r="AF162" i="1"/>
  <c r="AF163" i="1"/>
  <c r="AF164" i="1"/>
  <c r="AF165" i="1"/>
  <c r="AF166" i="1"/>
  <c r="AF167" i="1"/>
  <c r="AF168" i="1"/>
  <c r="AF169" i="1"/>
  <c r="AF170" i="1"/>
  <c r="AF171" i="1"/>
  <c r="AF172" i="1"/>
  <c r="AF173" i="1"/>
  <c r="AF174" i="1"/>
  <c r="AF175" i="1"/>
  <c r="U8" i="1"/>
  <c r="U5" i="1"/>
  <c r="U13" i="1"/>
  <c r="U10" i="1"/>
  <c r="U7" i="1"/>
  <c r="U15" i="1"/>
  <c r="U16" i="1"/>
  <c r="U17" i="1"/>
  <c r="U12" i="1"/>
  <c r="U9" i="1"/>
  <c r="U6" i="1"/>
  <c r="U18" i="1"/>
  <c r="U19" i="1"/>
  <c r="U20" i="1"/>
  <c r="U21" i="1"/>
  <c r="U22" i="1"/>
  <c r="U23" i="1"/>
  <c r="U24" i="1"/>
  <c r="U11" i="1"/>
  <c r="U25" i="1"/>
  <c r="U28" i="1"/>
  <c r="U27" i="1"/>
  <c r="U14" i="1"/>
  <c r="U30" i="1"/>
  <c r="U33" i="1"/>
  <c r="U34" i="1"/>
  <c r="U35" i="1"/>
  <c r="U36" i="1"/>
  <c r="U37" i="1"/>
  <c r="U26" i="1"/>
  <c r="U29" i="1"/>
  <c r="U31" i="1"/>
  <c r="U38" i="1"/>
  <c r="U39" i="1"/>
  <c r="U40" i="1"/>
  <c r="U41" i="1"/>
  <c r="U32" i="1"/>
  <c r="U42" i="1"/>
  <c r="U44" i="1"/>
  <c r="U48" i="1"/>
  <c r="U47" i="1"/>
  <c r="U43" i="1"/>
  <c r="U46" i="1"/>
  <c r="U45" i="1"/>
  <c r="U49" i="1"/>
  <c r="U58" i="1"/>
  <c r="U51" i="1"/>
  <c r="U56" i="1"/>
  <c r="U64" i="1"/>
  <c r="U55" i="1"/>
  <c r="U63" i="1"/>
  <c r="U54" i="1"/>
  <c r="U62" i="1"/>
  <c r="U61" i="1"/>
  <c r="U69" i="1"/>
  <c r="U70" i="1"/>
  <c r="U71" i="1"/>
  <c r="U72" i="1"/>
  <c r="U73" i="1"/>
  <c r="U74" i="1"/>
  <c r="U75" i="1"/>
  <c r="U76" i="1"/>
  <c r="U59" i="1"/>
  <c r="U65" i="1"/>
  <c r="U68" i="1"/>
  <c r="U57" i="1"/>
  <c r="U67" i="1"/>
  <c r="U50" i="1"/>
  <c r="U53" i="1"/>
  <c r="U52" i="1"/>
  <c r="U78" i="1"/>
  <c r="U77" i="1"/>
  <c r="U60" i="1"/>
  <c r="U66" i="1"/>
  <c r="U79" i="1"/>
  <c r="U80" i="1"/>
  <c r="U81" i="1"/>
  <c r="U82" i="1"/>
  <c r="U83" i="1"/>
  <c r="U84" i="1"/>
  <c r="U85" i="1"/>
  <c r="U86" i="1"/>
  <c r="U87" i="1"/>
  <c r="U88" i="1"/>
  <c r="U89" i="1"/>
  <c r="U90" i="1"/>
  <c r="U91" i="1"/>
  <c r="U92" i="1"/>
  <c r="U93" i="1"/>
  <c r="U94" i="1"/>
  <c r="U95" i="1"/>
  <c r="U96" i="1"/>
  <c r="U97" i="1"/>
  <c r="U98" i="1"/>
  <c r="U99" i="1"/>
  <c r="U112" i="1"/>
  <c r="U113" i="1"/>
  <c r="U117" i="1"/>
  <c r="U101" i="1"/>
  <c r="U104" i="1"/>
  <c r="U116" i="1"/>
  <c r="U111" i="1"/>
  <c r="U106" i="1"/>
  <c r="U115" i="1"/>
  <c r="U119" i="1"/>
  <c r="U110" i="1"/>
  <c r="U114" i="1"/>
  <c r="U105" i="1"/>
  <c r="U109" i="1"/>
  <c r="U122" i="1"/>
  <c r="U123" i="1"/>
  <c r="U124" i="1"/>
  <c r="U125" i="1"/>
  <c r="U126" i="1"/>
  <c r="U127" i="1"/>
  <c r="U128" i="1"/>
  <c r="U129" i="1"/>
  <c r="U130" i="1"/>
  <c r="U131" i="1"/>
  <c r="U100" i="1"/>
  <c r="U108" i="1"/>
  <c r="U118" i="1"/>
  <c r="U120" i="1"/>
  <c r="U102" i="1"/>
  <c r="U103" i="1"/>
  <c r="U107" i="1"/>
  <c r="U121" i="1"/>
  <c r="U132" i="1"/>
  <c r="U135" i="1"/>
  <c r="U144" i="1"/>
  <c r="U146" i="1"/>
  <c r="U147" i="1"/>
  <c r="U148" i="1"/>
  <c r="U149" i="1"/>
  <c r="U150" i="1"/>
  <c r="U151" i="1"/>
  <c r="U152" i="1"/>
  <c r="U153" i="1"/>
  <c r="U154" i="1"/>
  <c r="U155" i="1"/>
  <c r="U156" i="1"/>
  <c r="U157" i="1"/>
  <c r="U158" i="1"/>
  <c r="U159" i="1"/>
  <c r="U160" i="1"/>
  <c r="U138" i="1"/>
  <c r="U141" i="1"/>
  <c r="U136" i="1"/>
  <c r="U143" i="1"/>
  <c r="U139" i="1"/>
  <c r="U134" i="1"/>
  <c r="U142" i="1"/>
  <c r="U133" i="1"/>
  <c r="U137" i="1"/>
  <c r="U145" i="1"/>
  <c r="U140" i="1"/>
  <c r="U164" i="1"/>
  <c r="U172" i="1"/>
  <c r="U162" i="1"/>
  <c r="U169" i="1"/>
  <c r="U166" i="1"/>
  <c r="U174" i="1"/>
  <c r="U175" i="1"/>
  <c r="U163" i="1"/>
  <c r="U171" i="1"/>
  <c r="U168" i="1"/>
  <c r="U161" i="1"/>
  <c r="U165" i="1"/>
  <c r="U173" i="1"/>
  <c r="U170" i="1"/>
  <c r="U167" i="1"/>
  <c r="AN9" i="1"/>
  <c r="AN12" i="1"/>
  <c r="AN6" i="1"/>
  <c r="AN11" i="1"/>
  <c r="AN8" i="1"/>
  <c r="AN5" i="1"/>
  <c r="AN14" i="1"/>
  <c r="AN15" i="1"/>
  <c r="AN16" i="1"/>
  <c r="AN17" i="1"/>
  <c r="AN10" i="1"/>
  <c r="AN18" i="1"/>
  <c r="AN19" i="1"/>
  <c r="AN20" i="1"/>
  <c r="AN21" i="1"/>
  <c r="AN22" i="1"/>
  <c r="AN23" i="1"/>
  <c r="AN24" i="1"/>
  <c r="AN13" i="1"/>
  <c r="AN25" i="1"/>
  <c r="AN26" i="1"/>
  <c r="AN27" i="1"/>
  <c r="AN28" i="1"/>
  <c r="AN29" i="1"/>
  <c r="AN30" i="1"/>
  <c r="AN31" i="1"/>
  <c r="AN32" i="1"/>
  <c r="AN7" i="1"/>
  <c r="AN34" i="1"/>
  <c r="AN38" i="1"/>
  <c r="AN39" i="1"/>
  <c r="AN40" i="1"/>
  <c r="AN35" i="1"/>
  <c r="AN33" i="1"/>
  <c r="AN36" i="1"/>
  <c r="AN37" i="1"/>
  <c r="AN43" i="1"/>
  <c r="AN41" i="1"/>
  <c r="AN48" i="1"/>
  <c r="AN44" i="1"/>
  <c r="AN42" i="1"/>
  <c r="AN45" i="1"/>
  <c r="AN47" i="1"/>
  <c r="AN49" i="1"/>
  <c r="AN50" i="1"/>
  <c r="AN58" i="1"/>
  <c r="AN56" i="1"/>
  <c r="AN64" i="1"/>
  <c r="AN55" i="1"/>
  <c r="AN63" i="1"/>
  <c r="AN52" i="1"/>
  <c r="AN54" i="1"/>
  <c r="AN62" i="1"/>
  <c r="AN61" i="1"/>
  <c r="AN51" i="1"/>
  <c r="AN59" i="1"/>
  <c r="AN67" i="1"/>
  <c r="AN68" i="1"/>
  <c r="AN69" i="1"/>
  <c r="AN70" i="1"/>
  <c r="AN71" i="1"/>
  <c r="AN72" i="1"/>
  <c r="AN73" i="1"/>
  <c r="AN74" i="1"/>
  <c r="AN75" i="1"/>
  <c r="AN76" i="1"/>
  <c r="AN53" i="1"/>
  <c r="AN57" i="1"/>
  <c r="AN65" i="1"/>
  <c r="AN46" i="1"/>
  <c r="AN78" i="1"/>
  <c r="AN79" i="1"/>
  <c r="AN80" i="1"/>
  <c r="AN81" i="1"/>
  <c r="AN82" i="1"/>
  <c r="AN83" i="1"/>
  <c r="AN84" i="1"/>
  <c r="AN85" i="1"/>
  <c r="AN66" i="1"/>
  <c r="AN77" i="1"/>
  <c r="AN88" i="1"/>
  <c r="AN90" i="1"/>
  <c r="AN87" i="1"/>
  <c r="AN60" i="1"/>
  <c r="AN89" i="1"/>
  <c r="AN86" i="1"/>
  <c r="AN91" i="1"/>
  <c r="AN100" i="1"/>
  <c r="AN102" i="1"/>
  <c r="AN92" i="1"/>
  <c r="AN96" i="1"/>
  <c r="AN103" i="1"/>
  <c r="AN116" i="1"/>
  <c r="AN120" i="1"/>
  <c r="AN93" i="1"/>
  <c r="AN97" i="1"/>
  <c r="AN105" i="1"/>
  <c r="AN110" i="1"/>
  <c r="AN115" i="1"/>
  <c r="AN101" i="1"/>
  <c r="AN94" i="1"/>
  <c r="AN98" i="1"/>
  <c r="AN107" i="1"/>
  <c r="AN112" i="1"/>
  <c r="AN114" i="1"/>
  <c r="AN118" i="1"/>
  <c r="AN117" i="1"/>
  <c r="AN108" i="1"/>
  <c r="AN119" i="1"/>
  <c r="AN121" i="1"/>
  <c r="AN95" i="1"/>
  <c r="AN113" i="1"/>
  <c r="AN123" i="1"/>
  <c r="AN124" i="1"/>
  <c r="AN125" i="1"/>
  <c r="AN126" i="1"/>
  <c r="AN127" i="1"/>
  <c r="AN128" i="1"/>
  <c r="AN129" i="1"/>
  <c r="AN130" i="1"/>
  <c r="AN131" i="1"/>
  <c r="AN132" i="1"/>
  <c r="AN99" i="1"/>
  <c r="AN106" i="1"/>
  <c r="AN104" i="1"/>
  <c r="AN134" i="1"/>
  <c r="AN135" i="1"/>
  <c r="AN136" i="1"/>
  <c r="AN137" i="1"/>
  <c r="AN138" i="1"/>
  <c r="AN139" i="1"/>
  <c r="AN140" i="1"/>
  <c r="AN141" i="1"/>
  <c r="AN142" i="1"/>
  <c r="AN143" i="1"/>
  <c r="AN144" i="1"/>
  <c r="AN145" i="1"/>
  <c r="AN109" i="1"/>
  <c r="AN111" i="1"/>
  <c r="AN122" i="1"/>
  <c r="AN146" i="1"/>
  <c r="AN147" i="1"/>
  <c r="AN148" i="1"/>
  <c r="AN149" i="1"/>
  <c r="AN150" i="1"/>
  <c r="AN151" i="1"/>
  <c r="AN152" i="1"/>
  <c r="AN153" i="1"/>
  <c r="AN154" i="1"/>
  <c r="AN155" i="1"/>
  <c r="AN156" i="1"/>
  <c r="AN157" i="1"/>
  <c r="AN158" i="1"/>
  <c r="AN159" i="1"/>
  <c r="AN160" i="1"/>
  <c r="AN161" i="1"/>
  <c r="AN162" i="1"/>
  <c r="AN163" i="1"/>
  <c r="AN164" i="1"/>
  <c r="AN165" i="1"/>
  <c r="AN166" i="1"/>
  <c r="AN167" i="1"/>
  <c r="AN168" i="1"/>
  <c r="AN169" i="1"/>
  <c r="AN170" i="1"/>
  <c r="AN171" i="1"/>
  <c r="AN172" i="1"/>
  <c r="AN173" i="1"/>
  <c r="AN133" i="1"/>
  <c r="AN174" i="1"/>
  <c r="AN175" i="1"/>
  <c r="R5" i="1"/>
  <c r="R6" i="1"/>
  <c r="R7" i="1"/>
  <c r="R8" i="1"/>
  <c r="R9" i="1"/>
  <c r="R10" i="1"/>
  <c r="R11" i="1"/>
  <c r="R12" i="1"/>
  <c r="R13" i="1"/>
  <c r="R14" i="1"/>
  <c r="R16" i="1"/>
  <c r="R17" i="1"/>
  <c r="R21" i="1"/>
  <c r="R18" i="1"/>
  <c r="R15" i="1"/>
  <c r="R19" i="1"/>
  <c r="R25" i="1"/>
  <c r="R22" i="1"/>
  <c r="R29" i="1"/>
  <c r="R30" i="1"/>
  <c r="R31" i="1"/>
  <c r="R32" i="1"/>
  <c r="R27" i="1"/>
  <c r="R20" i="1"/>
  <c r="R24" i="1"/>
  <c r="R26" i="1"/>
  <c r="R23" i="1"/>
  <c r="R33" i="1"/>
  <c r="R34" i="1"/>
  <c r="R35" i="1"/>
  <c r="R36" i="1"/>
  <c r="R28" i="1"/>
  <c r="R37" i="1"/>
  <c r="R39" i="1"/>
  <c r="R40" i="1"/>
  <c r="R41" i="1"/>
  <c r="R42" i="1"/>
  <c r="R43" i="1"/>
  <c r="R38" i="1"/>
  <c r="R45" i="1"/>
  <c r="R44" i="1"/>
  <c r="R46" i="1"/>
  <c r="R48" i="1"/>
  <c r="R51" i="1"/>
  <c r="R56" i="1"/>
  <c r="R64" i="1"/>
  <c r="R54" i="1"/>
  <c r="R62" i="1"/>
  <c r="R53" i="1"/>
  <c r="R61" i="1"/>
  <c r="R47" i="1"/>
  <c r="R50" i="1"/>
  <c r="R52" i="1"/>
  <c r="R60" i="1"/>
  <c r="R65" i="1"/>
  <c r="R66" i="1"/>
  <c r="R67" i="1"/>
  <c r="R68" i="1"/>
  <c r="R59" i="1"/>
  <c r="R57" i="1"/>
  <c r="R55" i="1"/>
  <c r="R49" i="1"/>
  <c r="R69" i="1"/>
  <c r="R70" i="1"/>
  <c r="R71" i="1"/>
  <c r="R72" i="1"/>
  <c r="R73" i="1"/>
  <c r="R74" i="1"/>
  <c r="R75" i="1"/>
  <c r="R76" i="1"/>
  <c r="R77" i="1"/>
  <c r="R79" i="1"/>
  <c r="R80" i="1"/>
  <c r="R81" i="1"/>
  <c r="R82" i="1"/>
  <c r="R83" i="1"/>
  <c r="R84" i="1"/>
  <c r="R85" i="1"/>
  <c r="R86" i="1"/>
  <c r="R87" i="1"/>
  <c r="R88" i="1"/>
  <c r="R89" i="1"/>
  <c r="R58" i="1"/>
  <c r="R78" i="1"/>
  <c r="R63" i="1"/>
  <c r="R91" i="1"/>
  <c r="R92" i="1"/>
  <c r="R93" i="1"/>
  <c r="R94" i="1"/>
  <c r="R95" i="1"/>
  <c r="R96" i="1"/>
  <c r="R97" i="1"/>
  <c r="R98" i="1"/>
  <c r="R99" i="1"/>
  <c r="R100" i="1"/>
  <c r="R101" i="1"/>
  <c r="R102" i="1"/>
  <c r="R90" i="1"/>
  <c r="R109" i="1"/>
  <c r="R110" i="1"/>
  <c r="R111" i="1"/>
  <c r="R112" i="1"/>
  <c r="R113" i="1"/>
  <c r="R114" i="1"/>
  <c r="R115" i="1"/>
  <c r="R116" i="1"/>
  <c r="R117" i="1"/>
  <c r="R118" i="1"/>
  <c r="R119" i="1"/>
  <c r="R120" i="1"/>
  <c r="R121" i="1"/>
  <c r="R107" i="1"/>
  <c r="R106" i="1"/>
  <c r="R103" i="1"/>
  <c r="R122" i="1"/>
  <c r="R105" i="1"/>
  <c r="R104" i="1"/>
  <c r="R108" i="1"/>
  <c r="R129" i="1"/>
  <c r="R124" i="1"/>
  <c r="R127" i="1"/>
  <c r="R132" i="1"/>
  <c r="R125" i="1"/>
  <c r="R133" i="1"/>
  <c r="R128" i="1"/>
  <c r="R123" i="1"/>
  <c r="R138" i="1"/>
  <c r="R141" i="1"/>
  <c r="R143" i="1"/>
  <c r="R131" i="1"/>
  <c r="R136" i="1"/>
  <c r="R139" i="1"/>
  <c r="R145" i="1"/>
  <c r="R134" i="1"/>
  <c r="R142" i="1"/>
  <c r="R137" i="1"/>
  <c r="R140" i="1"/>
  <c r="R144" i="1"/>
  <c r="R126" i="1"/>
  <c r="R130" i="1"/>
  <c r="R135" i="1"/>
  <c r="R152" i="1"/>
  <c r="R163" i="1"/>
  <c r="R171" i="1"/>
  <c r="R153" i="1"/>
  <c r="R158" i="1"/>
  <c r="R168" i="1"/>
  <c r="R146" i="1"/>
  <c r="R154" i="1"/>
  <c r="R165" i="1"/>
  <c r="R173" i="1"/>
  <c r="R147" i="1"/>
  <c r="R155" i="1"/>
  <c r="R159" i="1"/>
  <c r="R161" i="1"/>
  <c r="R170" i="1"/>
  <c r="R148" i="1"/>
  <c r="R156" i="1"/>
  <c r="R167" i="1"/>
  <c r="R149" i="1"/>
  <c r="R160" i="1"/>
  <c r="R164" i="1"/>
  <c r="R172" i="1"/>
  <c r="R150" i="1"/>
  <c r="R169" i="1"/>
  <c r="R151" i="1"/>
  <c r="R157" i="1"/>
  <c r="R162" i="1"/>
  <c r="R166" i="1"/>
  <c r="R174" i="1"/>
  <c r="R175" i="1"/>
  <c r="N194" i="1"/>
  <c r="F177" i="12" l="1"/>
  <c r="G118" i="1"/>
  <c r="G77" i="1"/>
  <c r="B74" i="12" s="1"/>
  <c r="G13" i="1"/>
  <c r="B10" i="12" s="1"/>
  <c r="G52" i="1"/>
  <c r="B49" i="12" s="1"/>
  <c r="G112" i="1"/>
  <c r="B110" i="12" s="1"/>
  <c r="G142" i="1"/>
  <c r="B139" i="12" s="1"/>
  <c r="G79" i="1"/>
  <c r="B76" i="12" s="1"/>
  <c r="G15" i="1"/>
  <c r="B12" i="12" s="1"/>
  <c r="G96" i="1"/>
  <c r="B93" i="12" s="1"/>
  <c r="G149" i="1"/>
  <c r="B146" i="12" s="1"/>
  <c r="G146" i="1"/>
  <c r="B143" i="12" s="1"/>
  <c r="G109" i="1"/>
  <c r="B107" i="12" s="1"/>
  <c r="G68" i="1"/>
  <c r="B65" i="12" s="1"/>
  <c r="G43" i="1"/>
  <c r="B40" i="12" s="1"/>
  <c r="G82" i="1"/>
  <c r="B79" i="12" s="1"/>
  <c r="G65" i="1"/>
  <c r="G48" i="1"/>
  <c r="B45" i="12" s="1"/>
  <c r="G168" i="1"/>
  <c r="B165" i="12" s="1"/>
  <c r="G46" i="1"/>
  <c r="G107" i="1"/>
  <c r="G145" i="1"/>
  <c r="B142" i="12" s="1"/>
  <c r="G18" i="1"/>
  <c r="B15" i="12" s="1"/>
  <c r="G111" i="1"/>
  <c r="G95" i="1"/>
  <c r="B92" i="12" s="1"/>
  <c r="G165" i="1"/>
  <c r="B162" i="12" s="1"/>
  <c r="G102" i="1"/>
  <c r="B99" i="12" s="1"/>
  <c r="G38" i="1"/>
  <c r="B35" i="12" s="1"/>
  <c r="G148" i="1"/>
  <c r="B145" i="12" s="1"/>
  <c r="G21" i="1"/>
  <c r="B18" i="12" s="1"/>
  <c r="G123" i="1"/>
  <c r="B120" i="12" s="1"/>
  <c r="G60" i="1"/>
  <c r="B57" i="12" s="1"/>
  <c r="G99" i="1"/>
  <c r="B96" i="12" s="1"/>
  <c r="G35" i="1"/>
  <c r="B32" i="12" s="1"/>
  <c r="G137" i="1"/>
  <c r="B134" i="12" s="1"/>
  <c r="G74" i="1"/>
  <c r="B71" i="12" s="1"/>
  <c r="G10" i="1"/>
  <c r="B7" i="12" s="1"/>
  <c r="G167" i="1"/>
  <c r="B164" i="12" s="1"/>
  <c r="G104" i="1"/>
  <c r="B101" i="12" s="1"/>
  <c r="G40" i="1"/>
  <c r="B37" i="12" s="1"/>
  <c r="G150" i="1"/>
  <c r="B147" i="12" s="1"/>
  <c r="G87" i="1"/>
  <c r="B84" i="12" s="1"/>
  <c r="G23" i="1"/>
  <c r="B20" i="12" s="1"/>
  <c r="G19" i="1"/>
  <c r="B16" i="12" s="1"/>
  <c r="G151" i="1"/>
  <c r="B148" i="12" s="1"/>
  <c r="G71" i="1"/>
  <c r="B68" i="12" s="1"/>
  <c r="G7" i="1"/>
  <c r="B4" i="12" s="1"/>
  <c r="G78" i="1"/>
  <c r="B75" i="12" s="1"/>
  <c r="G100" i="1"/>
  <c r="B97" i="12" s="1"/>
  <c r="G113" i="1"/>
  <c r="B111" i="12" s="1"/>
  <c r="G97" i="1"/>
  <c r="B94" i="12" s="1"/>
  <c r="G33" i="1"/>
  <c r="B30" i="12" s="1"/>
  <c r="G143" i="1"/>
  <c r="B140" i="12" s="1"/>
  <c r="G80" i="1"/>
  <c r="B77" i="12" s="1"/>
  <c r="G16" i="1"/>
  <c r="B13" i="12" s="1"/>
  <c r="G63" i="1"/>
  <c r="B60" i="12" s="1"/>
  <c r="B66" i="12"/>
  <c r="G141" i="1"/>
  <c r="B138" i="12" s="1"/>
  <c r="G14" i="1"/>
  <c r="B11" i="12" s="1"/>
  <c r="G138" i="1"/>
  <c r="B135" i="12" s="1"/>
  <c r="G6" i="1"/>
  <c r="B3" i="12" s="1"/>
  <c r="G67" i="1"/>
  <c r="B64" i="12" s="1"/>
  <c r="G42" i="1"/>
  <c r="B39" i="12" s="1"/>
  <c r="G152" i="1"/>
  <c r="B149" i="12" s="1"/>
  <c r="G25" i="1"/>
  <c r="B22" i="12" s="1"/>
  <c r="G72" i="1"/>
  <c r="B69" i="12" s="1"/>
  <c r="G8" i="1"/>
  <c r="B5" i="12" s="1"/>
  <c r="G55" i="1"/>
  <c r="B52" i="12" s="1"/>
  <c r="G140" i="1"/>
  <c r="B137" i="12" s="1"/>
  <c r="G5" i="1"/>
  <c r="B2" i="12" s="1"/>
  <c r="G22" i="1"/>
  <c r="B19" i="12" s="1"/>
  <c r="G121" i="1"/>
  <c r="B118" i="12" s="1"/>
  <c r="G88" i="1"/>
  <c r="B85" i="12" s="1"/>
  <c r="G163" i="1"/>
  <c r="B160" i="12" s="1"/>
  <c r="G75" i="1"/>
  <c r="B72" i="12" s="1"/>
  <c r="G116" i="1"/>
  <c r="B114" i="12" s="1"/>
  <c r="G106" i="1"/>
  <c r="B103" i="12" s="1"/>
  <c r="G62" i="1"/>
  <c r="B59" i="12" s="1"/>
  <c r="G45" i="1"/>
  <c r="B42" i="12" s="1"/>
  <c r="G147" i="1"/>
  <c r="B144" i="12" s="1"/>
  <c r="G20" i="1"/>
  <c r="B17" i="12" s="1"/>
  <c r="G122" i="1"/>
  <c r="B119" i="12" s="1"/>
  <c r="G98" i="1"/>
  <c r="B95" i="12" s="1"/>
  <c r="G34" i="1"/>
  <c r="B31" i="12" s="1"/>
  <c r="G144" i="1"/>
  <c r="B141" i="12" s="1"/>
  <c r="G81" i="1"/>
  <c r="B78" i="12" s="1"/>
  <c r="G17" i="1"/>
  <c r="B14" i="12" s="1"/>
  <c r="G64" i="1"/>
  <c r="B61" i="12" s="1"/>
  <c r="G110" i="1"/>
  <c r="B108" i="12" s="1"/>
  <c r="G47" i="1"/>
  <c r="B44" i="12" s="1"/>
  <c r="G66" i="1"/>
  <c r="B63" i="12" s="1"/>
  <c r="G108" i="1"/>
  <c r="B105" i="12" s="1"/>
  <c r="G105" i="1"/>
  <c r="B102" i="12" s="1"/>
  <c r="G24" i="1"/>
  <c r="B21" i="12" s="1"/>
  <c r="G61" i="1"/>
  <c r="B58" i="12" s="1"/>
  <c r="G11" i="1"/>
  <c r="B8" i="12" s="1"/>
  <c r="G53" i="1"/>
  <c r="B50" i="12" s="1"/>
  <c r="G169" i="1"/>
  <c r="B166" i="12" s="1"/>
  <c r="G54" i="1"/>
  <c r="B51" i="12" s="1"/>
  <c r="G164" i="1"/>
  <c r="B161" i="12" s="1"/>
  <c r="G101" i="1"/>
  <c r="B98" i="12" s="1"/>
  <c r="G76" i="1"/>
  <c r="B73" i="12" s="1"/>
  <c r="G12" i="1"/>
  <c r="B9" i="12" s="1"/>
  <c r="G114" i="1"/>
  <c r="B112" i="12" s="1"/>
  <c r="G26" i="1"/>
  <c r="B23" i="12" s="1"/>
  <c r="G136" i="1"/>
  <c r="B133" i="12" s="1"/>
  <c r="G73" i="1"/>
  <c r="B70" i="12" s="1"/>
  <c r="G9" i="1"/>
  <c r="B6" i="12" s="1"/>
  <c r="G166" i="1"/>
  <c r="B163" i="12" s="1"/>
  <c r="G103" i="1"/>
  <c r="B100" i="12" s="1"/>
  <c r="G39" i="1"/>
  <c r="B36" i="12" s="1"/>
  <c r="B43" i="12"/>
  <c r="B62" i="12"/>
  <c r="B106" i="12"/>
  <c r="B104" i="12"/>
  <c r="B109" i="12"/>
  <c r="B155" i="12"/>
  <c r="AH176" i="1"/>
  <c r="V176" i="1"/>
  <c r="Y176" i="1"/>
  <c r="AN176" i="1"/>
  <c r="U176" i="1"/>
  <c r="H176" i="1"/>
  <c r="X176" i="1"/>
  <c r="M176" i="1"/>
  <c r="J176" i="1"/>
  <c r="R176" i="1"/>
  <c r="AC176" i="1"/>
  <c r="AK176" i="1"/>
  <c r="I176" i="1"/>
  <c r="S176" i="1"/>
  <c r="AQ176" i="1"/>
  <c r="AS176" i="1"/>
  <c r="Q176" i="1"/>
  <c r="AO176" i="1"/>
  <c r="AL176" i="1"/>
  <c r="O176" i="1"/>
  <c r="P176" i="1"/>
  <c r="AD176" i="1"/>
  <c r="AP176" i="1"/>
  <c r="AG176" i="1"/>
  <c r="N176" i="1"/>
  <c r="AM176" i="1"/>
  <c r="AA176" i="1"/>
  <c r="AF176" i="1"/>
  <c r="L176" i="1"/>
  <c r="AJ176" i="1"/>
  <c r="K176" i="1"/>
  <c r="T176" i="1"/>
  <c r="AB176" i="1"/>
  <c r="Z176" i="1"/>
  <c r="W176" i="1"/>
  <c r="AR176" i="1"/>
  <c r="AE176" i="1"/>
  <c r="AI176" i="1"/>
  <c r="E176" i="1"/>
  <c r="B177" i="12" l="1"/>
  <c r="B176" i="12"/>
  <c r="B175" i="12"/>
  <c r="B174" i="12"/>
  <c r="Q33" i="4"/>
  <c r="F185" i="1"/>
  <c r="F184" i="1"/>
  <c r="H84" i="9"/>
  <c r="F181" i="1"/>
  <c r="F182" i="1"/>
  <c r="F183" i="1"/>
  <c r="H83" i="9"/>
  <c r="B178" i="12" l="1"/>
  <c r="H130" i="4"/>
  <c r="Q34" i="4"/>
  <c r="H122" i="4" s="1"/>
  <c r="Q35" i="4"/>
  <c r="H123" i="4" s="1"/>
  <c r="Q36" i="4"/>
  <c r="Q37" i="4"/>
  <c r="F186" i="1"/>
  <c r="R37" i="4" l="1"/>
  <c r="R33" i="4"/>
  <c r="R36" i="4"/>
  <c r="R35" i="4"/>
  <c r="H121" i="4"/>
  <c r="H124" i="4"/>
  <c r="R34"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Armaan Imam</author>
    <author>Steve Ellis</author>
  </authors>
  <commentList>
    <comment ref="N33" authorId="0" shapeId="0" xr:uid="{D1E1649C-9CED-4E18-9876-2A58ACA09E7C}">
      <text>
        <r>
          <rPr>
            <b/>
            <sz val="9"/>
            <color rgb="FF000000"/>
            <rFont val="Tahoma"/>
            <family val="2"/>
          </rPr>
          <t>This practice has at least one of the selected Microsoft Services that are viewed as a primary mechanism to deliver configurations to meet the practice.</t>
        </r>
        <r>
          <rPr>
            <sz val="9"/>
            <color rgb="FF000000"/>
            <rFont val="Tahoma"/>
            <family val="2"/>
          </rPr>
          <t xml:space="preserve">
</t>
        </r>
      </text>
    </comment>
    <comment ref="N34" authorId="0" shapeId="0" xr:uid="{916FA7CD-C90A-47D3-9B17-6285D3EBBEEF}">
      <text>
        <r>
          <rPr>
            <b/>
            <sz val="9"/>
            <color rgb="FF000000"/>
            <rFont val="Tahoma"/>
            <family val="2"/>
          </rPr>
          <t>This practice has at least one Microsoft Service that is viewed as a secondary mechanism to deliver configurations to meet the practice.</t>
        </r>
        <r>
          <rPr>
            <sz val="9"/>
            <color rgb="FF000000"/>
            <rFont val="Tahoma"/>
            <family val="2"/>
          </rPr>
          <t xml:space="preserve">
</t>
        </r>
      </text>
    </comment>
    <comment ref="N35" authorId="0" shapeId="0" xr:uid="{FC79B560-2D44-4B95-AC8B-84B0CE96223D}">
      <text>
        <r>
          <rPr>
            <b/>
            <sz val="9"/>
            <color rgb="FF000000"/>
            <rFont val="Tahoma"/>
            <family val="2"/>
          </rPr>
          <t>There are no Microsoft services selected that can deliver configuration settings to meet the practice requirements.</t>
        </r>
        <r>
          <rPr>
            <sz val="9"/>
            <color rgb="FF000000"/>
            <rFont val="Tahoma"/>
            <family val="2"/>
          </rPr>
          <t xml:space="preserve">
</t>
        </r>
      </text>
    </comment>
    <comment ref="N36" authorId="1" shapeId="0" xr:uid="{AFF15E8B-32AF-114D-B127-0D2B7A37A7C1}">
      <text>
        <r>
          <rPr>
            <b/>
            <sz val="9"/>
            <color rgb="FF000000"/>
            <rFont val="Tahoma"/>
            <family val="2"/>
          </rPr>
          <t>There are no services availble to meet this practice.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Armaan Imam</author>
    <author>Steve Ellis</author>
  </authors>
  <commentList>
    <comment ref="B181" authorId="0" shapeId="0" xr:uid="{1040C0EB-8F3C-4298-96F8-2BEB779F8796}">
      <text>
        <r>
          <rPr>
            <b/>
            <sz val="9"/>
            <color rgb="FF000000"/>
            <rFont val="Tahoma"/>
            <family val="2"/>
          </rPr>
          <t>This practice has at least one of the selected Microsoft Services that are viewed as a primary mechanism to deliver configurations to meet the practice.</t>
        </r>
        <r>
          <rPr>
            <sz val="9"/>
            <color rgb="FF000000"/>
            <rFont val="Tahoma"/>
            <family val="2"/>
          </rPr>
          <t xml:space="preserve">
</t>
        </r>
      </text>
    </comment>
    <comment ref="B182" authorId="0" shapeId="0" xr:uid="{324F3CEE-3070-42B1-9072-D900C554C970}">
      <text>
        <r>
          <rPr>
            <b/>
            <sz val="9"/>
            <color rgb="FF000000"/>
            <rFont val="Tahoma"/>
            <family val="2"/>
          </rPr>
          <t>This practice has at least one Microsoft Service that is viewed as a secondary mechanism to deliver configurations to meet the practice.</t>
        </r>
        <r>
          <rPr>
            <sz val="9"/>
            <color rgb="FF000000"/>
            <rFont val="Tahoma"/>
            <family val="2"/>
          </rPr>
          <t xml:space="preserve">
</t>
        </r>
      </text>
    </comment>
    <comment ref="B183" authorId="0" shapeId="0" xr:uid="{E85C82C9-DC29-4F84-93B4-6CDD08351DF4}">
      <text>
        <r>
          <rPr>
            <b/>
            <sz val="9"/>
            <color rgb="FF000000"/>
            <rFont val="Tahoma"/>
            <family val="2"/>
          </rPr>
          <t>There are no Microsoft services selected that can deliver configuration settings to meet the practice requirements.</t>
        </r>
        <r>
          <rPr>
            <sz val="9"/>
            <color rgb="FF000000"/>
            <rFont val="Tahoma"/>
            <family val="2"/>
          </rPr>
          <t xml:space="preserve">
</t>
        </r>
      </text>
    </comment>
    <comment ref="B184" authorId="1" shapeId="0" xr:uid="{B02329D7-794E-4AC0-B206-6EE0871FCD9D}">
      <text>
        <r>
          <rPr>
            <b/>
            <sz val="9"/>
            <color rgb="FF000000"/>
            <rFont val="Tahoma"/>
            <family val="2"/>
          </rPr>
          <t>There are no services availble to meet this practice.</t>
        </r>
      </text>
    </comment>
    <comment ref="B185" authorId="0" shapeId="0" xr:uid="{DC8344D7-AF7A-4EA2-B2BB-5796E8B4C2CB}">
      <text>
        <r>
          <rPr>
            <b/>
            <sz val="9"/>
            <color rgb="FF000000"/>
            <rFont val="Tahoma"/>
            <family val="2"/>
          </rPr>
          <t>These are not applicable to the CMMC Level 3 practices.</t>
        </r>
        <r>
          <rPr>
            <sz val="9"/>
            <color rgb="FF000000"/>
            <rFont val="Tahoma"/>
            <family val="2"/>
          </rPr>
          <t xml:space="preserv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<sst xmlns="http://schemas.openxmlformats.org/spreadsheetml/2006/main" count="13494" uniqueCount="1092">
  <si>
    <t>Tab</t>
  </si>
  <si>
    <t>Data Source</t>
  </si>
  <si>
    <t>File Location</t>
  </si>
  <si>
    <t>Statements</t>
  </si>
  <si>
    <t>The information on this tab is sourced from the "Implementation and Customer Responsibility Statements CMMC" Spreadsheet in the "Microsoft CMMC" Channel on Teams. The information on the "Implementation and Customer Responsibility Statements CMMC" Spreadsheet is sourced from the "CMMC SSP - Level 3 v2 AHC edit" document in the same folder.</t>
  </si>
  <si>
    <t>Microsoft &gt; CMMC &gt; Documentation &gt; SSP Working Folder &gt; SSP Drafts</t>
  </si>
  <si>
    <t>Control Information</t>
  </si>
  <si>
    <t>The information for this tab comes from the "Microsoft Primaries and Secondaries Worksheet" Spreadsheet which is sourced from the "AG_Dashboard_CWs_Master_0901_AI" Spreadsheet in the same folder.</t>
  </si>
  <si>
    <t>Microsoft &gt; CMMC &gt; Azure Crosswalks</t>
  </si>
  <si>
    <t>Rough List</t>
  </si>
  <si>
    <t>The information on this tab is sourced from the "AG_Dashboard_CWs_Master_0901_AI" Spreadsheet in the same folder.</t>
  </si>
  <si>
    <t>Instructions</t>
  </si>
  <si>
    <t xml:space="preserve">Latest Version of the Microsoft Product Placemat for CMMC
</t>
  </si>
  <si>
    <t>Provide Feedback</t>
  </si>
  <si>
    <r>
      <rPr>
        <b/>
        <u/>
        <sz val="11"/>
        <color theme="1"/>
        <rFont val="Calibri"/>
        <family val="2"/>
        <scheme val="minor"/>
      </rPr>
      <t>Note</t>
    </r>
    <r>
      <rPr>
        <sz val="11"/>
        <color theme="1"/>
        <rFont val="Calibri"/>
        <family val="2"/>
        <scheme val="minor"/>
      </rPr>
      <t xml:space="preserve">
One of the most common questions is, What Microsoft cloud environments meet the requirements for CMMC? Cybersecurity frameworks are applied to all Microsoft cloud environments consistently across the spectrum of services. Cybersecurity 'maturity' is often represented as the efficacy of process and automation of practices. There are specific control requirements that are unique to each cloud environment. For example, sovereign clouds such as Azure Government have controls in place for restricting access to only screened US persons with data processing and storage only within the Continental United States (CONUS). Sovereign clouds are more restricted in terms of the specificity of control requirements in relation to other cloud environments. Even though control requirements may vary from one cloud environment to another, each may demonstrate a level of cybersecurity maturity in alignment with CMMC. Accordingly, Microsoft has established a program of reciprocity for all Microsoft cloud-based products and services that are in scope for DIB customers, alongside FedRAMP, NIST 800-53, NIST CSF, DoD SRG, etc. In other words, this Microsoft Product Placemat for CMMC is Microsoft cloud-agnostic. </t>
    </r>
  </si>
  <si>
    <t>Note: While commercial environments are in scope, CMMC by itself will not be the decision factor on choosing which environment is most appropriate. Most DIB companies are best aligned with Azure Government and Microsoft 365 Government GCC High for data handling of Controlled Unclassified Information (CUI). For more information, please refer to:</t>
  </si>
  <si>
    <t>Understanding Compliance Between Microsoft 365 Commercial, GCC, GCC-High and DoD Offerings</t>
  </si>
  <si>
    <t>and</t>
  </si>
  <si>
    <t>Microsoft US Sovereign Cloud Myth Busters - CUI Effectively Requires Data Sovereignty</t>
  </si>
  <si>
    <t>The Microsoft Product Placemat for CMMC is founded on Microsoft Azure. Customers can extend compliance solutions using Microsoft cloud-based services to on-premises and third-party information systems. However, careful evaluation of each implementation must be undertaken by customers to meet intended compliance requirements. Any deviation away from Microsoft Azure is not accurately depicted in the Placemat.</t>
  </si>
  <si>
    <r>
      <rPr>
        <b/>
        <u/>
        <sz val="11"/>
        <color theme="1"/>
        <rFont val="Calibri"/>
        <family val="2"/>
        <scheme val="minor"/>
      </rPr>
      <t>Data Sources</t>
    </r>
    <r>
      <rPr>
        <sz val="11"/>
        <color theme="1"/>
        <rFont val="Calibri"/>
        <family val="2"/>
        <scheme val="minor"/>
      </rPr>
      <t xml:space="preserve">
- CMMC 2.0 Model
- NIST SP 800-171 DoD Assessment Methodology, Version 1.2.1
- NIST SP 800-171 Rev. 2 and NIST SP 800-172
- Microsoft 365 Compliance Manager</t>
    </r>
  </si>
  <si>
    <r>
      <rPr>
        <b/>
        <u/>
        <sz val="11"/>
        <color theme="1"/>
        <rFont val="Calibri"/>
        <family val="2"/>
        <scheme val="minor"/>
      </rPr>
      <t>Disclaimer</t>
    </r>
    <r>
      <rPr>
        <sz val="11"/>
        <color theme="1"/>
        <rFont val="Calibri"/>
        <family val="2"/>
        <scheme val="minor"/>
      </rPr>
      <t xml:space="preserve">
The Microsoft Product Placement for CMMC is based on available information to date and is provided as a sample resource only. Microsoft is not a CMMC accrediting body and thus cannot guarantee any outcome under the formal CMMC review process.</t>
    </r>
  </si>
  <si>
    <t>SERVICE PANE</t>
  </si>
  <si>
    <t>MICROSOFT PRODUCT PLACEMAT FOR CMMC 2.0</t>
  </si>
  <si>
    <t>STEP 1: Select services to view - use the license filter or individually toggle services</t>
  </si>
  <si>
    <t>STEP 2: Select CMMC Level</t>
  </si>
  <si>
    <t>STEP 3: Double-click pratices to view their details</t>
  </si>
  <si>
    <t>License:</t>
  </si>
  <si>
    <t>Manual</t>
  </si>
  <si>
    <t>Level 1 - Foundational</t>
  </si>
  <si>
    <t>Group</t>
  </si>
  <si>
    <t>Service</t>
  </si>
  <si>
    <t>Enabled</t>
  </si>
  <si>
    <t>Access Control 
(AC)</t>
  </si>
  <si>
    <t>Audit &amp; Accountability 
(AU)</t>
  </si>
  <si>
    <t>Awareness &amp; Training 
(AT)</t>
  </si>
  <si>
    <t>Configuration Management 
(CM)</t>
  </si>
  <si>
    <t>Identification &amp; Authentication 
(IA)</t>
  </si>
  <si>
    <t>Incident Response 
(IR)</t>
  </si>
  <si>
    <t>Maintenance (MA)</t>
  </si>
  <si>
    <t>Media Protection 
(MP)</t>
  </si>
  <si>
    <t>Personnel Security 
(PS)</t>
  </si>
  <si>
    <t>Physical Protection 
(PE)</t>
  </si>
  <si>
    <t>Risk Assessment (RA)</t>
  </si>
  <si>
    <t>Security Assessment 
(CA)</t>
  </si>
  <si>
    <t>System &amp; Communications Protection 
(SC)</t>
  </si>
  <si>
    <t>System &amp; Information Integrity 
(SI)</t>
  </si>
  <si>
    <t>Azure Services</t>
  </si>
  <si>
    <t>Azure Active Directory</t>
  </si>
  <si>
    <t>No</t>
  </si>
  <si>
    <t>AC.L1-3.1.1</t>
  </si>
  <si>
    <t>AU.L2-3.3.1</t>
  </si>
  <si>
    <t>AT.L2-3.2.1</t>
  </si>
  <si>
    <t>CM.L2-3.4.1</t>
  </si>
  <si>
    <t>IA.L1-3.5.1</t>
  </si>
  <si>
    <t>IR.L2-3.6.1</t>
  </si>
  <si>
    <t>MA.L2-3.7.1</t>
  </si>
  <si>
    <t>MP.L1-3.8.3</t>
  </si>
  <si>
    <t>PS.L2-3.9.1</t>
  </si>
  <si>
    <t>PE.L1-3.10.1</t>
  </si>
  <si>
    <t>RA.L2-3.11.1</t>
  </si>
  <si>
    <t>CA.L2-3.12.1</t>
  </si>
  <si>
    <t>SC.L1-3.13.1</t>
  </si>
  <si>
    <t>SI.L1-3.14.1</t>
  </si>
  <si>
    <t>Azure AD Multi-Factor Authentication</t>
  </si>
  <si>
    <t>AC.L1-3.1.2</t>
  </si>
  <si>
    <t>AU.L2-3.3.2</t>
  </si>
  <si>
    <t>AT.L2-3.2.2</t>
  </si>
  <si>
    <t>CM.L2-3.4.2</t>
  </si>
  <si>
    <t>IA.L1-3.5.2</t>
  </si>
  <si>
    <t>IR.L2-3.6.2</t>
  </si>
  <si>
    <t>MA.L2-3.7.2</t>
  </si>
  <si>
    <t>MP.L2-3.8.1</t>
  </si>
  <si>
    <t>PS.L2-3.9.2</t>
  </si>
  <si>
    <t>PE.L1-3.10.3</t>
  </si>
  <si>
    <t>RA.L2-3.11.2</t>
  </si>
  <si>
    <t>CA.L2-3.12.2</t>
  </si>
  <si>
    <t>SC.L1-3.13.5</t>
  </si>
  <si>
    <t>SI.L1-3.14.2</t>
  </si>
  <si>
    <t>Azure AD Password Protection</t>
  </si>
  <si>
    <t>AC.L1-3.1.20</t>
  </si>
  <si>
    <t>AU.L2-3.3.3</t>
  </si>
  <si>
    <t>AT.L2-3.2.3</t>
  </si>
  <si>
    <t>CM.L2-3.4.3</t>
  </si>
  <si>
    <t>IA.L2-3.5.3</t>
  </si>
  <si>
    <t>IR.L2-3.6.3</t>
  </si>
  <si>
    <t>MA.L2-3.7.3</t>
  </si>
  <si>
    <t>MP.L2-3.8.2</t>
  </si>
  <si>
    <t>PE.L1-3.10.4</t>
  </si>
  <si>
    <t>RA.L2-3.11.3</t>
  </si>
  <si>
    <t>CA.L2-3.12.3</t>
  </si>
  <si>
    <t>SC.L2-3.13.2</t>
  </si>
  <si>
    <t>SI.L1-3.14.4</t>
  </si>
  <si>
    <t>Azure AD Smart Lockout</t>
  </si>
  <si>
    <t>AC.L1-3.1.22</t>
  </si>
  <si>
    <t>AU.L2-3.3.4</t>
  </si>
  <si>
    <t>AT.L3-2</t>
  </si>
  <si>
    <t>CM.L2-3.4.4</t>
  </si>
  <si>
    <t>IA.L2-3.5.4</t>
  </si>
  <si>
    <t>IR.L3-6</t>
  </si>
  <si>
    <t>MA.L2-3.7.4</t>
  </si>
  <si>
    <t>MP.L2-3.8.4</t>
  </si>
  <si>
    <t>PE.L1-3.10.5</t>
  </si>
  <si>
    <t>RA.L3-9</t>
  </si>
  <si>
    <t>CA.L2-3.12.4</t>
  </si>
  <si>
    <t>SC.L2-3.13.3</t>
  </si>
  <si>
    <t>SI.L1-3.14.5</t>
  </si>
  <si>
    <t>Azure Automation</t>
  </si>
  <si>
    <t>AC.L2-3.1.10</t>
  </si>
  <si>
    <t>AU.L2-3.3.5</t>
  </si>
  <si>
    <t>AT.L3-3</t>
  </si>
  <si>
    <t>CM.L2-3.4.5</t>
  </si>
  <si>
    <t>IA.L2-3.5.5</t>
  </si>
  <si>
    <t>IR.L3-7</t>
  </si>
  <si>
    <t>MA.L2-3.7.5</t>
  </si>
  <si>
    <t>MP.L2-3.8.5</t>
  </si>
  <si>
    <t>PE.L2-3.10.2</t>
  </si>
  <si>
    <t>RA.L3-10</t>
  </si>
  <si>
    <t>CA.L3-4</t>
  </si>
  <si>
    <t>SC.L2-3.13.4</t>
  </si>
  <si>
    <t>SI.L2-3.14.3</t>
  </si>
  <si>
    <t>Azure Bastion</t>
  </si>
  <si>
    <t>AC.L2-3.1.3</t>
  </si>
  <si>
    <t>AU.L2-3.3.6</t>
  </si>
  <si>
    <t>CM.L2-3.4.6</t>
  </si>
  <si>
    <t>IA.L2-3.5.6</t>
  </si>
  <si>
    <t>IR.L3-8</t>
  </si>
  <si>
    <t>MA.L2-3.7.6</t>
  </si>
  <si>
    <t>MP.L2-3.8.6</t>
  </si>
  <si>
    <t>PE.L2-3.10.6</t>
  </si>
  <si>
    <t>RA.L3-11</t>
  </si>
  <si>
    <t>SC.L2-3.13.6</t>
  </si>
  <si>
    <t>SI.L2-3.14.6</t>
  </si>
  <si>
    <t>Azure Datacenter</t>
  </si>
  <si>
    <t>Yes</t>
  </si>
  <si>
    <t>AC.L2-3.1.4</t>
  </si>
  <si>
    <t>AU.L2-3.3.7</t>
  </si>
  <si>
    <t>CM.L2-3.4.7</t>
  </si>
  <si>
    <t>IA.L2-3.5.7</t>
  </si>
  <si>
    <t>MP.L2-3.8.7</t>
  </si>
  <si>
    <t>SC.L2-3.13.7</t>
  </si>
  <si>
    <t>SI.L2-3.14.7</t>
  </si>
  <si>
    <t>Azure DevTest Labs</t>
  </si>
  <si>
    <t>AC.L2-3.1.5</t>
  </si>
  <si>
    <t>AU.L2-3.3.8</t>
  </si>
  <si>
    <t>CM.L2-3.4.8</t>
  </si>
  <si>
    <t>IA.L2-3.5.8</t>
  </si>
  <si>
    <t>MP.L2-3.8.8</t>
  </si>
  <si>
    <t>SC.L2-3.13.8</t>
  </si>
  <si>
    <t>SI.L3-13</t>
  </si>
  <si>
    <t>Azure DNS</t>
  </si>
  <si>
    <t>AC.L2-3.1.6</t>
  </si>
  <si>
    <t>AU.L2-3.3.9</t>
  </si>
  <si>
    <t>CM.L2-3.4.9</t>
  </si>
  <si>
    <t>IA.L2-3.5.9</t>
  </si>
  <si>
    <t>MP.L2-3.8.9</t>
  </si>
  <si>
    <t>SC.L2-3.13.9</t>
  </si>
  <si>
    <t>SI.L3-14</t>
  </si>
  <si>
    <t>Azure ExpressRoute</t>
  </si>
  <si>
    <t>AC.L2-3.1.7</t>
  </si>
  <si>
    <t>CM.L3-3.4.8</t>
  </si>
  <si>
    <t>IA.L2-3.5.10</t>
  </si>
  <si>
    <t>SC.L2-3.13.10</t>
  </si>
  <si>
    <t>Azure Firewall</t>
  </si>
  <si>
    <t>AC.L2-3.1.8</t>
  </si>
  <si>
    <t>CM.L3-5</t>
  </si>
  <si>
    <t>IA.L2-3.5.11</t>
  </si>
  <si>
    <t>SC.L2-3.13.11</t>
  </si>
  <si>
    <t>Azure Front Door</t>
  </si>
  <si>
    <t>AC.L2-3.1.9</t>
  </si>
  <si>
    <t>SC.L2-3.13.12</t>
  </si>
  <si>
    <t>Azure Key Vault</t>
  </si>
  <si>
    <t>AC.L2-3.1.11</t>
  </si>
  <si>
    <t>SC.L2-3.13.13</t>
  </si>
  <si>
    <t>Azure Lighthouse</t>
  </si>
  <si>
    <t>AC.L2-3.1.12</t>
  </si>
  <si>
    <t>SC.L2-3.13.14</t>
  </si>
  <si>
    <t>Azure Monitor</t>
  </si>
  <si>
    <t>AC.L2-3.1.13</t>
  </si>
  <si>
    <t>SC.L2-3.13.15</t>
  </si>
  <si>
    <t>Azure RBAC</t>
  </si>
  <si>
    <t>AC.L2-3.1.14</t>
  </si>
  <si>
    <t>SC.L2-3.13.16</t>
  </si>
  <si>
    <t>Azure Storage</t>
  </si>
  <si>
    <t>AC.L2-3.1.15</t>
  </si>
  <si>
    <t>SC.L3-12</t>
  </si>
  <si>
    <t>Azure Virtual Desktop</t>
  </si>
  <si>
    <t>AC.L2-3.1.16</t>
  </si>
  <si>
    <t>SC.L3-3.13.2</t>
  </si>
  <si>
    <t>Azure Virtual Machines</t>
  </si>
  <si>
    <t>AC.L2-3.1.17</t>
  </si>
  <si>
    <t>Azure Web Application Firewall</t>
  </si>
  <si>
    <t>AC.L2-3.1.18</t>
  </si>
  <si>
    <t>Conditional Access</t>
  </si>
  <si>
    <t>AC.L2-3.1.19</t>
  </si>
  <si>
    <t>Load Balancer</t>
  </si>
  <si>
    <t>AC.L2-3.1.21</t>
  </si>
  <si>
    <t>Log Analytics Workspace</t>
  </si>
  <si>
    <t>AC.L3-1</t>
  </si>
  <si>
    <t>Microsoft Azure Portal</t>
  </si>
  <si>
    <t>Microsoft Defender for Cloud</t>
  </si>
  <si>
    <t>Microsoft Defender for Identity</t>
  </si>
  <si>
    <t>Microsoft Inherited Service Mapping</t>
  </si>
  <si>
    <t>Microsoft Defender for IoT</t>
  </si>
  <si>
    <t>Primary Service</t>
  </si>
  <si>
    <t>XX.X.XXXX</t>
  </si>
  <si>
    <t>P</t>
  </si>
  <si>
    <t>Microsoft Sentinel</t>
  </si>
  <si>
    <t>Secondary Service</t>
  </si>
  <si>
    <t>S</t>
  </si>
  <si>
    <t>Named Locations</t>
  </si>
  <si>
    <t>Available Enablers</t>
  </si>
  <si>
    <t>U</t>
  </si>
  <si>
    <t>Network Security Groups</t>
  </si>
  <si>
    <t>No Available Enablers</t>
  </si>
  <si>
    <t>N</t>
  </si>
  <si>
    <t>Privileged Identity Management (PIM)</t>
  </si>
  <si>
    <t>Out of Scope</t>
  </si>
  <si>
    <t>NA</t>
  </si>
  <si>
    <t>Security Patterns</t>
  </si>
  <si>
    <t>Virtual Network</t>
  </si>
  <si>
    <t>VPN Gateway</t>
  </si>
  <si>
    <t>CMMC Practice Details</t>
  </si>
  <si>
    <t>Microsoft 365 Services</t>
  </si>
  <si>
    <t>Customer Key</t>
  </si>
  <si>
    <t>CMMC Practice</t>
  </si>
  <si>
    <t>Entitlement Management</t>
  </si>
  <si>
    <t>Description</t>
  </si>
  <si>
    <t>Exchange Admin Center</t>
  </si>
  <si>
    <t>Insider Risk Management</t>
  </si>
  <si>
    <t>Microsoft 365 Admin Center</t>
  </si>
  <si>
    <t>Microsoft 365 Compliance Center</t>
  </si>
  <si>
    <t>Microsoft 365 DLP</t>
  </si>
  <si>
    <t>Microsoft 365 for Enterprise Test Lab</t>
  </si>
  <si>
    <t>Microsoft 365 Groups</t>
  </si>
  <si>
    <t>Responsibility</t>
  </si>
  <si>
    <t>Microsoft 365 Lighthouse</t>
  </si>
  <si>
    <t>Microsoft 365 Security Center</t>
  </si>
  <si>
    <t>Microsoft 365 Web Apps</t>
  </si>
  <si>
    <t>Microsoft Defender for Cloud Apps</t>
  </si>
  <si>
    <t>Microsoft Defender for Office 365</t>
  </si>
  <si>
    <t>Microsoft Graph</t>
  </si>
  <si>
    <t>Microsoft Information Protection</t>
  </si>
  <si>
    <t>Office 365 Message Encryption (OME)</t>
  </si>
  <si>
    <t>Power Automate</t>
  </si>
  <si>
    <t>Privileged Access Management</t>
  </si>
  <si>
    <t>Secure Score</t>
  </si>
  <si>
    <t>Teams</t>
  </si>
  <si>
    <t>Threat and Vulnerability Management</t>
  </si>
  <si>
    <t>GitHub</t>
  </si>
  <si>
    <t>GitHub Advanced Security (Add-On)</t>
  </si>
  <si>
    <t>GitHub AE</t>
  </si>
  <si>
    <t>GitHub Enterprise Cloud</t>
  </si>
  <si>
    <t>Other</t>
  </si>
  <si>
    <t>App Locker</t>
  </si>
  <si>
    <t>Customer Lockbox</t>
  </si>
  <si>
    <t>Direct Access</t>
  </si>
  <si>
    <t>Distributed Key Manager</t>
  </si>
  <si>
    <t>Dynamics 365</t>
  </si>
  <si>
    <t>Microsoft Defender Antivirus Cloud Protection</t>
  </si>
  <si>
    <t>Microsoft Defender SmartScreen</t>
  </si>
  <si>
    <t>Microsoft Learn</t>
  </si>
  <si>
    <t>Network Access Control (NAC)</t>
  </si>
  <si>
    <t>Windows Hello for Business</t>
  </si>
  <si>
    <t>Windows Time Service</t>
  </si>
  <si>
    <t>Bitlocker</t>
  </si>
  <si>
    <t>Intune/Microsoft Endpoint Manager</t>
  </si>
  <si>
    <t>Microsoft 365 Defender</t>
  </si>
  <si>
    <t>Microsoft Defender for Endpoint</t>
  </si>
  <si>
    <t>The Microsoft Product Placement for CMMC is based on available information to date and is provided as a sample resource only. Microsoft is not a CMMC accrediting body and thus cannot guarantee any outcome under the formal CMMC review process.</t>
  </si>
  <si>
    <t>PREPARED BY</t>
  </si>
  <si>
    <t>PREPARED FOR</t>
  </si>
  <si>
    <t>Microsoft Coverage</t>
  </si>
  <si>
    <t>Shared Coverage</t>
  </si>
  <si>
    <t>Customer Responsibility</t>
  </si>
  <si>
    <t>Not Applicable</t>
  </si>
  <si>
    <t>New Practices</t>
  </si>
  <si>
    <t>Status</t>
  </si>
  <si>
    <t>Level 2 - Advanced</t>
  </si>
  <si>
    <t>Level 3 - Expert (Guidance Coming Soon)</t>
  </si>
  <si>
    <t>Coverage</t>
  </si>
  <si>
    <t>N/A</t>
  </si>
  <si>
    <t>AM.L3-2</t>
  </si>
  <si>
    <t>RE.L3-10</t>
  </si>
  <si>
    <t>SA.L3-14</t>
  </si>
  <si>
    <t>Security Suite</t>
  </si>
  <si>
    <t>Microsoft 365 Security Services</t>
  </si>
  <si>
    <t>Value</t>
  </si>
  <si>
    <t>Legacy Practices</t>
  </si>
  <si>
    <t>L3 Status</t>
  </si>
  <si>
    <t>NIST Mapping</t>
  </si>
  <si>
    <t>Scope</t>
  </si>
  <si>
    <t>AC.1.001</t>
  </si>
  <si>
    <t>AC.1.002</t>
  </si>
  <si>
    <t>AC.1.003</t>
  </si>
  <si>
    <t>AC.1.004</t>
  </si>
  <si>
    <t>AC.2.005</t>
  </si>
  <si>
    <t>AC.2.006</t>
  </si>
  <si>
    <t>AC.2.007</t>
  </si>
  <si>
    <t>AC.2.008</t>
  </si>
  <si>
    <t>AC.2.009</t>
  </si>
  <si>
    <t>AC.2.010</t>
  </si>
  <si>
    <t>AC.2.011</t>
  </si>
  <si>
    <t>AC.2.013</t>
  </si>
  <si>
    <t>AC.2.015</t>
  </si>
  <si>
    <t>AC.2.016</t>
  </si>
  <si>
    <t>AC.3.012</t>
  </si>
  <si>
    <t>AC.3.014</t>
  </si>
  <si>
    <t>AC.3.017</t>
  </si>
  <si>
    <t>AC.3.018</t>
  </si>
  <si>
    <t>AC.3.019</t>
  </si>
  <si>
    <t>AC.3.020</t>
  </si>
  <si>
    <t>AC.3.021</t>
  </si>
  <si>
    <t>AC.3.022</t>
  </si>
  <si>
    <t>AC.4.023</t>
  </si>
  <si>
    <t>AC.4.025</t>
  </si>
  <si>
    <t>AC.4.032</t>
  </si>
  <si>
    <t>AC.5.024</t>
  </si>
  <si>
    <t>AM.3.036</t>
  </si>
  <si>
    <t>AM.4.226</t>
  </si>
  <si>
    <t>AT.2.056</t>
  </si>
  <si>
    <t>AT.2.057</t>
  </si>
  <si>
    <t>AT.3.058</t>
  </si>
  <si>
    <t>AT.4.059</t>
  </si>
  <si>
    <t>AT.4.060</t>
  </si>
  <si>
    <t>AU.2.041</t>
  </si>
  <si>
    <t>AU.2.042</t>
  </si>
  <si>
    <t>AU.2.043</t>
  </si>
  <si>
    <t>AU.2.044</t>
  </si>
  <si>
    <t>AU.3.045</t>
  </si>
  <si>
    <t>AU.3.046</t>
  </si>
  <si>
    <t>AU.3.048</t>
  </si>
  <si>
    <t>AU.3.049</t>
  </si>
  <si>
    <t>AU.3.050</t>
  </si>
  <si>
    <t>AU.3.051</t>
  </si>
  <si>
    <t>AU.3.052</t>
  </si>
  <si>
    <t>AU.4.053</t>
  </si>
  <si>
    <t>AU.4.054</t>
  </si>
  <si>
    <t>AU.5.055</t>
  </si>
  <si>
    <t>CA.2.157</t>
  </si>
  <si>
    <t>CA.2.158</t>
  </si>
  <si>
    <t>CA.2.159</t>
  </si>
  <si>
    <t>CA.3.161</t>
  </si>
  <si>
    <t>CA.3.162</t>
  </si>
  <si>
    <t>CA.4.163</t>
  </si>
  <si>
    <t>CA.4.164</t>
  </si>
  <si>
    <t>CA.4.227</t>
  </si>
  <si>
    <t>CM.2.061</t>
  </si>
  <si>
    <t>CM.2.062</t>
  </si>
  <si>
    <t>CM.2.063</t>
  </si>
  <si>
    <t>CM.2.064</t>
  </si>
  <si>
    <t>CM.2.065</t>
  </si>
  <si>
    <t>CM.2.066</t>
  </si>
  <si>
    <t>CM.3.067</t>
  </si>
  <si>
    <t>CM.3.068</t>
  </si>
  <si>
    <t>CM.3.069</t>
  </si>
  <si>
    <t>CM.4.073</t>
  </si>
  <si>
    <t>CM.5.074</t>
  </si>
  <si>
    <t>IA.1.076</t>
  </si>
  <si>
    <t>IA.1.077</t>
  </si>
  <si>
    <t>IA.2.078</t>
  </si>
  <si>
    <t>IA.2.079</t>
  </si>
  <si>
    <t>IA.2.080</t>
  </si>
  <si>
    <t>IA.2.081</t>
  </si>
  <si>
    <t>IA.2.082</t>
  </si>
  <si>
    <t>IA.3.083</t>
  </si>
  <si>
    <t>IA.3.084</t>
  </si>
  <si>
    <t>IA.3.085</t>
  </si>
  <si>
    <t>IA.3.086</t>
  </si>
  <si>
    <t>IR.2.092</t>
  </si>
  <si>
    <t>IR.2.093</t>
  </si>
  <si>
    <t>IR.2.094</t>
  </si>
  <si>
    <t>IR.2.096</t>
  </si>
  <si>
    <t>IR.2.097</t>
  </si>
  <si>
    <t>IR.3.098</t>
  </si>
  <si>
    <t>IR.3.099</t>
  </si>
  <si>
    <t>IR.4.100</t>
  </si>
  <si>
    <t>IR.4.101</t>
  </si>
  <si>
    <t>IR.5.102</t>
  </si>
  <si>
    <t>IR.5.106</t>
  </si>
  <si>
    <t>IR.5.108</t>
  </si>
  <si>
    <t>IR.5.110</t>
  </si>
  <si>
    <t>MA.2.111</t>
  </si>
  <si>
    <t>MA.2.112</t>
  </si>
  <si>
    <t>MA.2.113</t>
  </si>
  <si>
    <t>MA.2.114</t>
  </si>
  <si>
    <t>MA.3.115</t>
  </si>
  <si>
    <t>MA.3.116</t>
  </si>
  <si>
    <t>MP.1.118</t>
  </si>
  <si>
    <t>MP.2.119</t>
  </si>
  <si>
    <t>MP.2.120</t>
  </si>
  <si>
    <t>MP.2.121</t>
  </si>
  <si>
    <t>MP.3.122</t>
  </si>
  <si>
    <t>MP.3.123</t>
  </si>
  <si>
    <t>MP.3.124</t>
  </si>
  <si>
    <t>MP.3.125</t>
  </si>
  <si>
    <t>PE.1.131</t>
  </si>
  <si>
    <t>PE.1.132</t>
  </si>
  <si>
    <t>PE.1.133</t>
  </si>
  <si>
    <t>PE.1.134</t>
  </si>
  <si>
    <t>PE.2.135</t>
  </si>
  <si>
    <t>PE.3.136</t>
  </si>
  <si>
    <t>PS.2.127</t>
  </si>
  <si>
    <t>PS.2.128</t>
  </si>
  <si>
    <t>RE.2.137</t>
  </si>
  <si>
    <t>RE.2.138</t>
  </si>
  <si>
    <t>RE.3.139</t>
  </si>
  <si>
    <t>RE.5.140</t>
  </si>
  <si>
    <t>RM.2.141</t>
  </si>
  <si>
    <t>RM.2.142</t>
  </si>
  <si>
    <t>RM.2.143</t>
  </si>
  <si>
    <t>RM.3.144</t>
  </si>
  <si>
    <t>RM.3.146</t>
  </si>
  <si>
    <t>RM.3.147</t>
  </si>
  <si>
    <t>RM.4.148</t>
  </si>
  <si>
    <t>RM.4.149</t>
  </si>
  <si>
    <t>RM.4.150</t>
  </si>
  <si>
    <t>RM.4.151</t>
  </si>
  <si>
    <t>RM.5.152</t>
  </si>
  <si>
    <t>RM.5.155</t>
  </si>
  <si>
    <t>SA.3.169</t>
  </si>
  <si>
    <t>SA.4.171</t>
  </si>
  <si>
    <t>SA.4.173</t>
  </si>
  <si>
    <t>SC.1.175</t>
  </si>
  <si>
    <t>SC.1.176</t>
  </si>
  <si>
    <t>SC.2.178</t>
  </si>
  <si>
    <t>SC.2.179</t>
  </si>
  <si>
    <t>SC.3.177</t>
  </si>
  <si>
    <t>SC.3.180</t>
  </si>
  <si>
    <t>SC.3.181</t>
  </si>
  <si>
    <t>SC.3.182</t>
  </si>
  <si>
    <t>SC.3.183</t>
  </si>
  <si>
    <t>SC.3.184</t>
  </si>
  <si>
    <t>SC.3.185</t>
  </si>
  <si>
    <t>SC.3.186</t>
  </si>
  <si>
    <t>SC.3.187</t>
  </si>
  <si>
    <t>SC.3.188</t>
  </si>
  <si>
    <t>SC.3.189</t>
  </si>
  <si>
    <t>SC.3.190</t>
  </si>
  <si>
    <t>SC.3.191</t>
  </si>
  <si>
    <t>SC.3.192</t>
  </si>
  <si>
    <t>SC.3.193</t>
  </si>
  <si>
    <t>SC.4.197</t>
  </si>
  <si>
    <t>SC.4.199</t>
  </si>
  <si>
    <t>SC.4.202</t>
  </si>
  <si>
    <t>SC.4.228</t>
  </si>
  <si>
    <t>SC.4.229</t>
  </si>
  <si>
    <t>SC.5.198</t>
  </si>
  <si>
    <t>SC.5.208</t>
  </si>
  <si>
    <t>SC.5.230</t>
  </si>
  <si>
    <t>SI.1.210</t>
  </si>
  <si>
    <t>SI.1.211</t>
  </si>
  <si>
    <t>SI.1.212</t>
  </si>
  <si>
    <t>SI.1.213</t>
  </si>
  <si>
    <t>SI.2.214</t>
  </si>
  <si>
    <t>SI.2.216</t>
  </si>
  <si>
    <t>SI.2.217</t>
  </si>
  <si>
    <t>SI.3.218</t>
  </si>
  <si>
    <t>SI.3.219</t>
  </si>
  <si>
    <t>SI.3.220</t>
  </si>
  <si>
    <t>SI.4.221</t>
  </si>
  <si>
    <t>SI.5.222</t>
  </si>
  <si>
    <t>SI.5.223</t>
  </si>
  <si>
    <t>Service Overview</t>
  </si>
  <si>
    <t>Microsoft Inherited Coverage</t>
  </si>
  <si>
    <t>Total</t>
  </si>
  <si>
    <t xml:space="preserve"> </t>
  </si>
  <si>
    <t>All</t>
  </si>
  <si>
    <t>NIST</t>
  </si>
  <si>
    <t>AC</t>
  </si>
  <si>
    <t>AU</t>
  </si>
  <si>
    <t>AT</t>
  </si>
  <si>
    <t>CA</t>
  </si>
  <si>
    <t>CM</t>
  </si>
  <si>
    <t>Out of Scope for Level 3</t>
  </si>
  <si>
    <t>IA</t>
  </si>
  <si>
    <t>IR</t>
  </si>
  <si>
    <t>MA</t>
  </si>
  <si>
    <t>MP</t>
  </si>
  <si>
    <t>PE</t>
  </si>
  <si>
    <t>PS</t>
  </si>
  <si>
    <t>RA</t>
  </si>
  <si>
    <t>SC</t>
  </si>
  <si>
    <t>SI</t>
  </si>
  <si>
    <t>Control</t>
  </si>
  <si>
    <t>Column1</t>
  </si>
  <si>
    <t>Implementation Statement</t>
  </si>
  <si>
    <t>#Characters</t>
  </si>
  <si>
    <t>It is good practice to assign permissions using the principle of least permissions; this involves giving users the exact permissions they need to do their jobs properly. Users, groups, and applications are added to roles in Azure, and those roles have certain permissions. You can use the built-in roles that Azure offers, or you can create custom roles in RBAC.
RBAC helps in the creation and assignment of different permissions to different identities. This helps in segregating duties within teams, rather than everyone having all permissions. RBAC helps in making people responsible for their job because others might not even have the necessary access to perform it. It should be noted that providing permissions at a greater scope automatically ensures that child resources inherit those permissions. For example, providing an identity with read access for a resource group means that the identity will have read access to all the resources within that group, too.
Customer Responsibility:
•	Responsible for authorizing access to the customer system.</t>
  </si>
  <si>
    <t>There are two ways to create your company terms and conditions:
•	by using Intune 
•	by using the Azure Active Directory terms of use feature
Customer Responsibility 
•	Responsible for implementing a compliant system use notification for all customer-deployed resources.</t>
  </si>
  <si>
    <t>Using Intune, you can apply device configuration policies to Azure AD user and/or device groups. The policies can also be set through the Device Installation CSP settings and the Device Installation GPOs. To protect your devices and corporate resources, you can use Azure Active Directory (AAD) Conditional Access policies with Intune. 
Intune passes the results of your device compliance policies to Azure AD, which then uses conditional access policies to enforce which devices and apps can access your corporate resources. 
Additionally, when managing devices in your organization, you want to create groups of settings that apply to different device groups. To prevent malware infections or data loss in your organization, you may want to block certain kinds of USB devices, such as a USB flash drive or camera, and allow other kinds of USB devices, such as a keyboard or mouse. Further, you may want to allow USB devices by specific device IDs. You can complete this task using Administrative Templates in Intune. The templates are built into Intune and do not require customization. 
No customer responsibility.</t>
  </si>
  <si>
    <t>Microsoft Azure Active Directory (AAD) offers a robust security set for enforcing the types of transactions and functions that authorized users are permitted to execute. Best practice recommendation is to segregate duties within your team by setting up Role Based Access Control (RBAC) which will help you manage who has access to Azure resources. More granularity, you can restrict what the users can do with the resources and what areas they have access to. 
Ensure that the right users have the right access to the right resources by using intelligent cloud identity governance. Monitor and audit access to all resources while managing employee productivity.
Additionally, you can secure privileged access within your organization using Privileged Identity Management (PIM). PIM will reduce risk to accounts with the most privileged access, resources and data. PIM enforces Just In Time access for these accounts which allows timed permission to be granted for specific resources.
Customer Responsibility 
•Responsible for authorizing access to the customer system</t>
  </si>
  <si>
    <t xml:space="preserve">Microsoft Azure Active Directory (AAD) offers a robust security set for employing the principle of least privileged access. Best practice recommendation is to segregate duties within your team by setting up Role Based Access Control (RBAC) which will help you manage who has access to Azure resources. More granularly, you can restrict what the users can do with the resources and what areas they have access to. 
Additionally, you can secure privileged access within your organization using Privileged Identity Management (PIM). PIM will reduce risk to accounts with access to the most privileged access, resources and data. PIM enforces Just In Time access for these accounts which allows timed permission to be granted for specific resources.
Customer Responsibility
•	Responsible for enforcing least privilege across customer-controlled accounts. 
</t>
  </si>
  <si>
    <t xml:space="preserve">Microsoft Azure offers a robust security set for enforcing the use of non-privileged accounts or roles when accessing non-security functions. Best practice recommendation is to segregate duties within your team by setting up Role Based Access (RBAC) which will help you manage who has access to Azure resources. More granularity, you can restrict what the users can do with the resources and what areas they have access to. 
Additionally, you can secure privileged access within your organization using Privileged Identity Management (PIM). PIM will reduce risk to accounts with the most privileged access, resources and data. PIM enforces Just In Time access for these accounts which allows timed permission to be granted for specific resources.
Customer Responsibility
•Responsible for requiring the use of non-privileged accounts/roles when accessing non-security functions for customer-deployed resources. 
</t>
  </si>
  <si>
    <t xml:space="preserve">Microsoft customers should consider two factors when implementing this control. They should determine the threshold for how many consecutive times a failed login will be allowed before a lock out is implemented, and then determine what would be the duration of that lock out. Having three consecutive, unsuccessful logon attempts is a common setting. Organizations should set this number at a level that fits their risk profile. Fewer unsuccessful attempts provide higher security. You can control the lockout duration using Azure Active Directory smart lockout.
Customer Responsibility
•	Responsible for enforcing a limit of consecutive failed login attempts on customer-deployed
</t>
  </si>
  <si>
    <t xml:space="preserve">Configure screen lock settings using Intune. Enforce controls using conditional access to only grant access to resources if devices are marked as compliant. 
By default, Azure Active Directory (AAD) obscures all passwords. Microsoft’s Password boxes conceal the characters typed into it for purposes of privacy. By default, the password box provides a way for the user to view their password by holding down a reveal button. 
You can disable this feature for Windows 10 using policy as an added security measure to ensure your password can not be displayed on the login screen
Customer Responsibility
•	Responsible for incorporating a session lock on all customer-deployed resources.
•	Responsible for concealing previously visible information when a session lock is initiated on customer-deployed resources.
</t>
  </si>
  <si>
    <t>Intune/Microsoft Endpoint Manager integrates with network access control (NAC) to allow companies to make access control decisions, such as; what devices are allowed to access corporate Wi-Fi or VPN resources. Using NAC with Conditional Access and Intune you can create access control decisions. The controls will determine if users will be allowed or denied access to corporate Wi-Fi or VPN resources based on whether the device they are using is managed and compliant with Intune device compliance policies.
No customer responsibility.</t>
  </si>
  <si>
    <t xml:space="preserve">Intune/Microsoft Endpoint Manager integrates with network access control (NAC) to allow companies to make access control decisions, such as; what devices are allowed to access corporate Wi-Fi or VPN resources. Using NAC with Conditional Access and Intune you can create access control decisions. The controls will determine if users will be allowed or denied access to corporate Wi-Fi or VPN resources based on whether the device they are using is managed and compliant with Intune device compliance policies.
Additionally, using Microsoft Intune built-in Wi-Fi settings called a “profile”, you can deploy specific Wi-Fi connection requirements to users with supported devices in your organization. Intune/Microsoft Endpoint Manager offers many features, including authenticating to your network, using a pre-shared key for encryption and more. 
Customer Responsibility
•Responsible for the separation of duties across customer-controlled accounts.
</t>
  </si>
  <si>
    <t>Microsoft Azure offers a robust security set for employing separation of duties. Best practice recommendation is to segregate duties within your team by setting up Role Based Access (RBAC) which will help you manage who has access to Azure resources. More granularity, you can restrict what the users can do with the resources and what areas they have access to. 
Additionally, you can secure privileged access within your organization using Privileged Identity Management (PIM). PIM will reduce risk to accounts with access to the most privileged access, resources and data. PIM enforces Just In Time access for these accounts which allows timed permission to be granted for specific resources
Customer Responsibility
•Responsible for the separation of duties across customer-controlled accounts.</t>
  </si>
  <si>
    <t xml:space="preserve">Microsoft Azure offers a robust security set for preventing the use of non-privileged accounts from executing privileged functions. Best practice recommendation is to segregate duties within your team by setting up Role Based Access (RBAC) which will help you manage who has access to Azure resources. More granularity, you can restrict what the users can do with the resources and what areas they have access to. 
Additionally, you can secure privileged access within your organization using Privileged Identity Management (PIM). PIM will reduce risk to accounts with the most privileged access, resources and data. PIM enforces Just In Time access for these accounts which allows timed permission to be granted for specific resources.
Customer Responsibility 
•Responsible for auditing the execution of privileged functions on customer-deployed resources.
•Responsible for ensuring that non-privileged users cannot execute privileged functions on customer-deployed resources
</t>
  </si>
  <si>
    <t xml:space="preserve">Implement automatic user session re-evaluation with Azure AD features such as Risk-Based Conditional Access and Continuous Access Evaluation. Inactivity conditions can be implemented at a device level as described in:
•	Sign-in risk-based Conditional Access
•	User risk-based Conditional Access
•	Continuous Access Evaluation
Additionally, having a lockout threshold limiting the number of unsuccessful login attempts will protect against threats such as, Brute Force Attacks by automatically locking the account after a specified number of attempts. Default lockout threshold is set to 10 failed sign-ins before the first lockout occurs. It is important to customize the lockout threshold to fit your business requirements using Azure Active Directory smart lockout (AAD).
Customer Responsibility
•Responsible for defining and enforcing events or conditions requiring the termination of a user session on customer-deployed resources
</t>
  </si>
  <si>
    <t>Not In-Scope.</t>
  </si>
  <si>
    <t>Use Azure Active Directory to manage and secure identities by requiring single sign-on and multifactor authentication to protect your users. The recommended way to enable and use Azure AD Multi-Factor Authentication is with Conditional Access Policies. 
Intune/Microsoft Endpoint Manager integrates with Network Access Control (NAC) to allow companies to make access control decisions, such as; what devices are allowed to access corporate Wi-Fi or VPN resources. Using NAC with Conditional Access and Intune you can create access control decisions. The controls will determine if users will be allowed or denied access to corporate Wi-Fi or VPN resources based on whether the device they are using is managed and compliant with Intune device compliance policies.
Explore using Azure ExpressRoute to create private connections between Azure datacenters and infrastructure on your premises or in a colocation environment. ExpressRoute connection restricts public internet providing a private connection to Azure. 
Customer Responsibility
•Responsible for monitoring and controlling remote access methods for customer-deployed resources.</t>
  </si>
  <si>
    <t>Use Azure Active Directory to manage and secure identities by requiring single sign-on and multifactor authentication to protect your users. The recommended way to enable and use Azure AD Multi-Factor Authentication is with Conditional Access Policies. Learn how to Create a Conditional Access Policy. 
Intune/Microsoft Endpoint Manager integrates with Network Access Control (NAC) to allow companies to make access control decisions, such as; what devices are allowed to access corporate Wi-Fi or VPN resources. Using NAC with Conditional Access and Intune you can create access control decisions. The controls will determine if users will be allowed or denied access to corporate Wi-Fi or VPN resources based on whether the device they are using is managed and compliant with Intune device compliance policies
Customer Responsibility 
•Responsible for implementing cryptographic mechanisms (e.g., TLS) to protect remote access sessions to customer-deployed resources.</t>
  </si>
  <si>
    <t xml:space="preserve">Using Azure Bastion protects your virtual machines from exposing RDP/SSH ports to the outside world, while still providing secure access using RDP/SSH. Using Azure Bastion, you can securely and seamlessly connect to your virtual machines over SSL directly in the Azure portal. To set up an Azure Bastion host, see Create a bastion host
Create a VPN Gateway that lets you connect to your virtual network from a remote location. There are different configurations available for VPN gateway connections.
Intune/Microsoft Endpoint Manager integrates with network access control (NAC) to allow companies to make access control decisions, such as; what devices are allowed to access corporate Wi-Fi or VPN resources. Using NAC with Conditional Access and Intune you can create access control decisions. The controls will determine if users will be allowed or denied access to corporate Wi-Fi or VPN resources based on whether the device they are using is managed and compliant with Intune device compliance policies.
Customer Responsibility
•Responsible for routing remote access connections to customer-deployed resources through managed network access control points.
</t>
  </si>
  <si>
    <t>Microsoft Azure offers a robust security set for employing the principle of least privilege. Best practice recommendation is to segregate duties within your team by setting up Role Based Access (RBAC) which will help you manage who has access to Azure resources. More granularity, you can restrict what the users can do with the resources and what areas they have access to. 
Additionally, you can secure privileged access within your organization using Privileged Identity Management (PIM). PIM will reduce risk to accounts with access to the most privileged access, resources and data. PIM enforces Just In Time access for these accounts which allows timed permission to be granted for specific resources
Customer Responsibility 
•Responsible for authorizing privileged commands and access to security-relevant information via remote access for customer-deployed resources.</t>
  </si>
  <si>
    <t>Block access by location with Azure AD Conditional access to control and limit connections to and use of external information systems.
Customer Responsibility 
•Responsible for establishing terms and conditions allowing authorized individuals to access the customer-deployed resources from external information systems.</t>
  </si>
  <si>
    <t xml:space="preserve">Intune can be configured to restrict the copying of data to publicly accessible information systems. Configure Intune to prevent data leaks on non-managed devices and setup app protection policies to secure company data on user-owned devices. 
Controlling data usage and posting information to publicly accessible systems requires information discovery, classification and labeling. Azure Information Protection unified labeling scanner can inspect any files that Windows can index. If you have configured sensitivity labels to apply automatic classification, the scanner can label discovered files to apply that classification, and optionally apply or remove protection.
Microsoft Cloud App Security lets you apply Azure Information Protection classification labels automatically, with or without protection, to files as a file policy governance action. You can also investigate files by filtering for the applied classification label within the Cloud App Security portal. Using classifications enables greater visibility and control of your sensitive data in the cloud. horized individuals to access the customer-deployed resources from external information systems.
Customer Responsibility 
•	Responsible for designating authorized personnel to post publicly accessible information on customer-deployed resources.
</t>
  </si>
  <si>
    <t xml:space="preserve">You can secure confidential data and control information flows with Azure Information Protection. Azure Information Protection (AIP) is a cloud-based solution that helps an organization to classify and optionally, protect its documents and emails by applying labels. Labels can be applied automatically by administrators who define rules and conditions, manually by users, or a combination where users are given recommendations.
Customer Responsibility 
•Responsible for controlling the flow of information within customer-deployed resources and between interconnected systems.
</t>
  </si>
  <si>
    <t>Encrypt CUI on mobile devices and mobile computing platforms using Intune/Microsoft Endpoint Manager with Conditional access to require encryption, such as BitLocker for Windows 10 and later. Require app protection policy and an approved client app for cloud app access. Create and assign Microsoft Intune app protection policies to ensure that apps are protected with a PIN and Encrypted. 
Customer Responsibility
•	Developing processes and procedures for handling of CUI.</t>
  </si>
  <si>
    <t/>
  </si>
  <si>
    <t>Visualize and monitor log data using Azure Sentinel which allows you to create custom workbooks across your data, and also comes with built-in workbook templates to allow you to quickly gain insights across your data as soon as you connect a data source. Connect logs from sources such as, Azure Active Directory, Microsoft Defender for Endpoint, O365 and Intune to Sentinel for optimal visibility of your users’ activities. 
Customer Responsibility
•Configuring Azure auditing capabilities on customer-deployed resources to generate audit records containing the following: what type of event occurred, when the event occurred, where the event occurred, the source of the event, the outcome of the event, and the identity of any subjects associated with the event.</t>
  </si>
  <si>
    <t xml:space="preserve">Visualize and monitor log data using Azure Sentinel which allows you to create custom workbooks across your data, and also comes with built-in workbook templates to allow you to quickly gain insights across your data as soon as you connect a data source. 
Connect logs from sources such as, Azure Active Directory, Microsoft 365 Defender, O365 and Intune to Sentinel for optimal visibility of your users’ activities.
Customer Responsibility
•Reviewing and updating the customer-defined events for customer-deployed resources.
•Defining a process for determining when to review logged events to ensure that the current set remains necessary and sufficient.. (i.e., regular frequency, after incidents, after major system changes)
•Defining and updating event log types to ensure that the current set remains necessary and sufficient.
</t>
  </si>
  <si>
    <t xml:space="preserve">Azure Sentinel classifies failures up front as either transient or permanent, based on the specific type of the failure and the circumstances that led to it. 
Customer Responsibility
•Providing alerts in response to audit processing failures (e.g., storage quota is reached, audit hardware/software errors) of customer-deployed resources.
</t>
  </si>
  <si>
    <t>Consider using Azure Sentinel as your Security Information and Event Management (SIEM) solution. Connect your data sources to Azure Sentinel. Once Azure Sentinel is enabled on your Azure Monitor Log Analytics workspace, every GB of data ingested into the workspace can be retained at no charge for a default retention limit.
Retain the audit and sign-in activity data for longer than the default retention period outlined here by routing it to an Azure storage account using Azure Monitor.
Customer Responsibility
•Retaining audit records for customer-deployed resources to support security investigations and meet regulatory requirements. Audit records must be retained for the defined frequency.
•Ensuring all customer-deployed resources have the ability to generate records for the auditable events</t>
  </si>
  <si>
    <t>Azure hosts are synchronized to internal Microsoft time servers that take their time from Microsoft-owned Stratum 1 devices, with GPS antennas. Virtual machines in Azure can either depend on their host to pass the accurate time (host time) on to the VM or the VM can directly get time from a time server, or a combination of both.
Customer Responsibility
•For generating time stamps for audit records of CUSTOMER-deployed resources using the internal system clock.
•Comparing internal system clocks with an authoritative time source at the required frequency.
•Synchronizing internal system clocks to the authoritative time source</t>
  </si>
  <si>
    <t xml:space="preserve">Ingest logs via Azure Monitor to aggregate security data generated by endpoint devices, network resources, and other security systems. Within Azure Monitor, use Log Analytics Workspace(s) to query and perform analytics, and use Azure Storage Accounts for long-term/archival storage. 
Enable Azure Sentinel for centralized logging via the Azure Portal. You can view the logs in the built-in dashboards and start building queries in Log Analytics to investigate the data. 
Customer Responsibility 
•Providing the capability to centrally review and analyze audit records collected from customer-deployed resources.
</t>
  </si>
  <si>
    <t xml:space="preserve">Azure Sentinel uses Azure role-based access control (Azure RBAC) to provide built-in roles that can be assigned to users, groups, and services in Azure. Use Azure RBAC to create and assign roles within your security operations team to grant appropriate access 
Customer Responsibility
•Preventing unauthorized access to audit information and tools.
</t>
  </si>
  <si>
    <t xml:space="preserve">Use Azure RBAC to create and assign roles within your security operations team to grant appropriate access to Azure Sentinel to limit management of audit logging functionality to a subset of privileged users
Customer Responsibility
•Restricting the management of customer-controlled audit resources to authorized users.
</t>
  </si>
  <si>
    <t xml:space="preserve">Visualize and monitor log data using Azure Sentinel which allows you to create custom workbooks across your data, and also comes with built-in workbook templates to allow you to quickly gain insights across your data as soon as you connect a data source. 
Connect logs from sources such as, Azure Active Directory, Microsoft Defender, O365 and Intune to Sentinel for optimal visibility of your users’ activities.
Customer Responsibility
•Reviewing and analyzing audit records of customer-deployed resources to identify inappropriate or unusual activity.
</t>
  </si>
  <si>
    <t xml:space="preserve">After connecting your data sources to Azure Sentinel, use out-of-the-box detections, built-in templates to help you create threat detection rules. These templates were designed by Microsoft's team of security experts and analysts based on known threats, common attack vectors, and suspicious activity escalation chains. Rules created from these templates will automatically search across your environment for any activity that looks suspicious. Many of the templates can be customized to search for activities, or filter them out, according to your needs. The alerts generated by these rules will create incidents that you can assign and investigate in your environment.
Customer Responsibility
•Analyzing and correlating audit records across customer-deployed repositories.
</t>
  </si>
  <si>
    <t xml:space="preserve">Visualize and monitor log data using Azure Sentinel which allows you to create custom workbooks across your data, and also comes with built-in workbook templates to allow you to quickly gain insights across your data as soon as you connect a data source. 
Centralize sources to one place, such as Azure Sentinel SIEM solution. Connect logs from sources such as, Azure Active Directory, O365, Azure Defender, Microsoft 365 Defender, Microsoft Cloud App Security and Intune to Sentinel for optimal visibility to support analysis and reporting. 
Customer Responsibility
•Providing an audit reduction and report generation capability for customer-deployed resources, including the support of on-demand audit review, analysis, and reporting requirements, and after-the-fact investigations of security incidents.
</t>
  </si>
  <si>
    <t xml:space="preserve">No Microsoft Coverage.
Customer Responsibility
•	Providing role-based security training to users before authorizing access to customer-deployed resources or performing assigned duties. 
•	Providing role-based security training to all identified roles when required by changes to customer-deployed resources.
•	Providing ongoing, periodic role-based security training to all identified roles.
</t>
  </si>
  <si>
    <t xml:space="preserve">No Microsoft Coverage.
Customer Responsibility
•	Providing training on insider threats.
</t>
  </si>
  <si>
    <t xml:space="preserve">Security baselines for Azure focus on cloud-centric control areas. These controls are consistent with well-known security benchmarks, such as those described by the Center for Internet Security (CIS). Our baselines provide guidance for the control areas listed in the Azure Security Benchmark. The content is grouped by the security controls defined by the Azure Security Benchmark and the related guidance applicable to Azure Defender for IoT
Microsoft Intune reports allows you to monitor the health and activity of endpoints more effectively and proactively across your organization, and also provides other reporting data across Intune such as inventory. For example, you will be able to see reports about device compliance, device health, and device trends. In addition, you can create custom reports to obtain more specific data.
Customer Responsibility
•Developing, documenting, and maintaining a baseline configuration of customer-deployed resources.
•Developing and documenting an inventory of customer-deployed resources, that supports tracking and reporting, and includes any information the customer has deemed necessary to achieve effective accountability
</t>
  </si>
  <si>
    <t xml:space="preserve">Intune and Azure Active Directory work together to make sure only managed and compliant devices can access email, Microsoft 365 services, Software as a service (SaaS) apps, and on-premises apps. Additionally, you can set a policy in Azure Active Directory to only enable domain-joined computers or mobile devices that are enrolled in Intune to access Microsoft 365 services.
Customer Responsibility
•Configuring customer-deployed resources to only provide essential capabilities (e.g., disabling extraneous services that may be provided by default, using a system for a single function rather than a system supporting multiple functions, restricting or prohibiting unused or unnecessary functions, ports, protocols, or services).
</t>
  </si>
  <si>
    <t xml:space="preserve">Consider exploring Azure Security Center’s adaptive application controls. Security Center uses machine learning to analyze the applications running on your machines and create a list of the known-safe software. Allow lists are based on your specific Azure workloads that you can customize. When you have enabled and configured adaptive application controls, you will get security alerts if any application runs other than the ones you have defined as safe. Requirements include Azure Defender for servers.
Customer Responsibility 
•Establishing a policy governing the installation of software on customer-deployed resources by users. 
</t>
  </si>
  <si>
    <t>Intune and Azure Active Directory work together to make sure only managed and compliant devices can access email, Microsoft 365 services, Software as a service (SaaS) apps, and on-premises apps. Additionally, you can set a policy in Azure Active Directory to only enable domain-joined computers or mobile devices that are enrolled in Intune to access Microsoft 365 services.
Customer Responsibility 
•Developing, documenting, and maintaining a baseline configuration of customer-deployed resources.</t>
  </si>
  <si>
    <t>Enable Change Tracking and Inventory to track changes in virtual machines hosted in Azure, on-premises, and other cloud environments. To track Azure Resource Manager property changes, see the Azure Resource Graph change history.
Customer Responsibility 
•Reviewing proposed configuration-controlled changes to customer-deployed resources. 
•Documenting configuration-controlled changes associated with customer-deployed resources
•Implementing configuration-controlled changes approved
•Retaining a record of configuration-controlled changes to customer-deployed resources.</t>
  </si>
  <si>
    <t>Analyze the security impact of changes prior to implementation by utilizing test environments. Use purpose-built, managed developer services like Azure DevTest Labs, GitHub Codespaces, and Windows Virtual Desktop to easily manage and optimize dev/test environments, tenants, and subscriptions, without sacrificing governance, cost controls, or security. This can uncover and mitigate potential problems before they occur. Configuration changes should be tested, validated and documented before installing them on the operational system.
Customer Responsibility 
•Analyzing proposed changes to customer-deployed resources to determine potential security impacts prior to implementation</t>
  </si>
  <si>
    <t>Using Azure role-based access control (Azure RBAC), users, groups, and applications from that directory can be granted access to resources in the Azure subscription. For example, a storage account can be placed in a resource group to control access to that specific storage account using Azure AD. Access to Azure Storage can be controlled by Azure Active Directory (Azure AD), which enforces tenant isolation and implements robust measures to prevent access by unauthorized parties, including Microsoft insiders.
Customer Responsibility 	
•Enforcing logical access restrictions when making changes to customer-deployed resources.</t>
  </si>
  <si>
    <t>Network security group contains security rules that allow or deny inbound network traffic to, or outbound network traffic from, several types of Azure resources. For each rule, you can specify source and destination, port, and protocol.
Intune and Azure Active Directory work together to make sure only managed and compliant devices can access email, Microsoft 365 services, Software as a service (SaaS) apps, and on-premises apps. Additionally, you can set a policy in Azure Active Directory to only enable domain-joined computers or mobile devices that are enrolled in Intune to access Microsoft 365 services.
Consider exploring Azure Security Center’s adaptive application controls. Security Center uses machine learning to analyze the applications running on your machines and create a list of the known-safe software. Allow lists are based on your specific Azure workloads that you can customize. When you have enabled and configured adaptive application controls, you will get security alerts if any application runs other than the ones you have defined as safe.
Requirements include Azure Defender for servers. 
Customer Responsibility
•Configuring customer-deployed resources to only provide essential capabilities (e.g., disabling extraneous services that may be provided by default, using a system for a single function rather than a system supporting multiple functions). 
•Prohibiting or restricting the use of specific functions, ports, protocols, and/or services to provide least functionality.
•Organizational processes for reviewing and disabling nonessential programs, functions, ports, protocols, or services to include a defined frequency of reviews.</t>
  </si>
  <si>
    <t>Consider exploring Azure Security Center’s adaptive application controls. Security Center uses machine learning to analyze the applications running on your machines and create a list of the known-safe software. Allow lists are based on your specific Azure workloads that you can customize. When you have enabled and configured adaptive application controls, you will get security alerts if any application runs other than the ones you have defined as safe. Requirements include Azure Defender for servers.
Customer Responsibility
•Identifying software programs authorized to execute on customer-deployed resources.
•Employing a deny-all, permit-by-exception policy to allow the execution of authorized software programs on customer-deployed resources.</t>
  </si>
  <si>
    <t>Microsoft Azure Active Directory (AAD) offers a robust security set for Identifying information system users, processes acting on behalf of users or devices, such as; configuring identification and authentication controls.
Use Azure Active Directory (AAD) to manage and secure identities by requiring single sign-on and multifactor authentication to protect your users. 
Customer Responsibility
•Uniquely identifying and authenticating organizational users
Federal user entities are responsible for properly identifying and authenticating federal users via ADFS</t>
  </si>
  <si>
    <t>Microsoft Azure Active Directory (AAD) offers a robust security set for verifying the identities of users, processes or devices before allowing access to organizational information systems by configuring identification and authentication controls.
Use Azure Active Directory (AAD) to manage and secure identities by requiring single sign-on and Azure Multi-Factor Authentication to protect your users. The recommended way to enable and use Azure AD Multi-Factor Authentication is with Conditional Access Policies.
Customer Responsibility
•Implementing device identification and authentication prior to establishing a connection.
•Federal user entities, as well as other customers using identity federation, are responsible for federal/customer user authenticator management and content.</t>
  </si>
  <si>
    <t xml:space="preserve">Use Azure Active Directory (AAD) to configure a custom password policy and Azure Active Directory Password Protection. To meet this requirement, the policy should enforce complexity requirements. The passwords must meet complexity requirements policy setting determines whether passwords must meet a series of strong-password guidelines.
Customer Responsibility
•Enforcing password complexity requirements (i.e., case sensitivity; number of characters; and the mix of upper-case letters, lower-case letters, numbers, and special characters, including minimum requirements for each type).
</t>
  </si>
  <si>
    <t>Use Azure Active Directory (AAD) to configure a custom password policy and Azure Active Directory Password Protection. To meet this requirement, use a combination of security settings; the policy should enforce password history and have a minimum password age. For example, if you configure the Enforce password history policy setting to ensure that users cannot reuse any of their last 12 passwords, but you do not configure the Minimum password age policy setting to a number that is greater than 0, users could change their password 13 times in a few minutes and reuse their original password.
Customer Responsibility
•Employing password-based authentication to customer-deployed resources and defining the number of password generations that are prohibited from reuse (e.g., 10 most recent passwords may not be reused when creating a new password).</t>
  </si>
  <si>
    <t>When creating a new user or resetting their password using Azure Active Directory (AAD), a temporary password is auto-generated for the user. The temporary password never expires. The user will be required to change the password during the next sign-in process. 
The time a user must wait to change the password is determined by password policy settings, specifically the minimum password age. The Minimum password age policy setting determines the period of time (in days) that a password must be used before the user can change it. You can set a value between 1 and 998 days, or you can allow password changes immediately by setting the number of days to 0. 
Customer Responsibility
•Employing password-based authentication to customer-deployed resources, including the ability to issue users a temporary password with the requirement to immediately change to a permanent password upon login</t>
  </si>
  <si>
    <t xml:space="preserve">Store and transmit cryptographically protected passwords using Key Vault. Using the Azure portal, you can create your Key Vault. You can securely store and access secrets, such as API keys, passwords, certificates, or cryptographic keys. This is useful for websites, apps, and background processes where the application should not have access to credentials.
Customer Responsibility
•Employing password-based authentication, which stores and transmits cryptographically-protected passwords, for customer-deployed resources.
</t>
  </si>
  <si>
    <t xml:space="preserve">By default, Azure Active Directory (AAD) obscures all passwords. Microsoft’s Password boxes conceal the characters typed into it for purposes of privacy. By default, the password box provides a way for the user to view their password by holding down a reveal button. 
You can disable this feature for Windows 10 using policy as an added security measure to ensure your password can not be displayed on the login screen. 
Customer Responsibility
•Obscuring authentication feedback information during the authentication process for any customer-deployed resources.
</t>
  </si>
  <si>
    <t xml:space="preserve">Configure Conditional Access policies to require MFA for all users using the Azure portal. Configure device management policies using Intune/Microsoft Endpoint Manager to enforce Azure MFA for devices. Creating a compliance policy will define the rules and settings that a user’s device must meet to be compliant. Combine this with Conditional Access to enable the ability to block users and devices that do not meet the rules. 
Customer Responsibility
•Implementing multifactor authentication for network access to privileged accounts.
•Implementing multifactor authentication for network access to non-privileged accounts.
</t>
  </si>
  <si>
    <t xml:space="preserve">All Azure AD authentication methods at Authentication Assurance Level 2 &amp; 3 use either nonce or challenges and are resistant to replay attacks. Configure Conditional Access policies to require MFA for all users using the Azure portal. Configure device management policies using Intune/Microsoft Endpoint Manager to enforce Azure MFA for devices. Creating a compliance policy will define the rules and settings that a user’s device must meet to be compliant. Combine this with Conditional Access to enable the ability to block users and devices that do not meet the rules. 
Customer Responsibility
•Implementing replay-resistant authentication mechanisms for network access to privileged accounts.
•Implementing replay-resistant authentication mechanisms for network access to non-privileged accounts.
</t>
  </si>
  <si>
    <t>Assign and manage individual account identifiers and status in Azure Active Directory (AAD) in accordance with existing organizational policies. Take appropriate action on those user accounts by removing their privileged access rights or by deleting the account. 
Govern access for external users in Azure AD entitlement management You can manage the lifecycle of external users by blocking their access after a defined period. Ensure that organizational policy maintains all accounts that remain in the disabled state for a defined period, after which they can be removed.
Customer Responsibility
•Preventing identifier reuse for the customer-defined time period.</t>
  </si>
  <si>
    <t>Use activity filters and create action policies with Microsoft Defender for Identity in Microsoft Cloud App Security. Assess dormant sensitive entities as part of your organizations security policy. Organizations that fail to secure their dormant user accounts leave the door unlocked to their sensitive data safe. 
Assign and manage individual account identifiers and status in Azure Active Directory (AAD) in accordance with existing organizational policies. Take appropriate action on those user accounts by removing their privileged access rights or by deleting the account. 
Govern access for external users in Azure AD entitlement management You can manage the lifecycle of external users by blocking their access after a defined period. Ensure that organizational policy maintains all accounts that remain in the disabled state for a defined period, after which they can be removed.
Customer Responsibility
•Disabling identifiers after a customer-defined time period of inactivity.</t>
  </si>
  <si>
    <t>Incident Response covers controls in the incident response life cycle - preparation, detection and analysis, containment, and post-incident activities. This includes using Azure services such as Azure Security Center and Sentinel to automate the incident response process.
Ensure your organization has processes to respond to security incidents, has updated these processes for Azure, and is regularly exercising them to ensure readiness. If enabled, Microsoft 365 Defender can automatically investigate and resolve alerts through automation and artificial intelligence. You can also perform additional remediation steps to resolve the attack including isolating the device from the network to allow for contained investigations. Additionally, Microsoft Defender for Endpoint automatically investigates all the incidents' supported events and suspicious entities in the alerts, providing you with auto response and information about the important files, processes, services, and more. Connect your data resources to Azure Sentinel for a centralized incident handling capability.
Set up security incident contact information in Azure Security Center. This contact information is used by Microsoft to contact you if the Microsoft Security Response Center (MSRC) discovers that your data has been accessed by an unlawful or unauthorized party. You also have options to customize incident alert and notification in different Azure services based on your incident response needs.
Azure Security Center provides high quality alerts across many Azure assets. You can use the ASC data connector to stream the alerts to Azure Sentinel. Azure Sentinel lets you create advanced alert rules to generate incidents automatically for an investigation.
Export your Azure Security Center alerts and recommendations using the export feature to help identify risks to Azure resources. Export alerts and recommendations either manually or in an ongoing, continuous fashion.
Azure Sentinel provides extensive data analytics across virtually any log source and a case management portal to manage the full lifecycle of incidents. Intelligence information during an investigation can be associated with an incident for tracking and reporting purposes.
Additionally, mark resources using tags and create a naming system to identify and categorize Azure resources, especially those processing sensitive data. It is your responsibility to prioritize the remediation of alerts based on the criticality of the Azure resources and environment where the incident occurred.
Use workflow automation features in Azure Security Center and Azure Sentinel to automatically trigger actions or run a playbook to respond to incoming security alerts. The playbook takes actions, such as sending notifications, disabling accounts, and isolating problematic networks. 
Customer Responsibility 
•Implementing key incident handling capabilities including preparation, detection and analysis, containment, eradication, and recovery.
•Providing incident response support resources that are integral to the organizational incident response capability, providing advice and assistance to users handling security incidents.</t>
  </si>
  <si>
    <t xml:space="preserve">
Connect your data sources such as Azure Defender for IoT, O365 Security and Compliance, Azure Firewall and Microsoft Defender for Endpoint to Azure Sentinel for a centralized source of detection and reporting. Azure Sentinel provides out-of-the-box, built-in templates to help you create threat detection rules. These templates were designed by Microsoft's team of security experts and analysts based on known threats, common attack vectors, and suspicious activity escalation chains. Rules created from these templates will automatically search across your environment for any activity that looks suspicious. Many of the templates can be customized to search for activities, or filter them out, according to your needs. The alerts generated by these rules will create incidents that you can assign and investigate in your environment.
Additionally, you can use Fusion technology which is based on machine learning allowing Azure Sentinel can automatically detect multistage attacks by identifying combinations of anomalous behaviors and suspicious activities that are observed at various stages of the kill-chain. On the basis of these discoveries, Azure Sentinel generates incidents that would otherwise be difficult to catch. These incidents comprise two or more alerts or activities. By design, these incidents are low-volume, high-fidelity, and high-severity. Customized for your environment, this detection technology not only reduces false positive rates but can also detect attacks with limited or missing information. 
Customer Responsibility 
•For incident monitoring of customer-deployed resources
•For requiring personnel to report suspected security incidents to the organizational incident response capability.</t>
  </si>
  <si>
    <t>Set up security incident contact information in Azure Security Center. This contact information is used by Microsoft to contact you if the Microsoft Security Response Center (MSRC) discovers that your data has been accessed by an unlawful or unauthorized party. You also have options to customize incident alert and notification in different Azure services based on your incident response needs.
Azure Security Center provides high quality alerts across many Azure assets. You can use the ASC data connector to stream the alerts to Azure Sentinel. Azure Sentinel lets you create advanced alert rules to generate incidents automatically for an investigation in support of the analysis and triage of events.
Export your Azure Security Center alerts and recommendations using the export feature to help identify risks to Azure resources. Export alerts and recommendations either manually or in an ongoing, continuous fashion.
Connect your data sources such as Azure Defender for IoT, O365 Security and Compliance, Azure Firewall and Microsoft Defender for Endpoint to Azure Sentinel for a centralized source of alerts to analyze and triage. Azure Sentinel provides out-of-the-box, built-in templates to help you create threat detection rules. These templates were designed by Microsoft's team of security experts and analysts based on known threats, common attack vectors, and suspicious activity escalation chains. Rules created from these templates will automatically search across your environment for any activity that looks suspicious. Many of the templates can be customized to search for activities, or filter them out, according to your needs. The alerts generated by these rules will create incidents that you can assign and investigate in your environment.
Azure Sentinel provides extensive data analytics across virtually any log source and a case management portal to manage the full lifecycle of incidents. Intelligence information during an investigation can be associated with an incident for tracking and reporting purposes.
Additionally, mark resources using tags and create a naming system to identify and categorize Azure resources, especially those processing sensitive data. It is your responsibility to prioritize the remediation of alerts based on the criticality of the Azure resources and environment where the incident occurred.
Use workflow automation features in Azure Security Center and Azure Sentinel to automatically trigger actions or run a playbook to respond to incoming security alerts. The playbook takes actions, such as sending notifications, disabling accounts, and isolating problematic networks.
Customer Responsibility 
•Identifying classes of incidents and the actions taken in response to those incidents.</t>
  </si>
  <si>
    <t xml:space="preserve">
Responding to an incident describes the actions the organization takes to prevent or contain the impact of an incident on the organization while it is occurring or shortly after it has occurred. Incident response may be as simple as notifying users to avoid opening a specific type of email message or as complicated as having to implement service continuity plans that require relocation of services and operations to an off-site provider. The broad range of potential incidents requires the organization to have a broad range of capability in incident response.
Incident Response covers controls in the incident response life cycle - preparation, detection and analysis, containment, and post-incident activities. Azure services such as Azure Security Center and Sentinel can support this control to automate the incident response process. 
Connect your data sources such as Azure Defender for IoT, O365 Security and Compliance, Azure Firewall and Microsoft Defender for Endpoint to Azure Sentinel for a centralized source of detection and reporting. Azure Sentinel provides out-of-the-box, built-in templates to help you create threat detection rules. These templates were designed by Microsoft's team of security experts and analysts based on known threats, common attack vectors, and suspicious activity escalation chains. Rules created from these templates will automatically search across your environment for any activity that looks suspicious. Many of the templates can be customized to search for activities, or filter them out, according to your needs. The alerts generated by these rules will create incidents that you can assign and investigate in your environment. 
Use workflow automation features in Azure Security Center and Azure Sentinel to automatically trigger actions or run a playbook to respond to incoming security alerts. The playbook takes actions, such as sending notifications, disabling accounts, and isolating problematic networks. 
Customer Responsibility 
•Implementing key incident handling capabilities including preparation, detection and analysis, containment, eradication, and recovery.
•Identifying customer-controlled information involved in the information contamination.
•Responsible for responding to information spills of customer-controlled data, including the personnel/roles to be alerted of the information spill and the usage of a communication method that is not associated with the spill. 
•Responsible for responding to information spills, including how the contaminated customer-deployed resources are isolated.
•Responsible for responding to information spills, including the eradication of information from the contaminated customer-deployed resources.
•Responsible for responding to information spills of customer-controlled data, including the identification of other resources which may have been subsequently contaminated</t>
  </si>
  <si>
    <t xml:space="preserve">
Tracking and documenting system security incidents includes maintaining records about each incident, the status of the incident, and other pertinent information necessary for forensics, evaluating incident details, trends, and handling incident information can be obtained from a variety of sources including incident reports, incident response teams, audit monitoring, network monitoring, physical access monitoring, and user/administrator reports. 
Reporting incidents addresses specific incident reporting requirements within an organization and the formal incident reporting requirements for the organization. Suspected security incidents may also be reported and include the receipt of suspicious email communications that can potentially contain malicious code. The types of security incidents reported, the content and timeliness of the reports, and the designated reporting authorities reflect applicable laws, Executive Orders, directives, regulations, and policies. Azure Sentinel supports the tracking, documenting and reporting of incidents. Connect your sources to Azure Sentinel for one centralized location to manage incidents in your organization. 
Connect your data sources such as Azure Defender for IoT, O365 Security and Compliance, Azure Firewall and Microsoft Defender for Endpoint to Azure Sentinel for a centralized source of detection and reporting. Azure Sentinel provides out-of-the-box, built-in templates to help you create threat detection rules. These templates were designed by Microsoft's team of security experts and analysts based on known threats, common attack vectors, and suspicious activity escalation chains. Rules created from these templates will automatically search across your environment for any activity that looks suspicious. Many of the templates can be customized to search for activities, or filter them out, according to your needs. The alerts generated by these rules will create incidents that you can assign and investigate in your environment. To learn how to automate your responses to threats, Set up automated threat responses in Azure Sentinel.
Incident reporting is a formal part of the incident closure process. In Azure Sentinel you can use workbooks, Workbooks provide a dashboard to summarize security data visually. Azure Sentinel includes numerous default dashboards and customizable templates to facilitate incident analysis. 
Azure Sentinel provides extensive data analytics across virtually any log source and a case management portal to manage the full lifecycle of incidents. Intelligence information during an investigation can be associated with an incident for tracking and reporting purposes. 
Additionally, mark resources using tags and create a naming system to identify and categorize Azure resources, especially those processing sensitive data. It is your responsibility to prioritize the remediation of alerts based on the criticality of the Azure resources and environment where the incident occurred.
Use workflow automation features in Azure Security Center and Azure Sentinel to automatically trigger actions or run a playbook to respond to incoming security alerts. The playbook takes actions, such as sending notifications, disabling accounts, and isolating problematic networks.
Microsoft Security Response Center
Set up security incident contact information in Azure Security Center. This contact information is used by Microsoft to contact you if the Microsoft Security Response Center (MSRC) discovers that your data has been accessed by an unlawful or unauthorized party. You also have options to customize incident alert and notification in different Azure services based on your incident response needs. Additionally, if you are a security researcher and believe you have found a Microsoft security vulnerability, Microsoft would like to work with you to investigate it. Please note that the Microsoft Security Response Center does not provide technical support for Microsoft products.
Customer Responsibility 
•providing incident response training to users of customer-deployed resources in accordance with assigned roles and responsibilities.
•implementing key incident handling capabilities including preparation, detection and analysis, containment, eradication, and recovery.
•for incident monitoring of customer-deployed resources.
•for requiring personnel to report suspected security incidents to the organizational incident response capability.</t>
  </si>
  <si>
    <t xml:space="preserve">
Organizations are required to test incident response capabilities to determine the effectiveness of the capabilities and to identify potential weaknesses or deficiencies. Incident response testing includes the use of checklists, walk-through or tabletop exercises, simulations (both parallel and full interrupt), and comprehensive exercises. Incident response testing can also include a determination of the effects on organizational operations (e.g., reduction in mission capabilities), organizational assets, and individuals due to incident response. 
Microsoft 365 Defender has attack simulation capabilities that can be deployed to users. If your organization has Microsoft Defender for Office 365 Plan 2, which includes Threat Investigation and Response capabilities, you can use Attack Simulator in the Security &amp; Compliance Center to run realistic attack scenarios in your organization. These simulated attacks can help you identify and find vulnerable users before a real attack impacts your bottom line. 
You can use Azure Sentinel to review incidents in your organization to create a walk-through or tabletop exercise simulating common threats among the organization. Dashboards and graphs are customizable for high level visibility of incidents and can be used to create incident response training presentations. Azure Sentinel provides extensive data analytics across virtually any log source and a case management portal to manage the full lifecycle of incidents. Intelligence information during an investigation can be associated with an incident for tracking and reporting purposes. 
Customer Responsibility 
•Implementing key incident handling capabilities including preparation, detection and analysis, containment, eradication, and recovery.
</t>
  </si>
  <si>
    <t xml:space="preserve">
Organizations are required to test incident response capabilities to determine the effectiveness of the capabilities and to identify potential weaknesses or deficiencies. Incident response testing includes the use of checklists, walk-through or tabletop exercises, simulations (both parallel and full interrupt), and comprehensive exercises. Incident response testing can also include a determination of the effects on organizational operations (e.g., reduction in mission capabilities), organizational assets, and individuals due to incident response. 
Microsoft 365 Defender has attack simulation capabilities that can be deployed to users. If your organization has Microsoft Defender for Office 365 Plan 2, which includes Threat Investigation and Response capabilities, you can use Attack Simulator in the Security &amp; Compliance Center to run realistic attack scenarios in your organization. These simulated attacks can help you identify and find vulnerable users before a real attack impacts your bottom line. 
You can use Azure Sentinel to review incidents in your organization to create a walk-through or tabletop exercise simulating common threats among the organization. Dashboards and graphs are customizable for high level visibility of incidents and can be used to create incident response training presentations. Azure Sentinel provides extensive data analytics across virtually any log source and a case management portal to manage the full lifecycle of incidents. Intelligence information during an investigation can be associated with an incident for tracking and reporting purposes. 
Customer Responsibility 
•Testing the incident response capability of customer-deployed resources.</t>
  </si>
  <si>
    <t>Performing controlled maintenance ensures uptime through established processes such as change and configuration management. Maintenance windows are an important time to apply critical security updates and patches. Maintenance windows also incur risk as systems could crash without proper testing or authorized time windows. Azure Maintenance Control facilitates control of maintenance operations in the platform.
Manage platform updates, that do not require a reboot, using maintenance control. Azure frequently updates its infrastructure to improve reliability, performance, security or launch new features. Most updates are transparent to users. Some sensitive workloads, like gaming, media streaming, and financial transactions, can’t tolerate even few seconds of a VM freezing or disconnecting for maintenance. Maintenance control gives you the option to wait on platform updates and apply them within a 35-day rolling window.
Maintenance control lets you decide when to apply updates to your isolated VMs. With maintenance control, you can:
•	Batch updates into one update package.
•	Wait up to 35 days to apply updates.
•	Automate platform updates for your maintenance window using Azure Functions.
•	Maintenance configurations work across subscriptions and resource groups.
To apply maintenance control to an Azure VM, the VM must be on a dedicated host or created with an isolated VM size. After 35 days, an update will be automatically applied. The controlling user must have resource contributor access.
Customer Responsibility
•Responsible for scheduling, performing, documenting, and reviewing remote maintenance and repair records for all customer-deployed operating systems in accordance with organizational requirements.</t>
  </si>
  <si>
    <t>Use RBAC to control access to control personnel access maintenance activities. By limiting roles and scopes, you limit what resources are at risk. Azure AD RBAC supports over 65 built-in roles. There are Azure AD roles to manage directory objects like users, groups, and applications, and also to manage Microsoft 365 services like Exchange, SharePoint, and Intune.
MFA helps safeguard access to data and applications. It provides an additional layer of security using a second form of authentication. Organizations can use Conditional Access to make the solution fit their specific needs. Azure MFA is deployed by enforcing policies with Conditional Access.
Additionally, performing controlled maintenance ensures uptime through established processes such as change and configuration management. Maintenance windows are an important time to apply critical security updates and patches. Maintenance windows also incur risk as systems could crash without proper testing or authorized time windows. Azure Maintenance Control facilitates control of maintenance operations in the platform.
Customer Responsibility	
•Responsible for approving, controlling and monitoring system maintenance tools used on customer-deployed operating systems.</t>
  </si>
  <si>
    <t>Customer Responsibility
•Responsible for using strong authenticators when establishing non-local maintenance and diagnostic sessions on customer-deployed operating systems.
•Responsible for terminating session and network connections when non-local maintenance is completed on customer-deployed operating systems.</t>
  </si>
  <si>
    <t>You can supervise maintenance personnel with Azure Active Directory Privileged Identity Management. This feature provides tight control over administrative rights including conditional access, eligibility windows, global admin approvals, admin time windows and logging.
Most operations, support, and troubleshooting performed by Microsoft personnel and sub-processors do not require access to customer data. In those rare circumstances where such access is required, Customer Lockbox for Microsoft Azure provides an interface for customers to review and approve or reject customer data access requests. It is used in cases where a Microsoft engineer needs to access customer data, whether in response to a customer-initiated support ticket or a problem identified by Microsoft.
Additionally, Azure Bastion is a fully managed PaaS service that provides secure and seamless RDP and SSH access to your virtual machines directly through the Azure Portal. Azure Bastion is provisioned directly in your Virtual Network (VNet) and supports all VMs in your Virtual Network (VNet) using SSL without any exposure through public IP addresses.
Once the Bastion service is provisioned and deployed in your virtual network, you can use it to seamlessly connect to any VM in this virtual network. As users connect to workloads, Azure Bastion can be used to monitor the remote sessions and take quick management actions. Azure Bastion session monitoring lets you view which users are connected to which VMs. It shows the IP that the user connected from, how long they have been connected, and when they connected. The session management experience lets you select an ongoing session and force-disconnect or delete a session in order to disconnect the user from the ongoing session.
Customer Responsibility
•Managing maintenance personnel and designating organizational personnel with required access authorizations and technical competence to supervise the maintenance activities of personnel who do not possess the required access authorizations.</t>
  </si>
  <si>
    <t>To ensure equipment removed for off-site maintenance is sanitized of any CUI, you will need identify what data is considered CUI. Discovery and labeling sensitive data are the first steps to controlling data security. Labeling sensitive data is something organizations should implement across both physical and logical media. Government regulations such as NIST SP 800-171 (Protecting Controlled Unclassified Information in Nonfederal Systems and Organizations) implicitly specify controls for protecting controlled unclassified information (CUI). This requirement spans across all industries and geographies. The European Union requires secure handing of personally identifiable information (PII) in the General Data Protection Regulation (GDPR) and California has recently implemented a similar regulation with the California Consumer Privacy Regulation (CCPA).
Azure Information Protection
Azure Information Protection (AIP) provides a capability to enable data discovery called scanner. Scanner searches for what sensitive information you have in files that are stored in an on-premises data store or within your cloud environment. For example, a local folder, network share, or SharePoint Server. 
Customer Responsibility
•Removed CUI from equipment such as laptops removed for off-site maintenance.
•After running the AIP scanner, the customer must securely erase the CUI data.</t>
  </si>
  <si>
    <t>As part of troubleshooting, a vendor may provide a diagnostic application to install on a system. As this is executable code, there is a chance that the file is corrupt or infected with malicious code. Implement procedures to scan any files prior to installation. The same level of scrutiny must be made as with any file a staff member may download. For example, you have recently been experiencing performance issues on one of your servers. After troubleshooting for much of the morning, the vendor has asked to install a utility that will collect more data from the server. The file is stored on the vendor’s FTP server. The support technician gives you the FTP site so you can anonymously download the utility file. You also ask him for a hash of the utility file. As you download the file to your local computer, you realize it is compressed. You unzip the file and perform a manual antivirus scan, using Microsoft Defender for Endpoint which reports no issues. To verify the utility file has not been altered, you run an application to see that the hash from the vendor matches.
Customer Responsibility
•Responsible for checking media containing maintenance diagnostic and test programs for malicious code prior to deployment on customer-deployed operating systems.</t>
  </si>
  <si>
    <t>You can secure confidential data and control information flows with Azure Information Protection. Azure Information Protection (AIP) is a cloud-based solution that helps an organization to classify and optionally, protect its documents and emails by applying labels. Labels can be applied automatically by administrators who define rules and conditions, manually by users, or a combination where users are given recommendations. 
Customer Responsibility 
•Marking CUI with applicable marking. (e.g., CUI/SP-XX/NOFORN in subject of email, etc. in addition to applying correct AIP label.)
•Limiting distribution to media containing CUI.</t>
  </si>
  <si>
    <t>Azure Information Protection (AIP)
With AIP you can control and secure emails, documents, and sensitive date inside and outside your organization. Enhance data protection with API, from easy classification to embedded labels and permissions, no matter where it is stored or who it is shared with.
After you have installed and configured AIP clients, you might need to learn more about how the client interprets the different usage rights that can be used to protect documents and emails. 
Intune/Microsoft Endpoint Manager
Intune helps protect devices and your corporate data with tools like security baselines, Azure AD conditional access, and partners for Mobile Threat Defense. Use Conditional Access with Microsoft Intune to control the devices and apps that can connect to your email and company resources. When integrated, you can gate access to keep your corporate data secure, while giving users an experience that allows them to do their best work from any device, and from any location. Conditional Access is an Azure Active Directory capability that is included with an Azure Active Directory Premium license. Through Azure Active Directory, Conditional Access brings signals together to make decisions, and enforce organizational policies. Intune enhances this capability by adding mobile device compliance and mobile app management data to the solution. 
Azure Key Vault
Azure Key Vault is a cloud service that safeguards encryption keys and secrets like certificates, connection strings, and passwords. Because this data is sensitive and business critical, you need to secure access to your key vaults by allowing only authorized applications and users. 
MFA
MFA helps safeguard access to data and applications. It provides an additional layer of security using a second form of authentication. Organizations can use Conditional Access to make the solution fit their specific needs. Azure MFA is deployed by enforcing policies with Conditional Access. Administrators can choose the authentication methods that they want to make available for users. It is important to allow more than a single authentication method so that users have a backup method available in case their primary method is unavailable.
Customer Responsibility 
•Physically control paper media containing CUI
•Physically control digital media such as, diskettes, magnetic tapes, external and removable hard disk drives, flash drives, compact disks, and digital video disks. containing CUI
•Securely store paper media and digital media containing CUI</t>
  </si>
  <si>
    <t>Azure role-based access control (Azure RBAC) is the authorization system you use to manage access to Azure resources. To grant access, you assign roles to users, groups, service principals, or managed identities at a particular scope. This article describes how to assign roles using the Azure portal. If you need to assign administrator roles in Azure Active Directory, see Assign Azure AD roles to users.
Role-based access control (RBAC) helps you manage who has access to your organization's resources and what they can do with those resources. By assigning roles to your Intune users, you can limit what they can see and change. Each role has a set of permissions that determine what users with that role can access and change within your organization.
Use Conditional Access with Microsoft Intune to control the devices and apps that can connect to your email and company resources. When integrated, you can gate access to keep your corporate data secure, while giving users an experience that allows them to do their best work from any device, and from any location.
Conditional Access is an Azure Active Directory capability that is included with an Azure Active Directory Premium license. Through Azure Active Directory, Conditional Access brings signals together to make decisions, and enforce organizational policies. Intune enhances this capability by adding mobile device compliance and mobile app management data to the solution.
Use device compliance policy to establish the conditions by which devices and users are allowed to access your network and company resources such as requiring a device to be marked as compliant, require multi-factor authentication, require approved client app and trusted network locations. 
Customer Responsibility 
•Identifying CUI to ensure the controls are applied to the applicable data.
•Limiting access to CUI on system media to authorized users only.</t>
  </si>
  <si>
    <t>Organizations can employ technical and nontechnical controls (e.g., policies, procedures, and rules of behavior) to control the use of system media. Organizations may control the use of portable storage devices, for example, by using physical cages on workstations to prohibit access to certain external ports, or disabling or removing the ability to insert, read, or write to such devices. Organizations may also limit the use of portable storage devices to only approved devices including devices provided by the organization, devices provided by other approved organizations, and devices that are not personally owned.
 Finally, organizations may control the use of portable storage devices based on the type of device, prohibiting the use of writeable, portable devices, and implementing this restriction by disabling or removing the capability to write to such devices.
Microsoft recommends a layered approach to securing removable media, and Microsoft Defender for Endpoint provides multiple monitoring and control features to help prevent threats in unauthorized peripherals from compromising your devices. Discover plug and play connected events for peripherals in Microsoft Defender for Endpoint advanced hunting.
 To prevent malware infections or data loss, an organization may restrict USB drives and other peripherals. Allow or block removable devices based on granular configuration to deny write access to removable disks and approve or deny devices by using USB device IDs. Flexible policy assignment of device installation settings based on an individual or group of Azure Active Directory (Azure AD) users and devices. The controls can be set through the Intune Administrative Templates. Using Intune, you can apply device configuration policies to Azure AD user and/or device groups. The above policies can also be set through the Device Installation CSP settings and the Device Installation GPOs.
No customer responsibility.</t>
  </si>
  <si>
    <t>Requiring identifiable owners (e.g., individuals, organizations, or projects) for portable storage devices reduces the overall risk of using such technologies by allowing organizations to assign responsibility and accountability for addressing known vulnerabilities in the devices (e.g., insertion of malicious code). 
Microsoft recommends a layered approach to securing removable media, and Microsoft Defender for Endpoint provides multiple monitoring and control features to help prevent threats in unauthorized peripherals from compromising your devices. Discover plug and play connected events for peripherals in Microsoft Defender for Endpoint advanced hunting.
 To prevent malware infections or data loss, an organization may restrict USB drives and other peripherals. Allow or block removable devices based on granular configuration to deny write access to removable disks and approve or deny devices by using USB device IDs. Flexible policy assignment of device installation settings based on an individual or group of Azure Active Directory (Azure AD) users and devices. The controls can be set through the Intune Administrative Templates. Using Intune, you can apply device configuration policies to Azure AD user and/or device groups. The above policies can also be set through the Device Installation CSP settings and the Device Installation GPOs.
No customer responsibility.</t>
  </si>
  <si>
    <t>This requirement applies to all system media, digital and non-digital, subject to disposal or reuse. Examples include: digital media found in workstations, network components, scanners, copiers, printers, notebook computers, and mobile devices; and non-digital media such as paper and microfilm. 
The sanitization process removes information from the media such that the information cannot be retrieved or reconstructed. Sanitization techniques, including clearing, purging, cryptographic erase, and destruction, prevent the disclosure of information to unauthorized individuals when such media is released for reuse or disposal.
No customer responsibility.</t>
  </si>
  <si>
    <t>Microsoft recommends a layered approach to securing removable media, and Microsoft Defender for Endpoint provides multiple monitoring and control features to help prevent threats in unauthorized peripherals from compromising your devices. Discover plug and play connected events for peripherals in Microsoft Defender for Endpoint advanced hunting. To prevent malware infections or data loss, an organization may restrict USB drives and other peripherals. 
Allow or block removable devices based on granular configuration to deny write access to removable disks and approve or deny devices by using USB device IDs. Flexible policy assignment of device installation settings based on an individual or group of Azure Active Directory (Azure AD) users and devices. The controls can be set through the Intune Administrative Templates. Using Intune, you can apply device configuration policies to Azure AD user and/or device groups. The above policies can also be set through the Device Installation CSP settings and the Device Installation GPOs.
Limiting access to sensitive data with least privilege reduces the risk of spillage or unauthorized access. Azure role-based access control (Azure RBAC) is the authorization system you use to manage access to Azure resources. To grant access, you assign roles to users, groups, service principals, or managed identities at a particular scope. Administrators can apply labels to classify data using Azure Information Protection. Azure Information Protection uses the Azure Rights Management service (Azure RMS) to protect your data. Azure RMS uses encryption, identity, and authorization policies. Similar to AIP labels, protection applied using Azure RMS stays with the documents and emails, regardless of the document or email's location, ensuring that you stay in control of your content even when it is shared with other people. 
After classifying data and applying labeling, Azure Information Protection allows you to configure which users or groups have access to that data. 
 Additionally, The Azure portal provides you with several options to access user activity logs on the Azure Active Directory menu. Microsoft's primary MDM tool is Microsoft Intune. Intune is part of a larger Microsoft MDM platform called Microsoft Endpoint Manager.
Using Intune, administrators can enroll, configure, and manage mobile devices on several different operating system platforms, wherever the devices happen to be. Administrators can even intervene when a threat to security occurs, by blocking a device’s access to the company network and erasing any sensitive information stored on it.
Organizations can configure policies to allow, block and restrict USB drives and other peripherals. 
Organization can allow users to install only the USB drives and other peripherals included on a list of authorized devices or device types or prevent users from installing USB drives and other peripherals included on a list of unauthorized devices and device types. 
Additionally, using Intune, you can apply device configuration policies to Azure AD user and/or device groups. The policies can also be set through the Device Installation CSP settings and the Device Installation GPOs. To protect your devices and corporate resources, you can use Azure Active Directory (AAD) Conditional Access policies with Intune. 
Intune passes the results of your device compliance policies to Azure AD, which then uses conditional access policies to enforce which devices and apps can access your corporate resources. 
When managing devices in your organization, you want to create groups of settings that apply to different device groups. You can complete this task using Administrative Templates in Intune. The templates are built into Intune and do not require customization. 
No customer responsibility.</t>
  </si>
  <si>
    <t>Personnel security screening (vetting) activities involve the evaluation/assessment of individual’s conduct, integrity, judgment, loyalty, reliability, and stability (i.e., the trustworthiness of the individual) prior to authorizing access to organizational systems containing CUI. The screening activities reflect applicable federal laws, Executive Orders, directives, policies, regulations, and specific criteria established for the level of access required for assigned positions.
You can ensure all employees who need access to CUI undergo organization-defined screening before being granted access based on the types of screening requirements for a given position and role. Clearly define positions and roles within your organization. Implement roles using Azure RBAC. For example, administrators with access to CUI and specific roles with permissions to view CUI should follow an organizationally defined screening process. 
Customer Responsibility
•	Screening individuals prior to authorizing access to customer-deployed resources.</t>
  </si>
  <si>
    <t>To protect organizational system containing CUI it is important to have controls in place that can identify users and remove access when needed. Azure Active Directory (AAD) is the cornerstone of identity in Azure. AAD enables hybrid identities through Azure AD Connect, an on-premises solution that is used to synchronize Active Directory identities with AAD, as well as to deploy Active Directory Federation Services (ADFS).
RBAC helps in the creation and assignment of different permissions to different identities. This helps in segregating duties within teams, rather than everyone having all permissions. It is good practice to assign permissions using the principle of least permissions; this involves giving users the exact permissions they need to do their jobs properly. Users, groups, and applications are added to roles in Azure, and those roles have certain permissions. You can use the built-in roles that Azure offers, or you can create custom roles in RBAC.
Conditional Access allows you to set up access policies to prohibit a specific activity, as well as to trigger MFA according to rules that you define). You may target conditional access policies toward specific users or groups, or to specific apps.
Customer Responsibility
•	Appropriately terminating customer personnel within a customer-defined time period.
•	Appropriately transferring personnel and reviewing current logical and physical access authorizations to customer-deployed resources/facilities when individuals are reassigned or transferred.</t>
  </si>
  <si>
    <t>Microsoft Coverage for cloud-based services.</t>
  </si>
  <si>
    <t>Intune helps you ensure that your company's devices, apps, and data meet your company's security requirements. You have the control to set which requirements (AntiVirus Status, MFA,Password Policy etc) need to be checked and what happens when those requirements aren't met. The Microsoft Endpoint Manager admin center is where you can find the Microsoft Intune service, as well as other device management related settings.
MFA helps safeguard access to data and applications. It provides an additional layer of security using a second form of authentication. Organizations can use Conditional Access to make the solution fit their specific needs. Azure MFA is deployed by enforcing policies with Conditional Access.
Conditional Access is the tool used by Azure Active Directory to bring signals together, to make decisions, and enforce organizational policies. Conditional Access is at the heart of the new identity driven control plane. Conditional access policies are highly configurable and include several capabilities:
•	Require MFA for admins
•	End user protection
•	Block legacy authentication
•	Require MFA for Service Management
•	Block access by location
•	Require trusted location for MFA registration
•	Require compliant devices
Customer Responsibility
•	Safeguarding measures for CUI are defined for alternate work sites.
•	Enforcing safeguarding measures for CUI for alternate work sites.</t>
  </si>
  <si>
    <t>There are several methods to protecting backups including access management, redundancy and encryption. Azure Role-Based Access Control (RBAC) enables fine-grained access management for Azure. Using RBAC, you can segregate duties within your team and grant only the amount of access to users that they need to perform their jobs. Azure Backup provides three built-in roles to control backup management operations. 
Secure your backups and protect against ransomware by enabling multifactor authentication using a security PIN generated in the Azure portal. If it is enabled, you are asked to authenticate from another device (for example, a mobile phone) while signing into the Azure portal. When you perform critical operations in Backup, you have to enter a security PIN, available on the Azure portal. Enabling Azure AD Multi-Factor Authentication adds a layer of security. Only authorized users with valid Azure credentials, and authenticated from a second device, can access the Azure portal.
Fully control how you protect and access your data with customer-managed keys that use 256-bit AES encryption. You can use your own encryption key to protect the data in your storage account. When you specify a customer-managed key, that key is used to protect and control access to the key that encrypts your data. Customer-managed keys offer greater flexibility to manage access controls. 
Create private endpoints within your Azure Virtual Network to securely backup and restore data from your Recovery Services vaults. Azure Backup allows you to securely backup and restore your data from your Recovery Services vaults using private endpoints. Private endpoints use one or more private IP addresses from your VNet, effectively bringing the service into your VNet. Private endpoints for Backup can be only created for Recovery Services vaults that do not have any items protected to it (or haven't had any items attempted to be protected or registered to it in the past). So, we suggest you create a new vault to start with. 
All your backed-up data is automatically encrypted when stored in the cloud using Azure Storage encryption, which helps you meet your security and compliance commitments. This data at rest is encrypted using 256-bit AES encryption, one of the strongest block ciphers available, and is FIPS 140-2 compliant. In addition to encryption at rest, all your backup data in transit is transferred over HTTPS. It always remains on the Azure backbone network. 
Customer Responsibility
•	Responsible for conducting backups of user-level information in customer-deployed resources at a frequency consistent with customer-defined RTO's and RPO's. Note: if the customer configures Microsoft Azure backup services appropriately, Azure can support data loss prevention.
•	Responsible for conducting backups of system-level information in customer-deployed resources at a frequency consistent with customer-defined RTO's and RPO's. Note: if the customer configures Microsoft Azure backup services appropriately, Azure can support data loss prevention.
•	Responsible for conducting backups of system documentation information in customer-deployed resources at a frequency consistent with customer-defined RTO's and RPO's. Note: if the customer configures Microsoft Azure backup services appropriately, Azure can support data loss prevention.
•	Responsible for protecting the confidentiality, integrity, and availability (CIA) of customer-controlled backup data. Note: if the customer configures Microsoft Azure backup services appropriately, Azure can support the protection of backup data.</t>
  </si>
  <si>
    <t>There are several methods to protecting backups including access management, redundancy and encryption. Azure Role-Based Access Control (RBAC) enables fine-grained access management for Azure. Using RBAC, you can segregate duties within your team and grant only the amount of access to users that they need to perform their jobs. Azure Backup provides three built-in roles to control backup management operations.
Secure your backups and protect against ransomware by enabling multifactor authentication using a security PIN generated in the Azure portal. If it is enabled, you are asked to authenticate from another device (for example, a mobile phone) while signing into the Azure portal. When you perform critical operations in Backup, you have to enter a security PIN, available on the Azure portal. Enabling Azure AD Multi-Factor Authentication adds a layer of security. Only authorized users with valid Azure credentials, and authenticated from a second device, can access the Azure portal.
Fully control how you protect and access your data with customer-managed keys that use 256-bit AES encryption. You can use your own encryption key to protect the data in your storage account. When you specify a customer-managed key, that key is used to protect and control access to the key that encrypts your data. Customer-managed keys offer greater flexibility to manage access controls. 
Create private endpoints within your Azure Virtual Network to securely backup and restore data from your Recovery Services vaults. Azure Backup allows you to securely backup and restore your data from your Recovery Services vaults using private endpoints. Private endpoints use one or more private IP addresses from your VNet, effectively bringing the service into your VNet. Private endpoints for Backup can be only created for Recovery Services vaults that do not have any items protected to it (or haven't had any items attempted to be protected or registered to it in the past). So, we suggest you create a new vault to start with. 
All your backed-up data is automatically encrypted when stored in the cloud using Azure Storage encryption, which helps you meet your security and compliance commitments. This data at rest is encrypted using 256-bit AES encryption, one of the strongest block ciphers available, and is FIPS 140-2 compliant. In addition to encryption at rest, all your backup data in transit is transferred over HTTPS. It always remains on the Azure backbone network.
Customer Responsibility
•	Responsible for conducting backups of user-level information in customer-deployed resources at a frequency consistent with customer-defined RTO's and RPO's. Note: if the customer configures Microsoft Azure backup services appropriately, Azure can support data loss prevention.
•	Responsible for conducting backups of system-level information in customer-deployed resources at a frequency consistent with customer-defined RTO's and RPO's. Note: if the customer configures Microsoft Azure backup services appropriately, Azure can support data loss prevention.
•	Responsible for conducting backups of system documentation information in customer-deployed resources at a frequency consistent with customer-defined RTO's and RPO's. Note: if the customer configures Microsoft Azure backup services appropriately, Azure can support data loss prevention.
•	Responsible for protecting the confidentiality, integrity, and availability (CIA) of customer-controlled backup data. Note: if the customer configures Microsoft Azure backup services appropriately, Azure can support the protection of backup data.</t>
  </si>
  <si>
    <t>Regular backups ensure continuity and availability in the event of a disaster. The Azure Backup service provides simple, secure, and cost-effective solutions to back up your data and recover it from the Microsoft cloud. Azure Backup provides redundancy for on-premises systems/files, Azure VMs, Azure File shares and various databases.
You can use Backup center to efficiently manage backups spanning multiple workload types, vaults, subscriptions, regions, and Azure Lighthouse tenants. Backup center provides native integrations to existing Azure services that enable management at scale. For example, Backup center uses the Azure Policy experience to help you govern your backups. It also leverages Azure workbooks and Azure Monitor Logs to help you view detailed reports on backups. 
You can also discover community resources from the Backup center. You can also use Backup center to perform your regular operations, such as responding to on-demand backup requests, restoring backups, creating backup policies, and so on. Refer to the support matrix for a detailed list of supported and unsupported scenarios. 
Additionally, to help make sure your backups are useful for recovery, Azure Backup Pre-Check tool checks VMs for issues each time a scheduled backup is run. Pre-check verifies VM configurations before a scheduled backup, displays details in the Recovery services vault dashboard, alerts users if a VM configuration can lead to failure and offers suggestions for corrections.
Azure Storage always stores multiple copies of your data so that it is protected from planned and unplanned events, including transient hardware failures, network or power outages, and massive natural disasters. Azure Storage Redundancy ensures that your storage account meets its availability and durability targets even in the face of failures. When deciding which redundancy option is best for your scenario, consider the tradeoffs between lower costs and higher availability.
Customer Responsibility
•	Responsible for conducting backups of user-level information in customer-deployed resources at a frequency consistent with customer-defined RTO's and RPO's. Note: if the customer configures Microsoft Azure backup services appropriately, Azure can support data loss prevention.
•	Responsible for conducting backups of system-level information in customer-deployed resources at a frequency consistent with customer-defined RTO's and RPO's. Note: if the customer configures Microsoft Azure backup services appropriately, Azure can support data loss prevention.
•	Responsible for conducting backups of system documentation information in customer-deployed resources at a frequency consistent with customer-defined RTO's and RPO's. Note: if the customer configures Microsoft Azure backup services appropriately, Azure can support data loss prevention.
•	Responsible for protecting the confidentiality, integrity, and availability (CIA) of customer-controlled backup data. Note: if the customer configures Microsoft Azure backup services appropriately, Azure can support the protection of backup data.
•	Responsible for separately storing backup information (e.g., separate facility or fire-rated container that is not collocated). Note: if the customer configures Microsoft Azure backup services appropriately, Azure can support the protection of backup data.</t>
  </si>
  <si>
    <t>To help assess risk, Azure Security Center provides the Secure Score calculation to provide a readily consumable assessment of your risk posture. Security Center mimics the work of a security analyst, reviewing your security recommendations and applying advanced algorithms to determine how crucial each recommendation is. Azure Security center constantly reviews your active recommendations and calculates your Secure Score based on them, the score of a recommendation is derived from its severity and security best practices that will affect your workload security the most. Security Center also provides you with an Overall Secure Score.
Overall Secure Score is an accumulation of all your recommendation scores. You can view your overall Secure Score across your subscriptions or management groups, depending on what you select. The score will vary based on subscription selected and the active recommendations on these subscriptions. To check which recommendations impact your Secure Score most, you can view the top three most impactful recommendations in the Security Center dashboard or you can sort the recommendations in the recommendations list blade using the Secure Score impact column.
Additionally, Microsoft Defender for Endpoint is an endpoint security solution that includes risk-based vulnerability management and assessment; attack surface reduction capabilities; behavioral based and cloud-powered next generation protection; endpoint detection and response (EDR); automatic investigation and remediation; and managed hunting services. 
Customer Responsibility
•	Responsible for conducting a risk assessment that addresses the likelihood and magnitude of harm from the unauthorized access, use, disclosure, disruption, modification, or destruction of CUSTOMER-deployed resources and processed, stored, or transmitted information.
•	Responsible for reviewing the Microsoft Azure Security Authorization package and performing a risk assessment for any controls deferred to CUSTOMER relating to shared touch points as identified in the Microsoft Azure CUSTOMER Responsibility Matrix.
•	Responsible for conducting a risk assessment and documenting the risk assessment results in the security plan, risk assessment report, and/or other CUSTOMER-defined document.
•	Responsible for conducting a risk assessment and reviewing its results at a CUSTOMER-defined frequency.
•	Responsible for conducting a risk assessment and disseminating its results to CUSTOMER-defined personnel/roles. 
•	Responsible for updating the risk assessment at the CUSTOMER-defined frequency when there are significant changes to CUSTOMER-deployed resources (including the identification of new threats and vulnerabilities) or other conditions that may impact the security state of the system.</t>
  </si>
  <si>
    <t>Azure Security Center
Azure Security Center includes a built-in vulnerability scanner powered by Qualys. There is also capability for direct integration with the vulnerability scanner of your choice via the Azure Security Marketplace. Qualys’s scanner is a leading tool for real-time identification of vulnerabilities in your Azure Virtual Machines. It’s only available to users on the standard pricing tier. You do not need a Qualys license or even a Qualys account – everything is handled seamlessly inside Security Center.
Azure Defender for IoT and Microsoft Defender for Endpoint
Utilizing Microsoft services such as Azure Defender for IoT and Microsoft Defender for Endpoint you can get full visibility into assets and risk across your entire IoT/OT environment to support risk mitigation. Azure Defender for IoT can proactively address vulnerabilities in your IoT/OT environment. Identify risks such as unpatched devices, open ports, unauthorized applications, and unauthorized connections. Detect changes to device configurations, programmable logic controller (PLC) code, and firmware. Prioritize fixes based on risk scoring and automated threat modeling, which identifies the most likely attack paths to compromise your crown jewel assets.
Microsoft Defender for Endpoint is an endpoint security solution that includes risk-based vulnerability management and assessment; attack surface reduction capabilities; behavioral based and cloud-powered next generation protection; endpoint detection and response (EDR); automatic investigation and remediation; and managed hunting services. All devices onboarded in Microsoft Defender for Endpoint are scanned for vulnerabilities.
Get a bird's-eye view across IT/OT boundaries with interoperability with Azure Sentinel, cloud native SIEM/SOAR. Automate response with IoT/OT playbooks. Use machine learning and threat intelligence from trillions of signals. Manage your security posture across cloud workloads with Azure Security Center, and protect them with extended detection and response (XDR) from Azure Defender. Plus, get interoperability with other SOC tools such as Splunk, IBM QRadar, and ServiceNow.
Customer Responsibility
•	Responsible for performing periodic vulnerability scanning on all CUSTOMER-deployed resources, including applications built on those resources.
responsible for performing scans of their applications running within or connected to their purchased Microsoft Azure VMs or deployments.
•	Responsible for employing vulnerability scanning tools and techniques that facilitate interoperability among tools and automate parts of the vulnerability management process. 
•	Responsible for analyzing scan reports and results from security control assessments. 
•	Responsible for remediating vulnerabilities in CUSTOMER-deployed resources in accordance with CUSTOMER risk assessment. 
•	Responsible for sharing information obtained from the vulnerability scanning process and security control assessments to help eliminate similar vulnerabilities across CUSTOMER-deployed resources. 
•	Responsible for implementing privileged access for executing CUSTOMER-defined vulnerability scanning activities.</t>
  </si>
  <si>
    <t>Azure Sentinel provides hunting capabilities to align cyber defenders to threat tactics and facilitate building threat profiles. These profiles allow cyber defenders to target the phase of the attack lifecycle. Azure Sentinel hunting is aligned to the MITRE ATT&amp;CK™ (adversarial tactics, techniques, and common knowledge) framework. These adversary tactics and techniques are grouped within a matrix. 
The Microsoft Intelligent Security Graph uses advanced analytics to link a massive amount of threat intelligence and security data from Microsoft and partners to combat cyberthreats. Insights from the Intelligent Security Graph power real-time threat protection in Microsoft products and services. Also, many organizations utilize threat intelligence platform (TIP) solutions to aggregate threat indicator feeds from a variety of sources. If your organization utilizes an integrated TIP solution the platforms data connector allows you leverage your TIP to import threat indicators into Azure Sentinel. The Threat Intelligence Platforms data connector works with the Microsoft Graph Security Indicators API to bring threat indicators into Azure.
Microsoft Defender for Endpoint
Microsoft Defender for Endpoint is an endpoint security solution that includes risk-based vulnerability management and assessment; attack surface reduction capabilities; behavioral based and cloud-powered next generation protection; endpoint detection and response (EDR); automatic investigation and remediation; and managed hunting services.
Azure Policy
The CMMC L3 blueprint sample provides governance guardrails using Azure Policy that help you assess specific CMMC controls. This blueprint aids customers in deploying a core set of policies for any Azure-deployed architecture that must implement controls for CMMC L3. The associations between compliance domains, controls, and Azure Policy definitions for this compliance standard may change over time. 
Azure Policy definitions applicable to this specific control are as follows:
•	Azure Defender for App Service should be enabled
•	Azure Defender for Azure SQL Database servers should be enabled
•	Azure Defender for container registries should be enabled
•	Azure Defender for Key Vault should be enabled
•	Azure Defender for Kubernetes should be enabled
•	Azure Defender for servers should be enabled
•	Azure Defender for SQL servers on machines should be enabled
•	Azure Defender for Storage should be enabled
•	Security Center standard pricing tier should be selected
•	Vulnerability Assessment settings for SQL server should contain an email address to receive scan reports
These policies may help you assess compliance with the controls implemented to meet CMMC L3 practices; however, there often is not a one-to-one or complete match between a control and one or more policies. As such, compliant in Azure Policy refers only to the policy definitions themselves; this does not ensure you are fully compliant with all requirements of a practice.
Customer Responsibility
•	Conducting a risk assessment that addresses the likelihood and magnitude of harm from the unauthorized access, use, disclosure, disruption, modification, or destruction of customer-deployed resources and processed, stored, or transmitted information.</t>
  </si>
  <si>
    <t>Azure Defender for IoT, Microsoft Defender for Endpoint and Microsoft 365 Defender
A vulnerability is a weakness that a threat actor could leverage, to compromise the confidentiality, availability, or integrity of a resource. Microsoft Defender for Endpoint is an endpoint security solution that includes risk-based vulnerability management and assessment; attack surface reduction capabilities; behavioral based and cloud-powered next generation protection; endpoint detection and response (EDR); automatic investigation and remediation; and managed hunting services. 
Managing vulnerabilities applies to Microsoft Defender for Endpoint and Microsoft 365 Defender. Managing vulnerabilities reduces organizational exposure, hardens endpoint surface area, increases organizational resilience, and reduces the attack surface of your resources. Threat and Vulnerability Management provides visibility into software and security misconfigurations and provide recommendations for mitigations.
Utilizing Microsoft services such as Azure Defender for IoT and Microsoft Defender for Endpoint you can get full visibility into assets and risk across your entire IoT/OT environment to support risk mitigation. Azure Defender for IoT can proactively address vulnerabilities in your IoT/OT environment. Identify risks such as unpatched devices, open ports, unauthorized applications, and unauthorized connections. Detect changes to device configurations, programmable logic controller (PLC) code, and firmware. Prioritize fixes based on risk scoring and automated threat modeling, which identifies the most likely attack paths to compromise your crown jewel assets.
Microsoft Defender for Endpoint is an endpoint security solution that includes risk-based vulnerability management and assessment; attack surface reduction capabilities; behavioral based and cloud-powered next generation protection; endpoint detection and response (EDR); automatic investigation and remediation; and managed hunting services.
Get a bird's-eye view across IT/OT boundaries with interoperability with Azure Sentinel, cloud native SIEM/SOAR. Automate response with IoT/OT playbooks. Use machine learning and threat intelligence from trillions of signals. Manage your security posture across cloud workloads with Azure Security Center, and protect them with extended detection and response (XDR) from Azure Defender. Plus, get interoperability with other SOC tools such as Splunk, IBM QRadar, and ServiceNow.
Azure Security Center
Azure Security Center includes a built-in vulnerability scanner powered by Qualys. There is also capability for direct integration with the vulnerability scanner of your choice via the Azure Security Marketplace. Qualys’s scanner is a leading tool for real-time identification of vulnerabilities in your Azure Virtual Machines. It is only available to users on the standard pricing tier. You do not need a Qualys license or even a Qualys account – everything is handled seamlessly inside Security Center. For more information, see Integrated vulnerability scanner for virtual machines (Standard tier only).
Azure Security Center continually assesses your resources, subscriptions, and organization for security issues. It then aggregates all the findings into a single score so that you can tell, at a glance, your current security situation: the higher the score, the lower the identified risk level. To increase your security, review Security Center's recommendations page for the outstanding actions necessary to raise your score. Each recommendation includes instructions to help you remediate the specific issue.
Recommendations are grouped into security controls. Each control is a logical group of related security recommendations and reflects your vulnerable attack surfaces. Your score only improves when you remediate all of the recommendations for a single resource within a control. To see how well your organization is securing each individual attack surface, review the scores for each security control. Single click remediation is part of the Azure Security Center. Single-click remediations include policies to fix common vulnerabilities. For more information, see Azure Security Center single click remediation.
Customer Responsibility 
•	Remediating vulnerabilities in customer-deployed resources in accordance with the customer risk assessment.</t>
  </si>
  <si>
    <t>Utilizing Microsoft services such as Azure Defender for IoT and Microsoft Defender for Endpoint you can get full visibility into assets and risk across your entire IoT/OT environment to support risk mitigation. Azure Defender for IoT can proactively address vulnerabilities in your IoT/OT environment. Identify risks such as unpatched devices, open ports, unauthorized applications, and unauthorized connections. Detect changes to device configurations, programmable logic controller (PLC) code, and firmware. Prioritize fixes based on risk scoring and automated threat modeling, which identifies the most likely attack paths to compromise your crown jewel assets.
Microsoft Defender for Endpoint is an endpoint security solution that includes risk-based vulnerability management and assessment; attack surface reduction capabilities; behavioral based and cloud-powered next generation protection; endpoint detection and response (EDR); automatic investigation and remediation; and managed hunting services. 
Get a bird's-eye view across IT/OT boundaries with interoperability with Azure Sentinel, cloud native SIEM/SOAR. Automate response with IoT/OT playbooks. Use machine learning and threat intelligence from trillions of signals. Manage your security posture across cloud workloads with Azure Security Center, and protect them with extended detection and response (XDR) from Azure Defender. Plus, get interoperability with other SOC tools such as Splunk, IBM QRadar, and ServiceNow.
Customer Responsibility 
•	Developing a plan of action and milestones (POA&amp;M) for customer-deployed resources. The POA&amp;M should include planned remedial actions to correct deficiencies noted during the security assessment and to reduce/eliminate known vulnerabilities in the system. Additionally, any vulnerabilities found as a result of regular vulnerability scanning must be included in POA&amp;M reporting.</t>
  </si>
  <si>
    <t>Microsoft Defender for Endpoint
End-of-support (EOS), otherwise known as end-of-life (EOL), for software or software versions means that they will no longer be supported or serviced, and will not receive security updates. When you use software or software versions with ended support, you are exposing your organization to security vulnerabilities, legal, and financial risks. Microsoft Defender for Endpoint threat and vulnerability management can identify software or software versions that are no longer supported via the threat and vulnerability management menu. 
Azure Active Directory and Intune/Microsoft Endpoint Manager
Enroll company devices in Intune/Microsoft Endpoint Manager. Once a device is enrolled in MDM, the MDM can enforce compliance with corporate policies, add or remove apps, and more. Additionally, the MDM can report a device’s compliance Azure AD. This enables Azure AD to allow access to corporate resources or applications secured by Azure AD only to devices that comply with policies. To support these rich experiences with their MDM product, MDM vendors can integrate with Azure AD.
Create a Windows 10 device restrictions profile that will prevents users from accessing the app store on mobile devices. When set to Not configured (default), Intune does not change or update this setting. By default, the OS might allow users access to the app store. Only allow trusted apps by preventing developer mode and sideloading which prevents non-Microsoft store apps from being installed. 
Azure Virtual Machines
Microsoft supports server software that runs in the Microsoft Azure Virtual Machine environments, as described in the "Supported software" section. This support is subject to the Microsoft Support Lifecycle policy.
All Microsoft, software that is installed in the Azure virtual machine environment must be licensed correctly. By default, Azure virtual machines include a license for using Windows Server in the Microsoft Azure environment. Certain Azure virtual machine offerings may also include additional Microsoft software on a per-hour or evaluation basis. Licenses for other software must be obtained separately. 
Microsoft does not support an upgrade of the operating system of a Microsoft Azure Virtual Machine. Instead, you should create a new Azure virtual machine that is running the supported version of the operating system that is required and then migrate the workload. 
Customer Responsibility
•	Maintaining a list of products and/or solutions the organization has that are no longer supported by the vendor
•	Isolating unsupported products within your organization’s network (isolation techniques could include firewalls, Virtual Local Area Network (VLAN) separation, or air gapped networks)
•	Performing an upgrade, replacement, or retirement of non-vendor supported products.</t>
  </si>
  <si>
    <t>Customer Responsibility:
•	Developing a system security plan (SSP) that meets the criteria defined by the target authorization (e.g., FedRAMP). Customers may reference NIST Special Publication 800-18 R1, Guide for Developing Security Plans for Federal Information Systems. The customer SSP should address controls inherited from Microsoft Azure.
•	Distributing the system security plan.
•	Reviewing the system security plan.
•	Updating the system security plan.
•	Protecting the system security plan.</t>
  </si>
  <si>
    <t>Azure Security Center is a unified infrastructure security management system that strengthens the security posture of your datacenters and provides advanced threat protection across your hybrid workloads in the cloud, be it Azure, any other cloud, or on-premises. 
Azure Security Center helps streamline the process for meeting regulatory compliance requirements, using the regulatory compliance dashboard.
 In the dashboard, Security Center provides insights into your compliance posture based on continuous assessments of your Azure environment. Security Center analyzes risk factors in your hybrid cloud environment according to security best practices.
These assessments are mapped to compliance controls from a supported set of standards.
In the Regulatory compliance dashboard, you can see the status of all the assessments within your environment in the context of a particular standard or regulation. As you act on the recommendations and reduce risk factors in your environment, your compliance posture improves. 
No customer responsbility.</t>
  </si>
  <si>
    <t>Microsoft Defender for Endpoint
Defender for Endpoint includes Microsoft Secure Score for Devices to help you dynamically assess the security state of your enterprise network, identify unprotected systems, and take recommended actions to improve the overall security of your organization. Your score for devices is visible in the threat and vulnerability management dashboard of the Microsoft Defender Security Center. A higher Microsoft Secure Score for Devices means your endpoints are more resilient from cybersecurity threat attacks. Improve your security configuration by remediating issues from the security recommendations list. As you do so, your Microsoft Secure Score for Devices improves, and your organization becomes more resilient against cybersecurity threats and vulnerabilities. 
Customer Responsibility
•	Develop &amp; implement a POA&amp;M to correct identified deficiencies and reduce or eliminate identified vulnerabilities 
•	Document, review and approve the POA&amp;M
•	Identify deficiencies and vulnerabilities to be addresses by the POA&amp;M
•	Identify personnel responsible for the development and implementation of the POA&amp;M.</t>
  </si>
  <si>
    <t>Azure Security Center is a unified infrastructure security management system that strengthens the security posture of your datacenters and provides advanced threat protection across your hybrid workloads in the cloud, be it Azure, any other cloud, or on-premises. Azure Security Center helps streamline the process for meeting regulatory compliance requirements, using the regulatory compliance dashboard. In the dashboard, Security Center provides insights into your compliance posture based on continuous assessments of your Azure environment. Security Center analyzes risk factors in your hybrid cloud environment according to security best practices. These assessments are mapped to compliance controls from a supported set of standards. In the Regulatory compliance dashboard, you can see the status of all the assessments within your environment in the context of a particular standard or regulation. As you act on the recommendations and reduce risk factors in your environment, your compliance posture improves.
Azure Blueprints provides an avenue to apply security controls, policies and resources. Just as a blueprint allows an engineer or an architect to sketch a project’s design parameters, Azure Blueprints enables cloud architects and central information technology groups to define a repeatable set of Azure resources that implements and adheres to an organization’s standards, patterns, and requirements. Azure Blueprints makes it possible for development teams to rapidly build and stand-up new environments with trust they are building within organizational compliance with a set of built-in components — such as networking — to speed up development and delivery. Azure Blueprints can actively apply controls with the deployifnotexists option or can be leveraged for monitoring controls passively with the auditifnotexists option.
Azure Policy
The CMMC L3 blueprint sample provides governance guardrails using Azure Policy that help you assess specific CMMC controls. This blueprint aids customers in deploying a core set of policies for any Azure-deployed architecture that must implement controls for CMMC L3. The associations between compliance domains, controls, and Azure Policy definitions for this compliance standard may change over time. 
Azure Policy definitions applicable to this specific control are as follows:
•	A vulnerability assessment solution should be enabled on your virtual machines
•	Adaptive application controls for defining safe applications should be enabled on your machines
•	Allowlist rules in your adaptive application control policy should be updated
•	An activity log alert should exist for specific Security operations
•	Auditing on SQL server should be enabled
•	Endpoint protection solution should be installed on virtual machine scale sets
•	Monitor missing Endpoint Protection in Azure Security Center
•	Security Center standard pricing tier should be selected
•	Vulnerability assessment should be enabled on SQL Managed Instance
•	Vulnerability assessment should be enabled on your SQL servers
These policies may help you assess compliance with the controls implemented to meet CMMC L3 practices; however, there often is not a one-to-one or complete match between a control and one or more policies. As such, compliant in Azure Policy refers only to the policy definitions themselves; this does not ensure you are fully compliant with all requirements of a practice.
Customer Responsibility
•	Identifying security controls to be continuously monitored.
•	Define a frequency to continuously monitor to support risk-based decision making.
•	Provide output of monitoring activities to stake holders.</t>
  </si>
  <si>
    <t>GitHub AE
GitHub has many features that help you improve and maintain the quality of your code. Some of these are included in all plans. Other security features require a license for GitHub Advanced Security to run on repositories apart from public repositories on GitHub.com.
A GitHub Advanced Security license provides the following additional features:
•	Code scanning - Search for potential security vulnerabilities and coding errors in your code. For more information, see "About code scanning."
•	Secret scanning - Detect secrets, for example keys and tokens, that have been checked into the repository
No customer responsibility.</t>
  </si>
  <si>
    <t>Azure Sentinel
Azure Sentinel lets you import the threat indicators your organization is using, which can enhance your security analysts’ ability to detect and prioritize known threats. Several features from Azure Sentinel then become available or are enhanced:
•	Analytics includes a set of scheduled rule templates you can enable to generate alerts and incidents based on matches of log events from your threat indicators.
•	Workbooks provide summarized information about the threat indicators imported into Azure Sentinel and any alerts generated from analytics rules that match your threat indicators.
•	Hunting queries allow security investigators to use threat indicators within the context of common hunting scenarios.
•	Notebooks can use threat indicators when you investigate anomalies and hunt for malicious behaviors.
Azure Sentinel imports threat indicators, just like all other event data, by using data connectors. The two Azure Sentinel data connectors for threat indicators are Threat Intelligence – TAXII and Threat Intelligence Platforms. You can use either or both data connectors, depending on where your organization gets its threat indicator data. Enable the data connectors in each workspace that you want to receive the data. The most widely adopted industry standard for CTI transmission is the STIX data format and TAXII protocol. Organizations that get threat indicators from current STIX/TAXII version 2.x solutions can use the Threat Intelligence – TAXII data connector to import their threat indicators into Azure Sentinel. The built-in Azure Sentinel TAXII client imports threat intelligence from TAXII 2.x servers.
Customer Responsibility
•	leverage external sources for cybersecurity threat intelligence.
•	Periodically review the sources of intelligence to ensure they are up-to-date and relevant.
•	Communicate relevant threat intelligence to stakeholders within the organization for appropriate action if needed.</t>
  </si>
  <si>
    <t>Remote activation of collaborative computing devices can be restricted by enforcing authentication mechanisms such as, Windows Hello for Business, Intune/Microsoft Endpoint Manager and Azure Active Directory. Windows Hello for Business Windows stores biometric data that is used to implement Windows Hello securely on the local device only. The biometric data does not roam and is never sent to external devices or servers. Configure Windows Hello for Business is by Group Policy or Intune/Microsoft Endpoint Manager policy. Because Windows Hello only stores biometric identification data on the device, there is no single collection point an attacker can compromise to steal biometric data.
Customer Responsibility
•	Prohibiting remote activation for any collaborative computing devices within or controlled from customer-deployed resources and defining exceptions where remote activation is allowed (if any).</t>
  </si>
  <si>
    <t>Use SSL/TLS protocols to exchange data across different locations. In some circumstances, you might want to isolate the entire communication channel between your on-premises and cloud infrastructures by using a VPN. For data moving between your on-premises infrastructure and Azure, consider appropriate safeguards such as HTTPS or VPN. When sending encrypted traffic between an Azure virtual network and an on-premises location over the public internet, use Azure VPN Gateway. You can use an Azure VPN gateway to send encrypted traffic between your virtual network and your on-premises location across a public connection, or to send traffic between virtual networks. 
Application Gateway provides SSL policy control and end to end SSL encryption to provide better application security hardening. Transport Layer Security (TLS), previously known as Secure Sockets Layer (SSL), is the standard security technology for establishing an encrypted link between a web server and a browser. This link ensures that all data passed between the web server and browsers remain private and encrypted. Application gateway supports both TLS termination at the gateway as well as end to end TLS encryption. 
Site-to-site VPNs use IPsec for transport encryption. Azure VPN gateways use a set of default proposals. You can configure Azure VPN gateways to use a custom IPsec/IKE policy with specific cryptographic algorithms and key strengths, rather than the Azure default policy sets.
Point-to-site VPNs allow individual client computers access to an Azure virtual network. The Secure Socket Tunneling Protocol (SSTP) is used to create the VPN tunnel. It can traverse firewalls (the tunnel appears as an HTTPS connection). You can use your own internal public key infrastructure (PKI) root certificate authority (CA) for point-to-site connectivity.
Customer Responsibility
•	Implementing encrypted sessions for the management of network devices.</t>
  </si>
  <si>
    <t>Microsoft validates its cryptographic modules under the National Institute of Standards and Technology (NIST) Cryptographic Module Validation Program (CMVP). Multiple Microsoft products, including many cloud services, use these cryptographic modules.
Windows provides the security policy setting, System cryptography: Use FIPS-compliant algorithms for encryption, hashing, and signing. This setting is used by some Microsoft products to determine whether to run in FIPS mode. When this policy is turned on, the validated cryptographic modules in Windows will also operate in FIPS mode.
Through the Microsoft Security Development Lifecycle (SDL), all Azure services use FIPS 140-2 approved algorithms for data security because the operating system uses FIPS 140-2 approved algorithms while operating at a hyper scale cloud.
Azure Information Protection (AIP) is a cloud-based solution that enables organizations to discover, classify, and protect documents and emails by applying labels to content. Labels help identify CUI to ensure the right level of control can be enforced. Azure Information Protection is compliant with FIPS 140-2 when your tenant key size is 2048 bits, which is the default when the Azure Rights Management service is activated. 
Use Azure Key Vault to encrypt keys and small secrets like passwords that use keys stored in hardware security modules (HSMs). For more assurance, import or generate keys in HSMs, and Microsoft processes your keys in FIPS validated HSMs (hardware and firmware) - FIPS 140-2 Level 2 for vaults and FIPS 140-2 Level 3 for HSM pools. With Key Vault, Microsoft does not see or extract your keys. Monitor and audit your key use with Azure logging—pipe logs into Azure HDInsight or your security information and event management (SIEM) solution for more analysis and threat detection.
No customer responsibility.</t>
  </si>
  <si>
    <t xml:space="preserve">Promote effective information security within your organizational systems by implementing secure security design principles. Microsoft recommendations for security design principles support these three key strategies (Security Strategy, Enterprise Segmentation Strategy and Account Control Strategy) and describe a securely architected system hosted on cloud or on-premises datacenters (or a combination of both). Application of these principles will dramatically increase the likelihood your security architecture will maintain assurances of confidentiality, integrity, and availability
Customer Responsibility
•monitoring and controlling communications at and within the boundaries of the CUSTOMER-deployed system. 
•implementing subnetworks for CUSTOMER-deployed resources to logically separate publicly accessible resources from internal resources. 
•restricting connections to external networks or systems through managed interfaces, consisting of boundary protection devices arranged in accordance with the CUSTOMER's security architecture.
•configuring all CUSTOMER-deployed resources to communicate through FIPS 140-2 validated encryption to protect the confidentiality and integrity of the information being transmitted.
•configuring their web browsers, mobile devices, etc., to enable communications through FIPS 140-2 validated encryption. CUSTOMER s who enforce FDCC/USGCB settings will achieve FIPS 140-2 encryption for data transmitted to Microsoft Azure, and between their enablers and the Azure web services interface; strong encryption with FIPS-approved ciphers is still possible if workstations are not operating in FIPS mode.
</t>
  </si>
  <si>
    <t xml:space="preserve">Microsoft Azure Active Directory (AAD) offers a robust security set for enforcing the separation of user functionality from system management functionality. Best practice recommendation is to segregate duties within your team by setting up Role Based Access Control (RBAC) which will help you manage who has access to Azure resources. 
Azure AD roles allow you to grant granular permissions to your admins, abiding by the principle of least privilege. Azure AD built-in and custom roles operate on concepts similar to those you will find in the role-based access control system for Azure resources (Azure roles).
Ensure that the right users have the right access to the right resources by using intelligent cloud identity governance. Monitor and audit access to all resources while managing employee productivity.
Customer Responsibility
•Separating system functionality into two separate categories: user functionality and management functionality. 
</t>
  </si>
  <si>
    <t xml:space="preserve">Azure Information Protection (AIP) is a cloud-based solution that enables organizations to discover, classify, and protect documents and emails by applying labels to content. AIP is part of the Microsoft Information Protection (MIP) solution, and extends the labeling and classification functionality provided by Microsoft 365. 
By default, built-in labeling is turned off in Office apps when the Azure Information Protection client is installed. Labels can be applied automatically by administrators who define rules and conditions, manually by users, or a combination where users are given recommendations. 
Microsoft Azure Active Directory (AAD) offers a robust security set for preventing unauthorized and unintended information transfer via shared system resources. A good practice is to segregate duties within your team by setting up Role Based Access Control (RBAC) which will help you manage who has access to Azure resources. 
Ensure that the right users have the right access to the right resources by using intelligent cloud identity governance. Monitor and audit access to all resources while managing employee productivity.
Customer Responsibility
•preventing unauthorized and unintended information transfer between CUSTOMER-deployed resources.
</t>
  </si>
  <si>
    <t>You can configure NAT rules, network rules, and applications rules on Azure Firewall. The rules are processed according to the rule type and traffic is dropped by default if it is not permitted.
Outbound: If you configure network rules and application rules, then network rules are applied in priority order before application rules. The rules are terminating. Such that if a match is found in a network rule, no other rules are processed. If there is no network rule match, and if the protocol is HTTP, HTTPS, or MSSQL, then the packet is then evaluated by the application rules in priority order. If still no match is found, then the packet is evaluated against the infrastructure rule collection. If there is still no match, then the packet is denied by default.
Inbound Internet connectivity can be enabled by configuring Destination Network Address Translation (DNAT) as described in Tutorial: Filter inbound traffic with Azure Firewall DNAT using the Azure portal. NAT rules are applied in priority before network rules. If a match is found, an implicit corresponding network rule to allow the translated traffic is added. For security reasons, the recommended approach is to add a specific internet source to allow DNAT access to the network and avoid using wildcards. 
Application rules are not applied for inbound connections. So if you want to filter inbound HTTP/S traffic, you should use a Web Application Firewall (WAF). 
Customer Responsibility
•	Configuring managed network interfaces to deny all traffic by default and permit by exception.</t>
  </si>
  <si>
    <t xml:space="preserve">Host information and services in cloud environments such as Microsoft Government Community Cloud – High (GCCH) Office 365 (O365) tenant to remove the need for remote user VPN. Since GCCH O365 tenant is considered a part of a system and internal, you can leverage all of the benefits of the O365 cloud without the headaches of having on-premises servers. This will eliminate split tunnel connections. This solution may not work for some companies that require on-premises systems. ExpressRoute is designed to link on-prem and Azure securely. Explore using Azure ExpressRoute to create private connections between Azure datacenters and infrastructure on your premises or in a colocation environment. ExpressRoute connection restricts public internet providing a private connection to Azure. 
Forced tunneling lets you redirect or “force” all Internet-bound traffic back to your on-premises location via a Site-to-Site VPN tunnel for inspection and auditing. This is a critical security requirement for most enterprise IT policies. Without forced tunneling, Internet-bound traffic from your VMs in Azure always traverses from Azure network infrastructure directly out to the Internet, without the option to allow you to inspect or audit the traffic. Unauthorized Internet access can potentially lead to information disclosure or other types of security breaches
Customer Responsibility
•Preventing split tunneling for remote devices connecting to the CUSTOMER-deployed system.
</t>
  </si>
  <si>
    <t xml:space="preserve">The Azure platform offers several mechanisms for keeping sessions secure including encryption in flight, and key management with Azure Key Vault. For more information see, Azure encryption overview. 
Microsoft gives customers the ability to use Transport Layer Security (TLS) protocol to protect data when it is traveling between the cloud services and customers. Microsoft datacenters negotiate a TLS connection with client systems that connect to Azure services. TLS provides strong authentication, message privacy, and integrity (enabling detection of message tampering, interception, and forgery), interoperability, algorithm flexibility, and ease of deployment and use.
Perfect Forward Secrecy (PFS) protects connections between customers’ client systems and Microsoft cloud services by unique keys. Connections also use RSA-based 2,048-bit encryption key lengths. This combination makes it difficult for someone to intercept and access data that is in transit.
Explore using Azure ExpressRoute to create private connections between Azure datacenters and infrastructure on your premises or in a colocation environment. ExpressRoute connection restricts public internet providing a private connection to Azure. 
Customer Responsibility
•Configuring all customer-deployed resources to communicate through FIPS 140-2 validated encryption to protect the confidentiality and integrity of the information being transmitted. 
•Configuring their web browsers, mobile devices, etc., to enable communications through FIPS 140-2 validated encryption. Customers who enforce FDCC/USGCB settings will achieve FIPS 140-2 encryption for data transmitted to Microsoft Azure, and between their enablers and the Azure web services interface; strong encryption with FIPS-approved ciphers is still possible if workstations are not operating in FIPS mode
</t>
  </si>
  <si>
    <t xml:space="preserve">Implement automatic user session re-evaluation with Azure AD features such as Risk-Based Conditional Access and Continuous Access Evaluation. Inactivity conditions can be implemented at a device level as described in:
•	Sign-in risk-based Conditional Access
•	User risk-based Conditional Access
•	Continuous Access Evaluation
Additionally, having a lockout threshold limiting the number of unsuccessful login attempts will protect against threats such as, Brute Force Attacks by automatically locking the account after a specified number of attempts. Default lockout threshold is set to 10 failed sign-ins before the first lockout occurs. It is important to customize the lockout threshold to fit your business requirements using Azure Active Directory smart lockout (AAD). 
Customer Responsibility
•implementing a network disconnect for CUSTOMER-deployed resources at the end of a communication session or after a CUSTOMER-defined time period of inactivity.
</t>
  </si>
  <si>
    <t xml:space="preserve">Secure key management is essential to protect data in the cloud. Use Azure Key Vault to encrypt keys and small secrets like passwords that use keys stored in hardware security modules (HSMs). For more assurance, import or generate keys in HSMs, and Microsoft processes your keys in FIPS 140-2 Level 3 Thales Luna 7 HSM. 
Azure Dedicated HSM is a cloud-based service that provides HSMs hosted in Azure datacenters that are directly connected to a customer's virtual network. These HSMs are dedicated Thales Luna 7 HSM network appliances. They are deployed directly to a customers' private IP address space and Microsoft does not have any access to the cryptographic functionality of the HSMs. Only the customer has full administrative and cryptographic control over these devices. Customers are responsible for the management of the device and they can get full activity logs directly from their devices. Dedicated HSMs help customers meet compliance/regulatory requirements such as FIPS 140-2 Level 3, HIPAA, PCI-DSS, and eIDAS and many others. 
With Key Vault, Microsoft does not see or extract your keys. Monitor and audit your key use with Azure logging—pipe logs into Azure HDInsight or your security information and event management (SIEM) solution for more analysis and threat detection
Customer Responsibility
•Managing cryptographic keys used within CUSTOMER-deployed resources in accordance with CUSTOMER-defined requirements for key generation, distribution, storage, access, and destruction.
</t>
  </si>
  <si>
    <t xml:space="preserve">Manage and control Mobile code that can run on multiple systems such as customer-developed mobile code, Java, Flash, ActiveX, PDF, Shockwave, Postscript, VBScripts via policies to allow only trusted sites. One option is to block the execution of mobile code in the browser but grant the user the liberty to allow mobile code to run. This can be accomplished via group policy settings. Granting users the ability to allow mobile code does expose them to more threats however training users on mobile code threats can help reduce this risk. If you have plenty of IT staff then only allowing mobile code when there is a business need is the best approach. This should be done in line with your change control procedures.
Microsoft Defender protection may be deployed based on the needs of application workloads, with either basic secure-by-default or advanced custom configuration, including antimalware monitoring. The solution can remediate threats such as malicious code as it scans for vulnerabilities. See code samples to enable and configure Microsoft Antimalware for Azure Resource Manager (ARM) virtual machines. 
Intune can integrate data from a Mobile Threat Defense (MTD) vendor as an information source for device compliance policies and device Conditional Access rules. You can use this information to help protect corporate resources like Exchange and SharePoint, by blocking access from compromised mobile devices. Enforce compliance for Microsoft Defender for Endpoint with Conditional Access in Intune. You can integrate Microsoft Defender for Endpoint with Microsoft Intune as a Mobile Threat Defense solution. Integration can help you prevent security breaches and limit the impact of breaches within an organization. 
Help protect your web apps from malicious attacks and common web vulnerabilities, such as SQL injection and cross-site scripting. Configure and enable Azure Web Application Firewall on your web application. Then, centrally define your rules and reuse them across all the web apps that you need to protect.
Customer Responsibility
•The customer is responsible for defining acceptable and unacceptable mobile code technologies.
•The customer is responsible for establishing usage restrictions and implementation guidance for acceptable mobile code and mobile code technologies.
•The customer is responsible for establishing usage restrictions and implementation guidance for acceptable mobile code and mobile code technologies.
</t>
  </si>
  <si>
    <t>When a user of your application calls another user of your application over an internet or data connection for example via Teams, the call is made over Voice Over IP (VoIP). In this case, both signaling and media flow over the internet. You can configure and monitor usage in Teams.
Customer Responsibility
•	Authorizing, monitoring, and controlling the use of Voice over internet Protocol (VoiP) technologies within customer-deployed resources.</t>
  </si>
  <si>
    <t>Microsoft Azure Government provides the same ways to build applications and manage identities as Azure Public. Azure Government customers may already have an Azure Active Directory (Azure AD) Public tenant or may create a tenant in Azure AD Government. Integrating Applications with Azure Active Directory shows how you can use Azure AD to provide secure sign-in and authorization to your applications. This process is the same for Azure Public and Azure Government once you choose your identity authority.
Users and groups can be enabled for Azure AD Multi-Factor Authentication to prompt for additional verification during the sign-in event. Security defaults are available for all Azure AD tenants to quickly enable the use of the Microsoft Authenticator app for all users.
For more granular controls, Conditional Access policies can be used to define events or applications that require MFA. These policies can allow regular sign-in events when the user is on the corporate network or a registered device, but prompt for additional verification factors when remote or on a personal device.
Improve the security of Windows virtual machines (VMs) in Azure by integrating with Azure Active Directory (AD) authentication. You can use Azure AD as a core authentication platform to RDP into your VM. To use Azure AD login in for Windows VM in Azure, you need to first enable Azure AD login option for your Windows VM and then you need to configure Azure role assignments for users who are authorized to login in to the VM. You can centrally control and enforce Azure RBAC and Conditional Access policies that allow or deny access to the VMs. 
Authentication with Key Vault works in conjunction with Azure Active Directory (Azure AD), which is responsible for authenticating the identity of any given security principal. By default, Key Vault allows access to resources through public IP addresses. For greater security, you can also restrict access to specific IP ranges, service endpoints, virtual networks, or private endpoints. 
Customer Responsibility
•	Protecting the authenticity of communications sessions involving customer-deployed resources.</t>
  </si>
  <si>
    <t>The storage location of the encryption keys and access control to those keys is central to an encryption at rest model. The keys need to be highly secured but manageable by specified users and available to specific services. For Azure services, Azure Key Vault is the recommended key storage solution and provides a common management experience across services. Keys are stored and managed in key vaults, and access to a key vault can be given to users or services. Azure Key Vault supports customer creation of keys or import of customer keys for use in customer-managed encryption key scenarios. Permissions to use the keys stored in Azure Key Vault, either to manage or to access them for Encryption at Rest encryption and decryption, can be given to Azure Active Directory accounts.
Software as a Service (SaaS) customers typically have encryption at rest enabled or available in each service. Microsoft 365 has several options for customers to verify or enable encryption at rest.
Platform as a Service (PaaS) customer's data typically resides in a storage service such as Blob Storage but may also be cached or stored in the application execution environment, such as a virtual machine. 
Like PaaS, IaaS solutions can leverage other Azure services that store data encrypted at rest. In these cases, you can enable the Encryption at Rest support as provided by each consumed Azure service. The Data encryption models: supporting services table enumerates the major storage, services, and application platforms and the model of Encryption at Rest supported.
Customer Responsibility
•	Protecting customer-controlled information at rest.</t>
  </si>
  <si>
    <t xml:space="preserve">You can configure NAT rules, network rules, and applications rules on Azure Firewall. The rules are processed according to the rule type and traffic is dropped by default if it is not permitted.
Outbound: If you configure network rules and application rules, then network rules are applied in priority order before application rules. The rules are terminating. So if a match is found in a network rule, no other rules are processed. If there is no network rule match, and if the protocol is HTTP, HTTPS, or MSSQL, then the packet is then evaluated by the application rules in priority order. If still no match is found, then the packet is evaluated against the infrastructure rule collection. If there is still no match, then the packet is denied by default.
Inbound Internet connectivity can be enabled by configuring Destination Network Address Translation (DNAT) as described in Tutorial: Filter inbound traffic with Azure Firewall DNAT using the Azure portal. NAT rules are applied in priority before network rules. If a match is found, an implicit corresponding network rule to allow the translated traffic is added. For security reasons, the recommended approach is to add a specific internet source to allow DNAT access to the network and avoid using wildcards. 
Application rules are not applied for inbound connections. So if you want to filter inbound HTTP/S traffic, you should use Web Application Firewall (WAF). 
Customer Responsibility
•monitoring and controlling communications at and within the boundaries of the CUSTOMER-deployed system. 
•implementing subnetworks for CUSTOMER-deployed resources to logically separate publicly accessible resources from internal resources. 
•restricting connections to external networks or systems through managed interfaces, consisting of boundary protection devices arranged in accordance with the CUSTOMER's security architecture.
•configuring all CUSTOMER-deployed resources to communicate through FIPS 140-2 validated encryption to protect the confidentiality and integrity of the information being transmitted.
•configuring their web browsers, mobile devices, etc., to enable communications through FIPS 140-2 validated encryption. CUSTOMER’s who enforce FDCC/USGCB settings will achieve FIPS 140-2 encryption for data transmitted to Microsoft Azure, and between their enablers and the Azure web services interface; strong encryption with FIPS-approved ciphers is still possible if workstations are not operating in FIPS mode.
</t>
  </si>
  <si>
    <t xml:space="preserve">Protect your subnet from potential threats by restricting access to it with a Network Security Group (NSG). NSGs contain a list of Access Control List (ACL) rules that allow or deny network traffic to your subnet.
A public load balancer can provide outbound connections for virtual machines (VMs) inside your virtual network. These connections are accomplished by translating their private IP addresses to public IP addresses. Public Load Balancers are used to load balance internet traffic to your VMs. An internal (or private) load balancer is used where private IPs are needed at the frontend only. Internal load balancers are used to load balance traffic inside a virtual network. A load balancer frontend can be accessed from an on-premises network in a hybrid scenario. Standard load balancers and standard public IP addresses are closed to inbound connections unless opened by Network Security Groups. NSGs are used to explicitly permit allowed traffic. If you do not have an NSG on a subnet or NIC of your virtual machine resource, traffic is not allowed to reach this resource.
Employ Remote Desktop Gateways services as the internal/external managed interface for interactive access to the infrastructure environment. Require encrypted connections for connectivity from any of the solutions used to access the environment remotely or from the corporate network.
Azure Bastion is a fully managed platform PaaS service from Azure that is hardened internally to provide you secure RDP/SSH connectivity. You do not need to apply any NSGs on Azure Bastion subnet. Because Azure Bastion connects to your virtual machines over private IP, you can configure your NSGs to allow RDP/SSH from Azure Bastion only. This removes the hassle of managing NSGs each time you need to securely connect to your virtual machines. Create an Azure Bastion host and connect to a Windows VM
Customer Responsibility
•monitoring and controlling communications at and within the boundaries of the CUSTOMER-deployed system. 
•implementing subnetworks for CUSTOMER -deployed resources to logically separate publicly accessible resources from internal resources. 
•restricting connections to external networks or systems through managed interfaces, consisting of boundary protection devices arranged in accordance with the CUSTOMER 's security architecture.
•configuring all CUSTOMER -deployed resources to communicate through FIPS 140-2 validated encryption to protect the confidentiality and integrity of the information being transmitted.
•configuring their web browsers, mobile devices, etc., to enable communications through FIPS 140-2 validated encryption. CUSTOMER’s who enforce FDCC/USGCB settings will achieve FIPS 140-2 encryption for data transmitted to Microsoft Azure, and between their enablers and the Azure web services interface; strong encryption with FIPS-approved ciphers is still possible if workstations are not operating in FIPS mode.
</t>
  </si>
  <si>
    <t>You can configure a custom DNS server and enable DNS proxy for Azure Firewall. Configure these settings when you deploy the firewall or configure them later from the DNS settings page. A DNS server maintains and resolves domain names to IP addresses. By default, Azure Firewall uses Azure DNS for name resolution. The DNS server setting lets you configure your own DNS servers for Azure Firewall name resolution. You can configure a single server or multiple servers.
A fully qualified domain name (FQDN) represents a domain name of a host or IP address(es). You can use FQDNs in network rules based on DNS resolution in Azure Firewall and Firewall policy. This capability allows you to filter outbound traffic with any TCP/UDP protocol (including NTP, SSH, RDP, and more). You must enable DNS Proxy to use FQDNs in your network rules. 
You can configure DNS policy to create query filters that are based on criteria that you supply. Query filters in DNS policy allow you to configure the DNS server to respond in a custom manner based on the DNS query and DNS client that sends the DNS query.
Customer Responsibility
•	Implementing DNS Filtering services.</t>
  </si>
  <si>
    <t>If you allow access to company data hosted by Microsoft 365, you can control how users share and save data without risking intentional or accidental data leaks. Microsoft Intune provides app protection policies that you set to secure you company data on user-owned devices. The devices do not need to be enrolled in the Intune service.
Because the Azure Information Protection viewer app uses the Microsoft Intune App Software Development Kit, when iOS and Android devices are enrolled by Intune, you can deploy and manage the Azure Information Protection viewer app. Add the Azure Information Protection app to Intune.
With Microsoft Endpoint Manager Intune App Protection Policies (APP), organizations can enforce how web data is handled. With an app configuration policy (delivered through the APP channel), organizations can restrict what websites an Azure AD account visits. 
After you have installed and configured Azure Information Protection clients, you might need to learn more about how the client interprets the different usage rights that can be used to protect documents and emails. 
Additionally, to protect proprietary and privileged information, you can block downloads by users who have access to your sensitive data in enterprise cloud apps from either unmanaged devices or off-corporate network locations. Cloud App Security session policies allow you to restrict a session based on device state. To accomplish control of a session using its device as a condition, create both a conditional access policy AND a session policy. Create a block download policy for unmanaged devices
Customer Responsibility
•Define and enforce a policy that restricts employees from publishing or posting CUI on public websites such as forums and social media outlets
•Establish a defined and communicated policy to prohibit employees from posting CUI on a publicly facing website (This includes social media outlets such as Facebook, LinkedIn, and Twitter.)</t>
  </si>
  <si>
    <t>You can use Microsoft Intune, Microsoft Endpoint Configuration Manager, the Update Compliance add-in for Microsoft Operations Management Suite, or Azure Sentinel SIEM (by consuming Windows event logs) to monitor protection status and create reports about endpoint protection.
Review usage reports for Azure Active Directory in the Azure portal to determine suspicious activity, including the possibly of infected devices report. Configure Microsoft Defender for Endpoint to report on Microsoft Defender Antivirus events and connect your resources such as the Microsoft Defender for Endpoint connector to Azure Sentinel SIEM tool to have a centralized location for security alerts and advisories. Connect data sources to visualize and monitor your data in Sentinel. 
Additionally, you can use the Azure Defender alert connector to ingest Azure Defender alerts from Azure Security Center and stream them into Azure Sentinel. Azure Sentinel allows you to create custom workbooks across your data, and also comes with built-in workbook templates to allow you to quickly gain insights across your data as soon as you connect a data source.
Customer Responsibility
•	Flaw remediation on customer-deployed resources, including the identification, reporting, and correction of flaws.</t>
  </si>
  <si>
    <t xml:space="preserve">No Microsoft Coverage.
Customer Responsibility
•	Receiving security alerts, advisories, and directives from customer-defined external organizations on an ongoing basis
</t>
  </si>
  <si>
    <t xml:space="preserve">Help protect your web apps from malicious attacks and common web vulnerabilities, such as SQL injection and cross-site scripting. Configure and enable Azure Web Application Firewall on your web application. Then, centrally define your rules and reuse them across all the web apps that you need to protect. 
Microsoft Antimalware for Azure is a single-agent solution for applications and tenant environments, designed to run in the background without human intervention. Protection may be deployed based on the needs of application workloads, with either basic secure-by-default or advanced custom configuration, including antimalware monitoring. The solution can remediate threats such as malicious code as it scans for vulnerabilities. 
When you integrate Intune with Microsoft Defender for Endpoint, you can take advantage of Microsoft Defender for Endpoints Threat &amp; Vulnerability Management (TVM) and use Intune to remediate endpoint weakness identified by TVM. Integration can help you prevent security breaches and limit the impact of breaches within an organization. Turn tamper protection on (or off) for all or part of your organization using Intune Fine-tune tamper protection settings in your organization. Manage tamper protection for your organization using Intune. Bad actors like to disable your security features to get easier access to your data, to install malware, or to otherwise exploit your data, identity, and devices.
Customer Responsibility
•	Protecting customer-deployed resources against malicious code by using code protection mechanisms at entry and exit points to detect and eradicate malicious code (e.g., viruses, malware, rootkits, worms, and scripts).
</t>
  </si>
  <si>
    <t xml:space="preserve">Software updates in Azure Automation Update Management provides a set of tools and resources that can help manage the complex task of tracking and applying software updates to machines in Azure and hybrid cloud. An effective software update management process is necessary to maintain operational efficiency, overcome security issues, and reduce the risks of increased cyber security threats. Update Management supports the deployment of first-party updates and the pre-downloading of them. This support requires changes on the systems being updated. 
Customer Responsibility
•Updating malicious code protection mechanisms when new releases are available in accordance with organizational configuration management policy and procedures
</t>
  </si>
  <si>
    <t xml:space="preserve">Enable and configure Microsoft Defender Antivirus always-on protection in Group Policy. Always-on protection consists of real-time protection, behavior monitoring, and heuristics to identify malware based on known suspicious and malicious activities. The feature allows you to scan all downloaded files and attachments automatically. Downloaded files and attachments are automatically scanned. This operates in addition to the Windows Defender SmartScreen filter, which scans files before and during downloading.
Intune allows you to perform a Quick Scan – This will have Defender run a quick scan of the device for malware and then submit the results to Intune. A quick scan looks at common locations where there could be malware registered, such as registry keys and known Windows startup folders.
Additionally, you can run a Full scan – Having Defender run a scan of the device for malware and then submit the results to Intune. A full scan looks at common locations where there could be malware registered, and also scans every file and folder on the device.
Customer Responsibility
•Protecting customer-deployed resources against malicious code by configuring mechanisms to: perform periodic scans at a customer-defined frequency and real-time scans of files from external sources at endpoint and/or network entry/exit points as the files are downloaded, opened, or executed in accordance with organizational security policy; block malicious code, quarantine malicious code, and/or send an alert to an administrator; and take any customer-defined action(s) in response to malicious code detection.
</t>
  </si>
  <si>
    <t xml:space="preserve">Connect your sources such as, Microsoft Defender for Endpoint to Sentinel for monitoring your organization. Enable Fusion technology based on machine learning, allowing Azure Sentinel to automatically detect multistage attacks by identifying combinations of anomalous behaviors and suspicious activities that are observed at various stages of the kill-chain. Based on these discoveries, Azure Sentinel generates incidents that would otherwise be difficult to catch. 
Customized for your environment, this detection technology not only reduces false positive rates but can also detect attacks with limited or missing information.
Customer Responsibility
•Monitoring customer-deployed resources to detect attacks and indicators of potential attacks in accordance with customer-defined monitoring objectives; and unauthorized local, network, and remote connections.
•Monitoring customer-deployed resources, including the monitoring of inbound and outbound communications traffic at the customer-defined frequency, for unusual or unauthorized activities/conditions.
</t>
  </si>
  <si>
    <t xml:space="preserve">Connect your sources such as, Microsoft Defender for Endpoint to Sentinel for monitoring your organization. Enable Fusion technology based on machine learning, allowing Azure Sentinel to automatically detect multistage attacks by identifying combinations of anomalous behaviors and suspicious activities that are observed at various stages of the kill-chain. Based on these discoveries, Azure Sentinel generates incidents that would otherwise be difficult to catch. Customized for your environment, this detection technology not only reduces false positive rates but can also detect attacks with limited or missing information.
Customer Responsibility
•Monitoring customer-deployed resources to identify unauthorized use through customer-defined techniques and methods.
</t>
  </si>
  <si>
    <t xml:space="preserve">Exchange Online Protection is the cloud-based filtering service that helps protect your organization against spam and malware. EOP is included in all Microsoft 365 organizations with Exchange Online mailboxes. Configure connection filtering to allow or block email source servers in the inbound email connection via the IP Allow List, IP Block List, and the safe list. Additionally, you can configure Mark as spam setting, such as SPF record: hard fail setting to mark messages sent from an IP address that isn't specified in the SPF Sender Policy Framework (SPF) record in DNS for the source email domain as high confidence spam. 
Customer Responsibility
•Employing spam protection at entry and exit points which detect and take action on unsolicited messages. Note: this control is only applicable to the customer if customer-deployed resources include an email server
</t>
  </si>
  <si>
    <t xml:space="preserve">Spoofed messages appear to originate from someone or somewhere other than the actual source. This technique is often used in phishing campaigns that are designed to obtain user credentials. The anti-spoofing technology in Exchange Online Protection (EOP) specifically examines forgery of the From header in the message body (used to display the message sender in email clients). When EOP has high confidence that the from header is forged, the message is identified as spoofed. Configure Spoof intelligence in Exchange Online Protection.
Customer Responsibility
•Configuring customer-deployed resources to request and perform data origin authentication and data integrity verification on name/address resolution responses received from authoritative sources.
</t>
  </si>
  <si>
    <t>Microsoft Defender for Office 365 enables you to investigate activities that put people in your organization at risk, and to take action to protect your organization. For example, if you are part of your organization's security team, you can find and investigate suspicious email messages that were delivered. You can do this by using Threat Explorer (or real-time detections).
Admins of Microsoft Defender for Office 365 (or MDO) E5, and MDO P1 and P2 have a 360-degree view of email using the Email entity page. This go-to email page was created to enhance information delivered on the Threat Explorer 'email details' fly-out.
Customer Responsibility
•	Implementing email sandboxing to detect or block potentially malicious email.</t>
  </si>
  <si>
    <t>Azure Cloud</t>
  </si>
  <si>
    <t>Select All</t>
  </si>
  <si>
    <t>M365 E3</t>
  </si>
  <si>
    <t>M365 E5</t>
  </si>
  <si>
    <t>E5 Security Add-on</t>
  </si>
  <si>
    <t>E5 Compliance Add-on</t>
  </si>
  <si>
    <t>Enterprise Mobility + Security E3</t>
  </si>
  <si>
    <t>Enterprise Mobility + Security E5</t>
  </si>
  <si>
    <t>F1</t>
  </si>
  <si>
    <t>F3</t>
  </si>
  <si>
    <t>F5 Security Add-on</t>
  </si>
  <si>
    <t>F5 Compliance Add-on</t>
  </si>
  <si>
    <t>F5 Sec + Comp Add-on</t>
  </si>
  <si>
    <t>Information Protection</t>
  </si>
  <si>
    <t>Threat Protection</t>
  </si>
  <si>
    <t>Identity and Access Management</t>
  </si>
  <si>
    <t>Primaries</t>
  </si>
  <si>
    <t>Secondaries</t>
  </si>
  <si>
    <t>CMMC Implementation Status</t>
  </si>
  <si>
    <t>NIST 800-171 Mapping</t>
  </si>
  <si>
    <t>Limit information system access to authorized users, processes acting on behalf of authorized users or devices (including other information systems).</t>
  </si>
  <si>
    <t>Azure Active Directory
Azure RBAC
Intune/Microsoft Endpoint Manager</t>
  </si>
  <si>
    <t>Microsoft Information Protection
Conditional Access
Customer Lockbox
Privileged Identity Management (PIM)
Security and Compliance Center
Microsoft 365 Web Apps
Microsoft 365 Groups</t>
  </si>
  <si>
    <t>3.1.1</t>
  </si>
  <si>
    <t>Limit information system access to the types of transactions and functions that authorized users are permitted to execute.</t>
  </si>
  <si>
    <t xml:space="preserve">Azure Active Directory
Azure RBAC
Privileged Identity Management (PIM)  </t>
  </si>
  <si>
    <t>Network Security Groups
Conditional Access
GitHub Enterprise Cloud                  GitHub AE
Azure AD Multi-Factor Authentication
Intune/Microsoft Endpoint Manager
Microsoft 365 Web Apps
Microsoft 365 admin center 
Microsoft Defender for Cloud Apps</t>
  </si>
  <si>
    <t>3.1.2</t>
  </si>
  <si>
    <t>Verify and control/limit connections to and use of external information systems.</t>
  </si>
  <si>
    <t>Azure Active Directory
Microsoft Defender for Cloud Apps
Conditional Access
Intune/Microsoft Endpoint Manager
Azure Firewall
Network Security Groups</t>
  </si>
  <si>
    <t>Microsoft Azure Portal
Microsoft Information Protection
Microsoft Defender for IoT</t>
  </si>
  <si>
    <t>3.1.20</t>
  </si>
  <si>
    <t>Control information posted or processed on publicly accessible information systems.</t>
  </si>
  <si>
    <t>Intune/Microsoft Endpoint Manager
Conditional Access 
Microsoft Information Protection 
Microsoft 365 DLP</t>
  </si>
  <si>
    <t>Microsoft Information Protection
Network Access Control
Exchange Admin Center
Microsoft 365 Compliance Center
Defender for Cloud App</t>
  </si>
  <si>
    <t>3.1.22</t>
  </si>
  <si>
    <t>Provide privacy and security notices consistent with applicable Controlled Unclassified Information (CUI) rules.</t>
  </si>
  <si>
    <t xml:space="preserve">Intune/Microsoft Endpoint Manager
Azure Active Directory </t>
  </si>
  <si>
    <t>Conditional Access
Teams</t>
  </si>
  <si>
    <t>3.1.9</t>
  </si>
  <si>
    <t>Limit use of portable storage devices on external systems.</t>
  </si>
  <si>
    <t xml:space="preserve">Intune/Microsoft Endpoint Manager
Microsoft Defender for Endpoint </t>
  </si>
  <si>
    <t>Named Locations
Conditional Access
Azure Active Directory</t>
  </si>
  <si>
    <t>3.1.21</t>
  </si>
  <si>
    <t>Employ the principle of least privilege, including for specific security functions and privileged accounts.</t>
  </si>
  <si>
    <t xml:space="preserve"> Privileged Identity Management (PIM)
Privileged Access Management 
Azure RBAC </t>
  </si>
  <si>
    <t xml:space="preserve">Azure Active Directory
GitHub Enterprise Cloud
GitHub AE
Microsoft 365 Admin Center </t>
  </si>
  <si>
    <t>3.1.5</t>
  </si>
  <si>
    <t>Use non-privileged accounts or roles when accessing nonsecurity functions.</t>
  </si>
  <si>
    <t xml:space="preserve">Azure Active Directory 
Azure RBAC </t>
  </si>
  <si>
    <t xml:space="preserve"> Privileged Identity Management (PIM)
Privileged Access Management                                                                                                                      Microsoft 365 Admin Center </t>
  </si>
  <si>
    <t>3.1.6</t>
  </si>
  <si>
    <t>Limit unsuccessful logon attempts.</t>
  </si>
  <si>
    <t xml:space="preserve">Azure Active Directory 
</t>
  </si>
  <si>
    <t xml:space="preserve">Azure AD Password Protection
Azure AD Smart Lockout  </t>
  </si>
  <si>
    <t>3.1.8</t>
  </si>
  <si>
    <t>Use session lock with pattern-hiding displays to prevent access and viewing of data after a period of inactivity.</t>
  </si>
  <si>
    <t xml:space="preserve">Azure Active Directory 
Conditional Access </t>
  </si>
  <si>
    <t>Microsoft Azure Portal
Azure Virtual Machines
Microsoft 365 Web Apps
Intune/Microsoft Endpoint Manager</t>
  </si>
  <si>
    <t>3.1.10</t>
  </si>
  <si>
    <t>Authorize wireless access prior to allowing such connections.</t>
  </si>
  <si>
    <t xml:space="preserve">Conditional Access
Network Access Control (NAC) </t>
  </si>
  <si>
    <t>3.1.16</t>
  </si>
  <si>
    <t>Monitor and control remote access sessions.</t>
  </si>
  <si>
    <t xml:space="preserve">Microsoft Defender for IoT
Azure Bastion
Microsoft Sentinel 
Azure Active Directory
</t>
  </si>
  <si>
    <t xml:space="preserve">Microsoft Azure Portal
Azure ExpressRoute
Network Security Groups
Intune/Microsoft Endpoint Manager
Microsoft Defender for Office 365
Conditional Access                                                                                                                                               Direct Access </t>
  </si>
  <si>
    <t>3.1.12</t>
  </si>
  <si>
    <t>Route remote access via managed access control points.</t>
  </si>
  <si>
    <t xml:space="preserve">Azure Bastion
VPN Gateway
Intune/Microsoft Endpoint Manager
</t>
  </si>
  <si>
    <t xml:space="preserve">Azure ExpressRoute
Azure Front Door
Network Security Groups
Azure Web Application Firewall
Conditional Access
Azure Virtual Desktop                                                                                                                             Managed Windows Desktop </t>
  </si>
  <si>
    <t>3.1.14</t>
  </si>
  <si>
    <t>Control the flow of CUI in accordance with approved authorizations.</t>
  </si>
  <si>
    <t xml:space="preserve">Azure Web Application Firewall
Microsoft Information Protection
Microsoft 365 DLP
	</t>
  </si>
  <si>
    <t>Network Security Groups
Intune/Microsoft Endpoint Manager
Microsoft Defender for Cloud Apps
Microsoft Defender for Identity
Exchange Admin Center 
Microsoft 365 Compliance Center 
Power Automate</t>
  </si>
  <si>
    <t>3.1.3</t>
  </si>
  <si>
    <t>Protect wireless access using authentication and encryption.</t>
  </si>
  <si>
    <t xml:space="preserve">Intune/Microsoft Endpoint Manager
</t>
  </si>
  <si>
    <t xml:space="preserve">Conditional Access
Network Access Control (NAC)  </t>
  </si>
  <si>
    <t>3.1.17</t>
  </si>
  <si>
    <t>Employ cryptographic mechanisms to protect the confidentiality of remote access sessions.</t>
  </si>
  <si>
    <t xml:space="preserve">Microsoft Azure Portal
Azure Active Directory
</t>
  </si>
  <si>
    <t xml:space="preserve">Load Balancer
Intune/Microsoft Endpoint Manager                                                                                                                        Office 365 Advanced Message Encryption                                                                                                                  Azure AD Multi-Factor Authentication                                                                                                                     Azure VPN                                                                                                                                                        Azure Bastion                                                                                                                                                     Azure Firewall                                                                                                                                               Azure Virtual Desktop </t>
  </si>
  <si>
    <t>3.1.13</t>
  </si>
  <si>
    <t>Separate the duties of individuals to reduce the risk of malevolent activity without collusion.</t>
  </si>
  <si>
    <t>Azure Active Directory
Azure RBAC</t>
  </si>
  <si>
    <t xml:space="preserve"> Privileged Identity Management (PIM)</t>
  </si>
  <si>
    <t>3.1.4</t>
  </si>
  <si>
    <t>Prevent non-privileged users from executing privileged functions and capture the execution of such functions in audit logs.</t>
  </si>
  <si>
    <t xml:space="preserve">Azure Active Directory
Azure RBAC
 Privileged Identity Management (PIM)
Azure Monitor
Microsoft Sentinel
Privileged Access Management </t>
  </si>
  <si>
    <t xml:space="preserve">Conditional Access
Intune/Microsoft Endpoint Manager
Microsoft Defender for Office 365
Microsoft 365 Compliance Center
</t>
  </si>
  <si>
    <t>3.1.7</t>
  </si>
  <si>
    <t>Terminate (automatically) user sessions after a defined condition.</t>
  </si>
  <si>
    <t>Microsoft Defender for Cloud Apps 
Microsoft Defender for Endpoint
Microsoft Azure Portal
Intune/Microsoft Endpoint Manager
Azure AD Smart Lockout
Azure Active Directory
Continuous Access Evaluation</t>
  </si>
  <si>
    <t>Application Security Groups
Azure Bastion
Conditional Access</t>
  </si>
  <si>
    <t>3.1.11</t>
  </si>
  <si>
    <t>Control connection of mobile devices.</t>
  </si>
  <si>
    <t>Microsoft 365 Admin Center
Microsoft Defender for Endpoint
conditional access
Network Access Control</t>
  </si>
  <si>
    <t>3.1.18</t>
  </si>
  <si>
    <t>Authorize remote execution of privileged commands and remote access to security-relevant information.</t>
  </si>
  <si>
    <t xml:space="preserve">Azure Active Directory
 Privileged Identity Management (PIM)
</t>
  </si>
  <si>
    <t>Named Locations
Azure Virtual Machines 
Conditional Access
Intune/Microsoft Endpoint Manager
Microsoft Information Protection                                                                                                                                  Microsoft Information Governance</t>
  </si>
  <si>
    <t>3.1.15</t>
  </si>
  <si>
    <t>Encrypt CUI on mobile devices and mobile computing platforms.</t>
  </si>
  <si>
    <t>Intune/Microsoft Endpoint Manager
Microsoft Information Protection</t>
  </si>
  <si>
    <t>Conditional Access
Microsoft Defender for Endpoint</t>
  </si>
  <si>
    <t>3.1.19</t>
  </si>
  <si>
    <t>Control information flows between security domains on connected systems.</t>
  </si>
  <si>
    <t>No Mapping</t>
  </si>
  <si>
    <t>Periodically review and update CUI program access permissions.</t>
  </si>
  <si>
    <t>Restrict remote network access based on organizational defined risk factors such as time of day, location of access, physical location, network connection state and measured properties of the current user and role.</t>
  </si>
  <si>
    <t>Identify and mitigate risk associated with unidentified wireless access points connected to the network.</t>
  </si>
  <si>
    <t>Define procedures for the handling of CUI data.</t>
  </si>
  <si>
    <t>Employ automated capability to discover and identify systems with specific component attributes (e.g., firmware level, OS type) within your inventory.</t>
  </si>
  <si>
    <t>Ensure that managers, system administrators and users of organizational systems are made aware of the security risks associated with their activities and of the applicable policies, standards and procedures related to the security of those systems.</t>
  </si>
  <si>
    <t>Microsoft 365 Defender
Azure Active Directory
Microsoft Defender for Cloud Apps
Microsoft Defender for Identity
Microsoft 365 Web Apps                                                                                                                                                                                                           Teams</t>
  </si>
  <si>
    <t>3.2.1</t>
  </si>
  <si>
    <t>Ensure that personnel are trained to carry out their assigned information security- related duties and responsibilities.</t>
  </si>
  <si>
    <t>Microsoft Defender for Office 365                   Microsoft Learn
Microsoft 365 Defender portal (Learning Hub)</t>
  </si>
  <si>
    <t>3.2.2</t>
  </si>
  <si>
    <t>Provide security awareness training on recognizing and reporting potential indicators of insider threat.</t>
  </si>
  <si>
    <t>3.2.3</t>
  </si>
  <si>
    <t>Provide awareness training focused on recognizing and responding to threats from social engineering, advanced persistent threat actors, breaches and suspicious behaviors; update the training at least annually or when there are significant changes to the threat.</t>
  </si>
  <si>
    <t>Include practical exercises in awareness training that are aligned with current threat scenarios and provide feedback to individuals involved in the training.</t>
  </si>
  <si>
    <t>Ensure that the actions of individual system users can be uniquely traced to those users so they can be held accountable for their actions.</t>
  </si>
  <si>
    <t>Microsoft Sentinel 
Microsoft 365 Compliance Center
Azure Active Directory</t>
  </si>
  <si>
    <t>3.3.2</t>
  </si>
  <si>
    <t>Create and retain system audit logs and records to the extent needed to enable the monitoring, analysis, investigation and reporting of unlawful or unauthorized system activity.</t>
  </si>
  <si>
    <t xml:space="preserve">Microsoft Sentinel 
Microsoft Defender for Cloud 
Log Analytics Workspace
Azure Active Directory
Intune/Microsoft Endpoint Manager
Microsoft 365 compliance center
Azure Storage
</t>
  </si>
  <si>
    <t>Azure Firewall
Azure Web Application Firewall
Microsoft Defender for Office 365
GitHub Enterprise Cloud
GitHub AE</t>
  </si>
  <si>
    <t>3.3.1</t>
  </si>
  <si>
    <t>Provide a system capability that compares and synchronizes internal system clocks with an authoritative source to generate time stamps for audit records.</t>
  </si>
  <si>
    <t xml:space="preserve">Windows Time Service </t>
  </si>
  <si>
    <t>3.3.7</t>
  </si>
  <si>
    <t>Review audit logs.</t>
  </si>
  <si>
    <t>Review and update logged events.</t>
  </si>
  <si>
    <t xml:space="preserve">Microsoft Defender for Endpoint </t>
  </si>
  <si>
    <t>Microsoft Sentinel 
Azure Active Directory
Intune/Microsoft Endpoint Manager
Microsoft Defender for Cloud Apps
Microsoft 365 compliance center
Exchange admin center</t>
  </si>
  <si>
    <t>3.3.3</t>
  </si>
  <si>
    <t>Alert in the event of an audit logging process failure.</t>
  </si>
  <si>
    <t xml:space="preserve">Microsoft Sentinel 
</t>
  </si>
  <si>
    <t xml:space="preserve">Azure Active Directory
Microsoft Graph
Power Automate
Log Analytics
Azure Monitor </t>
  </si>
  <si>
    <t>3.3.4</t>
  </si>
  <si>
    <t xml:space="preserve">Collect audit information (e.g., logs) into one or more central repositories.
</t>
  </si>
  <si>
    <t>Protect audit information and audit logging tools from unauthorized access, modification and deletion.</t>
  </si>
  <si>
    <t xml:space="preserve">Azure RBAC
</t>
  </si>
  <si>
    <t>Microsoft Sentinel 
Microsoft 365 Compliance Center
Azure Storage
Log Analytics Workspace
Conditional Access</t>
  </si>
  <si>
    <t>3.3.8</t>
  </si>
  <si>
    <t>Limit management of audit logging functionality to a subset of privileged users.</t>
  </si>
  <si>
    <t>Conditional Access
Microsoft 365 Security Center
Log Analytics Workspace
Intune/Microsoft Endpoint Manager
Microsoft Defender for Cloud Apps
 Privileged Identity Management (PIM)</t>
  </si>
  <si>
    <t>3.3.9</t>
  </si>
  <si>
    <t>Correlate audit record review, analysis and reporting processes for investigation and response to indications of unlawful, unauthorized, suspicious or unusual activity.</t>
  </si>
  <si>
    <t xml:space="preserve">Microsoft Sentinel
</t>
  </si>
  <si>
    <t>Log Analytics Workspace
Microsoft Defender for Cloud Apps
Microsoft Defender for Identity
Microsoft Defender for IoT
Microsoft 365 Compliance Center 
Microsoft Graph</t>
  </si>
  <si>
    <t>3.3.5</t>
  </si>
  <si>
    <t>Provide audit record reduction and report generation to support on-demand analysis and reporting.</t>
  </si>
  <si>
    <t>Microsoft Defender for IoT
Microsoft Sentinel</t>
  </si>
  <si>
    <t>Log Analytics Workspace
Azure Active Directory
Microsoft 365 Compliance Center
Microsoft 365 Admin Center</t>
  </si>
  <si>
    <t>3.3.6</t>
  </si>
  <si>
    <t>Automate analysis of audit logs to identify and act on critical indicators (TTPs) and/or organizationally-defined suspicious activity.</t>
  </si>
  <si>
    <t>Review audit information for broad activity in addition to per-machine activity.</t>
  </si>
  <si>
    <t>Identify assets not reporting audit logs and assure appropriate organizationally defined systems are logging.</t>
  </si>
  <si>
    <t>Develop, document and periodically update System Security Plans (SSPs) that describe system boundaries, system environments of operation, how security requirements are implemented and the relationships with or connections to other systems.</t>
  </si>
  <si>
    <t>Microsoft 365 Web Apps 
Power Automate
Microsoft Lists</t>
  </si>
  <si>
    <t>3.12.4</t>
  </si>
  <si>
    <t>Periodically assess the security controls in organizational systems to determine if the controls are effective in their application.</t>
  </si>
  <si>
    <t>Microsoft Sentinel 
Azure Monitor
Intune/Microsoft Endpoint Manager
Microsoft Defender for Cloud Apps
Microsoft Defender for Endpoint
Microsoft Defender for IoT
Microsoft Secure Score</t>
  </si>
  <si>
    <t>3.12.1</t>
  </si>
  <si>
    <t>Develop and implement plans of action (e.g., POA&amp;M) designed to correct deficiencies and reduce or eliminate vulnerabilities in organizational systems.</t>
  </si>
  <si>
    <t>Microsoft Defender for Endpoint
Threat and Vulnerability Management
Microsoft Sentinel
Microsoft Secure Score 
Microsoft 365 Web Apps</t>
  </si>
  <si>
    <t>3.12.2</t>
  </si>
  <si>
    <t>Monitor security controls on an ongoing basis to ensure the continued effectiveness of the controls.</t>
  </si>
  <si>
    <t>Microsoft Sentinel 
Microsoft 365 Defender
Microsoft Secure Score 
Intune/Microsoft Endpoint Manager
Microsoft Defender for Cloud Apps
Microsoft Defender for Endpoint
Microsoft 365  Compliance Center
Azure Monitor</t>
  </si>
  <si>
    <t>3.12.3</t>
  </si>
  <si>
    <t>Employ a security assessment of enterprise software that has been developed internally, for internal use, and that has been organizationally-defined as an area of risk.</t>
  </si>
  <si>
    <t>Create, maintain and leverage a security strategy and roadmap for organizational cybersecurity improvement.</t>
  </si>
  <si>
    <t>Conduct penetration testing periodically, leveraging automated scanning tools and ad hoc tests using human experts.</t>
  </si>
  <si>
    <t>Periodically perform red teaming against organizational assets in order to validate defensive capabilities</t>
  </si>
  <si>
    <t>Establish and maintain baseline configurations and inventories of organizational systems (including hardware, software, firmware and documentation) throughout the respective system development life cycles.</t>
  </si>
  <si>
    <t>Azure Automation
Change Tracking and Inventory
Microsoft Defender for IoT
Intune/Microsoft Endpoint Manager
Microsoft Defender for Endpoint
GitHub Enterprise Cloud
GitHub AE</t>
  </si>
  <si>
    <t xml:space="preserve">Azure Virtual Machines 
Microsoft 365 Lighthouse
Azure Lighthouse </t>
  </si>
  <si>
    <t>3.4.1</t>
  </si>
  <si>
    <t>Employ the principle of least functionality by configuring organizational systems to provide only essential capabilities.</t>
  </si>
  <si>
    <t>Azure Active Directory
Intune/ Microsoft Endpoint Manager</t>
  </si>
  <si>
    <t xml:space="preserve">Microsoft 365 Defender
Conditional Access </t>
  </si>
  <si>
    <t>3.4.6</t>
  </si>
  <si>
    <t>Control and monitor user-installed software.</t>
  </si>
  <si>
    <t>Microsoft Sentinel
Intune/Microsoft Endpoint Manager
Microsoft Defender for Cloud Apps
Azure Active Directory
Log Analytics
Azure Monitor</t>
  </si>
  <si>
    <t>Microsoft Defender for Endpoint
Microsoft Defender for Identity
Microsoft 365 Admin Center
Windows Defender Application Control
AppLocker
GitHub Enterprise Cloud
GitHub AE</t>
  </si>
  <si>
    <t>3.4.9</t>
  </si>
  <si>
    <t>Establish and enforce security configuration settings for information technology products employed in organizational systems.</t>
  </si>
  <si>
    <t>Azure Active Directory
Intune/Microsoft Endpoint Manager
Azure Automation
Microsoft Defender for Endpoint</t>
  </si>
  <si>
    <t>Log Analytics
App Locker
Windows Defender for Application Control
Microsoft 365 Admin Center
Conditional Access</t>
  </si>
  <si>
    <t>3.4.2</t>
  </si>
  <si>
    <t>Track, review, approve or disapprove and log changes to organizational systems.</t>
  </si>
  <si>
    <t>Microsoft Defender for Cloud Apps
Power Automate
Change Tracking and Inventory
GitHub Enterprise Cloud
GitHub AE</t>
  </si>
  <si>
    <t>Log Analytics Workspace
Azure Active Directory
Intune/Microsoft Endpoint Manager
Microsoft 365 Defender</t>
  </si>
  <si>
    <t>3.4.3</t>
  </si>
  <si>
    <t>Analyze the security impact of changes prior to implementation.</t>
  </si>
  <si>
    <t>GitHub Enterprise Cloud
GitHub AE
Azure DevTest Labs
Microsoft 365 for enterprise Test Lab</t>
  </si>
  <si>
    <t>Intune/Microsoft Endpoint Manager
Microsoft Defender Endpoint                                 Windows Virtual Desktop</t>
  </si>
  <si>
    <t>3.4.4</t>
  </si>
  <si>
    <t>Define, document, approve and enforce physical and logical access restrictions associated with changes to organizational systems.</t>
  </si>
  <si>
    <t>Azure Active Directory
Azure RBAC
Change Tracking and Inventory
Power Automate
GitHub Enterprise Cloud 
GitHub AE</t>
  </si>
  <si>
    <t xml:space="preserve">Azure Firewall
Network Security Groups
Azure Web Application Firewall
Virtual Network
Conditional Access
Intune/Microsoft Endpoint Manager
Microsoft 365 admin center
Teams
</t>
  </si>
  <si>
    <t>3.4.5</t>
  </si>
  <si>
    <t>Restrict, disable or prevent the use of nonessential programs, functions, ports, protocols and services.</t>
  </si>
  <si>
    <t>Network Security Groups
Azure Firewall
Azure Web Application Firewall
Azure Active Directory
Intune/Microsoft Endpoint Manager</t>
  </si>
  <si>
    <t xml:space="preserve">Microsoft Defender for IoT
Windows Defender Application Control 
App Locker 
Microsoft Defender for Cloud
Microsoft 365 Defender
Conditional Access </t>
  </si>
  <si>
    <t>3.4.7</t>
  </si>
  <si>
    <t>Apply deny-by-exception (blacklisting) policy to prevent the use of unauthorized software or deny-all, permit-by-exception (whitelisting) policy to allow the execution of authorized software.</t>
  </si>
  <si>
    <t>Azure Virtual Machines 
Intune/Microsoft Endpoint Manager
Microsoft Defender for Cloud Apps
Microsoft Defender SmartScreen</t>
  </si>
  <si>
    <t>Azure Firewall
Network Security Groups
Azure Web Application Firewall
Conditional Access
Microsoft Defender for Endpoint
GitHub Enterprise Cloud 
GitHub AE</t>
  </si>
  <si>
    <t>3.4.8</t>
  </si>
  <si>
    <t>Employ application whitelisting and an application vetting process for systems identified by the organization.</t>
  </si>
  <si>
    <t>Verify the integrity and correctness of security critical or essential software as defined by the organization (e.g., roots of trust, formal verification or cryptographic signatures).</t>
  </si>
  <si>
    <t>Identify information system users, processes acting on behalf of users or devices.</t>
  </si>
  <si>
    <t xml:space="preserve">Azure Active Directory
Intune/Microsoft Endpoint Manager
</t>
  </si>
  <si>
    <t>Network Security Groups
Privileged Identity Management (PIM) 
Microsoft Graph</t>
  </si>
  <si>
    <t>3.5.1</t>
  </si>
  <si>
    <t>Authenticate (or verify) the identities of those users, processes or devices, as a prerequisite to allowing access to organizational information systems.</t>
  </si>
  <si>
    <t>Azure Active Directory
Azure AD Multi-Factor Authentication
Conditional Access
Intune/Microsoft Endpoint Manager</t>
  </si>
  <si>
    <t>Customer Lockbox
Privileged Identity Management (PIM) 
Microsoft 365 Admin Center</t>
  </si>
  <si>
    <t>3.5.2</t>
  </si>
  <si>
    <t>Enforce a minimum password complexity and change of characters when new passwords are created.</t>
  </si>
  <si>
    <t xml:space="preserve">Intune/Microsoft Endpoint Manager                                                                                                                                                                                        Azure AD Password Protection
Conditional Access        </t>
  </si>
  <si>
    <t>3.5.7</t>
  </si>
  <si>
    <t>Prohibit password reuse for a specified number of generations.</t>
  </si>
  <si>
    <t xml:space="preserve">Azure Active Directory
</t>
  </si>
  <si>
    <t>Intune/Microsoft Endpoint Manager
Azure AD Password Protection
Conditional Access</t>
  </si>
  <si>
    <t>3.5.8</t>
  </si>
  <si>
    <t>Allow temporary password use for system logons with an immediate change to a permanent password.</t>
  </si>
  <si>
    <t xml:space="preserve">Azure Active Directory </t>
  </si>
  <si>
    <t>3.5.9</t>
  </si>
  <si>
    <t>Store and transmit only cryptographically- protected passwords.</t>
  </si>
  <si>
    <t>Microsoft Azure Portal
Azure Key Vault
Azure Virtual Machines 
Intune/Microsoft Endpoint Manager</t>
  </si>
  <si>
    <t xml:space="preserve">Azure Active Directory
Conditional Access 
Microsoft Defender for Endpoint 
Microsoft Defender for Cloud Apps </t>
  </si>
  <si>
    <t>3.5.10</t>
  </si>
  <si>
    <t>Obscure feedback of authentication information.</t>
  </si>
  <si>
    <t>Azure Bastion
Azure Virtual Machines 
Microsoft Azure Portal
Intune/Microsoft Endpoint Manager</t>
  </si>
  <si>
    <t>3.5.11</t>
  </si>
  <si>
    <t>Use multi-factor authentication for local and network access to privileged accounts and for network access to non-privileged accounts.</t>
  </si>
  <si>
    <t xml:space="preserve">Azure AD Multi-Factor Authentication
</t>
  </si>
  <si>
    <t>Azure Active Directory
Microsoft Azure Portal
Azure Bastion
Conditional Access
VPN Gateway
Intune/Microsoft Endpoint Manager
Privileged Identity Management (PIM)
GitHub Enterprise Cloud
GitHub AE</t>
  </si>
  <si>
    <t>3.5.3</t>
  </si>
  <si>
    <t>Employ replay-resistant authentication mechanisms for network access to privileged and non-privileged accounts.</t>
  </si>
  <si>
    <t>Azure AD Multi-Factor Authentication
Intune/Microsoft Endpoint Manager
Windows Hello for Business 
Microsoft Azure Portal
Azure Active Directory</t>
  </si>
  <si>
    <t>Conditional Access 
Privileged Identity Management (PIM)</t>
  </si>
  <si>
    <t>3.5.4</t>
  </si>
  <si>
    <t>Prevent the reuse of identifiers for a defined period.</t>
  </si>
  <si>
    <t>Azure Active Directory
Entitlement Management</t>
  </si>
  <si>
    <t xml:space="preserve">Intune/Microsoft Endpoint Manager
Microsoft 365  Compliance Center 
Conditional Access </t>
  </si>
  <si>
    <t>3.5.5</t>
  </si>
  <si>
    <t>Disable identifiers after a defined period of inactivity.</t>
  </si>
  <si>
    <t>Azure Active Directory
Microsoft Defender for Identity
Entitlement Management</t>
  </si>
  <si>
    <t xml:space="preserve">Microsoft Defender for Cloud Apps
Intune/Microsoft Endpoint Manager 
Conditional Access </t>
  </si>
  <si>
    <t>3.5.6</t>
  </si>
  <si>
    <t>Establish an operational incident-handling capability for organizational systems that includes preparation, detection, analysis, containment, recovery and user response activities.</t>
  </si>
  <si>
    <t xml:space="preserve">Microsoft Defender for Cloud Apps 
Microsoft Sentinel </t>
  </si>
  <si>
    <t>Microsoft Defender for Endpoint
Microsoft Defender for Office 365
Microsoft Defender for IoT
Microsoft 365 Defender 
Insider Risk Management 
Azure Active Directory
Microsoft Graph</t>
  </si>
  <si>
    <t>3.6.1</t>
  </si>
  <si>
    <t>Detect and report events.</t>
  </si>
  <si>
    <t>Analyze and triage events to support event resolution and incident declaration.</t>
  </si>
  <si>
    <t>Develop and implement responses to declared incidents according to pre- defined procedures.</t>
  </si>
  <si>
    <t>Perform root cause analysis on incidents to determine underlying causes.</t>
  </si>
  <si>
    <t>Track, document and report incidents to designated officials and/or authorities both internal and external to the organization.</t>
  </si>
  <si>
    <t xml:space="preserve">Microsoft Sentinel
Dynamics 365
Azure Active Directory </t>
  </si>
  <si>
    <t>Microsoft Defender for Cloud Apps
Microsoft 365 security center
Intune/Microsoft Endpoint Manager
Microsoft 365 Defender</t>
  </si>
  <si>
    <t>3.6.2</t>
  </si>
  <si>
    <t>Test the organizational incident response capability.</t>
  </si>
  <si>
    <t>Microsoft Sentinel
Microsoft 365 Defender for Office 365
Microsoft 365 Defender for Endpoint</t>
  </si>
  <si>
    <t>3.6.3</t>
  </si>
  <si>
    <t>Use knowledge of attacker tactics, techniques and procedures in incident response planning and execution.</t>
  </si>
  <si>
    <t>Establish and maintain a Security Operations Center (SOC) capability that facilitates a 24/7 response capability.</t>
  </si>
  <si>
    <t>Use a combination of manual and automated, real-time response to anomalous activities that match incident patterns.</t>
  </si>
  <si>
    <t>In response to cyber incidents, utilize forensic data gathering across impacted systems, ensuring the secure transfer and protection of forensic data.</t>
  </si>
  <si>
    <t>Establish and maintain a Cyber Incident Response Team (CIRT) that can investigate an issue physically or virtually at any location within 24 hours.</t>
  </si>
  <si>
    <t>Perform unannounced operational exercises to demonstrate technical and procedural responses.</t>
  </si>
  <si>
    <t>Perform maintenance on organizational systems.</t>
  </si>
  <si>
    <t xml:space="preserve">Microsoft Azure Portal
Azure Virtual Machines 
Intune/Microsoft Endpoint Manager
Microsoft Defender for Endpoint
Microsoft Endpoint Manager
Configuration Manager
Privileged Identity Management (PIM) </t>
  </si>
  <si>
    <t>3.7.1</t>
  </si>
  <si>
    <t>Provide controls on the tools, techniques, mechanisms and personnel used to conduct system maintenance.</t>
  </si>
  <si>
    <t>Azure Active Directory
Azure RBAC
Privileged Identity Management (PIM)</t>
  </si>
  <si>
    <t>Azure Bastion
Intune/Microsoft Endpoint Manager
Conditional Access
Network Security Groups</t>
  </si>
  <si>
    <t>3.7.2</t>
  </si>
  <si>
    <t>Require multifactor authentication to establish nonlocal maintenance sessions via external network connections and terminate such connections when nonlocal maintenance is complete.</t>
  </si>
  <si>
    <t>Azure Active Directory
Azure AD Multi-Factor Authentication
Intune/Microsoft Endpoint Manager
Conditional Access</t>
  </si>
  <si>
    <t>Privileged Identity Management (PIM)
Azure RBAC
Microsoft Azure Portal</t>
  </si>
  <si>
    <t>3.7.5</t>
  </si>
  <si>
    <t>Supervise the maintenance activities of personnel without required access authorization.</t>
  </si>
  <si>
    <t>Azure Bastion 
Privileged Identity Management (PIM)</t>
  </si>
  <si>
    <t>3.7.6</t>
  </si>
  <si>
    <t>Ensure equipment removed for off-site maintenance is sanitized of any CUI.</t>
  </si>
  <si>
    <t xml:space="preserve">Microsoft Information Protection </t>
  </si>
  <si>
    <t>3.7.3</t>
  </si>
  <si>
    <t>Check media containing diagnostic and test programs for malicious code before the media are used in organizational systems.</t>
  </si>
  <si>
    <t>3.7.4</t>
  </si>
  <si>
    <t>Sanitize or destroy information system media containing Federal Contract Information (FCI) before disposal or release for reuse.</t>
  </si>
  <si>
    <t>Azure Key Vault
Microsoft Information Protection</t>
  </si>
  <si>
    <t>3.8.3</t>
  </si>
  <si>
    <t>Protect (i.e., physically control and securely store) system media containing CUI, both paper and digital.</t>
  </si>
  <si>
    <t>Azure Key Vault
Microsoft Information Protection
Intune/Microsoft Endpoint Manager</t>
  </si>
  <si>
    <t xml:space="preserve">Azure Virtual Machines 
Conditional Access
Azure RBAC
Bitlocker </t>
  </si>
  <si>
    <t>3.8.1</t>
  </si>
  <si>
    <t>Limit access to CUI on system media to authorized users.</t>
  </si>
  <si>
    <t>Azure RBAC
Microsoft Information Protection
Conditional Access
Intune/Microsoft Endpoint Manager</t>
  </si>
  <si>
    <t>Network Security Groups
Azure AD Multi-Factor Authentication
Microsoft 365 Compliance Center
Microsoft Defender for Endpoint
Microsoft 365 Compliance Center</t>
  </si>
  <si>
    <t>3.8.2</t>
  </si>
  <si>
    <t>Control the use of removable media on system components.</t>
  </si>
  <si>
    <t>3.8.7</t>
  </si>
  <si>
    <t>Mark media with necessary CUI markings and distribution limitations.</t>
  </si>
  <si>
    <t>3.8.4</t>
  </si>
  <si>
    <t>Prohibit the use of portable storage devices when such devices have no identifiable owner.</t>
  </si>
  <si>
    <t>Intune/Microsoft Endpoint Manager
Microsoft Defender for Endpoint</t>
  </si>
  <si>
    <t xml:space="preserve">Conditional Access
</t>
  </si>
  <si>
    <t>3.8.8</t>
  </si>
  <si>
    <t>Control access to media containing CUI and maintain accountability for media during transport outside of controlled areas.</t>
  </si>
  <si>
    <t>Microsoft Information Protection
Azure Key Vault
Intune/Microsoft Endpoint Manager
Azure RBAC
Bitlocker                                                                                                                                                             Azure AD Multi-Factor Authentication</t>
  </si>
  <si>
    <t>3.8.5</t>
  </si>
  <si>
    <t>Implement cryptographic mechanisms to protect the confidentiality of CUI stored on digital media during transport unless otherwise protected by alternative physical safeguards.</t>
  </si>
  <si>
    <t>Bitlocker
Azure RBAC</t>
  </si>
  <si>
    <t xml:space="preserve">Microsoft Defender for Endpoint
Azure Key Vault
Intune/Microsoft Endpoint Manager
Microsoft Information Protection
Conditional Access
</t>
  </si>
  <si>
    <t>3.8.6</t>
  </si>
  <si>
    <t>Azure Active Directory 
Azure RBAC</t>
  </si>
  <si>
    <t>Azure Key Vault
Azure Backup 
Azure Virtual Network 
Microsoft Information Protection
Azure AD Multi-Factor Authentication</t>
  </si>
  <si>
    <t>3.8.9</t>
  </si>
  <si>
    <t>Limit physical access to organizational information systems, equipment and the respective operating environments to authorized individuals.</t>
  </si>
  <si>
    <t xml:space="preserve">Azure Datacenter
Azure Active Directory
Microsoft Information Protection
Conditional Access
Intune/Microsoft Endpoint Manager
</t>
  </si>
  <si>
    <t>3.10.1</t>
  </si>
  <si>
    <t>Escort visitors and monitor visitor activity.</t>
  </si>
  <si>
    <t xml:space="preserve">Azure Datacenter
Intune/Microsoft Endpoint Manager
</t>
  </si>
  <si>
    <t xml:space="preserve">Microsoft Information Protection
</t>
  </si>
  <si>
    <t>3.10.3</t>
  </si>
  <si>
    <t>Maintain audit logs of physical access.</t>
  </si>
  <si>
    <t xml:space="preserve">Azure Datacenter
Microsoft Information Protection
</t>
  </si>
  <si>
    <t>3.10.4</t>
  </si>
  <si>
    <t>Control and manage physical access devices.</t>
  </si>
  <si>
    <t>3.10.5</t>
  </si>
  <si>
    <t>Protect and monitor the physical facility and support infrastructure for organizational systems.</t>
  </si>
  <si>
    <t xml:space="preserve">Azure Datacenter
</t>
  </si>
  <si>
    <t xml:space="preserve">Microsoft Information Protection
Intune/Microsoft Endpoint Manager
</t>
  </si>
  <si>
    <t>3.10.2</t>
  </si>
  <si>
    <t>Enforce safeguarding measures for CUI at alternate work sites.</t>
  </si>
  <si>
    <t xml:space="preserve">Azure AD Multi-Factor Authentication
Intune/Microsoft Endpoint Manager
Azure RBAC
Azure VPN
Azure Firewall
Bitlocker </t>
  </si>
  <si>
    <t xml:space="preserve">Named Locations
Microsoft Information Protection
Conditional Access
Microsoft 365 DLP </t>
  </si>
  <si>
    <t>3.10.6</t>
  </si>
  <si>
    <t>Screen individuals prior to authorizing access to organizational systems containing CUI.</t>
  </si>
  <si>
    <t>3.9.1</t>
  </si>
  <si>
    <t>Ensure that organizational systems containing CUI are protected during and after personnel actions such as terminations and transfers.</t>
  </si>
  <si>
    <t>Microsoft Information Protection
Conditional Access
Microsoft Defender for Endpoint
Intune/Microsoft Endpoint Manager
Microsoft Defender for Cloud Apps</t>
  </si>
  <si>
    <t>3.9.2</t>
  </si>
  <si>
    <t>Regularly perform and test data back-ups.</t>
  </si>
  <si>
    <t>Protect the confidentiality of backup CUI at storage locations.</t>
  </si>
  <si>
    <t>Regularly perform complete, comprehensive and resilient data backups as organizationally-defined.</t>
  </si>
  <si>
    <t>Ensure information processing facilities meet organizationally-defined information security continuity, redundancy and availability requirements.</t>
  </si>
  <si>
    <t>Periodically assess the risk to organizational operations (including mission, functions, image or reputation), organizational assets and individuals, resulting from the operation of organizational systems and the associated processing, storage or transmission of CUI.</t>
  </si>
  <si>
    <t xml:space="preserve">Microsoft Defender for IoT
</t>
  </si>
  <si>
    <t>Microsoft Sentinel 
Intune/Microsoft Endpoint Manager
Microsoft Defender for Cloud 
Microsoft Defender for Endpoint
Insider Risk Management</t>
  </si>
  <si>
    <t>3.11.1</t>
  </si>
  <si>
    <t>Scan for vulnerabilities in organizational systems and applications periodically and when new vulnerabilities affecting those systems and applications are identified.</t>
  </si>
  <si>
    <t xml:space="preserve">Microsoft 365 Defender
Microsoft Defender for IoT
Microsoft Defender for Endpoint
Microsoft Defender for Office 365
Threat and Vulnerability Management
</t>
  </si>
  <si>
    <t xml:space="preserve">
Intune/Microsoft Endpoint Manager
GitHub Enterprise Cloud
GitHub AE
GitHub Advanced Security (Add-On)</t>
  </si>
  <si>
    <t>3.11.2</t>
  </si>
  <si>
    <t>Remediate vulnerabilities in accordance with risk assessments.</t>
  </si>
  <si>
    <t xml:space="preserve">Microsoft 365 Defender
Microsoft Defender for Endpoint
Microsoft Defender for IoT
Microsoft Defender for Cloud </t>
  </si>
  <si>
    <t xml:space="preserve"> Intune/Microsoft Endpoint Manager
GitHub Enterprise Cloud
Microsoft Secure Score
GitHub AE
GitHub Advanced Security (Add-On)
Insider Risk Management
Threat and Vulnerability Management</t>
  </si>
  <si>
    <t>3.11.3</t>
  </si>
  <si>
    <t>Periodically perform risk assessments to identify and prioritize risks according to the defined risk categories, risk sources and risk measurement criteria.</t>
  </si>
  <si>
    <t>Develop and implement risk mitigation plans.</t>
  </si>
  <si>
    <t>Manage non-vendor-supported products (e.g., end of life) separately and restrict as necessary to reduce risk.</t>
  </si>
  <si>
    <t>Develop and update as required, a plan for managing supply chain risks associated with the IT supply chain.</t>
  </si>
  <si>
    <t>Catalog and periodically update threat profiles and adversary Tactics, Techniques &amp; Procedures (TTPs).</t>
  </si>
  <si>
    <t>Employ threat intelligence to inform the development of the system and security architectures, selection of security solutions, monitoring, threat hunting and response and recovery activities.</t>
  </si>
  <si>
    <t>Perform scans for unauthorized ports available across perimeter network boundaries, over the organization's Internet boundaries and other organization-defined boundaries.</t>
  </si>
  <si>
    <t>Utilize an exception process for non-whitelisted software that includes mitigation techniques.</t>
  </si>
  <si>
    <t>Analyze the effectiveness of security solutions at least annually to address anticipated risk to the system and the organization based on current and accumulated threat intelligence.</t>
  </si>
  <si>
    <t>Receive and respond to cyber threat intelligence from information sharing forums and sources and communicate to stakeholders.</t>
  </si>
  <si>
    <t>Establish and maintain a cyber threat hunting capability to search for Indicators of Compromise (IoC) in organizational systems and detect, track and disrupt threats that evade existing controls.</t>
  </si>
  <si>
    <t>Design network and system security capabilities to leverage, integrate and share Indicators of Compromise (IoC).</t>
  </si>
  <si>
    <t>Monitor, control and protect organizational communications (e.g., information transmitted or received by organizational information systems) at the external boundaries and key internal boundaries of the information systems.</t>
  </si>
  <si>
    <t>Microsoft Sentinel 
Microsoft Information Protection
Azure Firewall</t>
  </si>
  <si>
    <t xml:space="preserve">Microsoft Azure Portal
Azure Monitor
Azure Bastion
Azure ExpressRoute  
VPN Gateway
Load Balancer
Log Analytics Workspace
Network Security Groups
Azure Web Application Firewall
Azure Virtual Machines 
Virtual Network
Conditional Access
Customer Lockbox
Intune/Microsoft Endpoint Manager
Conditional Access
Microsoft Defender for Cloud Apps
Microsoft Defender for Endpoint
Microsoft Defender for Office 365
Microsoft 365 DLP
Microsoft Defender for IoT
</t>
  </si>
  <si>
    <t>3.13.1</t>
  </si>
  <si>
    <t>Implement subnetworks for publicly accessible system components that are physically or logically separated from internal networks.</t>
  </si>
  <si>
    <t>Azure Bastion
Azure Firewall
Load Balancer
Network Security Groups
Azure Web Application Firewall
Virtual Network</t>
  </si>
  <si>
    <t>3.13.5</t>
  </si>
  <si>
    <t>Prohibit remote activation of collaborative computing devices and provide indication of devices in use to users present at the device.</t>
  </si>
  <si>
    <t xml:space="preserve">Microsoft Defender for Endpoint 
Teams
Windows Hello for Business
Azure Active Directory </t>
  </si>
  <si>
    <t>3.13.12</t>
  </si>
  <si>
    <t>Use encrypted sessions for the management of network devices.</t>
  </si>
  <si>
    <t>Employ FIPS-validated cryptography when used to protect the confidentiality of CUI.</t>
  </si>
  <si>
    <t xml:space="preserve">Azure Key Vault
Bitlocker </t>
  </si>
  <si>
    <t>Microsoft Azure Portal
Azure Firewall
Azure Virtual Machines 
Microsoft Information Protection
Intune/Microsoft Endpoint Manager
Conditional Access
GitHub AE</t>
  </si>
  <si>
    <t>3.13.11</t>
  </si>
  <si>
    <t>Employ architectural designs, software development techniques and systems engineering principles that promote effective information security within organizational systems.</t>
  </si>
  <si>
    <t>3.13.2</t>
  </si>
  <si>
    <t>Separate user functionality from system management functionality.</t>
  </si>
  <si>
    <t>Conditional Access
Privileged Identity Management (PIM) </t>
  </si>
  <si>
    <t>3.13.3</t>
  </si>
  <si>
    <t>Prevent unauthorized and unintended information transfer via shared system
resources.</t>
  </si>
  <si>
    <t>Microsoft Information Protection
Microsoft 365 DLP</t>
  </si>
  <si>
    <t xml:space="preserve">Network Security Groups
Azure Web Application Firewall
Azure Virtual Machines 
Virtual Network
Intune/Microsoft Endpoint Manager
Azure RBAC
Microsoft Defender for Office 365
Privileged Identity Management (PIM)
Azure AD Multi-Factor Authentication
Conditional Access </t>
  </si>
  <si>
    <t>3.13.4</t>
  </si>
  <si>
    <t>Deny network communications traffic by default and allow network communications traffic by exception (e.g., deny all, permit by exception).</t>
  </si>
  <si>
    <t xml:space="preserve">Microsoft Defender for IoT
Load Balancer
Network Security Groups
Azure Web Application Firewall
Virtual Network
Conditional Access
Intune/Microsoft Endpoint Manager
</t>
  </si>
  <si>
    <t>3.13.6</t>
  </si>
  <si>
    <t>Prevent remote devices from simultaneously establishing non-remote connections with organizational systems and communicating via some other connection to resources in external networks (e.g., split tunneling).</t>
  </si>
  <si>
    <t>Azure VPN
Azure Firewall</t>
  </si>
  <si>
    <t>Azure ExpressRoute
Azure Virtual Desktop
Azure Active Directory</t>
  </si>
  <si>
    <t>3.13.7</t>
  </si>
  <si>
    <t>Implement cryptographic mechanisms to prevent unauthorized disclosure of CUI during transmission unless otherwise protected by alternative physical safeguards.</t>
  </si>
  <si>
    <t>Microsoft Information Protection
Office 365 Message Encryption (OME)</t>
  </si>
  <si>
    <t>Azure ExpressRoute 
Azure Key Vault
Load Balancer
Network Security Groups
Azure Virtual Machines 
Virtual Network
VPN Gateway
Intune/Microsoft Endpoint Manager
Conditional Access
Bitlocker
Microsoft Defender for Cloud Apps
Microsoft Azure Portal</t>
  </si>
  <si>
    <t>3.13.8</t>
  </si>
  <si>
    <t>Terminate network connections associated with communications sessions at the end of the sessions or after a defined period of inactivity.</t>
  </si>
  <si>
    <t xml:space="preserve">Microsoft Azure Portal
Azure Virtual Machines 
VPN Gateway
Azure Active Directory
Intune/Microsoft Endpoint Manager
Microsoft 365  Web Apps
Conditional Access </t>
  </si>
  <si>
    <t>3.13.9</t>
  </si>
  <si>
    <t>Establish and manage cryptographic keys for cryptography employed in organizational systems.</t>
  </si>
  <si>
    <t xml:space="preserve">Azure Key Vault
GitHub AE
</t>
  </si>
  <si>
    <t>Microsoft Information Protection
GitHub Enterprise Cloud
Bitlocker
Distributed Key Manager
Customer Key</t>
  </si>
  <si>
    <t>3.13.10</t>
  </si>
  <si>
    <t>Control and monitor the use of mobile code.</t>
  </si>
  <si>
    <t>Azure Web Application Firewall
Microsoft Sentinel</t>
  </si>
  <si>
    <t>Azure Virtual Machines
Intune/Microsoft Endpoint Manager
Conditional Access
GitHub Advanced Security (Add-On)
Microsoft Defender for Endpoint</t>
  </si>
  <si>
    <t>3.13.13</t>
  </si>
  <si>
    <t>Control and monitor the use of Voice over Internet Protocol (VoIP) technologies.</t>
  </si>
  <si>
    <t xml:space="preserve">Teams
Microsoft Sentinel </t>
  </si>
  <si>
    <t>Microsoft Defender for IoT
Intune/Microsoft Endpoint Manager
Conditional Access
Azure Active Directory</t>
  </si>
  <si>
    <t>3.13.14</t>
  </si>
  <si>
    <t>Protect the authenticity of communications sessions.</t>
  </si>
  <si>
    <t>Azure ExpressRoute 
Azure Key Vault
Load Balancer
Network Security Groups
Azure Virtual Machines 
Virtual Network
VPN Gateway
Microsoft Information Protection
Intune/Microsoft Endpoint Manager
Microsoft Defender for Cloud Apps
Azure AD Multi-Factor Authentication
Teams</t>
  </si>
  <si>
    <t>3.13.15</t>
  </si>
  <si>
    <t>Protect the confidentiality of CUI at rest.</t>
  </si>
  <si>
    <t>Azure Key Vault
Bitlocker</t>
  </si>
  <si>
    <t>Log Analytics Workspace
Microsoft Sentinel 
Azure Virtual Machines 
Microsoft Information Protection
Intune/Microsoft Endpoint Manager
Microsoft Defender for Cloud Apps
Microsoft Defender for Endpoint
Microsoft Defender for Office 365	
Distributed Key Manager
Customer Key</t>
  </si>
  <si>
    <t>3.13.16</t>
  </si>
  <si>
    <t>Implement Domain Name System (DNS) filtering services.</t>
  </si>
  <si>
    <t>Implement a policy restricting the publication of CUI on externally-owned, publicly-accessible websites (e.g., forums, LinkedIn, Facebook, Twitter, etc.).</t>
  </si>
  <si>
    <t>Employ physical and logical isolation techniques in the system and security architecture and/or and where deemed appropriate by the organization.</t>
  </si>
  <si>
    <t>Utilize threat intelligence to proactively block DNS requests from reaching malicious domains.</t>
  </si>
  <si>
    <t>Employ mechanisms to analyze executable code and scripts (e.g., sandbox) traversing Internet network boundaries or other organizationally-defined boundaries.</t>
  </si>
  <si>
    <t>Isolate administration of organizationally-defined high-value critical network infrastructure components and servers.</t>
  </si>
  <si>
    <t>Utilize a URL categorization service and implement techniques to enforce URL filtering of websites that are not approved by the organization.</t>
  </si>
  <si>
    <t>Configure monitoring systems to record packets passing through the organization's Internet network boundaries and other organizational-defined boundaries.</t>
  </si>
  <si>
    <t>Employ organizationally-defined and tailored boundary protections in addition to commercially-available solutions.</t>
  </si>
  <si>
    <t>Enforce port and protocol compliance.</t>
  </si>
  <si>
    <t>Identify, report and correct information and information system flaws in a timely manner.</t>
  </si>
  <si>
    <t>Intune/Microsoft Endpoint Manager
Microsoft Defender for Endpoint
Microsoft Defender for Cloud
Power Automate</t>
  </si>
  <si>
    <t>3.14.1</t>
  </si>
  <si>
    <t>Provide protection from malicious code at appropriate locations within organizational information systems.</t>
  </si>
  <si>
    <t>Azure Web Application Firewall
App Locker</t>
  </si>
  <si>
    <t>Azure DNS
Azure Virtual Machines 
Microsoft Defender for Office 365
Microsoft Defender for Cloud Apps
Microsoft Defender for Endpoint
Intune/Microsoft Endpoint Manager</t>
  </si>
  <si>
    <t>3.14.2</t>
  </si>
  <si>
    <t>Update malicious code protection mechanisms when new releases are available.</t>
  </si>
  <si>
    <t>Microsoft Defender for Endpoint
Microsoft Defender for Office 365
Microsoft Defender for Cloud Apps
Microsoft Defender Antivirus cloud protection
Microsoft Defender for Cloud 
Microsoft 365 Defender 
Azure Automation</t>
  </si>
  <si>
    <t xml:space="preserve">Intune/Microsoft Endpoint Manager
Azure Virtual Machines </t>
  </si>
  <si>
    <t>3.14.4</t>
  </si>
  <si>
    <t>Perform periodic scans of the information system and real-time scans of files from external sources as files are downloaded, opened or executed.</t>
  </si>
  <si>
    <t>Microsoft Defender for Endpoint
Microsoft Defender for Office 365
Microsoft Defender SmartScreen
Microsoft Defender for Cloud Apps
Microsoft Defender Antivirus cloud protection</t>
  </si>
  <si>
    <t>3.14.5</t>
  </si>
  <si>
    <t>Monitor system security alerts and advisories and take action in response.</t>
  </si>
  <si>
    <t>Microsoft Sentinel
Azure Active Directory
Microsoft Defender for Cloud Apps
Microsoft Defender for Endpoint
Microsoft Defender for Cloud
Microsoft 365 Defender
Microsoft Defender for IoT</t>
  </si>
  <si>
    <t>3.14.3</t>
  </si>
  <si>
    <t>Monitor organizational systems, including inbound and outbound communications traffic, to detect attacks and indicators of potential attacks.</t>
  </si>
  <si>
    <t>Azure Firewall
Microsoft Sentinel 
Microsoft Defender for IoT
Microsoft Defender for Identity</t>
  </si>
  <si>
    <t>Azure DNS
Azure Key Vault
Network Security Groups
Azure Web Application Firewall
Virtual Network
Conditional Access
Microsoft Defender for Endpoint
Microsoft Defender for Office 365
Microsoft Defender for Cloud Apps</t>
  </si>
  <si>
    <t>3.14.6</t>
  </si>
  <si>
    <t>Identify unauthorized use of organizational systems.</t>
  </si>
  <si>
    <t>Azure Bastion
Load Balancer
Network Security Groups
Azure Virtual Machines 
VPN Gateway
Privileged Identity Management (PIM)
Microsoft Defender for Office 365
Azure Active Directory
Microsoft Defender for Cloud Apps
Microsoft Defender for Endpoint
Azure Firewall</t>
  </si>
  <si>
    <t>3.14.7</t>
  </si>
  <si>
    <t>Employ spam protection mechanisms at information system access entry and exit points.</t>
  </si>
  <si>
    <t>Implement email forgery protections</t>
  </si>
  <si>
    <t>Utilize email sandboxing to detect or block potentially malicious email.</t>
  </si>
  <si>
    <t>Use threat indicator information relevant to the information and systems being protected and effective mitigations obtained from external organizations to inform intrusion detection and threat hunting.</t>
  </si>
  <si>
    <t>Analyze system behavior to detect and mitigate execution of normal system commands and scripts that indicate malicious actions.</t>
  </si>
  <si>
    <t>Monitor individuals and system components on an ongoing basis for anomalous or suspicious behavior.</t>
  </si>
  <si>
    <t>VLOOKUP(F6,'Selection Pane Data'!$B$4:$C$175,2,FALSE)=$L$25</t>
  </si>
  <si>
    <t>All Practices</t>
  </si>
  <si>
    <t>Service Not Applicable</t>
  </si>
  <si>
    <t>BitLocker To Go is BitLocker Drive Encryption on removable data drives. As with BitLocker, you can open drives that are encrypted by BitLocker To Go by using a password or smart card on another computer.</t>
  </si>
  <si>
    <t>Last Updated: 03/30/2022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</si>
</sst>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1" x14ac:knownFonts="1">
    <font>
      <sz val="11"/>
      <color theme="1"/>
      <name val="Calibri"/>
      <family val="2"/>
      <scheme val="minor"/>
    </font>
    <font>
      <sz val="11"/>
      <name val="Calibri"/>
      <family val="2"/>
      <scheme val="minor"/>
    </font>
    <font>
      <sz val="14"/>
      <color theme="1"/>
      <name val="Calibri"/>
      <family val="2"/>
      <scheme val="minor"/>
    </font>
    <font>
      <sz val="14"/>
      <name val="Calibri"/>
      <family val="2"/>
      <scheme val="minor"/>
    </font>
    <font>
      <b/>
      <sz val="14"/>
      <name val="Calibri"/>
      <family val="2"/>
      <scheme val="minor"/>
    </font>
    <font>
      <sz val="10"/>
      <color theme="1"/>
      <name val="Calibri"/>
      <family val="2"/>
      <scheme val="minor"/>
    </font>
    <font>
      <b/>
      <sz val="13"/>
      <name val="Calibri"/>
      <family val="2"/>
      <scheme val="minor"/>
    </font>
    <font>
      <b/>
      <sz val="13"/>
      <color theme="1"/>
      <name val="Calibri"/>
      <family val="2"/>
      <scheme val="minor"/>
    </font>
    <font>
      <b/>
      <sz val="14"/>
      <color rgb="FF002060"/>
      <name val="Calibri"/>
      <family val="2"/>
      <scheme val="minor"/>
    </font>
    <font>
      <sz val="32"/>
      <color theme="1"/>
      <name val="Calibri"/>
      <family val="2"/>
      <scheme val="minor"/>
    </font>
    <font>
      <b/>
      <sz val="14"/>
      <color theme="1"/>
      <name val="Calibri"/>
      <family val="2"/>
      <scheme val="minor"/>
    </font>
    <font>
      <b/>
      <sz val="11"/>
      <color theme="1"/>
      <name val="Calibri"/>
      <family val="2"/>
      <scheme val="minor"/>
    </font>
    <font>
      <b/>
      <sz val="12"/>
      <color theme="0"/>
      <name val="Calibri"/>
      <family val="2"/>
      <scheme val="minor"/>
    </font>
    <font>
      <b/>
      <sz val="14"/>
      <color theme="0"/>
      <name val="Calibri"/>
      <family val="2"/>
      <scheme val="minor"/>
    </font>
    <font>
      <sz val="14"/>
      <color theme="0"/>
      <name val="Calibri"/>
      <family val="2"/>
      <scheme val="minor"/>
    </font>
    <font>
      <sz val="11"/>
      <color theme="0"/>
      <name val="Calibri"/>
      <family val="2"/>
      <scheme val="minor"/>
    </font>
    <font>
      <i/>
      <sz val="10"/>
      <name val="Calibri"/>
      <family val="2"/>
      <scheme val="minor"/>
    </font>
    <font>
      <b/>
      <sz val="16"/>
      <color theme="0"/>
      <name val="Calibri"/>
      <family val="2"/>
      <scheme val="minor"/>
    </font>
    <font>
      <sz val="13"/>
      <color theme="1"/>
      <name val="Calibri"/>
      <family val="2"/>
      <scheme val="minor"/>
    </font>
    <font>
      <b/>
      <sz val="11"/>
      <color theme="0"/>
      <name val="Calibri"/>
      <family val="2"/>
      <scheme val="minor"/>
    </font>
    <font>
      <b/>
      <sz val="9"/>
      <color rgb="FF000000"/>
      <name val="Tahoma"/>
      <family val="2"/>
    </font>
    <font>
      <sz val="9"/>
      <color rgb="FF000000"/>
      <name val="Tahoma"/>
      <family val="2"/>
    </font>
    <font>
      <sz val="11"/>
      <color rgb="FFFF0000"/>
      <name val="Calibri"/>
      <family val="2"/>
      <scheme val="minor"/>
    </font>
    <font>
      <b/>
      <sz val="18"/>
      <color theme="0"/>
      <name val="Calibri"/>
      <family val="2"/>
      <scheme val="minor"/>
    </font>
    <font>
      <sz val="10"/>
      <color theme="0"/>
      <name val="Calibri"/>
      <family val="2"/>
      <scheme val="minor"/>
    </font>
    <font>
      <b/>
      <sz val="8"/>
      <name val="Calibri"/>
      <family val="2"/>
      <scheme val="minor"/>
    </font>
    <font>
      <sz val="8"/>
      <name val="Calibri"/>
      <family val="2"/>
      <scheme val="minor"/>
    </font>
    <font>
      <u/>
      <sz val="11"/>
      <color theme="10"/>
      <name val="Calibri"/>
      <family val="2"/>
      <scheme val="minor"/>
    </font>
    <font>
      <b/>
      <sz val="11"/>
      <color rgb="FF000000"/>
      <name val="Calibri"/>
      <family val="2"/>
    </font>
    <font>
      <sz val="11"/>
      <color theme="1"/>
      <name val="Calibri"/>
      <family val="2"/>
    </font>
    <font>
      <sz val="11"/>
      <color rgb="FF000000"/>
      <name val="Calibri"/>
      <family val="2"/>
    </font>
    <font>
      <b/>
      <u/>
      <sz val="11"/>
      <color theme="1"/>
      <name val="Calibri"/>
      <family val="2"/>
      <scheme val="minor"/>
    </font>
    <font>
      <i/>
      <sz val="11"/>
      <color theme="1"/>
      <name val="Calibri"/>
      <family val="2"/>
      <scheme val="minor"/>
    </font>
    <font>
      <sz val="11"/>
      <color rgb="FF000000"/>
      <name val="Calibri"/>
      <family val="2"/>
      <scheme val="minor"/>
    </font>
    <font>
      <i/>
      <sz val="11"/>
      <color rgb="FF333333"/>
      <name val="Calibri"/>
      <family val="2"/>
      <scheme val="minor"/>
    </font>
    <font>
      <i/>
      <u/>
      <sz val="11"/>
      <color theme="10"/>
      <name val="Calibri"/>
      <family val="2"/>
      <scheme val="minor"/>
    </font>
    <font>
      <i/>
      <sz val="16"/>
      <color theme="1"/>
      <name val="Calibri"/>
      <family val="2"/>
      <scheme val="minor"/>
    </font>
    <font>
      <sz val="32"/>
      <name val="Calibri"/>
      <family val="2"/>
      <scheme val="minor"/>
    </font>
    <font>
      <b/>
      <sz val="16"/>
      <name val="Calibri"/>
      <family val="2"/>
      <scheme val="minor"/>
    </font>
    <font>
      <b/>
      <sz val="14"/>
      <color rgb="FF000000"/>
      <name val="Calibri"/>
      <family val="2"/>
    </font>
    <font>
      <b/>
      <sz val="16"/>
      <color theme="1"/>
      <name val="Calibri"/>
      <family val="2"/>
      <scheme val="minor"/>
    </font>
  </fonts>
  <fills count="14">
    <fill>
      <patternFill patternType="none"/>
    </fill>
    <fill>
      <patternFill patternType="gray125"/>
    </fill>
    <fill>
      <patternFill patternType="solid">
        <fgColor theme="1"/>
        <bgColor indexed="64"/>
      </patternFill>
    </fill>
    <fill>
      <patternFill patternType="solid">
        <fgColor rgb="FF00A4EF"/>
        <bgColor indexed="64"/>
      </patternFill>
    </fill>
    <fill>
      <patternFill patternType="solid">
        <fgColor rgb="FF737373"/>
        <bgColor indexed="64"/>
      </patternFill>
    </fill>
    <fill>
      <patternFill patternType="solid">
        <fgColor theme="1"/>
        <bgColor theme="0" tint="-0.14999847407452621"/>
      </patternFill>
    </fill>
    <fill>
      <patternFill patternType="solid">
        <fgColor rgb="FFF25022"/>
        <bgColor indexed="64"/>
      </patternFill>
    </fill>
    <fill>
      <patternFill patternType="solid">
        <fgColor rgb="FFFFB900"/>
        <bgColor indexed="64"/>
      </patternFill>
    </fill>
    <fill>
      <patternFill patternType="solid">
        <fgColor rgb="FF66CCFF"/>
        <bgColor indexed="64"/>
      </patternFill>
    </fill>
    <fill>
      <patternFill patternType="solid">
        <fgColor theme="0"/>
        <bgColor indexed="64"/>
      </patternFill>
    </fill>
    <fill>
      <patternFill patternType="solid">
        <fgColor rgb="FFF46B46"/>
        <bgColor indexed="64"/>
      </patternFill>
    </fill>
    <fill>
      <patternFill patternType="solid">
        <fgColor rgb="FFF46B46"/>
        <bgColor theme="0" tint="-0.14999847407452621"/>
      </patternFill>
    </fill>
    <fill>
      <patternFill patternType="solid">
        <fgColor rgb="FFFFFF00"/>
        <bgColor indexed="64"/>
      </patternFill>
    </fill>
    <fill>
      <patternFill patternType="solid">
        <fgColor rgb="FFFF0000"/>
        <bgColor indexed="64"/>
      </patternFill>
    </fill>
  </fills>
  <borders count="66">
    <border>
      <left/>
      <right/>
      <top/>
      <bottom/>
      <diagonal/>
    </border>
    <border>
      <left/>
      <right style="medium">
        <color indexed="64"/>
      </right>
      <top/>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bottom style="medium">
        <color indexed="64"/>
      </bottom>
      <diagonal/>
    </border>
    <border>
      <left style="medium">
        <color indexed="64"/>
      </left>
      <right style="medium">
        <color indexed="64"/>
      </right>
      <top style="thin">
        <color auto="1"/>
      </top>
      <bottom style="medium">
        <color indexed="64"/>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thin">
        <color auto="1"/>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thin">
        <color auto="1"/>
      </top>
      <bottom style="thin">
        <color auto="1"/>
      </bottom>
      <diagonal/>
    </border>
    <border>
      <left style="medium">
        <color indexed="64"/>
      </left>
      <right/>
      <top style="thin">
        <color auto="1"/>
      </top>
      <bottom/>
      <diagonal/>
    </border>
    <border>
      <left/>
      <right/>
      <top style="medium">
        <color indexed="64"/>
      </top>
      <bottom style="thin">
        <color auto="1"/>
      </bottom>
      <diagonal/>
    </border>
    <border>
      <left/>
      <right/>
      <top style="thin">
        <color auto="1"/>
      </top>
      <bottom/>
      <diagonal/>
    </border>
    <border>
      <left style="medium">
        <color indexed="64"/>
      </left>
      <right/>
      <top style="medium">
        <color indexed="64"/>
      </top>
      <bottom style="thin">
        <color auto="1"/>
      </bottom>
      <diagonal/>
    </border>
    <border>
      <left style="medium">
        <color indexed="64"/>
      </left>
      <right/>
      <top style="thin">
        <color auto="1"/>
      </top>
      <bottom style="medium">
        <color indexed="64"/>
      </bottom>
      <diagonal/>
    </border>
    <border>
      <left style="medium">
        <color indexed="64"/>
      </left>
      <right/>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bottom style="thin">
        <color auto="1"/>
      </bottom>
      <diagonal/>
    </border>
    <border>
      <left/>
      <right style="thin">
        <color auto="1"/>
      </right>
      <top style="thin">
        <color auto="1"/>
      </top>
      <bottom style="medium">
        <color indexed="64"/>
      </bottom>
      <diagonal/>
    </border>
    <border>
      <left style="thin">
        <color auto="1"/>
      </left>
      <right/>
      <top style="thin">
        <color auto="1"/>
      </top>
      <bottom style="medium">
        <color indexed="64"/>
      </bottom>
      <diagonal/>
    </border>
    <border>
      <left/>
      <right/>
      <top style="medium">
        <color indexed="64"/>
      </top>
      <bottom style="medium">
        <color indexed="64"/>
      </bottom>
      <diagonal/>
    </border>
    <border>
      <left/>
      <right/>
      <top/>
      <bottom style="thin">
        <color auto="1"/>
      </bottom>
      <diagonal/>
    </border>
    <border>
      <left/>
      <right style="thin">
        <color auto="1"/>
      </right>
      <top style="medium">
        <color indexed="64"/>
      </top>
      <bottom style="thin">
        <color auto="1"/>
      </bottom>
      <diagonal/>
    </border>
    <border>
      <left style="thin">
        <color auto="1"/>
      </left>
      <right style="medium">
        <color indexed="64"/>
      </right>
      <top/>
      <bottom style="thin">
        <color auto="1"/>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theme="0"/>
      </left>
      <right style="medium">
        <color theme="0"/>
      </right>
      <top style="medium">
        <color theme="0"/>
      </top>
      <bottom style="medium">
        <color theme="0"/>
      </bottom>
      <diagonal/>
    </border>
    <border>
      <left/>
      <right style="medium">
        <color indexed="64"/>
      </right>
      <top style="medium">
        <color indexed="64"/>
      </top>
      <bottom style="thin">
        <color auto="1"/>
      </bottom>
      <diagonal/>
    </border>
    <border>
      <left/>
      <right style="medium">
        <color indexed="64"/>
      </right>
      <top style="thin">
        <color auto="1"/>
      </top>
      <bottom style="thin">
        <color auto="1"/>
      </bottom>
      <diagonal/>
    </border>
    <border>
      <left/>
      <right style="medium">
        <color indexed="64"/>
      </right>
      <top style="thin">
        <color auto="1"/>
      </top>
      <bottom style="medium">
        <color indexed="64"/>
      </bottom>
      <diagonal/>
    </border>
    <border>
      <left/>
      <right style="medium">
        <color indexed="64"/>
      </right>
      <top/>
      <bottom style="thin">
        <color auto="1"/>
      </bottom>
      <diagonal/>
    </border>
    <border>
      <left/>
      <right style="medium">
        <color indexed="64"/>
      </right>
      <top style="thin">
        <color auto="1"/>
      </top>
      <bottom/>
      <diagonal/>
    </border>
    <border>
      <left style="medium">
        <color indexed="64"/>
      </left>
      <right style="medium">
        <color theme="0"/>
      </right>
      <top style="medium">
        <color theme="0"/>
      </top>
      <bottom style="medium">
        <color theme="0"/>
      </bottom>
      <diagonal/>
    </border>
    <border>
      <left style="medium">
        <color theme="0"/>
      </left>
      <right style="medium">
        <color indexed="64"/>
      </right>
      <top style="medium">
        <color theme="0"/>
      </top>
      <bottom style="medium">
        <color theme="0"/>
      </bottom>
      <diagonal/>
    </border>
    <border>
      <left style="thin">
        <color auto="1"/>
      </left>
      <right/>
      <top style="medium">
        <color indexed="64"/>
      </top>
      <bottom style="thin">
        <color auto="1"/>
      </bottom>
      <diagonal/>
    </border>
    <border>
      <left style="thin">
        <color auto="1"/>
      </left>
      <right style="medium">
        <color indexed="64"/>
      </right>
      <top style="medium">
        <color indexed="64"/>
      </top>
      <bottom style="thin">
        <color auto="1"/>
      </bottom>
      <diagonal/>
    </border>
    <border>
      <left style="thick">
        <color theme="0"/>
      </left>
      <right style="thick">
        <color theme="0"/>
      </right>
      <top style="medium">
        <color indexed="64"/>
      </top>
      <bottom style="medium">
        <color indexed="64"/>
      </bottom>
      <diagonal/>
    </border>
    <border>
      <left style="medium">
        <color indexed="64"/>
      </left>
      <right style="thin">
        <color auto="1"/>
      </right>
      <top/>
      <bottom style="medium">
        <color indexed="64"/>
      </bottom>
      <diagonal/>
    </border>
    <border>
      <left/>
      <right style="thin">
        <color auto="1"/>
      </right>
      <top/>
      <bottom style="medium">
        <color indexed="64"/>
      </bottom>
      <diagonal/>
    </border>
    <border>
      <left style="thin">
        <color auto="1"/>
      </left>
      <right style="thin">
        <color auto="1"/>
      </right>
      <top/>
      <bottom style="medium">
        <color indexed="64"/>
      </bottom>
      <diagonal/>
    </border>
    <border>
      <left style="thin">
        <color auto="1"/>
      </left>
      <right style="medium">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style="thin">
        <color auto="1"/>
      </top>
      <bottom style="medium">
        <color indexed="64"/>
      </bottom>
      <diagonal/>
    </border>
    <border>
      <left style="thin">
        <color auto="1"/>
      </left>
      <right/>
      <top/>
      <bottom style="thin">
        <color auto="1"/>
      </bottom>
      <diagonal/>
    </border>
    <border>
      <left style="thin">
        <color indexed="64"/>
      </left>
      <right style="thin">
        <color auto="1"/>
      </right>
      <top style="medium">
        <color theme="0"/>
      </top>
      <bottom style="thin">
        <color auto="1"/>
      </bottom>
      <diagonal/>
    </border>
    <border>
      <left/>
      <right style="medium">
        <color theme="0"/>
      </right>
      <top/>
      <bottom style="medium">
        <color theme="0"/>
      </bottom>
      <diagonal/>
    </border>
    <border>
      <left/>
      <right style="medium">
        <color theme="0"/>
      </right>
      <top/>
      <bottom/>
      <diagonal/>
    </border>
    <border>
      <left/>
      <right style="thin">
        <color auto="1"/>
      </right>
      <top/>
      <bottom style="thin">
        <color auto="1"/>
      </bottom>
      <diagonal/>
    </border>
  </borders>
  <cellStyleXfs count="2">
    <xf numFmtId="0" fontId="0" fillId="0" borderId="0"/>
    <xf numFmtId="0" fontId="27" fillId="0" borderId="0" applyNumberFormat="0" applyFill="0" applyBorder="0" applyAlignment="0" applyProtection="0"/>
  </cellStyleXfs>
  <cellXfs count="297">
    <xf numFmtId="0" fontId="0" fillId="0" borderId="0" xfId="0"/>
    <xf numFmtId="0" fontId="0" fillId="0" borderId="1" xfId="0" applyBorder="1"/>
    <xf numFmtId="0" fontId="0" fillId="0" borderId="2" xfId="0" applyBorder="1"/>
    <xf numFmtId="0" fontId="0" fillId="0" borderId="7" xfId="0" applyBorder="1" applyAlignment="1">
      <alignment horizontal="center"/>
    </xf>
    <xf numFmtId="0" fontId="0" fillId="0" borderId="0" xfId="0" applyAlignment="1">
      <alignment wrapText="1"/>
    </xf>
    <xf numFmtId="0" fontId="3" fillId="0" borderId="7" xfId="0" applyFont="1" applyBorder="1" applyAlignment="1">
      <alignment horizontal="center" vertical="center"/>
    </xf>
    <xf numFmtId="0" fontId="0" fillId="0" borderId="9" xfId="0" applyBorder="1" applyAlignment="1">
      <alignment horizontal="center"/>
    </xf>
    <xf numFmtId="0" fontId="0" fillId="0" borderId="11" xfId="0" applyBorder="1" applyAlignment="1">
      <alignment horizontal="center"/>
    </xf>
    <xf numFmtId="0" fontId="9" fillId="0" borderId="0" xfId="0" applyFont="1" applyAlignment="1">
      <alignment horizontal="center"/>
    </xf>
    <xf numFmtId="0" fontId="9" fillId="0" borderId="1" xfId="0" applyFont="1" applyBorder="1" applyAlignment="1">
      <alignment horizontal="center"/>
    </xf>
    <xf numFmtId="0" fontId="0" fillId="0" borderId="40" xfId="0" applyBorder="1"/>
    <xf numFmtId="0" fontId="0" fillId="0" borderId="41" xfId="0" applyBorder="1"/>
    <xf numFmtId="0" fontId="0" fillId="0" borderId="42" xfId="0" applyBorder="1"/>
    <xf numFmtId="0" fontId="0" fillId="0" borderId="13" xfId="0" applyBorder="1" applyAlignment="1">
      <alignment horizontal="center" vertical="center"/>
    </xf>
    <xf numFmtId="0" fontId="0" fillId="0" borderId="0" xfId="0" applyAlignment="1">
      <alignment horizontal="center" vertical="center"/>
    </xf>
    <xf numFmtId="0" fontId="0" fillId="0" borderId="28" xfId="0" applyBorder="1" applyAlignment="1">
      <alignment horizontal="center" vertical="center"/>
    </xf>
    <xf numFmtId="0" fontId="0" fillId="0" borderId="29" xfId="0" applyBorder="1" applyAlignment="1">
      <alignment horizontal="center" vertical="center"/>
    </xf>
    <xf numFmtId="0" fontId="0" fillId="0" borderId="30" xfId="0" applyBorder="1" applyAlignment="1">
      <alignment horizontal="center" vertical="center"/>
    </xf>
    <xf numFmtId="0" fontId="0" fillId="0" borderId="31" xfId="0" applyBorder="1" applyAlignment="1">
      <alignment horizontal="center" vertical="center"/>
    </xf>
    <xf numFmtId="0" fontId="0" fillId="0" borderId="32" xfId="0" applyBorder="1" applyAlignment="1">
      <alignment horizontal="center" vertical="center"/>
    </xf>
    <xf numFmtId="0" fontId="0" fillId="0" borderId="18" xfId="0" applyBorder="1" applyAlignment="1">
      <alignment horizontal="center" vertical="center"/>
    </xf>
    <xf numFmtId="0" fontId="0" fillId="0" borderId="9" xfId="0" applyBorder="1" applyAlignment="1">
      <alignment horizontal="center" vertical="center"/>
    </xf>
    <xf numFmtId="0" fontId="0" fillId="0" borderId="11" xfId="0" applyBorder="1" applyAlignment="1">
      <alignment horizontal="center" vertical="center"/>
    </xf>
    <xf numFmtId="0" fontId="0" fillId="0" borderId="44" xfId="0" applyBorder="1" applyAlignment="1">
      <alignment horizontal="center"/>
    </xf>
    <xf numFmtId="0" fontId="0" fillId="0" borderId="45" xfId="0" applyBorder="1" applyAlignment="1">
      <alignment horizontal="center"/>
    </xf>
    <xf numFmtId="0" fontId="0" fillId="0" borderId="46" xfId="0" applyBorder="1" applyAlignment="1">
      <alignment horizontal="center"/>
    </xf>
    <xf numFmtId="0" fontId="0" fillId="0" borderId="0" xfId="0" applyAlignment="1">
      <alignment horizontal="center" vertical="center" wrapText="1"/>
    </xf>
    <xf numFmtId="0" fontId="5" fillId="0" borderId="0" xfId="0" applyFont="1" applyAlignment="1">
      <alignment vertical="center" wrapText="1"/>
    </xf>
    <xf numFmtId="0" fontId="0" fillId="0" borderId="19" xfId="0" applyBorder="1" applyAlignment="1">
      <alignment horizontal="center" vertical="center" wrapText="1"/>
    </xf>
    <xf numFmtId="0" fontId="15" fillId="0" borderId="0" xfId="0" applyFont="1"/>
    <xf numFmtId="0" fontId="1" fillId="0" borderId="0" xfId="0" applyFont="1"/>
    <xf numFmtId="0" fontId="0" fillId="0" borderId="13" xfId="0" applyBorder="1" applyAlignment="1">
      <alignment horizontal="left" vertical="center"/>
    </xf>
    <xf numFmtId="0" fontId="0" fillId="0" borderId="31" xfId="0" applyBorder="1" applyAlignment="1">
      <alignment horizontal="left" vertical="center"/>
    </xf>
    <xf numFmtId="0" fontId="0" fillId="0" borderId="6" xfId="0" applyBorder="1" applyAlignment="1">
      <alignment horizontal="left" vertical="center"/>
    </xf>
    <xf numFmtId="0" fontId="0" fillId="0" borderId="0" xfId="0" applyAlignment="1">
      <alignment horizontal="left" vertical="center"/>
    </xf>
    <xf numFmtId="0" fontId="0" fillId="0" borderId="0" xfId="0" applyAlignment="1">
      <alignment horizontal="left" vertical="center" wrapText="1"/>
    </xf>
    <xf numFmtId="0" fontId="16" fillId="0" borderId="0" xfId="0" applyFont="1" applyAlignment="1">
      <alignment vertical="center" wrapText="1"/>
    </xf>
    <xf numFmtId="0" fontId="19" fillId="2" borderId="19" xfId="0" applyFont="1" applyFill="1" applyBorder="1" applyAlignment="1">
      <alignment horizontal="center" vertical="center"/>
    </xf>
    <xf numFmtId="0" fontId="19" fillId="2" borderId="20" xfId="0" applyFont="1" applyFill="1" applyBorder="1" applyAlignment="1">
      <alignment horizontal="center" vertical="center"/>
    </xf>
    <xf numFmtId="0" fontId="19" fillId="2" borderId="53" xfId="0" applyFont="1" applyFill="1" applyBorder="1" applyAlignment="1">
      <alignment horizontal="center" vertical="center"/>
    </xf>
    <xf numFmtId="0" fontId="0" fillId="0" borderId="33" xfId="0" applyBorder="1" applyAlignment="1">
      <alignment horizontal="left" vertical="top"/>
    </xf>
    <xf numFmtId="0" fontId="0" fillId="0" borderId="12" xfId="0" applyBorder="1" applyAlignment="1">
      <alignment horizontal="left" vertical="top" wrapText="1"/>
    </xf>
    <xf numFmtId="0" fontId="0" fillId="0" borderId="39" xfId="0" applyBorder="1" applyAlignment="1">
      <alignment horizontal="left" vertical="top" wrapText="1"/>
    </xf>
    <xf numFmtId="0" fontId="0" fillId="0" borderId="28" xfId="0" applyBorder="1" applyAlignment="1">
      <alignment horizontal="left" vertical="top"/>
    </xf>
    <xf numFmtId="0" fontId="0" fillId="0" borderId="13" xfId="0" applyBorder="1" applyAlignment="1">
      <alignment horizontal="left" vertical="top" wrapText="1"/>
    </xf>
    <xf numFmtId="0" fontId="0" fillId="0" borderId="29" xfId="0" applyBorder="1" applyAlignment="1">
      <alignment horizontal="left" vertical="top" wrapText="1"/>
    </xf>
    <xf numFmtId="0" fontId="0" fillId="0" borderId="30" xfId="0" applyBorder="1" applyAlignment="1">
      <alignment horizontal="left" vertical="top"/>
    </xf>
    <xf numFmtId="0" fontId="0" fillId="0" borderId="31" xfId="0" applyBorder="1" applyAlignment="1">
      <alignment horizontal="left" vertical="top" wrapText="1"/>
    </xf>
    <xf numFmtId="0" fontId="0" fillId="0" borderId="32" xfId="0" applyBorder="1" applyAlignment="1">
      <alignment horizontal="left" vertical="top" wrapText="1"/>
    </xf>
    <xf numFmtId="0" fontId="0" fillId="0" borderId="12" xfId="0" applyBorder="1" applyAlignment="1">
      <alignment horizontal="center" vertical="center"/>
    </xf>
    <xf numFmtId="0" fontId="24" fillId="0" borderId="0" xfId="0" applyFont="1" applyAlignment="1">
      <alignment horizontal="left" vertical="center" wrapText="1"/>
    </xf>
    <xf numFmtId="0" fontId="3" fillId="0" borderId="0" xfId="0" applyFont="1" applyAlignment="1">
      <alignment horizontal="center" vertical="center"/>
    </xf>
    <xf numFmtId="0" fontId="26" fillId="0" borderId="0" xfId="0" applyFont="1" applyAlignment="1">
      <alignment horizontal="center" vertical="center"/>
    </xf>
    <xf numFmtId="0" fontId="13" fillId="3" borderId="5" xfId="0" applyFont="1" applyFill="1" applyBorder="1" applyAlignment="1">
      <alignment vertical="center"/>
    </xf>
    <xf numFmtId="0" fontId="13" fillId="3" borderId="4" xfId="0" applyFont="1" applyFill="1" applyBorder="1" applyAlignment="1">
      <alignment vertical="center"/>
    </xf>
    <xf numFmtId="0" fontId="13" fillId="3" borderId="3" xfId="0" applyFont="1" applyFill="1" applyBorder="1" applyAlignment="1">
      <alignment vertical="center"/>
    </xf>
    <xf numFmtId="0" fontId="3" fillId="0" borderId="8" xfId="0" applyFont="1" applyBorder="1" applyAlignment="1">
      <alignment horizontal="center" vertical="center"/>
    </xf>
    <xf numFmtId="0" fontId="27" fillId="0" borderId="0" xfId="1" applyAlignment="1">
      <alignment horizontal="center" vertical="center"/>
    </xf>
    <xf numFmtId="0" fontId="33" fillId="0" borderId="0" xfId="0" applyFont="1" applyAlignment="1">
      <alignment wrapText="1"/>
    </xf>
    <xf numFmtId="0" fontId="34" fillId="0" borderId="0" xfId="0" applyFont="1" applyAlignment="1">
      <alignment wrapText="1"/>
    </xf>
    <xf numFmtId="0" fontId="35" fillId="0" borderId="0" xfId="1" applyFont="1" applyAlignment="1">
      <alignment wrapText="1"/>
    </xf>
    <xf numFmtId="0" fontId="35" fillId="0" borderId="0" xfId="1" applyFont="1" applyAlignment="1">
      <alignment vertical="center" wrapText="1"/>
    </xf>
    <xf numFmtId="0" fontId="27" fillId="0" borderId="0" xfId="1" applyBorder="1" applyAlignment="1">
      <alignment vertical="center" wrapText="1"/>
    </xf>
    <xf numFmtId="0" fontId="27" fillId="0" borderId="0" xfId="1" applyBorder="1" applyAlignment="1">
      <alignment horizontal="center" vertical="center" wrapText="1"/>
    </xf>
    <xf numFmtId="0" fontId="27" fillId="0" borderId="0" xfId="1" applyBorder="1" applyAlignment="1">
      <alignment vertical="center"/>
    </xf>
    <xf numFmtId="0" fontId="32" fillId="0" borderId="0" xfId="0" applyFont="1" applyAlignment="1">
      <alignment wrapText="1"/>
    </xf>
    <xf numFmtId="0" fontId="0" fillId="0" borderId="13" xfId="0" applyBorder="1" applyAlignment="1">
      <alignment wrapText="1"/>
    </xf>
    <xf numFmtId="0" fontId="0" fillId="0" borderId="58" xfId="0" applyBorder="1" applyAlignment="1">
      <alignment wrapText="1"/>
    </xf>
    <xf numFmtId="0" fontId="34" fillId="0" borderId="59" xfId="0" applyFont="1" applyBorder="1" applyAlignment="1">
      <alignment wrapText="1"/>
    </xf>
    <xf numFmtId="0" fontId="35" fillId="0" borderId="59" xfId="1" applyFont="1" applyBorder="1" applyAlignment="1">
      <alignment wrapText="1"/>
    </xf>
    <xf numFmtId="0" fontId="32" fillId="0" borderId="59" xfId="0" applyFont="1" applyBorder="1" applyAlignment="1">
      <alignment wrapText="1"/>
    </xf>
    <xf numFmtId="0" fontId="35" fillId="0" borderId="59" xfId="1" applyFont="1" applyBorder="1" applyAlignment="1">
      <alignment vertical="center" wrapText="1"/>
    </xf>
    <xf numFmtId="0" fontId="0" fillId="0" borderId="59" xfId="0" applyBorder="1"/>
    <xf numFmtId="0" fontId="33" fillId="0" borderId="12" xfId="0" applyFont="1" applyBorder="1" applyAlignment="1">
      <alignment wrapText="1"/>
    </xf>
    <xf numFmtId="0" fontId="27" fillId="0" borderId="13" xfId="1" applyBorder="1" applyAlignment="1">
      <alignment horizontal="center" vertical="center"/>
    </xf>
    <xf numFmtId="0" fontId="27" fillId="0" borderId="13" xfId="1" applyBorder="1" applyAlignment="1">
      <alignment horizontal="center" vertical="center" wrapText="1"/>
    </xf>
    <xf numFmtId="0" fontId="0" fillId="2" borderId="25" xfId="0" applyFill="1" applyBorder="1" applyAlignment="1">
      <alignment horizontal="center" vertical="center"/>
    </xf>
    <xf numFmtId="0" fontId="0" fillId="0" borderId="21" xfId="0" applyBorder="1" applyAlignment="1">
      <alignment horizontal="center" vertical="center"/>
    </xf>
    <xf numFmtId="0" fontId="13" fillId="3" borderId="0" xfId="0" applyFont="1" applyFill="1" applyAlignment="1">
      <alignment vertical="center"/>
    </xf>
    <xf numFmtId="0" fontId="29" fillId="0" borderId="2" xfId="0" applyFont="1" applyBorder="1"/>
    <xf numFmtId="0" fontId="29" fillId="0" borderId="40" xfId="0" applyFont="1" applyBorder="1"/>
    <xf numFmtId="0" fontId="0" fillId="0" borderId="14" xfId="0" applyBorder="1" applyAlignment="1">
      <alignment horizontal="center" vertical="center"/>
    </xf>
    <xf numFmtId="0" fontId="10" fillId="10" borderId="17" xfId="0" applyFont="1" applyFill="1" applyBorder="1" applyAlignment="1">
      <alignment horizontal="center" vertical="center"/>
    </xf>
    <xf numFmtId="0" fontId="4" fillId="11" borderId="3" xfId="0" applyFont="1" applyFill="1" applyBorder="1" applyAlignment="1">
      <alignment horizontal="center" vertical="center" wrapText="1"/>
    </xf>
    <xf numFmtId="0" fontId="0" fillId="0" borderId="0" xfId="0" applyAlignment="1">
      <alignment vertical="center" wrapText="1"/>
    </xf>
    <xf numFmtId="0" fontId="11" fillId="0" borderId="2" xfId="0" applyFont="1" applyBorder="1" applyAlignment="1">
      <alignment horizontal="left" vertical="center"/>
    </xf>
    <xf numFmtId="0" fontId="1" fillId="0" borderId="7" xfId="0" applyFont="1" applyBorder="1" applyAlignment="1" applyProtection="1">
      <alignment horizontal="left" vertical="center" wrapText="1"/>
      <protection hidden="1"/>
    </xf>
    <xf numFmtId="0" fontId="1" fillId="0" borderId="9" xfId="0" applyFont="1" applyBorder="1" applyAlignment="1" applyProtection="1">
      <alignment horizontal="left" vertical="center" wrapText="1"/>
      <protection hidden="1"/>
    </xf>
    <xf numFmtId="0" fontId="1" fillId="0" borderId="18" xfId="0" applyFont="1" applyBorder="1" applyAlignment="1" applyProtection="1">
      <alignment horizontal="left" vertical="center" wrapText="1"/>
      <protection hidden="1"/>
    </xf>
    <xf numFmtId="0" fontId="1" fillId="0" borderId="11" xfId="0" applyFont="1" applyBorder="1" applyAlignment="1" applyProtection="1">
      <alignment horizontal="left" vertical="center" wrapText="1"/>
      <protection hidden="1"/>
    </xf>
    <xf numFmtId="0" fontId="3" fillId="0" borderId="15" xfId="0" applyFont="1" applyBorder="1" applyAlignment="1" applyProtection="1">
      <alignment horizontal="center" vertical="center" wrapText="1"/>
      <protection hidden="1"/>
    </xf>
    <xf numFmtId="0" fontId="12" fillId="5" borderId="49" xfId="0" applyFont="1" applyFill="1" applyBorder="1" applyAlignment="1" applyProtection="1">
      <alignment horizontal="center" vertical="center" wrapText="1"/>
      <protection hidden="1"/>
    </xf>
    <xf numFmtId="0" fontId="12" fillId="5" borderId="43" xfId="0" applyFont="1" applyFill="1" applyBorder="1" applyAlignment="1" applyProtection="1">
      <alignment horizontal="center" vertical="center" wrapText="1"/>
      <protection hidden="1"/>
    </xf>
    <xf numFmtId="0" fontId="12" fillId="5" borderId="50" xfId="0" applyFont="1" applyFill="1" applyBorder="1" applyAlignment="1" applyProtection="1">
      <alignment horizontal="center" vertical="center" wrapText="1"/>
      <protection hidden="1"/>
    </xf>
    <xf numFmtId="0" fontId="3" fillId="0" borderId="12" xfId="0" applyFont="1" applyBorder="1" applyAlignment="1" applyProtection="1">
      <alignment horizontal="center" vertical="center" wrapText="1"/>
      <protection hidden="1"/>
    </xf>
    <xf numFmtId="0" fontId="3" fillId="0" borderId="39" xfId="0" applyFont="1" applyBorder="1" applyAlignment="1" applyProtection="1">
      <alignment horizontal="center" vertical="center" wrapText="1"/>
      <protection hidden="1"/>
    </xf>
    <xf numFmtId="0" fontId="3" fillId="0" borderId="21" xfId="0" applyFont="1" applyBorder="1" applyAlignment="1" applyProtection="1">
      <alignment horizontal="center" vertical="center" wrapText="1"/>
      <protection hidden="1"/>
    </xf>
    <xf numFmtId="0" fontId="3" fillId="0" borderId="13" xfId="0" applyFont="1" applyBorder="1" applyAlignment="1" applyProtection="1">
      <alignment horizontal="center" vertical="center"/>
      <protection hidden="1"/>
    </xf>
    <xf numFmtId="0" fontId="3" fillId="0" borderId="14" xfId="0" applyFont="1" applyBorder="1" applyAlignment="1" applyProtection="1">
      <alignment horizontal="center" vertical="center" wrapText="1"/>
      <protection hidden="1"/>
    </xf>
    <xf numFmtId="0" fontId="3" fillId="0" borderId="13" xfId="0" applyFont="1" applyBorder="1" applyAlignment="1" applyProtection="1">
      <alignment horizontal="center" vertical="center" wrapText="1"/>
      <protection hidden="1"/>
    </xf>
    <xf numFmtId="0" fontId="3" fillId="0" borderId="29" xfId="0" applyFont="1" applyBorder="1" applyAlignment="1" applyProtection="1">
      <alignment horizontal="center" vertical="center" wrapText="1"/>
      <protection hidden="1"/>
    </xf>
    <xf numFmtId="0" fontId="3" fillId="0" borderId="28" xfId="0" applyFont="1" applyBorder="1" applyAlignment="1" applyProtection="1">
      <alignment horizontal="center" vertical="center" wrapText="1"/>
      <protection hidden="1"/>
    </xf>
    <xf numFmtId="0" fontId="3" fillId="0" borderId="1" xfId="0" applyFont="1" applyBorder="1" applyAlignment="1" applyProtection="1">
      <alignment horizontal="center" vertical="center"/>
      <protection hidden="1"/>
    </xf>
    <xf numFmtId="0" fontId="0" fillId="0" borderId="0" xfId="0" applyProtection="1">
      <protection hidden="1"/>
    </xf>
    <xf numFmtId="0" fontId="0" fillId="7" borderId="15" xfId="0" applyFill="1" applyBorder="1" applyAlignment="1" applyProtection="1">
      <alignment horizontal="center" vertical="center"/>
      <protection hidden="1"/>
    </xf>
    <xf numFmtId="0" fontId="15" fillId="4" borderId="15" xfId="0" applyFont="1" applyFill="1" applyBorder="1" applyAlignment="1" applyProtection="1">
      <alignment horizontal="center" vertical="center"/>
      <protection hidden="1"/>
    </xf>
    <xf numFmtId="0" fontId="2" fillId="0" borderId="1" xfId="0" applyFont="1" applyBorder="1" applyAlignment="1" applyProtection="1">
      <alignment horizontal="center" vertical="center"/>
      <protection hidden="1"/>
    </xf>
    <xf numFmtId="0" fontId="2" fillId="0" borderId="2" xfId="0" applyFont="1" applyBorder="1" applyAlignment="1" applyProtection="1">
      <alignment horizontal="center" vertical="center"/>
      <protection hidden="1"/>
    </xf>
    <xf numFmtId="0" fontId="0" fillId="0" borderId="2" xfId="0" applyBorder="1" applyProtection="1">
      <protection hidden="1"/>
    </xf>
    <xf numFmtId="0" fontId="1" fillId="0" borderId="2" xfId="0" applyFont="1" applyBorder="1" applyProtection="1">
      <protection hidden="1"/>
    </xf>
    <xf numFmtId="0" fontId="0" fillId="0" borderId="40" xfId="0" applyBorder="1" applyProtection="1">
      <protection hidden="1"/>
    </xf>
    <xf numFmtId="0" fontId="0" fillId="0" borderId="41" xfId="0" applyBorder="1" applyProtection="1">
      <protection hidden="1"/>
    </xf>
    <xf numFmtId="0" fontId="0" fillId="0" borderId="42" xfId="0" applyBorder="1" applyProtection="1">
      <protection hidden="1"/>
    </xf>
    <xf numFmtId="0" fontId="39" fillId="0" borderId="54" xfId="0" applyFont="1" applyBorder="1" applyAlignment="1">
      <alignment horizontal="center" vertical="center" wrapText="1"/>
    </xf>
    <xf numFmtId="0" fontId="39" fillId="0" borderId="56" xfId="0" applyFont="1" applyBorder="1" applyAlignment="1">
      <alignment horizontal="center" vertical="center" wrapText="1"/>
    </xf>
    <xf numFmtId="0" fontId="11" fillId="0" borderId="19" xfId="0" applyFont="1" applyBorder="1" applyAlignment="1">
      <alignment horizontal="center" vertical="center"/>
    </xf>
    <xf numFmtId="0" fontId="0" fillId="0" borderId="27" xfId="0" applyBorder="1"/>
    <xf numFmtId="0" fontId="0" fillId="0" borderId="8" xfId="0" applyBorder="1" applyAlignment="1">
      <alignment horizontal="left" vertical="center"/>
    </xf>
    <xf numFmtId="0" fontId="1" fillId="0" borderId="0" xfId="0" applyFont="1" applyAlignment="1">
      <alignment horizontal="center"/>
    </xf>
    <xf numFmtId="0" fontId="0" fillId="12" borderId="0" xfId="0" applyFill="1" applyAlignment="1">
      <alignment horizontal="center" vertical="center" wrapText="1"/>
    </xf>
    <xf numFmtId="9" fontId="3" fillId="0" borderId="29" xfId="0" applyNumberFormat="1" applyFont="1" applyBorder="1" applyAlignment="1" applyProtection="1">
      <alignment horizontal="center" vertical="center"/>
      <protection hidden="1"/>
    </xf>
    <xf numFmtId="0" fontId="18" fillId="0" borderId="0" xfId="0" applyFont="1" applyAlignment="1" applyProtection="1">
      <alignment vertical="top" wrapText="1"/>
      <protection hidden="1"/>
    </xf>
    <xf numFmtId="0" fontId="38" fillId="0" borderId="0" xfId="0" applyFont="1" applyProtection="1">
      <protection hidden="1"/>
    </xf>
    <xf numFmtId="0" fontId="11" fillId="0" borderId="19" xfId="0" applyFont="1" applyBorder="1" applyAlignment="1">
      <alignment horizontal="center" vertical="center" wrapText="1"/>
    </xf>
    <xf numFmtId="0" fontId="3" fillId="0" borderId="1" xfId="0" applyFont="1" applyBorder="1" applyAlignment="1" applyProtection="1">
      <alignment horizontal="center" vertical="center" wrapText="1"/>
      <protection hidden="1"/>
    </xf>
    <xf numFmtId="0" fontId="3" fillId="0" borderId="27" xfId="0" applyFont="1" applyBorder="1" applyAlignment="1" applyProtection="1">
      <alignment horizontal="center" vertical="center" wrapText="1"/>
      <protection hidden="1"/>
    </xf>
    <xf numFmtId="0" fontId="0" fillId="0" borderId="27" xfId="0" applyBorder="1" applyAlignment="1">
      <alignment horizontal="center" vertical="center"/>
    </xf>
    <xf numFmtId="0" fontId="11" fillId="0" borderId="17" xfId="0" applyFont="1" applyBorder="1" applyAlignment="1">
      <alignment horizontal="center" vertical="center" wrapText="1"/>
    </xf>
    <xf numFmtId="0" fontId="0" fillId="0" borderId="17" xfId="0" applyBorder="1" applyAlignment="1">
      <alignment horizontal="center" vertical="center" wrapText="1"/>
    </xf>
    <xf numFmtId="0" fontId="3" fillId="0" borderId="61" xfId="0" applyFont="1" applyBorder="1" applyAlignment="1" applyProtection="1">
      <alignment horizontal="center" vertical="center" wrapText="1"/>
      <protection hidden="1"/>
    </xf>
    <xf numFmtId="0" fontId="3" fillId="0" borderId="62" xfId="0" applyFont="1" applyBorder="1" applyAlignment="1" applyProtection="1">
      <alignment horizontal="center" vertical="center" wrapText="1"/>
      <protection hidden="1"/>
    </xf>
    <xf numFmtId="0" fontId="3" fillId="0" borderId="45" xfId="0" applyFont="1" applyBorder="1" applyAlignment="1" applyProtection="1">
      <alignment horizontal="center" vertical="center" wrapText="1"/>
      <protection hidden="1"/>
    </xf>
    <xf numFmtId="0" fontId="37" fillId="0" borderId="0" xfId="0" applyFont="1" applyAlignment="1">
      <alignment vertical="center"/>
    </xf>
    <xf numFmtId="0" fontId="3" fillId="0" borderId="1" xfId="0" applyFont="1" applyBorder="1" applyAlignment="1" applyProtection="1">
      <alignment vertical="center"/>
      <protection hidden="1"/>
    </xf>
    <xf numFmtId="0" fontId="38" fillId="0" borderId="1" xfId="0" applyFont="1" applyBorder="1" applyProtection="1">
      <protection hidden="1"/>
    </xf>
    <xf numFmtId="0" fontId="18" fillId="0" borderId="1" xfId="0" applyFont="1" applyBorder="1" applyAlignment="1" applyProtection="1">
      <alignment vertical="top" wrapText="1"/>
      <protection hidden="1"/>
    </xf>
    <xf numFmtId="0" fontId="0" fillId="0" borderId="64" xfId="0" applyBorder="1"/>
    <xf numFmtId="0" fontId="9" fillId="0" borderId="64" xfId="0" applyFont="1" applyBorder="1" applyAlignment="1">
      <alignment horizontal="center"/>
    </xf>
    <xf numFmtId="0" fontId="0" fillId="0" borderId="63" xfId="0" applyBorder="1"/>
    <xf numFmtId="0" fontId="3" fillId="0" borderId="24" xfId="0" applyFont="1" applyBorder="1" applyAlignment="1" applyProtection="1">
      <alignment horizontal="center" vertical="center"/>
      <protection hidden="1"/>
    </xf>
    <xf numFmtId="0" fontId="15" fillId="0" borderId="1" xfId="0" applyFont="1" applyBorder="1" applyProtection="1">
      <protection hidden="1"/>
    </xf>
    <xf numFmtId="0" fontId="15" fillId="0" borderId="1" xfId="0" applyFont="1" applyBorder="1"/>
    <xf numFmtId="0" fontId="0" fillId="3" borderId="51" xfId="0" applyFill="1" applyBorder="1" applyAlignment="1" applyProtection="1">
      <alignment horizontal="center" vertical="center"/>
      <protection hidden="1"/>
    </xf>
    <xf numFmtId="9" fontId="3" fillId="0" borderId="52" xfId="0" applyNumberFormat="1" applyFont="1" applyBorder="1" applyAlignment="1" applyProtection="1">
      <alignment horizontal="center" vertical="center"/>
      <protection hidden="1"/>
    </xf>
    <xf numFmtId="9" fontId="3" fillId="0" borderId="32" xfId="0" applyNumberFormat="1" applyFont="1" applyBorder="1" applyAlignment="1" applyProtection="1">
      <alignment horizontal="center" vertical="center"/>
      <protection hidden="1"/>
    </xf>
    <xf numFmtId="0" fontId="3" fillId="0" borderId="31" xfId="0" applyFont="1" applyBorder="1" applyAlignment="1" applyProtection="1">
      <alignment horizontal="center" vertical="center"/>
      <protection hidden="1"/>
    </xf>
    <xf numFmtId="0" fontId="0" fillId="0" borderId="8" xfId="0" applyBorder="1" applyAlignment="1">
      <alignment horizontal="center" vertical="center"/>
    </xf>
    <xf numFmtId="0" fontId="14" fillId="0" borderId="1" xfId="0" applyFont="1" applyBorder="1" applyAlignment="1" applyProtection="1">
      <alignment horizontal="center" vertical="center"/>
      <protection hidden="1"/>
    </xf>
    <xf numFmtId="0" fontId="0" fillId="0" borderId="44" xfId="0" applyBorder="1" applyAlignment="1" applyProtection="1">
      <alignment horizontal="center" vertical="center"/>
      <protection locked="0" hidden="1"/>
    </xf>
    <xf numFmtId="0" fontId="0" fillId="0" borderId="45" xfId="0" applyBorder="1" applyAlignment="1" applyProtection="1">
      <alignment horizontal="center" vertical="center"/>
      <protection locked="0" hidden="1"/>
    </xf>
    <xf numFmtId="0" fontId="0" fillId="0" borderId="46" xfId="0" applyBorder="1" applyAlignment="1" applyProtection="1">
      <alignment horizontal="center" vertical="center"/>
      <protection locked="0" hidden="1"/>
    </xf>
    <xf numFmtId="0" fontId="0" fillId="0" borderId="47" xfId="0" applyBorder="1" applyAlignment="1" applyProtection="1">
      <alignment horizontal="center" vertical="center"/>
      <protection locked="0" hidden="1"/>
    </xf>
    <xf numFmtId="0" fontId="4" fillId="11" borderId="6" xfId="0" applyFont="1" applyFill="1" applyBorder="1" applyAlignment="1">
      <alignment horizontal="center" vertical="center" textRotation="90" wrapText="1"/>
    </xf>
    <xf numFmtId="0" fontId="1" fillId="0" borderId="44" xfId="0" applyFont="1" applyBorder="1" applyAlignment="1" applyProtection="1">
      <alignment horizontal="left" vertical="center" wrapText="1"/>
      <protection hidden="1"/>
    </xf>
    <xf numFmtId="0" fontId="1" fillId="0" borderId="45" xfId="0" applyFont="1" applyBorder="1" applyAlignment="1" applyProtection="1">
      <alignment horizontal="left" vertical="center" wrapText="1"/>
      <protection hidden="1"/>
    </xf>
    <xf numFmtId="0" fontId="1" fillId="0" borderId="47" xfId="0" applyFont="1" applyBorder="1" applyAlignment="1" applyProtection="1">
      <alignment horizontal="left" vertical="center" wrapText="1"/>
      <protection hidden="1"/>
    </xf>
    <xf numFmtId="0" fontId="1" fillId="0" borderId="45" xfId="0" applyFont="1" applyBorder="1" applyAlignment="1" applyProtection="1">
      <alignment horizontal="left" vertical="center"/>
      <protection hidden="1"/>
    </xf>
    <xf numFmtId="0" fontId="1" fillId="0" borderId="46" xfId="0" applyFont="1" applyBorder="1" applyAlignment="1" applyProtection="1">
      <alignment horizontal="left" vertical="center" wrapText="1"/>
      <protection hidden="1"/>
    </xf>
    <xf numFmtId="0" fontId="1" fillId="0" borderId="9" xfId="0" applyFont="1" applyBorder="1" applyAlignment="1" applyProtection="1">
      <alignment horizontal="left" vertical="center"/>
      <protection hidden="1"/>
    </xf>
    <xf numFmtId="0" fontId="0" fillId="0" borderId="34" xfId="0" applyBorder="1" applyAlignment="1">
      <alignment horizontal="center" vertical="center"/>
    </xf>
    <xf numFmtId="0" fontId="0" fillId="0" borderId="33" xfId="0" applyBorder="1" applyAlignment="1">
      <alignment horizontal="center" vertical="center"/>
    </xf>
    <xf numFmtId="0" fontId="0" fillId="0" borderId="39" xfId="0" applyBorder="1" applyAlignment="1">
      <alignment horizontal="center" vertical="center"/>
    </xf>
    <xf numFmtId="0" fontId="0" fillId="0" borderId="65" xfId="0" applyBorder="1" applyAlignment="1">
      <alignment horizontal="center" vertical="center"/>
    </xf>
    <xf numFmtId="0" fontId="28" fillId="0" borderId="57" xfId="0" applyFont="1" applyBorder="1" applyAlignment="1">
      <alignment horizontal="center" vertical="center" wrapText="1"/>
    </xf>
    <xf numFmtId="0" fontId="28" fillId="0" borderId="54" xfId="0" applyFont="1" applyBorder="1" applyAlignment="1">
      <alignment horizontal="center" vertical="center" wrapText="1"/>
    </xf>
    <xf numFmtId="0" fontId="28" fillId="0" borderId="56" xfId="0" applyFont="1" applyBorder="1" applyAlignment="1">
      <alignment horizontal="center" vertical="center" wrapText="1"/>
    </xf>
    <xf numFmtId="0" fontId="28" fillId="0" borderId="55" xfId="0" applyFont="1" applyBorder="1" applyAlignment="1">
      <alignment horizontal="center" vertical="center" wrapText="1"/>
    </xf>
    <xf numFmtId="0" fontId="0" fillId="12" borderId="0" xfId="0" applyFill="1"/>
    <xf numFmtId="0" fontId="0" fillId="13" borderId="0" xfId="0" applyFill="1"/>
    <xf numFmtId="0" fontId="30" fillId="0" borderId="0" xfId="0" applyFont="1" applyAlignment="1">
      <alignment horizontal="center" vertical="center"/>
    </xf>
    <xf numFmtId="0" fontId="22" fillId="9" borderId="35" xfId="0" applyFont="1" applyFill="1" applyBorder="1" applyAlignment="1" applyProtection="1">
      <alignment horizontal="center" vertical="center"/>
      <protection hidden="1"/>
    </xf>
    <xf numFmtId="0" fontId="15" fillId="0" borderId="4" xfId="0" applyFont="1" applyBorder="1" applyAlignment="1" applyProtection="1">
      <alignment horizontal="center" vertical="center"/>
      <protection hidden="1"/>
    </xf>
    <xf numFmtId="0" fontId="14" fillId="0" borderId="4" xfId="0" applyFont="1" applyBorder="1" applyAlignment="1" applyProtection="1">
      <alignment horizontal="center" vertical="center"/>
      <protection hidden="1"/>
    </xf>
    <xf numFmtId="9" fontId="14" fillId="0" borderId="4" xfId="0" applyNumberFormat="1" applyFont="1" applyBorder="1" applyAlignment="1" applyProtection="1">
      <alignment horizontal="center" vertical="center"/>
      <protection hidden="1"/>
    </xf>
    <xf numFmtId="0" fontId="17" fillId="0" borderId="0" xfId="0" applyFont="1"/>
    <xf numFmtId="0" fontId="14" fillId="0" borderId="0" xfId="0" applyFont="1" applyAlignment="1">
      <alignment horizontal="center" vertical="center"/>
    </xf>
    <xf numFmtId="0" fontId="15" fillId="0" borderId="0" xfId="0" quotePrefix="1" applyFont="1"/>
    <xf numFmtId="0" fontId="23" fillId="6" borderId="19" xfId="0" applyFont="1" applyFill="1" applyBorder="1" applyAlignment="1">
      <alignment horizontal="center" wrapText="1"/>
    </xf>
    <xf numFmtId="0" fontId="23" fillId="6" borderId="36" xfId="0" applyFont="1" applyFill="1" applyBorder="1" applyAlignment="1">
      <alignment horizontal="center" wrapText="1"/>
    </xf>
    <xf numFmtId="0" fontId="23" fillId="6" borderId="20" xfId="0" applyFont="1" applyFill="1" applyBorder="1" applyAlignment="1">
      <alignment horizontal="center" wrapText="1"/>
    </xf>
    <xf numFmtId="0" fontId="2" fillId="0" borderId="22" xfId="0" applyFont="1" applyBorder="1" applyAlignment="1" applyProtection="1">
      <alignment horizontal="center" vertical="center"/>
      <protection hidden="1"/>
    </xf>
    <xf numFmtId="0" fontId="15" fillId="0" borderId="0" xfId="0" applyFont="1" applyProtection="1">
      <protection hidden="1"/>
    </xf>
    <xf numFmtId="0" fontId="0" fillId="0" borderId="0" xfId="0" applyBorder="1"/>
    <xf numFmtId="0" fontId="11" fillId="0" borderId="0" xfId="0" applyFont="1" applyBorder="1" applyAlignment="1">
      <alignment vertical="center"/>
    </xf>
    <xf numFmtId="0" fontId="9" fillId="0" borderId="0" xfId="0" applyFont="1" applyBorder="1" applyAlignment="1">
      <alignment horizontal="center"/>
    </xf>
    <xf numFmtId="0" fontId="3" fillId="0" borderId="0" xfId="0" applyFont="1" applyBorder="1" applyAlignment="1" applyProtection="1">
      <alignment horizontal="center" vertical="center"/>
      <protection hidden="1"/>
    </xf>
    <xf numFmtId="0" fontId="3" fillId="0" borderId="0" xfId="0" applyFont="1" applyBorder="1" applyAlignment="1" applyProtection="1">
      <alignment horizontal="center" vertical="center" wrapText="1"/>
      <protection hidden="1"/>
    </xf>
    <xf numFmtId="0" fontId="0" fillId="0" borderId="0" xfId="0" applyBorder="1" applyProtection="1">
      <protection hidden="1"/>
    </xf>
    <xf numFmtId="0" fontId="15" fillId="0" borderId="0" xfId="0" applyFont="1" applyBorder="1" applyProtection="1">
      <protection locked="0"/>
    </xf>
    <xf numFmtId="0" fontId="2" fillId="0" borderId="0" xfId="0" applyFont="1" applyBorder="1" applyAlignment="1" applyProtection="1">
      <alignment horizontal="center" vertical="center"/>
      <protection hidden="1"/>
    </xf>
    <xf numFmtId="0" fontId="1" fillId="0" borderId="0" xfId="0" applyFont="1" applyBorder="1" applyProtection="1">
      <protection hidden="1"/>
    </xf>
    <xf numFmtId="0" fontId="3" fillId="0" borderId="0" xfId="0" applyFont="1" applyBorder="1" applyAlignment="1" applyProtection="1">
      <alignment vertical="center"/>
      <protection hidden="1"/>
    </xf>
    <xf numFmtId="0" fontId="0" fillId="12" borderId="21" xfId="0" applyFill="1" applyBorder="1" applyAlignment="1">
      <alignment horizontal="center" vertical="center"/>
    </xf>
    <xf numFmtId="0" fontId="38" fillId="6" borderId="19" xfId="0" applyFont="1" applyFill="1" applyBorder="1" applyAlignment="1">
      <alignment horizontal="center"/>
    </xf>
    <xf numFmtId="0" fontId="38" fillId="6" borderId="36" xfId="0" applyFont="1" applyFill="1" applyBorder="1" applyAlignment="1">
      <alignment horizontal="center"/>
    </xf>
    <xf numFmtId="0" fontId="38" fillId="6" borderId="20" xfId="0" applyFont="1" applyFill="1" applyBorder="1" applyAlignment="1">
      <alignment horizontal="center"/>
    </xf>
    <xf numFmtId="0" fontId="4" fillId="6" borderId="5" xfId="0" applyFont="1" applyFill="1" applyBorder="1" applyAlignment="1" applyProtection="1">
      <alignment horizontal="center" vertical="center"/>
      <protection hidden="1"/>
    </xf>
    <xf numFmtId="0" fontId="4" fillId="6" borderId="4" xfId="0" applyFont="1" applyFill="1" applyBorder="1" applyAlignment="1" applyProtection="1">
      <alignment horizontal="center" vertical="center"/>
      <protection hidden="1"/>
    </xf>
    <xf numFmtId="0" fontId="4" fillId="6" borderId="3" xfId="0" applyFont="1" applyFill="1" applyBorder="1" applyAlignment="1" applyProtection="1">
      <alignment horizontal="center" vertical="center"/>
      <protection hidden="1"/>
    </xf>
    <xf numFmtId="0" fontId="4" fillId="6" borderId="19" xfId="0" applyFont="1" applyFill="1" applyBorder="1" applyAlignment="1" applyProtection="1">
      <alignment horizontal="center" vertical="top"/>
      <protection hidden="1"/>
    </xf>
    <xf numFmtId="0" fontId="4" fillId="6" borderId="36" xfId="0" applyFont="1" applyFill="1" applyBorder="1" applyAlignment="1" applyProtection="1">
      <alignment horizontal="center" vertical="top"/>
      <protection hidden="1"/>
    </xf>
    <xf numFmtId="0" fontId="4" fillId="6" borderId="20" xfId="0" applyFont="1" applyFill="1" applyBorder="1" applyAlignment="1" applyProtection="1">
      <alignment horizontal="center" vertical="top"/>
      <protection hidden="1"/>
    </xf>
    <xf numFmtId="0" fontId="38" fillId="6" borderId="19" xfId="0" applyFont="1" applyFill="1" applyBorder="1" applyAlignment="1" applyProtection="1">
      <alignment horizontal="center"/>
      <protection hidden="1"/>
    </xf>
    <xf numFmtId="0" fontId="38" fillId="6" borderId="36" xfId="0" applyFont="1" applyFill="1" applyBorder="1" applyAlignment="1" applyProtection="1">
      <alignment horizontal="center"/>
      <protection hidden="1"/>
    </xf>
    <xf numFmtId="0" fontId="38" fillId="6" borderId="20" xfId="0" applyFont="1" applyFill="1" applyBorder="1" applyAlignment="1" applyProtection="1">
      <alignment horizontal="center"/>
      <protection hidden="1"/>
    </xf>
    <xf numFmtId="0" fontId="18" fillId="0" borderId="5" xfId="0" applyFont="1" applyBorder="1" applyAlignment="1" applyProtection="1">
      <alignment horizontal="left" vertical="top" wrapText="1"/>
      <protection hidden="1"/>
    </xf>
    <xf numFmtId="0" fontId="18" fillId="0" borderId="4" xfId="0" applyFont="1" applyBorder="1" applyAlignment="1" applyProtection="1">
      <alignment horizontal="left" vertical="top" wrapText="1"/>
      <protection hidden="1"/>
    </xf>
    <xf numFmtId="0" fontId="18" fillId="0" borderId="3" xfId="0" applyFont="1" applyBorder="1" applyAlignment="1" applyProtection="1">
      <alignment horizontal="left" vertical="top" wrapText="1"/>
      <protection hidden="1"/>
    </xf>
    <xf numFmtId="0" fontId="18" fillId="0" borderId="2" xfId="0" applyFont="1" applyBorder="1" applyAlignment="1" applyProtection="1">
      <alignment horizontal="left" vertical="top" wrapText="1"/>
      <protection hidden="1"/>
    </xf>
    <xf numFmtId="0" fontId="18" fillId="0" borderId="0" xfId="0" applyFont="1" applyBorder="1" applyAlignment="1" applyProtection="1">
      <alignment horizontal="left" vertical="top" wrapText="1"/>
      <protection hidden="1"/>
    </xf>
    <xf numFmtId="0" fontId="18" fillId="0" borderId="1" xfId="0" applyFont="1" applyBorder="1" applyAlignment="1" applyProtection="1">
      <alignment horizontal="left" vertical="top" wrapText="1"/>
      <protection hidden="1"/>
    </xf>
    <xf numFmtId="0" fontId="18" fillId="0" borderId="40" xfId="0" applyFont="1" applyBorder="1" applyAlignment="1" applyProtection="1">
      <alignment horizontal="left" vertical="top" wrapText="1"/>
      <protection hidden="1"/>
    </xf>
    <xf numFmtId="0" fontId="18" fillId="0" borderId="41" xfId="0" applyFont="1" applyBorder="1" applyAlignment="1" applyProtection="1">
      <alignment horizontal="left" vertical="top" wrapText="1"/>
      <protection hidden="1"/>
    </xf>
    <xf numFmtId="0" fontId="18" fillId="0" borderId="42" xfId="0" applyFont="1" applyBorder="1" applyAlignment="1" applyProtection="1">
      <alignment horizontal="left" vertical="top" wrapText="1"/>
      <protection hidden="1"/>
    </xf>
    <xf numFmtId="0" fontId="8" fillId="0" borderId="25" xfId="0" applyFont="1" applyBorder="1" applyAlignment="1" applyProtection="1">
      <alignment horizontal="center" vertical="top"/>
      <protection locked="0" hidden="1"/>
    </xf>
    <xf numFmtId="0" fontId="8" fillId="0" borderId="23" xfId="0" applyFont="1" applyBorder="1" applyAlignment="1" applyProtection="1">
      <alignment horizontal="center" vertical="top"/>
      <protection locked="0" hidden="1"/>
    </xf>
    <xf numFmtId="0" fontId="8" fillId="0" borderId="44" xfId="0" applyFont="1" applyBorder="1" applyAlignment="1" applyProtection="1">
      <alignment horizontal="center" vertical="top"/>
      <protection locked="0" hidden="1"/>
    </xf>
    <xf numFmtId="0" fontId="3" fillId="0" borderId="22" xfId="0" applyFont="1" applyBorder="1" applyAlignment="1" applyProtection="1">
      <alignment horizontal="left" vertical="top" wrapText="1"/>
      <protection hidden="1"/>
    </xf>
    <xf numFmtId="0" fontId="3" fillId="0" borderId="24" xfId="0" applyFont="1" applyBorder="1" applyAlignment="1" applyProtection="1">
      <alignment horizontal="left" vertical="top" wrapText="1"/>
      <protection hidden="1"/>
    </xf>
    <xf numFmtId="0" fontId="3" fillId="0" borderId="48" xfId="0" applyFont="1" applyBorder="1" applyAlignment="1" applyProtection="1">
      <alignment horizontal="left" vertical="top" wrapText="1"/>
      <protection hidden="1"/>
    </xf>
    <xf numFmtId="0" fontId="3" fillId="0" borderId="2" xfId="0" applyFont="1" applyBorder="1" applyAlignment="1" applyProtection="1">
      <alignment horizontal="left" vertical="top" wrapText="1"/>
      <protection hidden="1"/>
    </xf>
    <xf numFmtId="0" fontId="3" fillId="0" borderId="0" xfId="0" applyFont="1" applyBorder="1" applyAlignment="1" applyProtection="1">
      <alignment horizontal="left" vertical="top" wrapText="1"/>
      <protection hidden="1"/>
    </xf>
    <xf numFmtId="0" fontId="3" fillId="0" borderId="1" xfId="0" applyFont="1" applyBorder="1" applyAlignment="1" applyProtection="1">
      <alignment horizontal="left" vertical="top" wrapText="1"/>
      <protection hidden="1"/>
    </xf>
    <xf numFmtId="0" fontId="3" fillId="0" borderId="27" xfId="0" applyFont="1" applyBorder="1" applyAlignment="1" applyProtection="1">
      <alignment horizontal="left" vertical="top" wrapText="1"/>
      <protection hidden="1"/>
    </xf>
    <xf numFmtId="0" fontId="3" fillId="0" borderId="37" xfId="0" applyFont="1" applyBorder="1" applyAlignment="1" applyProtection="1">
      <alignment horizontal="left" vertical="top" wrapText="1"/>
      <protection hidden="1"/>
    </xf>
    <xf numFmtId="0" fontId="3" fillId="0" borderId="47" xfId="0" applyFont="1" applyBorder="1" applyAlignment="1" applyProtection="1">
      <alignment horizontal="left" vertical="top" wrapText="1"/>
      <protection hidden="1"/>
    </xf>
    <xf numFmtId="0" fontId="7" fillId="0" borderId="22" xfId="0" applyFont="1" applyBorder="1" applyAlignment="1" applyProtection="1">
      <alignment horizontal="left" vertical="top"/>
      <protection hidden="1"/>
    </xf>
    <xf numFmtId="0" fontId="7" fillId="0" borderId="48" xfId="0" applyFont="1" applyBorder="1" applyAlignment="1" applyProtection="1">
      <alignment horizontal="left" vertical="top"/>
      <protection hidden="1"/>
    </xf>
    <xf numFmtId="0" fontId="7" fillId="0" borderId="2" xfId="0" applyFont="1" applyBorder="1" applyAlignment="1" applyProtection="1">
      <alignment horizontal="left" vertical="top"/>
      <protection hidden="1"/>
    </xf>
    <xf numFmtId="0" fontId="7" fillId="0" borderId="1" xfId="0" applyFont="1" applyBorder="1" applyAlignment="1" applyProtection="1">
      <alignment horizontal="left" vertical="top"/>
      <protection hidden="1"/>
    </xf>
    <xf numFmtId="0" fontId="7" fillId="0" borderId="27" xfId="0" applyFont="1" applyBorder="1" applyAlignment="1" applyProtection="1">
      <alignment horizontal="left" vertical="top"/>
      <protection hidden="1"/>
    </xf>
    <xf numFmtId="0" fontId="7" fillId="0" borderId="47" xfId="0" applyFont="1" applyBorder="1" applyAlignment="1" applyProtection="1">
      <alignment horizontal="left" vertical="top"/>
      <protection hidden="1"/>
    </xf>
    <xf numFmtId="0" fontId="6" fillId="0" borderId="25" xfId="0" applyFont="1" applyBorder="1" applyAlignment="1" applyProtection="1">
      <alignment horizontal="left" vertical="top"/>
      <protection hidden="1"/>
    </xf>
    <xf numFmtId="0" fontId="6" fillId="0" borderId="44" xfId="0" applyFont="1" applyBorder="1" applyAlignment="1" applyProtection="1">
      <alignment horizontal="left" vertical="top"/>
      <protection hidden="1"/>
    </xf>
    <xf numFmtId="0" fontId="7" fillId="0" borderId="22" xfId="0" applyFont="1" applyBorder="1" applyAlignment="1" applyProtection="1">
      <alignment horizontal="left" vertical="center"/>
      <protection hidden="1"/>
    </xf>
    <xf numFmtId="0" fontId="7" fillId="0" borderId="48" xfId="0" applyFont="1" applyBorder="1" applyAlignment="1" applyProtection="1">
      <alignment horizontal="left" vertical="center"/>
      <protection hidden="1"/>
    </xf>
    <xf numFmtId="0" fontId="7" fillId="0" borderId="40" xfId="0" applyFont="1" applyBorder="1" applyAlignment="1" applyProtection="1">
      <alignment horizontal="left" vertical="center"/>
      <protection hidden="1"/>
    </xf>
    <xf numFmtId="0" fontId="7" fillId="0" borderId="42" xfId="0" applyFont="1" applyBorder="1" applyAlignment="1" applyProtection="1">
      <alignment horizontal="left" vertical="center"/>
      <protection hidden="1"/>
    </xf>
    <xf numFmtId="0" fontId="2" fillId="0" borderId="22" xfId="0" applyFont="1" applyBorder="1" applyAlignment="1" applyProtection="1">
      <alignment horizontal="center" vertical="center"/>
      <protection hidden="1"/>
    </xf>
    <xf numFmtId="0" fontId="2" fillId="0" borderId="24" xfId="0" applyFont="1" applyBorder="1" applyAlignment="1" applyProtection="1">
      <alignment horizontal="center" vertical="center"/>
      <protection hidden="1"/>
    </xf>
    <xf numFmtId="0" fontId="2" fillId="0" borderId="48" xfId="0" applyFont="1" applyBorder="1" applyAlignment="1" applyProtection="1">
      <alignment horizontal="center" vertical="center"/>
      <protection hidden="1"/>
    </xf>
    <xf numFmtId="0" fontId="2" fillId="0" borderId="40" xfId="0" applyFont="1" applyBorder="1" applyAlignment="1" applyProtection="1">
      <alignment horizontal="center" vertical="center"/>
      <protection hidden="1"/>
    </xf>
    <xf numFmtId="0" fontId="2" fillId="0" borderId="41" xfId="0" applyFont="1" applyBorder="1" applyAlignment="1" applyProtection="1">
      <alignment horizontal="center" vertical="center"/>
      <protection hidden="1"/>
    </xf>
    <xf numFmtId="0" fontId="2" fillId="0" borderId="42" xfId="0" applyFont="1" applyBorder="1" applyAlignment="1" applyProtection="1">
      <alignment horizontal="center" vertical="center"/>
      <protection hidden="1"/>
    </xf>
    <xf numFmtId="0" fontId="4" fillId="0" borderId="25" xfId="0" applyFont="1" applyBorder="1" applyAlignment="1" applyProtection="1">
      <alignment horizontal="left" vertical="center"/>
      <protection hidden="1"/>
    </xf>
    <xf numFmtId="0" fontId="4" fillId="0" borderId="38" xfId="0" applyFont="1" applyBorder="1" applyAlignment="1" applyProtection="1">
      <alignment horizontal="left" vertical="center"/>
      <protection hidden="1"/>
    </xf>
    <xf numFmtId="0" fontId="4" fillId="0" borderId="21" xfId="0" applyFont="1" applyBorder="1" applyAlignment="1" applyProtection="1">
      <alignment horizontal="left" vertical="center"/>
      <protection hidden="1"/>
    </xf>
    <xf numFmtId="0" fontId="4" fillId="0" borderId="14" xfId="0" applyFont="1" applyBorder="1" applyAlignment="1" applyProtection="1">
      <alignment horizontal="left" vertical="center"/>
      <protection hidden="1"/>
    </xf>
    <xf numFmtId="0" fontId="4" fillId="0" borderId="26" xfId="0" applyFont="1" applyBorder="1" applyAlignment="1" applyProtection="1">
      <alignment horizontal="left" vertical="center"/>
      <protection hidden="1"/>
    </xf>
    <xf numFmtId="0" fontId="4" fillId="0" borderId="34" xfId="0" applyFont="1" applyBorder="1" applyAlignment="1" applyProtection="1">
      <alignment horizontal="left" vertical="center"/>
      <protection hidden="1"/>
    </xf>
    <xf numFmtId="0" fontId="13" fillId="0" borderId="4" xfId="0" applyFont="1" applyBorder="1" applyAlignment="1" applyProtection="1">
      <alignment horizontal="left" vertical="center"/>
      <protection hidden="1"/>
    </xf>
    <xf numFmtId="0" fontId="8" fillId="8" borderId="19" xfId="0" applyFont="1" applyFill="1" applyBorder="1" applyAlignment="1" applyProtection="1">
      <alignment horizontal="center" vertical="center"/>
      <protection locked="0" hidden="1"/>
    </xf>
    <xf numFmtId="0" fontId="8" fillId="8" borderId="20" xfId="0" applyFont="1" applyFill="1" applyBorder="1" applyAlignment="1" applyProtection="1">
      <alignment horizontal="center" vertical="center"/>
      <protection locked="0" hidden="1"/>
    </xf>
    <xf numFmtId="0" fontId="37" fillId="6" borderId="19" xfId="0" applyFont="1" applyFill="1" applyBorder="1" applyAlignment="1">
      <alignment horizontal="center" vertical="center"/>
    </xf>
    <xf numFmtId="0" fontId="37" fillId="6" borderId="36" xfId="0" applyFont="1" applyFill="1" applyBorder="1" applyAlignment="1">
      <alignment horizontal="center" vertical="center"/>
    </xf>
    <xf numFmtId="0" fontId="37" fillId="6" borderId="20" xfId="0" applyFont="1" applyFill="1" applyBorder="1" applyAlignment="1">
      <alignment horizontal="center" vertical="center"/>
    </xf>
    <xf numFmtId="0" fontId="4" fillId="8" borderId="19" xfId="0" applyFont="1" applyFill="1" applyBorder="1" applyAlignment="1" applyProtection="1">
      <alignment horizontal="center" vertical="center"/>
      <protection locked="0" hidden="1"/>
    </xf>
    <xf numFmtId="0" fontId="4" fillId="8" borderId="36" xfId="0" applyFont="1" applyFill="1" applyBorder="1" applyAlignment="1" applyProtection="1">
      <alignment horizontal="center" vertical="center"/>
      <protection locked="0" hidden="1"/>
    </xf>
    <xf numFmtId="0" fontId="4" fillId="8" borderId="20" xfId="0" applyFont="1" applyFill="1" applyBorder="1" applyAlignment="1" applyProtection="1">
      <alignment horizontal="center" vertical="center"/>
      <protection locked="0" hidden="1"/>
    </xf>
    <xf numFmtId="0" fontId="11" fillId="0" borderId="19" xfId="0" applyFont="1" applyBorder="1" applyAlignment="1">
      <alignment horizontal="center" vertical="center" wrapText="1"/>
    </xf>
    <xf numFmtId="0" fontId="11" fillId="0" borderId="36" xfId="0" applyFont="1" applyBorder="1" applyAlignment="1">
      <alignment horizontal="center" vertical="center" wrapText="1"/>
    </xf>
    <xf numFmtId="0" fontId="11" fillId="0" borderId="20" xfId="0" applyFont="1" applyBorder="1" applyAlignment="1">
      <alignment horizontal="center" vertical="center" wrapText="1"/>
    </xf>
    <xf numFmtId="0" fontId="36" fillId="0" borderId="0" xfId="0" applyFont="1" applyAlignment="1">
      <alignment horizontal="center"/>
    </xf>
    <xf numFmtId="0" fontId="4" fillId="0" borderId="6" xfId="0" applyFont="1" applyBorder="1" applyAlignment="1">
      <alignment horizontal="center" vertical="center" textRotation="90" wrapText="1"/>
    </xf>
    <xf numFmtId="0" fontId="4" fillId="0" borderId="8" xfId="0" applyFont="1" applyBorder="1" applyAlignment="1">
      <alignment horizontal="center" vertical="center" textRotation="90" wrapText="1"/>
    </xf>
    <xf numFmtId="0" fontId="4" fillId="0" borderId="10" xfId="0" applyFont="1" applyBorder="1" applyAlignment="1">
      <alignment horizontal="center" vertical="center" textRotation="90" wrapText="1"/>
    </xf>
    <xf numFmtId="0" fontId="10" fillId="0" borderId="6" xfId="0" applyFont="1" applyBorder="1" applyAlignment="1">
      <alignment horizontal="center" vertical="center" textRotation="90" wrapText="1"/>
    </xf>
    <xf numFmtId="0" fontId="10" fillId="0" borderId="8" xfId="0" applyFont="1" applyBorder="1" applyAlignment="1">
      <alignment horizontal="center" vertical="center" textRotation="90" wrapText="1"/>
    </xf>
    <xf numFmtId="0" fontId="10" fillId="0" borderId="10" xfId="0" applyFont="1" applyBorder="1" applyAlignment="1">
      <alignment horizontal="center" vertical="center" textRotation="90" wrapText="1"/>
    </xf>
    <xf numFmtId="0" fontId="0" fillId="0" borderId="5" xfId="0" applyBorder="1" applyAlignment="1">
      <alignment horizontal="center" vertical="center" wrapText="1"/>
    </xf>
    <xf numFmtId="0" fontId="0" fillId="0" borderId="4" xfId="0" applyBorder="1" applyAlignment="1">
      <alignment horizontal="center" vertical="center" wrapText="1"/>
    </xf>
    <xf numFmtId="0" fontId="0" fillId="0" borderId="3" xfId="0" applyBorder="1" applyAlignment="1">
      <alignment horizontal="center" vertical="center" wrapText="1"/>
    </xf>
    <xf numFmtId="0" fontId="0" fillId="0" borderId="2" xfId="0" applyBorder="1" applyAlignment="1">
      <alignment horizontal="center" vertical="center" wrapText="1"/>
    </xf>
    <xf numFmtId="0" fontId="0" fillId="0" borderId="0" xfId="0" applyBorder="1" applyAlignment="1">
      <alignment horizontal="center" vertical="center" wrapText="1"/>
    </xf>
    <xf numFmtId="0" fontId="0" fillId="0" borderId="1" xfId="0" applyBorder="1" applyAlignment="1">
      <alignment horizontal="center" vertical="center" wrapText="1"/>
    </xf>
    <xf numFmtId="0" fontId="0" fillId="0" borderId="40" xfId="0" applyBorder="1" applyAlignment="1">
      <alignment horizontal="center" vertical="center" wrapText="1"/>
    </xf>
    <xf numFmtId="0" fontId="0" fillId="0" borderId="41" xfId="0" applyBorder="1" applyAlignment="1">
      <alignment horizontal="center" vertical="center" wrapText="1"/>
    </xf>
    <xf numFmtId="0" fontId="0" fillId="0" borderId="42" xfId="0" applyBorder="1" applyAlignment="1">
      <alignment horizontal="center" vertical="center" wrapText="1"/>
    </xf>
    <xf numFmtId="0" fontId="40" fillId="0" borderId="36" xfId="0" applyFont="1" applyBorder="1" applyAlignment="1">
      <alignment horizontal="center"/>
    </xf>
    <xf numFmtId="0" fontId="40" fillId="0" borderId="20" xfId="0" applyFont="1" applyBorder="1" applyAlignment="1">
      <alignment horizontal="center"/>
    </xf>
    <xf numFmtId="0" fontId="25" fillId="0" borderId="21" xfId="0" applyFont="1" applyBorder="1" applyAlignment="1">
      <alignment horizontal="center" vertical="center"/>
    </xf>
    <xf numFmtId="0" fontId="25" fillId="0" borderId="16" xfId="0" applyFont="1" applyBorder="1" applyAlignment="1">
      <alignment horizontal="center" vertical="center"/>
    </xf>
    <xf numFmtId="0" fontId="25" fillId="0" borderId="14" xfId="0" applyFont="1" applyBorder="1" applyAlignment="1">
      <alignment horizontal="center" vertical="center"/>
    </xf>
    <xf numFmtId="0" fontId="25" fillId="0" borderId="26" xfId="0" applyFont="1" applyBorder="1" applyAlignment="1">
      <alignment horizontal="center" vertical="center"/>
    </xf>
    <xf numFmtId="0" fontId="25" fillId="0" borderId="60" xfId="0" applyFont="1" applyBorder="1" applyAlignment="1">
      <alignment horizontal="center" vertical="center"/>
    </xf>
    <xf numFmtId="0" fontId="25" fillId="0" borderId="34" xfId="0" applyFont="1" applyBorder="1" applyAlignment="1">
      <alignment horizontal="center" vertical="center"/>
    </xf>
    <xf numFmtId="0" fontId="40" fillId="0" borderId="19" xfId="0" applyFont="1" applyBorder="1" applyAlignment="1">
      <alignment horizontal="center"/>
    </xf>
    <xf numFmtId="0" fontId="40" fillId="0" borderId="19" xfId="0" applyFont="1" applyBorder="1" applyAlignment="1">
      <alignment horizontal="left"/>
    </xf>
    <xf numFmtId="0" fontId="40" fillId="0" borderId="36" xfId="0" applyFont="1" applyBorder="1" applyAlignment="1">
      <alignment horizontal="left"/>
    </xf>
    <xf numFmtId="0" fontId="40" fillId="0" borderId="20" xfId="0" applyFont="1" applyBorder="1" applyAlignment="1">
      <alignment horizontal="left"/>
    </xf>
    <xf numFmtId="0" fontId="25" fillId="0" borderId="25" xfId="0" applyFont="1" applyBorder="1" applyAlignment="1">
      <alignment horizontal="center" vertical="center"/>
    </xf>
    <xf numFmtId="0" fontId="25" fillId="0" borderId="23" xfId="0" applyFont="1" applyBorder="1" applyAlignment="1">
      <alignment horizontal="center" vertical="center"/>
    </xf>
    <xf numFmtId="0" fontId="25" fillId="0" borderId="38" xfId="0" applyFont="1" applyBorder="1" applyAlignment="1">
      <alignment horizontal="center" vertical="center"/>
    </xf>
    <xf numFmtId="0" fontId="0" fillId="0" borderId="0" xfId="0" applyAlignment="1">
      <alignment horizontal="center"/>
    </xf>
    <xf numFmtId="0" fontId="8" fillId="8" borderId="19" xfId="0" applyFont="1" applyFill="1" applyBorder="1" applyAlignment="1">
      <alignment horizontal="center" vertical="center"/>
    </xf>
    <xf numFmtId="0" fontId="8" fillId="8" borderId="36" xfId="0" applyFont="1" applyFill="1" applyBorder="1" applyAlignment="1">
      <alignment horizontal="center" vertical="center"/>
    </xf>
    <xf numFmtId="0" fontId="8" fillId="8" borderId="20" xfId="0" applyFont="1" applyFill="1" applyBorder="1" applyAlignment="1">
      <alignment horizontal="center" vertical="center"/>
    </xf>
  </cellXfs>
  <cellStyles count="2">
    <cellStyle name="Hyperlink" xfId="1" builtinId="8"/>
    <cellStyle name="Normal" xfId="0" builtinId="0"/>
  </cellStyles>
  <dxfs count="67">
    <dxf>
      <numFmt numFmtId="0" formatCode="General"/>
      <alignment horizontal="center" vertical="center" textRotation="0" wrapText="1" indent="0" justifyLastLine="0" shrinkToFit="0" readingOrder="0"/>
    </dxf>
    <dxf>
      <numFmt numFmtId="0" formatCode="General"/>
      <alignment horizontal="center"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font>
        <b val="0"/>
        <i val="0"/>
        <strike val="0"/>
        <condense val="0"/>
        <extend val="0"/>
        <outline val="0"/>
        <shadow val="0"/>
        <u val="none"/>
        <vertAlign val="baseline"/>
        <sz val="10"/>
        <color theme="1"/>
        <name val="Calibri"/>
        <family val="2"/>
        <scheme val="minor"/>
      </font>
      <fill>
        <patternFill patternType="none">
          <fgColor indexed="64"/>
          <bgColor indexed="65"/>
        </patternFill>
      </fill>
      <alignment horizontal="general" vertical="center" textRotation="0" wrapText="1" indent="0" justifyLastLine="0" shrinkToFit="0" readingOrder="0"/>
    </dxf>
    <dxf>
      <numFmt numFmtId="0" formatCode="General"/>
      <alignment horizontal="center" vertical="center" textRotation="0" wrapText="1" indent="0" justifyLastLine="0" shrinkToFit="0" readingOrder="0"/>
    </dxf>
    <dxf>
      <alignment horizontal="center" vertical="center" textRotation="0" wrapText="1" indent="0" justifyLastLine="0" shrinkToFit="0" readingOrder="0"/>
      <border outline="0">
        <right style="thin">
          <color auto="1"/>
        </right>
      </border>
    </dxf>
    <dxf>
      <alignment vertical="center" textRotation="0" wrapText="1" indent="0" justifyLastLine="0" shrinkToFit="0" readingOrder="0"/>
    </dxf>
    <dxf>
      <alignment horizontal="center" vertical="center" textRotation="0" indent="0" justifyLastLine="0" shrinkToFit="0" readingOrder="0"/>
    </dxf>
    <dxf>
      <font>
        <color theme="0"/>
      </font>
    </dxf>
    <dxf>
      <fill>
        <patternFill>
          <bgColor rgb="FF00A4EF"/>
        </patternFill>
      </fill>
    </dxf>
    <dxf>
      <fill>
        <patternFill>
          <bgColor rgb="FFFFB900"/>
        </patternFill>
      </fill>
    </dxf>
    <dxf>
      <numFmt numFmtId="0" formatCode="General"/>
      <alignment horizontal="left" vertical="center" textRotation="0" wrapText="0" indent="0" justifyLastLine="0" shrinkToFit="0" readingOrder="0"/>
    </dxf>
    <dxf>
      <alignment horizontal="left" vertical="center" textRotation="0" wrapText="0" indent="0" justifyLastLine="0" shrinkToFit="0" readingOrder="0"/>
    </dxf>
    <dxf>
      <numFmt numFmtId="0" formatCode="General"/>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dxf>
    <dxf>
      <alignment horizontal="left" vertical="center" textRotation="0" wrapText="0" indent="0" justifyLastLine="0" shrinkToFit="0" readingOrder="0"/>
      <border diagonalUp="0" diagonalDown="0" outline="0">
        <left style="medium">
          <color indexed="64"/>
        </left>
        <right style="medium">
          <color indexed="64"/>
        </right>
        <top/>
        <bottom/>
      </border>
    </dxf>
    <dxf>
      <font>
        <color theme="0"/>
      </font>
      <fill>
        <patternFill>
          <bgColor theme="0"/>
        </patternFill>
      </fill>
    </dxf>
    <dxf>
      <fill>
        <patternFill>
          <bgColor rgb="FF7FBA00"/>
        </patternFill>
      </fill>
    </dxf>
    <dxf>
      <fill>
        <patternFill>
          <bgColor rgb="FFFFB900"/>
        </patternFill>
      </fill>
    </dxf>
    <dxf>
      <font>
        <color theme="0"/>
      </font>
      <fill>
        <patternFill>
          <bgColor rgb="FF737373"/>
        </patternFill>
      </fill>
    </dxf>
    <dxf>
      <font>
        <color rgb="FFFF0000"/>
      </font>
      <fill>
        <patternFill>
          <bgColor theme="0"/>
        </patternFill>
      </fill>
    </dxf>
    <dxf>
      <font>
        <color theme="1"/>
      </font>
      <fill>
        <patternFill>
          <bgColor rgb="FF00A4EF"/>
        </patternFill>
      </fill>
    </dxf>
    <dxf>
      <font>
        <color theme="1"/>
      </font>
      <fill>
        <patternFill>
          <bgColor rgb="FFFFB900"/>
        </patternFill>
      </fill>
    </dxf>
    <dxf>
      <font>
        <color theme="0"/>
      </font>
      <fill>
        <patternFill>
          <bgColor rgb="FF737373"/>
        </patternFill>
      </fill>
    </dxf>
    <dxf>
      <font>
        <color rgb="FFFF0000"/>
      </font>
      <fill>
        <patternFill>
          <bgColor theme="0"/>
        </patternFill>
      </fill>
    </dxf>
    <dxf>
      <font>
        <color theme="0"/>
      </font>
      <fill>
        <patternFill>
          <bgColor theme="0"/>
        </patternFill>
      </fill>
    </dxf>
    <dxf>
      <font>
        <color theme="1"/>
      </font>
      <fill>
        <patternFill>
          <bgColor rgb="FF00A4EF"/>
        </patternFill>
      </fill>
    </dxf>
    <dxf>
      <font>
        <color theme="1"/>
      </font>
      <fill>
        <patternFill>
          <bgColor rgb="FFFFB900"/>
        </patternFill>
      </fill>
    </dxf>
    <dxf>
      <font>
        <color theme="0"/>
      </font>
      <fill>
        <patternFill>
          <bgColor rgb="FF737373"/>
        </patternFill>
      </fill>
    </dxf>
    <dxf>
      <font>
        <color rgb="FFFF0000"/>
      </font>
      <fill>
        <patternFill>
          <bgColor theme="0"/>
        </patternFill>
      </fill>
    </dxf>
    <dxf>
      <font>
        <color theme="0"/>
      </font>
      <fill>
        <patternFill>
          <bgColor theme="0"/>
        </patternFill>
      </fill>
    </dxf>
    <dxf>
      <fill>
        <patternFill>
          <bgColor rgb="FF00A4EF"/>
        </patternFill>
      </fill>
    </dxf>
    <dxf>
      <fill>
        <patternFill>
          <bgColor rgb="FFFFB900"/>
        </patternFill>
      </fill>
    </dxf>
    <dxf>
      <fill>
        <patternFill>
          <bgColor rgb="FF00A4EF"/>
        </patternFill>
      </fill>
    </dxf>
    <dxf>
      <fill>
        <patternFill>
          <bgColor rgb="FFFFB900"/>
        </patternFill>
      </fill>
    </dxf>
    <dxf>
      <fill>
        <patternFill>
          <bgColor rgb="FF00A4EF"/>
        </patternFill>
      </fill>
    </dxf>
    <dxf>
      <fill>
        <patternFill>
          <bgColor rgb="FFFFB900"/>
        </patternFill>
      </fill>
    </dxf>
    <dxf>
      <fill>
        <patternFill>
          <bgColor rgb="FF00A4EF"/>
        </patternFill>
      </fill>
    </dxf>
    <dxf>
      <fill>
        <patternFill>
          <bgColor rgb="FFFFB900"/>
        </patternFill>
      </fill>
    </dxf>
    <dxf>
      <fill>
        <patternFill>
          <bgColor rgb="FF00A4EF"/>
        </patternFill>
      </fill>
    </dxf>
    <dxf>
      <fill>
        <patternFill>
          <bgColor rgb="FFFFB900"/>
        </patternFill>
      </fill>
    </dxf>
    <dxf>
      <fill>
        <patternFill>
          <bgColor rgb="FF00A4EF"/>
        </patternFill>
      </fill>
    </dxf>
    <dxf>
      <fill>
        <patternFill>
          <bgColor rgb="FFFFB900"/>
        </patternFill>
      </fill>
    </dxf>
    <dxf>
      <fill>
        <patternFill>
          <bgColor rgb="FF00A4EF"/>
        </patternFill>
      </fill>
    </dxf>
    <dxf>
      <fill>
        <patternFill>
          <bgColor rgb="FFFFB900"/>
        </patternFill>
      </fill>
    </dxf>
    <dxf>
      <fill>
        <patternFill>
          <bgColor rgb="FF00A4EF"/>
        </patternFill>
      </fill>
    </dxf>
    <dxf>
      <fill>
        <patternFill>
          <bgColor rgb="FFFFB900"/>
        </patternFill>
      </fill>
    </dxf>
    <dxf>
      <fill>
        <patternFill>
          <bgColor rgb="FF00A4EF"/>
        </patternFill>
      </fill>
    </dxf>
    <dxf>
      <fill>
        <patternFill>
          <bgColor rgb="FFFFB900"/>
        </patternFill>
      </fill>
    </dxf>
    <dxf>
      <font>
        <b/>
        <i val="0"/>
        <color rgb="FF002060"/>
      </font>
    </dxf>
    <dxf>
      <fill>
        <patternFill>
          <bgColor rgb="FF00A4EF"/>
        </patternFill>
      </fill>
    </dxf>
    <dxf>
      <fill>
        <patternFill>
          <bgColor rgb="FFFFB900"/>
        </patternFill>
      </fill>
    </dxf>
    <dxf>
      <font>
        <b/>
        <i val="0"/>
        <color rgb="FF002060"/>
      </font>
    </dxf>
    <dxf>
      <fill>
        <patternFill>
          <bgColor rgb="FF00A4EF"/>
        </patternFill>
      </fill>
    </dxf>
    <dxf>
      <fill>
        <patternFill>
          <bgColor rgb="FFFFB900"/>
        </patternFill>
      </fill>
    </dxf>
    <dxf>
      <font>
        <b/>
        <i val="0"/>
        <color rgb="FF002060"/>
      </font>
    </dxf>
    <dxf>
      <fill>
        <patternFill>
          <bgColor rgb="FF00A4EF"/>
        </patternFill>
      </fill>
    </dxf>
    <dxf>
      <fill>
        <patternFill>
          <bgColor rgb="FFFFB900"/>
        </patternFill>
      </fill>
    </dxf>
    <dxf>
      <font>
        <b/>
        <i val="0"/>
        <color rgb="FF002060"/>
      </font>
    </dxf>
    <dxf>
      <fill>
        <patternFill>
          <bgColor rgb="FF00A4EF"/>
        </patternFill>
      </fill>
    </dxf>
    <dxf>
      <fill>
        <patternFill>
          <bgColor rgb="FFFFB900"/>
        </patternFill>
      </fill>
    </dxf>
    <dxf>
      <font>
        <b/>
        <i val="0"/>
        <color rgb="FF002060"/>
      </font>
    </dxf>
    <dxf>
      <fill>
        <patternFill>
          <bgColor rgb="FF00A4EF"/>
        </patternFill>
      </fill>
    </dxf>
    <dxf>
      <fill>
        <patternFill>
          <bgColor rgb="FFFFB900"/>
        </patternFill>
      </fill>
    </dxf>
    <dxf>
      <font>
        <b/>
        <i val="0"/>
        <color rgb="FF002060"/>
      </font>
    </dxf>
  </dxfs>
  <tableStyles count="0" defaultTableStyle="TableStyleMedium2" defaultPivotStyle="PivotStyleLight16"/>
  <colors>
    <mruColors>
      <color rgb="FF00A4EF"/>
      <color rgb="FFFFB900"/>
      <color rgb="FFFFC000"/>
      <color rgb="FFF25022"/>
      <color rgb="FFF46B46"/>
      <color rgb="FF737373"/>
      <color rgb="FF66CCFF"/>
      <color rgb="FF7FBA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r>
              <a:rPr lang="en-US" sz="1800"/>
              <a:t>Service</a:t>
            </a:r>
            <a:r>
              <a:rPr lang="en-US" sz="1800" baseline="0"/>
              <a:t> Mapping</a:t>
            </a:r>
            <a:endParaRPr lang="en-US" sz="1800"/>
          </a:p>
        </c:rich>
      </c:tx>
      <c:overlay val="0"/>
      <c:spPr>
        <a:noFill/>
        <a:ln>
          <a:noFill/>
        </a:ln>
        <a:effectLst/>
      </c:spPr>
      <c:txPr>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rgbClr val="00A4EF"/>
              </a:solidFill>
              <a:ln w="12700">
                <a:solidFill>
                  <a:schemeClr val="tx1"/>
                </a:solidFill>
              </a:ln>
              <a:effectLst/>
            </c:spPr>
            <c:extLst>
              <c:ext xmlns:c16="http://schemas.microsoft.com/office/drawing/2014/chart" uri="{C3380CC4-5D6E-409C-BE32-E72D297353CC}">
                <c16:uniqueId val="{00000002-AAD5-4058-8A5A-142B17D96774}"/>
              </c:ext>
            </c:extLst>
          </c:dPt>
          <c:dPt>
            <c:idx val="1"/>
            <c:bubble3D val="0"/>
            <c:spPr>
              <a:solidFill>
                <a:srgbClr val="FFC000"/>
              </a:solidFill>
              <a:ln w="12700">
                <a:solidFill>
                  <a:schemeClr val="tx1"/>
                </a:solidFill>
              </a:ln>
              <a:effectLst/>
            </c:spPr>
            <c:extLst>
              <c:ext xmlns:c16="http://schemas.microsoft.com/office/drawing/2014/chart" uri="{C3380CC4-5D6E-409C-BE32-E72D297353CC}">
                <c16:uniqueId val="{00000003-AAD5-4058-8A5A-142B17D96774}"/>
              </c:ext>
            </c:extLst>
          </c:dPt>
          <c:dPt>
            <c:idx val="2"/>
            <c:bubble3D val="0"/>
            <c:spPr>
              <a:solidFill>
                <a:srgbClr val="737373"/>
              </a:solidFill>
              <a:ln w="12700">
                <a:solidFill>
                  <a:schemeClr val="tx1"/>
                </a:solidFill>
              </a:ln>
              <a:effectLst/>
            </c:spPr>
            <c:extLst>
              <c:ext xmlns:c16="http://schemas.microsoft.com/office/drawing/2014/chart" uri="{C3380CC4-5D6E-409C-BE32-E72D297353CC}">
                <c16:uniqueId val="{00000004-AAD5-4058-8A5A-142B17D96774}"/>
              </c:ext>
            </c:extLst>
          </c:dPt>
          <c:dPt>
            <c:idx val="3"/>
            <c:bubble3D val="0"/>
            <c:spPr>
              <a:solidFill>
                <a:schemeClr val="bg1"/>
              </a:solidFill>
              <a:ln w="12700">
                <a:solidFill>
                  <a:srgbClr val="FF0000"/>
                </a:solidFill>
              </a:ln>
              <a:effectLst/>
            </c:spPr>
            <c:extLst>
              <c:ext xmlns:c16="http://schemas.microsoft.com/office/drawing/2014/chart" uri="{C3380CC4-5D6E-409C-BE32-E72D297353CC}">
                <c16:uniqueId val="{00000006-17AB-40D1-99C6-245C90CF521E}"/>
              </c:ext>
            </c:extLst>
          </c:dPt>
          <c:dLbls>
            <c:dLbl>
              <c:idx val="0"/>
              <c:numFmt formatCode="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2-AAD5-4058-8A5A-142B17D96774}"/>
                </c:ext>
              </c:extLst>
            </c:dLbl>
            <c:dLbl>
              <c:idx val="1"/>
              <c:numFmt formatCode="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AAD5-4058-8A5A-142B17D96774}"/>
                </c:ext>
              </c:extLst>
            </c:dLbl>
            <c:dLbl>
              <c:idx val="2"/>
              <c:numFmt formatCode="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4-AAD5-4058-8A5A-142B17D96774}"/>
                </c:ext>
              </c:extLst>
            </c:dLbl>
            <c:dLbl>
              <c:idx val="3"/>
              <c:numFmt formatCode="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rgbClr val="FF0000"/>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6-17AB-40D1-99C6-245C90CF521E}"/>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bg1"/>
                    </a:solidFill>
                    <a:latin typeface="+mn-lt"/>
                    <a:ea typeface="+mn-ea"/>
                    <a:cs typeface="+mn-cs"/>
                  </a:defRPr>
                </a:pPr>
                <a:endParaRPr lang="en-US"/>
              </a:p>
            </c:txPr>
            <c:dLblPos val="ctr"/>
            <c:showLegendKey val="0"/>
            <c:showVal val="0"/>
            <c:showCatName val="0"/>
            <c:showSerName val="0"/>
            <c:showPercent val="1"/>
            <c:showBubbleSize val="0"/>
            <c:separator>. </c:separator>
            <c:showLeaderLines val="0"/>
            <c:extLst>
              <c:ext xmlns:c15="http://schemas.microsoft.com/office/drawing/2012/chart" uri="{CE6537A1-D6FC-4f65-9D91-7224C49458BB}"/>
            </c:extLst>
          </c:dLbls>
          <c:cat>
            <c:strRef>
              <c:f>Placemat!$G$121:$G$124</c:f>
              <c:strCache>
                <c:ptCount val="4"/>
                <c:pt idx="0">
                  <c:v>Primary Service</c:v>
                </c:pt>
                <c:pt idx="1">
                  <c:v>Secondary Service</c:v>
                </c:pt>
                <c:pt idx="2">
                  <c:v>Available Enablers</c:v>
                </c:pt>
                <c:pt idx="3">
                  <c:v>No Available Enablers</c:v>
                </c:pt>
              </c:strCache>
            </c:strRef>
          </c:cat>
          <c:val>
            <c:numRef>
              <c:f>Placemat!$H$121:$H$124</c:f>
              <c:numCache>
                <c:formatCode>General</c:formatCode>
                <c:ptCount val="4"/>
                <c:pt idx="0">
                  <c:v>9</c:v>
                </c:pt>
                <c:pt idx="1">
                  <c:v>11</c:v>
                </c:pt>
                <c:pt idx="2">
                  <c:v>89</c:v>
                </c:pt>
                <c:pt idx="3">
                  <c:v>1</c:v>
                </c:pt>
              </c:numCache>
            </c:numRef>
          </c:val>
          <c:extLst>
            <c:ext xmlns:c16="http://schemas.microsoft.com/office/drawing/2014/chart" uri="{C3380CC4-5D6E-409C-BE32-E72D297353CC}">
              <c16:uniqueId val="{00000000-AAD5-4058-8A5A-142B17D96774}"/>
            </c:ext>
          </c:extLst>
        </c:ser>
        <c:dLbls>
          <c:dLblPos val="ctr"/>
          <c:showLegendKey val="0"/>
          <c:showVal val="1"/>
          <c:showCatName val="0"/>
          <c:showSerName val="0"/>
          <c:showPercent val="0"/>
          <c:showBubbleSize val="0"/>
          <c:showLeaderLines val="0"/>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9050"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r>
              <a:rPr lang="en-US" sz="1800"/>
              <a:t>Responsibility Mapping</a:t>
            </a:r>
          </a:p>
        </c:rich>
      </c:tx>
      <c:overlay val="0"/>
      <c:spPr>
        <a:noFill/>
        <a:ln>
          <a:noFill/>
        </a:ln>
        <a:effectLst/>
      </c:spPr>
      <c:txPr>
        <a:bodyPr rot="0" spcFirstLastPara="1" vertOverflow="ellipsis" vert="horz" wrap="square" anchor="ctr" anchorCtr="1"/>
        <a:lstStyle/>
        <a:p>
          <a:pPr>
            <a:defRPr sz="1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tx1">
                <a:lumMod val="65000"/>
                <a:lumOff val="35000"/>
              </a:schemeClr>
            </a:solidFill>
            <a:ln w="19050">
              <a:solidFill>
                <a:schemeClr val="lt1"/>
              </a:solidFill>
            </a:ln>
            <a:effectLst/>
          </c:spPr>
          <c:invertIfNegative val="0"/>
          <c:dPt>
            <c:idx val="0"/>
            <c:invertIfNegative val="0"/>
            <c:bubble3D val="0"/>
            <c:spPr>
              <a:solidFill>
                <a:schemeClr val="tx1">
                  <a:lumMod val="65000"/>
                  <a:lumOff val="35000"/>
                </a:schemeClr>
              </a:solidFill>
              <a:ln w="19050">
                <a:solidFill>
                  <a:schemeClr val="lt1"/>
                </a:solidFill>
              </a:ln>
              <a:effectLst/>
            </c:spPr>
            <c:extLst>
              <c:ext xmlns:c16="http://schemas.microsoft.com/office/drawing/2014/chart" uri="{C3380CC4-5D6E-409C-BE32-E72D297353CC}">
                <c16:uniqueId val="{00000002-FB16-4DC7-ACBD-3ADE6DCCDD5B}"/>
              </c:ext>
            </c:extLst>
          </c:dPt>
          <c:dPt>
            <c:idx val="1"/>
            <c:invertIfNegative val="0"/>
            <c:bubble3D val="0"/>
            <c:spPr>
              <a:solidFill>
                <a:schemeClr val="tx1">
                  <a:lumMod val="65000"/>
                  <a:lumOff val="35000"/>
                </a:schemeClr>
              </a:solidFill>
              <a:ln w="19050">
                <a:solidFill>
                  <a:schemeClr val="lt1"/>
                </a:solidFill>
              </a:ln>
              <a:effectLst/>
            </c:spPr>
            <c:extLst>
              <c:ext xmlns:c16="http://schemas.microsoft.com/office/drawing/2014/chart" uri="{C3380CC4-5D6E-409C-BE32-E72D297353CC}">
                <c16:uniqueId val="{00000003-FB16-4DC7-ACBD-3ADE6DCCDD5B}"/>
              </c:ext>
            </c:extLst>
          </c:dPt>
          <c:dPt>
            <c:idx val="2"/>
            <c:invertIfNegative val="0"/>
            <c:bubble3D val="0"/>
            <c:spPr>
              <a:solidFill>
                <a:schemeClr val="tx1">
                  <a:lumMod val="65000"/>
                  <a:lumOff val="35000"/>
                </a:schemeClr>
              </a:solidFill>
              <a:ln w="19050">
                <a:solidFill>
                  <a:schemeClr val="lt1"/>
                </a:solidFill>
              </a:ln>
              <a:effectLst/>
            </c:spPr>
            <c:extLst>
              <c:ext xmlns:c16="http://schemas.microsoft.com/office/drawing/2014/chart" uri="{C3380CC4-5D6E-409C-BE32-E72D297353CC}">
                <c16:uniqueId val="{00000004-FB16-4DC7-ACBD-3ADE6DCCDD5B}"/>
              </c:ext>
            </c:extLst>
          </c:dPt>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Placemat!$G$126:$G$128</c:f>
              <c:strCache>
                <c:ptCount val="3"/>
                <c:pt idx="0">
                  <c:v>Microsoft Coverage</c:v>
                </c:pt>
                <c:pt idx="1">
                  <c:v>Shared Coverage</c:v>
                </c:pt>
                <c:pt idx="2">
                  <c:v>Customer Responsibility</c:v>
                </c:pt>
              </c:strCache>
            </c:strRef>
          </c:cat>
          <c:val>
            <c:numRef>
              <c:f>Placemat!$H$126:$H$128</c:f>
              <c:numCache>
                <c:formatCode>General</c:formatCode>
                <c:ptCount val="3"/>
                <c:pt idx="0">
                  <c:v>6</c:v>
                </c:pt>
                <c:pt idx="1">
                  <c:v>76</c:v>
                </c:pt>
                <c:pt idx="2">
                  <c:v>28</c:v>
                </c:pt>
              </c:numCache>
            </c:numRef>
          </c:val>
          <c:extLst>
            <c:ext xmlns:c16="http://schemas.microsoft.com/office/drawing/2014/chart" uri="{C3380CC4-5D6E-409C-BE32-E72D297353CC}">
              <c16:uniqueId val="{00000000-FB16-4DC7-ACBD-3ADE6DCCDD5B}"/>
            </c:ext>
          </c:extLst>
        </c:ser>
        <c:dLbls>
          <c:dLblPos val="outEnd"/>
          <c:showLegendKey val="0"/>
          <c:showVal val="1"/>
          <c:showCatName val="0"/>
          <c:showSerName val="0"/>
          <c:showPercent val="0"/>
          <c:showBubbleSize val="0"/>
        </c:dLbls>
        <c:gapWidth val="150"/>
        <c:axId val="680760464"/>
        <c:axId val="680764400"/>
      </c:barChart>
      <c:catAx>
        <c:axId val="680760464"/>
        <c:scaling>
          <c:orientation val="minMax"/>
        </c:scaling>
        <c:delete val="0"/>
        <c:axPos val="b"/>
        <c:numFmt formatCode="General" sourceLinked="1"/>
        <c:majorTickMark val="out"/>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680764400"/>
        <c:crosses val="autoZero"/>
        <c:auto val="0"/>
        <c:lblAlgn val="ctr"/>
        <c:lblOffset val="0"/>
        <c:noMultiLvlLbl val="0"/>
      </c:catAx>
      <c:valAx>
        <c:axId val="680764400"/>
        <c:scaling>
          <c:orientation val="minMax"/>
        </c:scaling>
        <c:delete val="1"/>
        <c:axPos val="l"/>
        <c:numFmt formatCode="General" sourceLinked="1"/>
        <c:majorTickMark val="out"/>
        <c:minorTickMark val="none"/>
        <c:tickLblPos val="nextTo"/>
        <c:crossAx val="6807604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9050" cap="flat" cmpd="sng" algn="ctr">
      <a:solidFill>
        <a:schemeClr val="tx1"/>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image" Target="../media/image6.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393700</xdr:colOff>
          <xdr:row>4</xdr:row>
          <xdr:rowOff>25400</xdr:rowOff>
        </xdr:from>
        <xdr:to>
          <xdr:col>4</xdr:col>
          <xdr:colOff>304800</xdr:colOff>
          <xdr:row>49</xdr:row>
          <xdr:rowOff>25400</xdr:rowOff>
        </xdr:to>
        <xdr:sp macro="" textlink="">
          <xdr:nvSpPr>
            <xdr:cNvPr id="19457" name="Object 1" hidden="1">
              <a:extLst>
                <a:ext uri="{63B3BB69-23CF-44E3-9099-C40C66FF867C}">
                  <a14:compatExt spid="_x0000_s19457"/>
                </a:ext>
                <a:ext uri="{FF2B5EF4-FFF2-40B4-BE49-F238E27FC236}">
                  <a16:creationId xmlns:a16="http://schemas.microsoft.com/office/drawing/2014/main" id="{00000000-0008-0000-0100-0000014C0000}"/>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406400</xdr:colOff>
          <xdr:row>49</xdr:row>
          <xdr:rowOff>63500</xdr:rowOff>
        </xdr:from>
        <xdr:to>
          <xdr:col>4</xdr:col>
          <xdr:colOff>317500</xdr:colOff>
          <xdr:row>94</xdr:row>
          <xdr:rowOff>139700</xdr:rowOff>
        </xdr:to>
        <xdr:sp macro="" textlink="">
          <xdr:nvSpPr>
            <xdr:cNvPr id="19458" name="Object 2" hidden="1">
              <a:extLst>
                <a:ext uri="{63B3BB69-23CF-44E3-9099-C40C66FF867C}">
                  <a14:compatExt spid="_x0000_s19458"/>
                </a:ext>
                <a:ext uri="{FF2B5EF4-FFF2-40B4-BE49-F238E27FC236}">
                  <a16:creationId xmlns:a16="http://schemas.microsoft.com/office/drawing/2014/main" id="{00000000-0008-0000-0100-0000024C0000}"/>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393700</xdr:colOff>
          <xdr:row>94</xdr:row>
          <xdr:rowOff>139700</xdr:rowOff>
        </xdr:from>
        <xdr:to>
          <xdr:col>4</xdr:col>
          <xdr:colOff>317500</xdr:colOff>
          <xdr:row>128</xdr:row>
          <xdr:rowOff>165100</xdr:rowOff>
        </xdr:to>
        <xdr:sp macro="" textlink="">
          <xdr:nvSpPr>
            <xdr:cNvPr id="19459" name="Object 3" hidden="1">
              <a:extLst>
                <a:ext uri="{63B3BB69-23CF-44E3-9099-C40C66FF867C}">
                  <a14:compatExt spid="_x0000_s19459"/>
                </a:ext>
                <a:ext uri="{FF2B5EF4-FFF2-40B4-BE49-F238E27FC236}">
                  <a16:creationId xmlns:a16="http://schemas.microsoft.com/office/drawing/2014/main" id="{00000000-0008-0000-0100-0000034C0000}"/>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406400</xdr:colOff>
          <xdr:row>128</xdr:row>
          <xdr:rowOff>0</xdr:rowOff>
        </xdr:from>
        <xdr:to>
          <xdr:col>4</xdr:col>
          <xdr:colOff>342900</xdr:colOff>
          <xdr:row>160</xdr:row>
          <xdr:rowOff>88900</xdr:rowOff>
        </xdr:to>
        <xdr:sp macro="" textlink="">
          <xdr:nvSpPr>
            <xdr:cNvPr id="19460" name="Object 4" hidden="1">
              <a:extLst>
                <a:ext uri="{63B3BB69-23CF-44E3-9099-C40C66FF867C}">
                  <a14:compatExt spid="_x0000_s19460"/>
                </a:ext>
                <a:ext uri="{FF2B5EF4-FFF2-40B4-BE49-F238E27FC236}">
                  <a16:creationId xmlns:a16="http://schemas.microsoft.com/office/drawing/2014/main" id="{00000000-0008-0000-0100-0000044C0000}"/>
                </a:ext>
              </a:extLst>
            </xdr:cNvPr>
            <xdr:cNvSpPr/>
          </xdr:nvSpPr>
          <xdr:spPr bwMode="auto">
            <a:xfrm>
              <a:off x="0" y="0"/>
              <a:ext cx="0" cy="0"/>
            </a:xfrm>
            <a:prstGeom prst="rect">
              <a:avLst/>
            </a:prstGeom>
            <a:solidFill>
              <a:srgbClr val="FFFFFF"/>
            </a:solidFill>
            <a:ln w="9525">
              <a:solidFill>
                <a:srgbClr val="000000"/>
              </a:solidFill>
              <a:miter lim="800000"/>
              <a:headEnd/>
              <a:tailEnd/>
            </a:ln>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5</xdr:col>
      <xdr:colOff>327934</xdr:colOff>
      <xdr:row>30</xdr:row>
      <xdr:rowOff>216534</xdr:rowOff>
    </xdr:from>
    <xdr:to>
      <xdr:col>8</xdr:col>
      <xdr:colOff>555172</xdr:colOff>
      <xdr:row>54</xdr:row>
      <xdr:rowOff>89988</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947057</xdr:colOff>
      <xdr:row>31</xdr:row>
      <xdr:rowOff>10932</xdr:rowOff>
    </xdr:from>
    <xdr:to>
      <xdr:col>12</xdr:col>
      <xdr:colOff>308882</xdr:colOff>
      <xdr:row>54</xdr:row>
      <xdr:rowOff>105955</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573314</xdr:colOff>
      <xdr:row>98</xdr:row>
      <xdr:rowOff>42814</xdr:rowOff>
    </xdr:from>
    <xdr:to>
      <xdr:col>3</xdr:col>
      <xdr:colOff>155440</xdr:colOff>
      <xdr:row>101</xdr:row>
      <xdr:rowOff>111902</xdr:rowOff>
    </xdr:to>
    <xdr:pic>
      <xdr:nvPicPr>
        <xdr:cNvPr id="5" name="Picture 4">
          <a:extLst>
            <a:ext uri="{FF2B5EF4-FFF2-40B4-BE49-F238E27FC236}">
              <a16:creationId xmlns:a16="http://schemas.microsoft.com/office/drawing/2014/main" id="{00000000-0008-0000-0200-000005000000}"/>
            </a:ext>
          </a:extLst>
        </xdr:cNvPr>
        <xdr:cNvPicPr>
          <a:picLocks noChangeAspect="1" noChangeArrowheads="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t="34775" r="11479" b="10041"/>
        <a:stretch/>
      </xdr:blipFill>
      <xdr:spPr bwMode="auto">
        <a:xfrm>
          <a:off x="766354" y="15831454"/>
          <a:ext cx="2813006" cy="6583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914400</xdr:colOff>
      <xdr:row>91</xdr:row>
      <xdr:rowOff>121920</xdr:rowOff>
    </xdr:from>
    <xdr:to>
      <xdr:col>2</xdr:col>
      <xdr:colOff>2246468</xdr:colOff>
      <xdr:row>95</xdr:row>
      <xdr:rowOff>125510</xdr:rowOff>
    </xdr:to>
    <xdr:pic>
      <xdr:nvPicPr>
        <xdr:cNvPr id="6" name="Picture 5">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4"/>
        <a:stretch>
          <a:fillRect/>
        </a:stretch>
      </xdr:blipFill>
      <xdr:spPr>
        <a:xfrm>
          <a:off x="1107440" y="14254480"/>
          <a:ext cx="2251366" cy="749808"/>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microsoft.com/office/2019/04/relationships/externalLinkLongPath" Target="/teams/CMMCInnerCircle-QuzaraDevPrivate/Shared%20Documents/Quzara%20Dev%20(Private)/Product%20Placemat%20for%20CMMC/Product%20Placemat%20for%20CMMC/Placemat%20Working%20Folder%20Drafts/Microsoft%20CMMC%20Place%20Mat%20v2.0.xlsx?01CEEF0E" TargetMode="External"/><Relationship Id="rId1" Type="http://schemas.openxmlformats.org/officeDocument/2006/relationships/externalLinkPath" Target="file:///\\01CEEF0E\Microsoft%20CMMC%20Place%20Mat%20v2.0.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verview"/>
      <sheetName val="Selection Pane Rough"/>
      <sheetName val="Level 3"/>
      <sheetName val="Crosswalk"/>
      <sheetName val="Security Suite"/>
      <sheetName val="Azure Government Services"/>
      <sheetName val="Government Security Services"/>
      <sheetName val="O365 Security and Compliance"/>
      <sheetName val="Selection Pane"/>
      <sheetName val="Lists"/>
      <sheetName val="Microsoft CMMC Place Mat v2.0"/>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sheetData sheetId="10"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82FCDFC5-7D56-43CA-8BF1-68B1B50968BA}" name="Table1" displayName="Table1" ref="A1:D172" totalsRowShown="0" headerRowDxfId="17" dataDxfId="16">
  <autoFilter ref="A1:D172" xr:uid="{517E2D10-9056-4247-A4FB-9976CF095295}"/>
  <tableColumns count="4">
    <tableColumn id="1" xr3:uid="{310DF774-E14F-457F-AE17-704BD372BC04}" name="Control" dataDxfId="15"/>
    <tableColumn id="2" xr3:uid="{77070A27-9D60-44F3-9EBB-F1192FA8A3A5}" name="Column1" dataDxfId="14">
      <calculatedColumnFormula>VLOOKUP(Table1[[#This Row],[Control]],List!$E$3:$F$173,2,FALSE)</calculatedColumnFormula>
    </tableColumn>
    <tableColumn id="3" xr3:uid="{1F613CFF-2AE8-4DFA-AADC-50BB4A5FE259}" name="Implementation Statement" dataDxfId="13"/>
    <tableColumn id="4" xr3:uid="{C99DB1E0-B83F-4E8D-AEC9-BD27D25EE929}" name="#Characters" dataDxfId="12">
      <calculatedColumnFormula>LEN(Table1[[#This Row],[Implementation Statement]])</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9F5F9D38-9DB5-42BB-A22E-918DB48F0181}" name="Table7" displayName="Table7" ref="B2:H173" totalsRowShown="0" headerRowDxfId="8" dataDxfId="7">
  <autoFilter ref="B2:H173" xr:uid="{B4102DAD-8069-4AB7-803F-98292C5B2996}"/>
  <tableColumns count="7">
    <tableColumn id="1" xr3:uid="{6F7E6FD1-E781-4164-BECC-A4CDACE62012}" name="Legacy Practices" dataDxfId="6"/>
    <tableColumn id="7" xr3:uid="{F8CF4DDC-C2D5-4871-A8A8-5B8F9E78F830}" name="New Practices" dataDxfId="5">
      <calculatedColumnFormula>VLOOKUP(Table7[[#This Row],[Legacy Practices]],List!$E$2:$G$173,2,FALSE)</calculatedColumnFormula>
    </tableColumn>
    <tableColumn id="2" xr3:uid="{BDE04D30-A902-489B-85C0-5C2456EC7D39}" name="Description" dataDxfId="4"/>
    <tableColumn id="3" xr3:uid="{93BB1922-3E07-436A-B0B6-E42F1A727E98}" name="Primaries" dataDxfId="3"/>
    <tableColumn id="4" xr3:uid="{9EE0F9B7-458F-4739-B4B0-21CE5BF6B252}" name="Secondaries" dataDxfId="2"/>
    <tableColumn id="5" xr3:uid="{D00B77F1-A17F-4239-AFB9-DF875C070B82}" name="CMMC Implementation Status" dataDxfId="1">
      <calculatedColumnFormula>VLOOKUP(Table7[[#This Row],[Legacy Practices]],List!$E$2:$G$173,3,FALSE)</calculatedColumnFormula>
    </tableColumn>
    <tableColumn id="6" xr3:uid="{0E0BD1F6-C9A2-4125-BADD-56E2FD23AAB1}" name="NIST 800-171 Mapping"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package" Target="../embeddings/Microsoft_Word_Document.docx"/><Relationship Id="rId13" Type="http://schemas.openxmlformats.org/officeDocument/2006/relationships/image" Target="../media/image3.emf"/><Relationship Id="rId3" Type="http://schemas.openxmlformats.org/officeDocument/2006/relationships/hyperlink" Target="https://aka.ms/MSGovCompliance" TargetMode="External"/><Relationship Id="rId7" Type="http://schemas.openxmlformats.org/officeDocument/2006/relationships/vmlDrawing" Target="../drawings/vmlDrawing1.vml"/><Relationship Id="rId12" Type="http://schemas.openxmlformats.org/officeDocument/2006/relationships/package" Target="../embeddings/Microsoft_Word_Document2.docx"/><Relationship Id="rId2" Type="http://schemas.openxmlformats.org/officeDocument/2006/relationships/hyperlink" Target="https://aka.ms/cmmc/productplacematfeedback" TargetMode="External"/><Relationship Id="rId1" Type="http://schemas.openxmlformats.org/officeDocument/2006/relationships/hyperlink" Target="https://aka.ms/cmmc/productplacemat" TargetMode="External"/><Relationship Id="rId6" Type="http://schemas.openxmlformats.org/officeDocument/2006/relationships/drawing" Target="../drawings/drawing1.xml"/><Relationship Id="rId11" Type="http://schemas.openxmlformats.org/officeDocument/2006/relationships/image" Target="../media/image2.emf"/><Relationship Id="rId5" Type="http://schemas.openxmlformats.org/officeDocument/2006/relationships/printerSettings" Target="../printerSettings/printerSettings1.bin"/><Relationship Id="rId15" Type="http://schemas.openxmlformats.org/officeDocument/2006/relationships/image" Target="../media/image4.emf"/><Relationship Id="rId10" Type="http://schemas.openxmlformats.org/officeDocument/2006/relationships/package" Target="../embeddings/Microsoft_Word_Document1.docx"/><Relationship Id="rId4" Type="http://schemas.openxmlformats.org/officeDocument/2006/relationships/hyperlink" Target="https://aka.ms/CUISovereignty" TargetMode="External"/><Relationship Id="rId9" Type="http://schemas.openxmlformats.org/officeDocument/2006/relationships/image" Target="../media/image1.emf"/><Relationship Id="rId14" Type="http://schemas.openxmlformats.org/officeDocument/2006/relationships/package" Target="../embeddings/Microsoft_Word_Document3.docx"/></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E07ECA-D095-4308-906F-8C6607D1C72B}">
  <sheetPr codeName="Sheet8"/>
  <dimension ref="B1:D5"/>
  <sheetViews>
    <sheetView showGridLines="0" workbookViewId="0">
      <selection activeCell="C23" sqref="C23"/>
    </sheetView>
  </sheetViews>
  <sheetFormatPr defaultColWidth="8.6328125" defaultRowHeight="14.5" x14ac:dyDescent="0.35"/>
  <cols>
    <col min="1" max="1" width="2.6328125" customWidth="1"/>
    <col min="2" max="2" width="21.453125" customWidth="1"/>
    <col min="3" max="3" width="67.453125" customWidth="1"/>
    <col min="4" max="4" width="44.08984375" customWidth="1"/>
  </cols>
  <sheetData>
    <row r="1" spans="2:4" ht="15" thickBot="1" x14ac:dyDescent="0.4"/>
    <row r="2" spans="2:4" ht="15" thickBot="1" x14ac:dyDescent="0.4">
      <c r="B2" s="37" t="s">
        <v>0</v>
      </c>
      <c r="C2" s="39" t="s">
        <v>1</v>
      </c>
      <c r="D2" s="38" t="s">
        <v>2</v>
      </c>
    </row>
    <row r="3" spans="2:4" ht="84.75" customHeight="1" x14ac:dyDescent="0.35">
      <c r="B3" s="40" t="s">
        <v>3</v>
      </c>
      <c r="C3" s="41" t="s">
        <v>4</v>
      </c>
      <c r="D3" s="42" t="s">
        <v>5</v>
      </c>
    </row>
    <row r="4" spans="2:4" ht="51.75" customHeight="1" x14ac:dyDescent="0.35">
      <c r="B4" s="43" t="s">
        <v>6</v>
      </c>
      <c r="C4" s="44" t="s">
        <v>7</v>
      </c>
      <c r="D4" s="45" t="s">
        <v>8</v>
      </c>
    </row>
    <row r="5" spans="2:4" ht="37.5" customHeight="1" x14ac:dyDescent="0.35">
      <c r="B5" s="46" t="s">
        <v>9</v>
      </c>
      <c r="C5" s="47" t="s">
        <v>10</v>
      </c>
      <c r="D5" s="48" t="s">
        <v>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E20E45-F163-4389-BB1D-09B202D1F362}">
  <sheetPr codeName="Sheet5"/>
  <dimension ref="C2:M174"/>
  <sheetViews>
    <sheetView showGridLines="0" showRowColHeaders="0" tabSelected="1" zoomScale="150" zoomScaleNormal="150" workbookViewId="0">
      <selection activeCell="D4" sqref="D4"/>
    </sheetView>
  </sheetViews>
  <sheetFormatPr defaultColWidth="8.6328125" defaultRowHeight="14.5" x14ac:dyDescent="0.35"/>
  <cols>
    <col min="4" max="4" width="78.81640625" customWidth="1"/>
  </cols>
  <sheetData>
    <row r="2" spans="3:13" ht="15" thickBot="1" x14ac:dyDescent="0.4"/>
    <row r="3" spans="3:13" ht="21.5" thickBot="1" x14ac:dyDescent="0.55000000000000004">
      <c r="C3" s="193" t="s">
        <v>11</v>
      </c>
      <c r="D3" s="194"/>
      <c r="E3" s="195"/>
      <c r="F3" s="174"/>
      <c r="G3" s="174"/>
      <c r="H3" s="174"/>
      <c r="I3" s="174"/>
      <c r="J3" s="174"/>
      <c r="K3" s="174"/>
      <c r="L3" s="174"/>
      <c r="M3" s="174"/>
    </row>
    <row r="160" spans="4:12" ht="14.75" customHeight="1" x14ac:dyDescent="0.35">
      <c r="D160" s="75" t="s">
        <v>12</v>
      </c>
      <c r="E160" s="62"/>
      <c r="F160" s="62"/>
      <c r="G160" s="62"/>
      <c r="H160" s="62"/>
      <c r="I160" s="62"/>
      <c r="J160" s="62"/>
      <c r="K160" s="62"/>
      <c r="L160" s="62"/>
    </row>
    <row r="161" spans="4:12" x14ac:dyDescent="0.35">
      <c r="D161" s="63"/>
      <c r="E161" s="63"/>
      <c r="F161" s="63"/>
      <c r="G161" s="63"/>
      <c r="H161" s="63"/>
      <c r="I161" s="63"/>
      <c r="J161" s="63"/>
      <c r="K161" s="63"/>
    </row>
    <row r="162" spans="4:12" x14ac:dyDescent="0.35">
      <c r="D162" s="74" t="s">
        <v>13</v>
      </c>
      <c r="E162" s="64"/>
      <c r="F162" s="64"/>
      <c r="G162" s="64"/>
      <c r="H162" s="64"/>
      <c r="I162" s="64"/>
      <c r="J162" s="64"/>
      <c r="K162" s="64"/>
      <c r="L162" s="64"/>
    </row>
    <row r="163" spans="4:12" x14ac:dyDescent="0.35">
      <c r="D163" s="57"/>
      <c r="E163" s="57"/>
      <c r="F163" s="57"/>
      <c r="G163" s="57"/>
      <c r="H163" s="57"/>
      <c r="I163" s="57"/>
      <c r="J163" s="57"/>
      <c r="K163" s="57"/>
    </row>
    <row r="164" spans="4:12" ht="219" customHeight="1" x14ac:dyDescent="0.35">
      <c r="D164" s="67" t="s">
        <v>14</v>
      </c>
      <c r="E164" s="4"/>
      <c r="F164" s="4"/>
      <c r="G164" s="4"/>
      <c r="H164" s="4"/>
      <c r="I164" s="4"/>
      <c r="J164" s="4"/>
      <c r="K164" s="4"/>
      <c r="L164" s="4"/>
    </row>
    <row r="165" spans="4:12" ht="67.25" customHeight="1" x14ac:dyDescent="0.35">
      <c r="D165" s="68" t="s">
        <v>15</v>
      </c>
      <c r="E165" s="59"/>
      <c r="F165" s="59"/>
      <c r="G165" s="59"/>
      <c r="H165" s="59"/>
      <c r="I165" s="59"/>
      <c r="J165" s="59"/>
      <c r="K165" s="59"/>
      <c r="L165" s="59"/>
    </row>
    <row r="166" spans="4:12" ht="29" customHeight="1" x14ac:dyDescent="0.35">
      <c r="D166" s="69" t="s">
        <v>16</v>
      </c>
      <c r="E166" s="60"/>
      <c r="F166" s="60"/>
      <c r="G166" s="60"/>
      <c r="H166" s="60"/>
      <c r="I166" s="60"/>
      <c r="J166" s="60"/>
      <c r="K166" s="60"/>
      <c r="L166" s="60"/>
    </row>
    <row r="167" spans="4:12" x14ac:dyDescent="0.35">
      <c r="D167" s="70" t="s">
        <v>17</v>
      </c>
      <c r="E167" s="65"/>
      <c r="F167" s="65"/>
      <c r="G167" s="65"/>
      <c r="H167" s="65"/>
      <c r="I167" s="65"/>
      <c r="J167" s="65"/>
      <c r="K167" s="65"/>
      <c r="L167" s="65"/>
    </row>
    <row r="168" spans="4:12" ht="14.5" customHeight="1" x14ac:dyDescent="0.35">
      <c r="D168" s="71" t="s">
        <v>18</v>
      </c>
      <c r="E168" s="61"/>
      <c r="F168" s="61"/>
      <c r="G168" s="61"/>
      <c r="H168" s="61"/>
      <c r="I168" s="61"/>
      <c r="J168" s="61"/>
      <c r="K168" s="61"/>
      <c r="L168" s="61"/>
    </row>
    <row r="169" spans="4:12" x14ac:dyDescent="0.35">
      <c r="D169" s="72"/>
    </row>
    <row r="170" spans="4:12" ht="72" customHeight="1" x14ac:dyDescent="0.35">
      <c r="D170" s="73" t="s">
        <v>19</v>
      </c>
      <c r="E170" s="58"/>
      <c r="F170" s="58"/>
      <c r="G170" s="58"/>
      <c r="H170" s="58"/>
      <c r="I170" s="58"/>
      <c r="J170" s="58"/>
      <c r="K170" s="58"/>
      <c r="L170" s="58"/>
    </row>
    <row r="172" spans="4:12" ht="72.5" x14ac:dyDescent="0.35">
      <c r="D172" s="66" t="s">
        <v>20</v>
      </c>
    </row>
    <row r="174" spans="4:12" ht="58" x14ac:dyDescent="0.35">
      <c r="D174" s="66" t="s">
        <v>21</v>
      </c>
    </row>
  </sheetData>
  <sheetProtection algorithmName="SHA-512" hashValue="eojMioDhrbI82Qg6Ez+Pn6DvBPo1VX8z86TmcyrhExhr0hlyhL/Aahn5Q6XwXREZbO4lhGeI/tLoyEyAJyBoyA==" saltValue="bkn1da3a2PqbNCurgLuslg==" spinCount="100000" sheet="1" objects="1" scenarios="1"/>
  <mergeCells count="1">
    <mergeCell ref="C3:E3"/>
  </mergeCells>
  <hyperlinks>
    <hyperlink ref="D160:K160" r:id="rId1" display="https://aka.ms/cmmc/productplacemat" xr:uid="{927CEF9A-1680-4030-ADA4-A71F8870C772}"/>
    <hyperlink ref="D162:K162" r:id="rId2" display="Provide Feedback" xr:uid="{DF0D2A67-436D-4B45-92B7-3DAAC6555DDC}"/>
    <hyperlink ref="D166" r:id="rId3" display="https://aka.ms/MSGovCompliance" xr:uid="{3F60C6C3-F9B5-4F7F-B0CF-0881366B5914}"/>
    <hyperlink ref="D168" r:id="rId4" display="https://aka.ms/CUISovereignty" xr:uid="{45C346DE-4E7E-4C8F-A429-40D54F930844}"/>
  </hyperlinks>
  <pageMargins left="0.7" right="0.7" top="0.75" bottom="0.75" header="0.3" footer="0.3"/>
  <pageSetup orientation="portrait" r:id="rId5"/>
  <drawing r:id="rId6"/>
  <legacyDrawing r:id="rId7"/>
  <oleObjects>
    <mc:AlternateContent xmlns:mc="http://schemas.openxmlformats.org/markup-compatibility/2006">
      <mc:Choice Requires="x14">
        <oleObject progId="Document" shapeId="19457" r:id="rId8">
          <objectPr defaultSize="0" autoPict="0" r:id="rId9">
            <anchor moveWithCells="1">
              <from>
                <xdr:col>2</xdr:col>
                <xdr:colOff>393700</xdr:colOff>
                <xdr:row>4</xdr:row>
                <xdr:rowOff>25400</xdr:rowOff>
              </from>
              <to>
                <xdr:col>4</xdr:col>
                <xdr:colOff>304800</xdr:colOff>
                <xdr:row>49</xdr:row>
                <xdr:rowOff>25400</xdr:rowOff>
              </to>
            </anchor>
          </objectPr>
        </oleObject>
      </mc:Choice>
      <mc:Fallback>
        <oleObject progId="Document" shapeId="19457" r:id="rId8"/>
      </mc:Fallback>
    </mc:AlternateContent>
    <mc:AlternateContent xmlns:mc="http://schemas.openxmlformats.org/markup-compatibility/2006">
      <mc:Choice Requires="x14">
        <oleObject progId="Word.Document.12" shapeId="19458" r:id="rId10">
          <objectPr defaultSize="0" autoPict="0" r:id="rId11">
            <anchor moveWithCells="1">
              <from>
                <xdr:col>2</xdr:col>
                <xdr:colOff>406400</xdr:colOff>
                <xdr:row>49</xdr:row>
                <xdr:rowOff>63500</xdr:rowOff>
              </from>
              <to>
                <xdr:col>4</xdr:col>
                <xdr:colOff>317500</xdr:colOff>
                <xdr:row>94</xdr:row>
                <xdr:rowOff>139700</xdr:rowOff>
              </to>
            </anchor>
          </objectPr>
        </oleObject>
      </mc:Choice>
      <mc:Fallback>
        <oleObject progId="Word.Document.12" shapeId="19458" r:id="rId10"/>
      </mc:Fallback>
    </mc:AlternateContent>
    <mc:AlternateContent xmlns:mc="http://schemas.openxmlformats.org/markup-compatibility/2006">
      <mc:Choice Requires="x14">
        <oleObject progId="Word.Document.12" shapeId="19459" r:id="rId12">
          <objectPr defaultSize="0" r:id="rId13">
            <anchor moveWithCells="1">
              <from>
                <xdr:col>2</xdr:col>
                <xdr:colOff>393700</xdr:colOff>
                <xdr:row>94</xdr:row>
                <xdr:rowOff>139700</xdr:rowOff>
              </from>
              <to>
                <xdr:col>4</xdr:col>
                <xdr:colOff>317500</xdr:colOff>
                <xdr:row>128</xdr:row>
                <xdr:rowOff>165100</xdr:rowOff>
              </to>
            </anchor>
          </objectPr>
        </oleObject>
      </mc:Choice>
      <mc:Fallback>
        <oleObject progId="Word.Document.12" shapeId="19459" r:id="rId12"/>
      </mc:Fallback>
    </mc:AlternateContent>
    <mc:AlternateContent xmlns:mc="http://schemas.openxmlformats.org/markup-compatibility/2006">
      <mc:Choice Requires="x14">
        <oleObject progId="Word.Document.12" shapeId="19460" r:id="rId14">
          <objectPr defaultSize="0" r:id="rId15">
            <anchor moveWithCells="1">
              <from>
                <xdr:col>2</xdr:col>
                <xdr:colOff>406400</xdr:colOff>
                <xdr:row>128</xdr:row>
                <xdr:rowOff>0</xdr:rowOff>
              </from>
              <to>
                <xdr:col>4</xdr:col>
                <xdr:colOff>342900</xdr:colOff>
                <xdr:row>160</xdr:row>
                <xdr:rowOff>88900</xdr:rowOff>
              </to>
            </anchor>
          </objectPr>
        </oleObject>
      </mc:Choice>
      <mc:Fallback>
        <oleObject progId="Word.Document.12" shapeId="19460" r:id="rId14"/>
      </mc:Fallback>
    </mc:AlternateContent>
  </oleObjec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504C97-5BF2-4FE4-8C50-306BEACBFB0B}">
  <sheetPr codeName="Sheet3"/>
  <dimension ref="A1:V154"/>
  <sheetViews>
    <sheetView showGridLines="0" zoomScale="80" zoomScaleNormal="80" workbookViewId="0">
      <selection activeCell="C4" sqref="C4:D4"/>
    </sheetView>
  </sheetViews>
  <sheetFormatPr defaultColWidth="8.6328125" defaultRowHeight="14.5" x14ac:dyDescent="0.35"/>
  <cols>
    <col min="1" max="1" width="0.81640625" customWidth="1"/>
    <col min="2" max="2" width="9.36328125" customWidth="1"/>
    <col min="3" max="3" width="42.453125" bestFit="1" customWidth="1"/>
    <col min="4" max="4" width="10" customWidth="1"/>
    <col min="5" max="5" width="1.6328125" customWidth="1"/>
    <col min="6" max="22" width="16.6328125" customWidth="1"/>
  </cols>
  <sheetData>
    <row r="1" spans="2:22" ht="15" thickBot="1" x14ac:dyDescent="0.4"/>
    <row r="2" spans="2:22" ht="41.5" thickBot="1" x14ac:dyDescent="0.4">
      <c r="B2" s="253" t="s">
        <v>22</v>
      </c>
      <c r="C2" s="254"/>
      <c r="D2" s="255"/>
      <c r="F2" s="253" t="s">
        <v>23</v>
      </c>
      <c r="G2" s="254"/>
      <c r="H2" s="254"/>
      <c r="I2" s="254"/>
      <c r="J2" s="254"/>
      <c r="K2" s="254"/>
      <c r="L2" s="254"/>
      <c r="M2" s="254"/>
      <c r="N2" s="254"/>
      <c r="O2" s="254"/>
      <c r="P2" s="254"/>
      <c r="Q2" s="254"/>
      <c r="R2" s="254"/>
      <c r="S2" s="255"/>
      <c r="T2" s="132"/>
      <c r="U2" s="132"/>
      <c r="V2" s="132"/>
    </row>
    <row r="3" spans="2:22" ht="30" customHeight="1" thickBot="1" x14ac:dyDescent="0.4">
      <c r="B3" s="259" t="s">
        <v>24</v>
      </c>
      <c r="C3" s="260"/>
      <c r="D3" s="261"/>
      <c r="F3" s="85" t="s">
        <v>25</v>
      </c>
      <c r="G3" s="182"/>
      <c r="H3" s="182"/>
      <c r="I3" s="182"/>
      <c r="J3" s="183" t="s">
        <v>26</v>
      </c>
      <c r="K3" s="182"/>
      <c r="L3" s="182"/>
      <c r="M3" s="182"/>
      <c r="N3" s="182"/>
      <c r="O3" s="182"/>
      <c r="P3" s="182"/>
      <c r="Q3" s="182"/>
      <c r="R3" s="136"/>
      <c r="S3" s="1"/>
    </row>
    <row r="4" spans="2:22" ht="18.5" customHeight="1" thickBot="1" x14ac:dyDescent="0.95">
      <c r="B4" s="82" t="s">
        <v>27</v>
      </c>
      <c r="C4" s="251" t="s">
        <v>28</v>
      </c>
      <c r="D4" s="252"/>
      <c r="F4" s="256" t="s">
        <v>278</v>
      </c>
      <c r="G4" s="257"/>
      <c r="H4" s="258"/>
      <c r="I4" s="184"/>
      <c r="J4" s="184"/>
      <c r="K4" s="184"/>
      <c r="L4" s="184"/>
      <c r="M4" s="184"/>
      <c r="N4" s="184"/>
      <c r="O4" s="184"/>
      <c r="P4" s="184"/>
      <c r="Q4" s="184"/>
      <c r="R4" s="137"/>
      <c r="S4" s="9"/>
      <c r="T4" s="8"/>
      <c r="U4" s="8"/>
      <c r="V4" s="8"/>
    </row>
    <row r="5" spans="2:22" ht="27.5" customHeight="1" thickBot="1" x14ac:dyDescent="0.4">
      <c r="B5" s="10"/>
      <c r="C5" s="11"/>
      <c r="D5" s="12"/>
      <c r="F5" s="2"/>
      <c r="G5" s="182"/>
      <c r="H5" s="182"/>
      <c r="I5" s="182"/>
      <c r="J5" s="182"/>
      <c r="K5" s="182"/>
      <c r="L5" s="182"/>
      <c r="M5" s="182"/>
      <c r="N5" s="182"/>
      <c r="O5" s="182"/>
      <c r="P5" s="182"/>
      <c r="Q5" s="182"/>
      <c r="R5" s="138"/>
      <c r="S5" s="1"/>
    </row>
    <row r="6" spans="2:22" ht="62.5" thickBot="1" x14ac:dyDescent="0.4">
      <c r="B6" s="152" t="s">
        <v>30</v>
      </c>
      <c r="C6" s="83" t="s">
        <v>31</v>
      </c>
      <c r="D6" s="83" t="s">
        <v>32</v>
      </c>
      <c r="F6" s="91" t="s">
        <v>33</v>
      </c>
      <c r="G6" s="92" t="s">
        <v>34</v>
      </c>
      <c r="H6" s="92" t="s">
        <v>35</v>
      </c>
      <c r="I6" s="92" t="s">
        <v>36</v>
      </c>
      <c r="J6" s="92" t="s">
        <v>37</v>
      </c>
      <c r="K6" s="92" t="s">
        <v>38</v>
      </c>
      <c r="L6" s="92" t="s">
        <v>39</v>
      </c>
      <c r="M6" s="92" t="s">
        <v>40</v>
      </c>
      <c r="N6" s="92" t="s">
        <v>41</v>
      </c>
      <c r="O6" s="92" t="s">
        <v>42</v>
      </c>
      <c r="P6" s="92" t="s">
        <v>43</v>
      </c>
      <c r="Q6" s="92" t="s">
        <v>44</v>
      </c>
      <c r="R6" s="92" t="s">
        <v>45</v>
      </c>
      <c r="S6" s="93" t="s">
        <v>46</v>
      </c>
    </row>
    <row r="7" spans="2:22" ht="18" customHeight="1" x14ac:dyDescent="0.35">
      <c r="B7" s="263" t="s">
        <v>47</v>
      </c>
      <c r="C7" s="153" t="s">
        <v>48</v>
      </c>
      <c r="D7" s="148" t="s">
        <v>49</v>
      </c>
      <c r="E7" s="181" t="str">
        <f>INDEX(List!$F$2:$CE$173,MATCH($Q$23,List!$F$2:$F$173,0),MATCH(Placemat!$C7,List!$F$2:$CE$2,0))</f>
        <v>P</v>
      </c>
      <c r="F7" s="125" t="s">
        <v>50</v>
      </c>
      <c r="G7" s="99" t="s">
        <v>51</v>
      </c>
      <c r="H7" s="94" t="s">
        <v>52</v>
      </c>
      <c r="I7" s="94" t="s">
        <v>53</v>
      </c>
      <c r="J7" s="94" t="s">
        <v>54</v>
      </c>
      <c r="K7" s="94" t="s">
        <v>55</v>
      </c>
      <c r="L7" s="94" t="s">
        <v>56</v>
      </c>
      <c r="M7" s="94" t="s">
        <v>57</v>
      </c>
      <c r="N7" s="94" t="s">
        <v>58</v>
      </c>
      <c r="O7" s="94" t="s">
        <v>59</v>
      </c>
      <c r="P7" s="94" t="s">
        <v>60</v>
      </c>
      <c r="Q7" s="129" t="s">
        <v>61</v>
      </c>
      <c r="R7" s="130" t="s">
        <v>62</v>
      </c>
      <c r="S7" s="95" t="s">
        <v>63</v>
      </c>
    </row>
    <row r="8" spans="2:22" ht="18" customHeight="1" x14ac:dyDescent="0.35">
      <c r="B8" s="264"/>
      <c r="C8" s="154" t="s">
        <v>64</v>
      </c>
      <c r="D8" s="149" t="s">
        <v>49</v>
      </c>
      <c r="E8" s="181" t="str">
        <f>INDEX(List!$F$2:$CE$173,MATCH($Q$23,List!$F$2:$F$173,0),MATCH(Placemat!$C8,List!$F$2:$CE$2,0))</f>
        <v>N</v>
      </c>
      <c r="F8" s="96" t="s">
        <v>65</v>
      </c>
      <c r="G8" s="99" t="s">
        <v>66</v>
      </c>
      <c r="H8" s="99" t="s">
        <v>67</v>
      </c>
      <c r="I8" s="99" t="s">
        <v>68</v>
      </c>
      <c r="J8" s="99" t="s">
        <v>69</v>
      </c>
      <c r="K8" s="99" t="s">
        <v>70</v>
      </c>
      <c r="L8" s="99" t="s">
        <v>71</v>
      </c>
      <c r="M8" s="99" t="s">
        <v>72</v>
      </c>
      <c r="N8" s="99" t="s">
        <v>73</v>
      </c>
      <c r="O8" s="99" t="s">
        <v>74</v>
      </c>
      <c r="P8" s="99" t="s">
        <v>75</v>
      </c>
      <c r="Q8" s="90" t="s">
        <v>76</v>
      </c>
      <c r="R8" s="99" t="s">
        <v>77</v>
      </c>
      <c r="S8" s="100" t="s">
        <v>78</v>
      </c>
    </row>
    <row r="9" spans="2:22" ht="18" customHeight="1" x14ac:dyDescent="0.35">
      <c r="B9" s="264"/>
      <c r="C9" s="154" t="s">
        <v>79</v>
      </c>
      <c r="D9" s="149" t="s">
        <v>49</v>
      </c>
      <c r="E9" s="181" t="str">
        <f>INDEX(List!$F$2:$CE$173,MATCH($Q$23,List!$F$2:$F$173,0),MATCH(Placemat!$C9,List!$F$2:$CE$2,0))</f>
        <v>N</v>
      </c>
      <c r="F9" s="96" t="s">
        <v>80</v>
      </c>
      <c r="G9" s="99" t="s">
        <v>81</v>
      </c>
      <c r="H9" s="99" t="s">
        <v>82</v>
      </c>
      <c r="I9" s="99" t="s">
        <v>83</v>
      </c>
      <c r="J9" s="99" t="s">
        <v>84</v>
      </c>
      <c r="K9" s="99" t="s">
        <v>85</v>
      </c>
      <c r="L9" s="99" t="s">
        <v>86</v>
      </c>
      <c r="M9" s="99" t="s">
        <v>87</v>
      </c>
      <c r="N9" s="185"/>
      <c r="O9" s="99" t="s">
        <v>88</v>
      </c>
      <c r="P9" s="99" t="s">
        <v>89</v>
      </c>
      <c r="Q9" s="90" t="s">
        <v>90</v>
      </c>
      <c r="R9" s="99" t="s">
        <v>91</v>
      </c>
      <c r="S9" s="100" t="s">
        <v>92</v>
      </c>
    </row>
    <row r="10" spans="2:22" ht="18" customHeight="1" x14ac:dyDescent="0.35">
      <c r="B10" s="264"/>
      <c r="C10" s="154" t="s">
        <v>93</v>
      </c>
      <c r="D10" s="149" t="s">
        <v>49</v>
      </c>
      <c r="E10" s="181" t="str">
        <f>INDEX(List!$F$2:$CE$173,MATCH($Q$23,List!$F$2:$F$173,0),MATCH(Placemat!$C10,List!$F$2:$CE$2,0))</f>
        <v>N</v>
      </c>
      <c r="F10" s="96" t="s">
        <v>94</v>
      </c>
      <c r="G10" s="99" t="s">
        <v>95</v>
      </c>
      <c r="H10" s="97" t="s">
        <v>96</v>
      </c>
      <c r="I10" s="98" t="s">
        <v>97</v>
      </c>
      <c r="J10" s="99" t="s">
        <v>98</v>
      </c>
      <c r="K10" s="99" t="s">
        <v>99</v>
      </c>
      <c r="L10" s="99" t="s">
        <v>100</v>
      </c>
      <c r="M10" s="99" t="s">
        <v>101</v>
      </c>
      <c r="N10" s="185"/>
      <c r="O10" s="99" t="s">
        <v>102</v>
      </c>
      <c r="P10" s="99" t="s">
        <v>103</v>
      </c>
      <c r="Q10" s="90" t="s">
        <v>104</v>
      </c>
      <c r="R10" s="99" t="s">
        <v>105</v>
      </c>
      <c r="S10" s="100" t="s">
        <v>106</v>
      </c>
    </row>
    <row r="11" spans="2:22" ht="18" customHeight="1" x14ac:dyDescent="0.35">
      <c r="B11" s="264"/>
      <c r="C11" s="154" t="s">
        <v>107</v>
      </c>
      <c r="D11" s="149" t="s">
        <v>49</v>
      </c>
      <c r="E11" s="181" t="str">
        <f>INDEX(List!$F$2:$CE$173,MATCH($Q$23,List!$F$2:$F$173,0),MATCH(Placemat!$C11,List!$F$2:$CE$2,0))</f>
        <v>N</v>
      </c>
      <c r="F11" s="96" t="s">
        <v>108</v>
      </c>
      <c r="G11" s="99" t="s">
        <v>109</v>
      </c>
      <c r="H11" s="97" t="s">
        <v>110</v>
      </c>
      <c r="I11" s="98" t="s">
        <v>111</v>
      </c>
      <c r="J11" s="99" t="s">
        <v>112</v>
      </c>
      <c r="K11" s="99" t="s">
        <v>113</v>
      </c>
      <c r="L11" s="99" t="s">
        <v>114</v>
      </c>
      <c r="M11" s="99" t="s">
        <v>115</v>
      </c>
      <c r="N11" s="185"/>
      <c r="O11" s="99" t="s">
        <v>116</v>
      </c>
      <c r="P11" s="99" t="s">
        <v>117</v>
      </c>
      <c r="Q11" s="99" t="s">
        <v>118</v>
      </c>
      <c r="R11" s="99" t="s">
        <v>119</v>
      </c>
      <c r="S11" s="100" t="s">
        <v>120</v>
      </c>
    </row>
    <row r="12" spans="2:22" ht="18" customHeight="1" x14ac:dyDescent="0.35">
      <c r="B12" s="264"/>
      <c r="C12" s="154" t="s">
        <v>121</v>
      </c>
      <c r="D12" s="149" t="s">
        <v>49</v>
      </c>
      <c r="E12" s="181" t="str">
        <f>INDEX(List!$F$2:$CE$173,MATCH($Q$23,List!$F$2:$F$173,0),MATCH(Placemat!$C12,List!$F$2:$CE$2,0))</f>
        <v>N</v>
      </c>
      <c r="F12" s="96" t="s">
        <v>122</v>
      </c>
      <c r="G12" s="99" t="s">
        <v>123</v>
      </c>
      <c r="H12" s="185"/>
      <c r="I12" s="99" t="s">
        <v>124</v>
      </c>
      <c r="J12" s="99" t="s">
        <v>125</v>
      </c>
      <c r="K12" s="99" t="s">
        <v>126</v>
      </c>
      <c r="L12" s="99" t="s">
        <v>127</v>
      </c>
      <c r="M12" s="99" t="s">
        <v>128</v>
      </c>
      <c r="N12" s="185"/>
      <c r="O12" s="99" t="s">
        <v>129</v>
      </c>
      <c r="P12" s="99" t="s">
        <v>130</v>
      </c>
      <c r="Q12" s="185"/>
      <c r="R12" s="99" t="s">
        <v>131</v>
      </c>
      <c r="S12" s="100" t="s">
        <v>132</v>
      </c>
    </row>
    <row r="13" spans="2:22" ht="18" customHeight="1" x14ac:dyDescent="0.35">
      <c r="B13" s="264"/>
      <c r="C13" s="154" t="s">
        <v>133</v>
      </c>
      <c r="D13" s="149" t="s">
        <v>134</v>
      </c>
      <c r="E13" s="181" t="str">
        <f>INDEX(List!$F$2:$CE$173,MATCH($Q$23,List!$F$2:$F$173,0),MATCH(Placemat!$C13,List!$F$2:$CE$2,0))</f>
        <v>N</v>
      </c>
      <c r="F13" s="96" t="s">
        <v>135</v>
      </c>
      <c r="G13" s="99" t="s">
        <v>136</v>
      </c>
      <c r="H13" s="185"/>
      <c r="I13" s="99" t="s">
        <v>137</v>
      </c>
      <c r="J13" s="99" t="s">
        <v>138</v>
      </c>
      <c r="K13" s="186"/>
      <c r="L13" s="182"/>
      <c r="M13" s="99" t="s">
        <v>139</v>
      </c>
      <c r="N13" s="185"/>
      <c r="O13" s="185"/>
      <c r="P13" s="185"/>
      <c r="Q13" s="185"/>
      <c r="R13" s="99" t="s">
        <v>140</v>
      </c>
      <c r="S13" s="100" t="s">
        <v>141</v>
      </c>
    </row>
    <row r="14" spans="2:22" ht="18" customHeight="1" x14ac:dyDescent="0.35">
      <c r="B14" s="264"/>
      <c r="C14" s="154" t="s">
        <v>142</v>
      </c>
      <c r="D14" s="149" t="s">
        <v>49</v>
      </c>
      <c r="E14" s="181" t="str">
        <f>INDEX(List!$F$2:$CE$173,MATCH($Q$23,List!$F$2:$F$173,0),MATCH(Placemat!$C14,List!$F$2:$CE$2,0))</f>
        <v>N</v>
      </c>
      <c r="F14" s="96" t="s">
        <v>143</v>
      </c>
      <c r="G14" s="99" t="s">
        <v>144</v>
      </c>
      <c r="H14" s="185"/>
      <c r="I14" s="99" t="s">
        <v>145</v>
      </c>
      <c r="J14" s="99" t="s">
        <v>146</v>
      </c>
      <c r="K14" s="185"/>
      <c r="L14" s="182"/>
      <c r="M14" s="99" t="s">
        <v>147</v>
      </c>
      <c r="N14" s="185"/>
      <c r="O14" s="185"/>
      <c r="P14" s="185"/>
      <c r="Q14" s="185"/>
      <c r="R14" s="99" t="s">
        <v>148</v>
      </c>
      <c r="S14" s="100" t="s">
        <v>149</v>
      </c>
    </row>
    <row r="15" spans="2:22" ht="18" customHeight="1" x14ac:dyDescent="0.35">
      <c r="B15" s="264"/>
      <c r="C15" s="154" t="s">
        <v>150</v>
      </c>
      <c r="D15" s="149" t="s">
        <v>49</v>
      </c>
      <c r="E15" s="181" t="str">
        <f>INDEX(List!$F$2:$CE$173,MATCH($Q$23,List!$F$2:$F$173,0),MATCH(Placemat!$C15,List!$F$2:$CE$2,0))</f>
        <v>N</v>
      </c>
      <c r="F15" s="96" t="s">
        <v>151</v>
      </c>
      <c r="G15" s="99" t="s">
        <v>152</v>
      </c>
      <c r="H15" s="185"/>
      <c r="I15" s="99" t="s">
        <v>153</v>
      </c>
      <c r="J15" s="99" t="s">
        <v>154</v>
      </c>
      <c r="K15" s="185"/>
      <c r="L15" s="182"/>
      <c r="M15" s="99" t="s">
        <v>155</v>
      </c>
      <c r="N15" s="185"/>
      <c r="O15" s="185"/>
      <c r="P15" s="185"/>
      <c r="Q15" s="185"/>
      <c r="R15" s="99" t="s">
        <v>156</v>
      </c>
      <c r="S15" s="131" t="s">
        <v>157</v>
      </c>
    </row>
    <row r="16" spans="2:22" ht="18" customHeight="1" x14ac:dyDescent="0.35">
      <c r="B16" s="264"/>
      <c r="C16" s="154" t="s">
        <v>158</v>
      </c>
      <c r="D16" s="149" t="s">
        <v>49</v>
      </c>
      <c r="E16" s="181" t="str">
        <f>INDEX(List!$F$2:$CE$173,MATCH($Q$23,List!$F$2:$F$173,0),MATCH(Placemat!$C16,List!$F$2:$CE$2,0))</f>
        <v>N</v>
      </c>
      <c r="F16" s="101" t="s">
        <v>159</v>
      </c>
      <c r="G16" s="186"/>
      <c r="H16" s="185"/>
      <c r="I16" s="97" t="s">
        <v>160</v>
      </c>
      <c r="J16" s="99" t="s">
        <v>161</v>
      </c>
      <c r="K16" s="185"/>
      <c r="L16" s="182"/>
      <c r="M16" s="182"/>
      <c r="N16" s="185"/>
      <c r="O16" s="185"/>
      <c r="P16" s="185"/>
      <c r="Q16" s="185"/>
      <c r="R16" s="99" t="s">
        <v>162</v>
      </c>
      <c r="S16" s="124"/>
    </row>
    <row r="17" spans="2:19" ht="18" customHeight="1" x14ac:dyDescent="0.35">
      <c r="B17" s="264"/>
      <c r="C17" s="154" t="s">
        <v>163</v>
      </c>
      <c r="D17" s="149" t="s">
        <v>49</v>
      </c>
      <c r="E17" s="181" t="str">
        <f>INDEX(List!$F$2:$CE$173,MATCH($Q$23,List!$F$2:$F$173,0),MATCH(Placemat!$C17,List!$F$2:$CE$2,0))</f>
        <v>N</v>
      </c>
      <c r="F17" s="101" t="s">
        <v>164</v>
      </c>
      <c r="G17" s="186"/>
      <c r="H17" s="185"/>
      <c r="I17" s="97" t="s">
        <v>165</v>
      </c>
      <c r="J17" s="99" t="s">
        <v>166</v>
      </c>
      <c r="K17" s="185"/>
      <c r="L17" s="182"/>
      <c r="M17" s="182"/>
      <c r="N17" s="185"/>
      <c r="O17" s="185"/>
      <c r="P17" s="185"/>
      <c r="Q17" s="185"/>
      <c r="R17" s="99" t="s">
        <v>167</v>
      </c>
      <c r="S17" s="102"/>
    </row>
    <row r="18" spans="2:19" ht="18" customHeight="1" x14ac:dyDescent="0.35">
      <c r="B18" s="264"/>
      <c r="C18" s="154" t="s">
        <v>168</v>
      </c>
      <c r="D18" s="149" t="s">
        <v>49</v>
      </c>
      <c r="E18" s="181" t="str">
        <f>INDEX(List!$F$2:$CE$173,MATCH($Q$23,List!$F$2:$F$173,0),MATCH(Placemat!$C18,List!$F$2:$CE$2,0))</f>
        <v>N</v>
      </c>
      <c r="F18" s="101" t="s">
        <v>169</v>
      </c>
      <c r="G18" s="185"/>
      <c r="H18" s="185"/>
      <c r="I18" s="185"/>
      <c r="J18" s="185"/>
      <c r="K18" s="185"/>
      <c r="L18" s="182"/>
      <c r="M18" s="182"/>
      <c r="N18" s="185"/>
      <c r="O18" s="185"/>
      <c r="P18" s="185"/>
      <c r="Q18" s="185"/>
      <c r="R18" s="99" t="s">
        <v>170</v>
      </c>
      <c r="S18" s="102"/>
    </row>
    <row r="19" spans="2:19" ht="18" customHeight="1" x14ac:dyDescent="0.35">
      <c r="B19" s="264"/>
      <c r="C19" s="154" t="s">
        <v>171</v>
      </c>
      <c r="D19" s="149" t="s">
        <v>49</v>
      </c>
      <c r="E19" s="181" t="str">
        <f>INDEX(List!$F$2:$CE$173,MATCH($Q$23,List!$F$2:$F$173,0),MATCH(Placemat!$C19,List!$F$2:$CE$2,0))</f>
        <v>N</v>
      </c>
      <c r="F19" s="101" t="s">
        <v>172</v>
      </c>
      <c r="G19" s="185"/>
      <c r="H19" s="185"/>
      <c r="I19" s="185"/>
      <c r="J19" s="186"/>
      <c r="K19" s="185"/>
      <c r="L19" s="182"/>
      <c r="M19" s="182"/>
      <c r="N19" s="185"/>
      <c r="O19" s="185"/>
      <c r="P19" s="185"/>
      <c r="Q19" s="185"/>
      <c r="R19" s="99" t="s">
        <v>173</v>
      </c>
      <c r="S19" s="102"/>
    </row>
    <row r="20" spans="2:19" ht="18" customHeight="1" x14ac:dyDescent="0.35">
      <c r="B20" s="264"/>
      <c r="C20" s="154" t="s">
        <v>174</v>
      </c>
      <c r="D20" s="149" t="s">
        <v>49</v>
      </c>
      <c r="E20" s="181" t="str">
        <f>INDEX(List!$F$2:$CE$173,MATCH($Q$23,List!$F$2:$F$173,0),MATCH(Placemat!$C20,List!$F$2:$CE$2,0))</f>
        <v>N</v>
      </c>
      <c r="F20" s="101" t="s">
        <v>175</v>
      </c>
      <c r="G20" s="185"/>
      <c r="H20" s="185"/>
      <c r="I20" s="185"/>
      <c r="J20" s="186"/>
      <c r="K20" s="185"/>
      <c r="L20" s="182"/>
      <c r="M20" s="182"/>
      <c r="N20" s="185"/>
      <c r="O20" s="185"/>
      <c r="P20" s="185"/>
      <c r="Q20" s="185"/>
      <c r="R20" s="99" t="s">
        <v>176</v>
      </c>
      <c r="S20" s="102"/>
    </row>
    <row r="21" spans="2:19" ht="18" customHeight="1" x14ac:dyDescent="0.35">
      <c r="B21" s="264"/>
      <c r="C21" s="154" t="s">
        <v>177</v>
      </c>
      <c r="D21" s="149" t="s">
        <v>49</v>
      </c>
      <c r="E21" s="181" t="str">
        <f>INDEX(List!$F$2:$CE$173,MATCH($Q$23,List!$F$2:$F$173,0),MATCH(Placemat!$C21,List!$F$2:$CE$2,0))</f>
        <v>N</v>
      </c>
      <c r="F21" s="101" t="s">
        <v>178</v>
      </c>
      <c r="G21" s="185"/>
      <c r="H21" s="185"/>
      <c r="I21" s="185"/>
      <c r="J21" s="186"/>
      <c r="K21" s="185"/>
      <c r="L21" s="182"/>
      <c r="M21" s="182"/>
      <c r="N21" s="187"/>
      <c r="O21" s="187"/>
      <c r="P21" s="187"/>
      <c r="Q21" s="187"/>
      <c r="R21" s="99" t="s">
        <v>179</v>
      </c>
      <c r="S21" s="102"/>
    </row>
    <row r="22" spans="2:19" ht="18" customHeight="1" x14ac:dyDescent="0.35">
      <c r="B22" s="264"/>
      <c r="C22" s="154" t="s">
        <v>180</v>
      </c>
      <c r="D22" s="149" t="s">
        <v>49</v>
      </c>
      <c r="E22" s="181" t="str">
        <f>INDEX(List!$F$2:$CE$173,MATCH($Q$23,List!$F$2:$F$173,0),MATCH(Placemat!$C22,List!$F$2:$CE$2,0))</f>
        <v>P</v>
      </c>
      <c r="F22" s="101" t="s">
        <v>181</v>
      </c>
      <c r="G22" s="182"/>
      <c r="H22" s="182"/>
      <c r="I22" s="182"/>
      <c r="J22" s="186"/>
      <c r="K22" s="182"/>
      <c r="L22" s="187"/>
      <c r="M22" s="182"/>
      <c r="N22" s="182"/>
      <c r="O22" s="182"/>
      <c r="P22" s="182"/>
      <c r="Q22" s="182"/>
      <c r="R22" s="99" t="s">
        <v>182</v>
      </c>
      <c r="S22" s="102"/>
    </row>
    <row r="23" spans="2:19" ht="18" customHeight="1" x14ac:dyDescent="0.35">
      <c r="B23" s="264"/>
      <c r="C23" s="154" t="s">
        <v>183</v>
      </c>
      <c r="D23" s="149" t="s">
        <v>49</v>
      </c>
      <c r="E23" s="181" t="str">
        <f>INDEX(List!$F$2:$CE$173,MATCH($Q$23,List!$F$2:$F$173,0),MATCH(Placemat!$C23,List!$F$2:$CE$2,0))</f>
        <v>N</v>
      </c>
      <c r="F23" s="101" t="s">
        <v>184</v>
      </c>
      <c r="G23" s="182"/>
      <c r="H23" s="182"/>
      <c r="I23" s="182"/>
      <c r="J23" s="186"/>
      <c r="K23" s="182"/>
      <c r="L23" s="182"/>
      <c r="M23" s="182"/>
      <c r="N23" s="182"/>
      <c r="O23" s="182"/>
      <c r="P23" s="182"/>
      <c r="Q23" s="188" t="s">
        <v>50</v>
      </c>
      <c r="R23" s="99" t="s">
        <v>185</v>
      </c>
      <c r="S23" s="102"/>
    </row>
    <row r="24" spans="2:19" ht="18" customHeight="1" x14ac:dyDescent="0.35">
      <c r="B24" s="264"/>
      <c r="C24" s="154" t="s">
        <v>186</v>
      </c>
      <c r="D24" s="149" t="s">
        <v>49</v>
      </c>
      <c r="E24" s="181" t="str">
        <f>INDEX(List!$F$2:$CE$173,MATCH($Q$23,List!$F$2:$F$173,0),MATCH(Placemat!$C24,List!$F$2:$CE$2,0))</f>
        <v>N</v>
      </c>
      <c r="F24" s="101" t="s">
        <v>187</v>
      </c>
      <c r="G24" s="182"/>
      <c r="H24" s="182"/>
      <c r="I24" s="182"/>
      <c r="J24" s="186"/>
      <c r="K24" s="182"/>
      <c r="L24" s="182"/>
      <c r="M24" s="187"/>
      <c r="N24" s="187"/>
      <c r="O24" s="182"/>
      <c r="P24" s="182"/>
      <c r="Q24" s="182"/>
      <c r="R24" s="99" t="s">
        <v>188</v>
      </c>
      <c r="S24" s="102"/>
    </row>
    <row r="25" spans="2:19" ht="18" customHeight="1" x14ac:dyDescent="0.35">
      <c r="B25" s="264"/>
      <c r="C25" s="154" t="s">
        <v>189</v>
      </c>
      <c r="D25" s="149" t="s">
        <v>49</v>
      </c>
      <c r="E25" s="181" t="str">
        <f>INDEX(List!$F$2:$CE$173,MATCH($Q$23,List!$F$2:$F$173,0),MATCH(Placemat!$C25,List!$F$2:$CE$2,0))</f>
        <v>N</v>
      </c>
      <c r="F25" s="101" t="s">
        <v>190</v>
      </c>
      <c r="G25" s="182"/>
      <c r="H25" s="182"/>
      <c r="I25" s="182"/>
      <c r="J25" s="182"/>
      <c r="K25" s="182"/>
      <c r="L25" s="182"/>
      <c r="M25" s="187"/>
      <c r="N25" s="182"/>
      <c r="O25" s="182"/>
      <c r="P25" s="182"/>
      <c r="Q25" s="186"/>
      <c r="R25" s="139"/>
      <c r="S25" s="1"/>
    </row>
    <row r="26" spans="2:19" ht="18" customHeight="1" x14ac:dyDescent="0.35">
      <c r="B26" s="264"/>
      <c r="C26" s="154" t="s">
        <v>191</v>
      </c>
      <c r="D26" s="149" t="s">
        <v>49</v>
      </c>
      <c r="E26" s="181" t="str">
        <f>INDEX(List!$F$2:$CE$173,MATCH($Q$23,List!$F$2:$F$173,0),MATCH(Placemat!$C26,List!$F$2:$CE$2,0))</f>
        <v>N</v>
      </c>
      <c r="F26" s="101" t="s">
        <v>192</v>
      </c>
      <c r="G26" s="182"/>
      <c r="H26" s="182"/>
      <c r="I26" s="182"/>
      <c r="J26" s="182"/>
      <c r="K26" s="182"/>
      <c r="L26" s="182"/>
      <c r="M26" s="187"/>
      <c r="N26" s="182"/>
      <c r="O26" s="182"/>
      <c r="P26" s="182"/>
      <c r="Q26" s="182"/>
      <c r="R26" s="182"/>
      <c r="S26" s="1"/>
    </row>
    <row r="27" spans="2:19" ht="18" customHeight="1" x14ac:dyDescent="0.35">
      <c r="B27" s="264"/>
      <c r="C27" s="154" t="s">
        <v>193</v>
      </c>
      <c r="D27" s="149" t="s">
        <v>49</v>
      </c>
      <c r="E27" s="181" t="str">
        <f>INDEX(List!$F$2:$CE$173,MATCH($Q$23,List!$F$2:$F$173,0),MATCH(Placemat!$C27,List!$F$2:$CE$2,0))</f>
        <v>S</v>
      </c>
      <c r="F27" s="101" t="s">
        <v>194</v>
      </c>
      <c r="G27" s="182"/>
      <c r="H27" s="182"/>
      <c r="I27" s="182"/>
      <c r="J27" s="182"/>
      <c r="K27" s="182"/>
      <c r="L27" s="182"/>
      <c r="M27" s="187"/>
      <c r="N27" s="182"/>
      <c r="O27" s="182"/>
      <c r="P27" s="182"/>
      <c r="Q27" s="182"/>
      <c r="R27" s="182"/>
      <c r="S27" s="1"/>
    </row>
    <row r="28" spans="2:19" ht="18" customHeight="1" x14ac:dyDescent="0.35">
      <c r="B28" s="264"/>
      <c r="C28" s="154" t="s">
        <v>195</v>
      </c>
      <c r="D28" s="149" t="s">
        <v>49</v>
      </c>
      <c r="E28" s="181" t="str">
        <f>INDEX(List!$F$2:$CE$173,MATCH($Q$23,List!$F$2:$F$173,0),MATCH(Placemat!$C28,List!$F$2:$CE$2,0))</f>
        <v>N</v>
      </c>
      <c r="F28" s="101" t="s">
        <v>196</v>
      </c>
      <c r="G28" s="187"/>
      <c r="H28" s="182"/>
      <c r="I28" s="182"/>
      <c r="J28" s="182"/>
      <c r="K28" s="182"/>
      <c r="L28" s="182"/>
      <c r="M28" s="187"/>
      <c r="N28" s="182"/>
      <c r="O28" s="182"/>
      <c r="P28" s="182"/>
      <c r="Q28" s="182"/>
      <c r="R28" s="182"/>
      <c r="S28" s="1"/>
    </row>
    <row r="29" spans="2:19" ht="18" customHeight="1" x14ac:dyDescent="0.35">
      <c r="B29" s="264"/>
      <c r="C29" s="154" t="s">
        <v>197</v>
      </c>
      <c r="D29" s="149" t="s">
        <v>49</v>
      </c>
      <c r="E29" s="181" t="str">
        <f>INDEX(List!$F$2:$CE$173,MATCH($Q$23,List!$F$2:$F$173,0),MATCH(Placemat!$C29,List!$F$2:$CE$2,0))</f>
        <v>N</v>
      </c>
      <c r="F29" s="101" t="s">
        <v>198</v>
      </c>
      <c r="G29" s="187"/>
      <c r="H29" s="182"/>
      <c r="I29" s="182"/>
      <c r="J29" s="182"/>
      <c r="K29" s="182"/>
      <c r="L29" s="182"/>
      <c r="M29" s="187"/>
      <c r="N29" s="182"/>
      <c r="O29" s="182"/>
      <c r="P29" s="182"/>
      <c r="Q29" s="182"/>
      <c r="R29" s="182"/>
      <c r="S29" s="1"/>
    </row>
    <row r="30" spans="2:19" ht="18" customHeight="1" x14ac:dyDescent="0.35">
      <c r="B30" s="264"/>
      <c r="C30" s="155" t="s">
        <v>199</v>
      </c>
      <c r="D30" s="151" t="s">
        <v>134</v>
      </c>
      <c r="E30" s="181" t="str">
        <f>INDEX(List!$F$2:$CE$173,MATCH($Q$23,List!$F$2:$F$173,0),MATCH(Placemat!$C30,List!$F$2:$CE$2,0))</f>
        <v>N</v>
      </c>
      <c r="F30" s="180"/>
      <c r="G30" s="189"/>
      <c r="H30" s="189"/>
      <c r="I30" s="189"/>
      <c r="J30" s="189"/>
      <c r="K30" s="189"/>
      <c r="L30" s="187"/>
      <c r="M30" s="182"/>
      <c r="N30" s="182"/>
      <c r="O30" s="182"/>
      <c r="P30" s="182"/>
      <c r="Q30" s="182"/>
      <c r="R30" s="182"/>
      <c r="S30" s="1"/>
    </row>
    <row r="31" spans="2:19" ht="18" customHeight="1" thickBot="1" x14ac:dyDescent="0.4">
      <c r="B31" s="264"/>
      <c r="C31" s="154" t="s">
        <v>200</v>
      </c>
      <c r="D31" s="149" t="s">
        <v>49</v>
      </c>
      <c r="E31" s="181" t="str">
        <f>INDEX(List!$F$2:$CE$173,MATCH($Q$23,List!$F$2:$F$173,0),MATCH(Placemat!$C31,List!$F$2:$CE$2,0))</f>
        <v>N</v>
      </c>
      <c r="F31" s="107"/>
      <c r="G31" s="189"/>
      <c r="H31" s="189"/>
      <c r="I31" s="189"/>
      <c r="J31" s="189"/>
      <c r="K31" s="189"/>
      <c r="L31" s="187"/>
      <c r="M31" s="182"/>
      <c r="N31" s="182"/>
      <c r="O31" s="182"/>
      <c r="P31" s="182"/>
      <c r="Q31" s="182"/>
      <c r="R31" s="182"/>
      <c r="S31" s="1"/>
    </row>
    <row r="32" spans="2:19" ht="18" customHeight="1" thickBot="1" x14ac:dyDescent="0.4">
      <c r="B32" s="264"/>
      <c r="C32" s="156" t="s">
        <v>201</v>
      </c>
      <c r="D32" s="149" t="s">
        <v>49</v>
      </c>
      <c r="E32" s="181" t="str">
        <f>INDEX(List!$F$2:$CE$173,MATCH($Q$23,List!$F$2:$F$173,0),MATCH(Placemat!$C32,List!$F$2:$CE$2,0))</f>
        <v>N</v>
      </c>
      <c r="F32" s="107"/>
      <c r="G32" s="187"/>
      <c r="H32" s="187"/>
      <c r="I32" s="189"/>
      <c r="J32" s="189"/>
      <c r="K32" s="189"/>
      <c r="L32" s="187"/>
      <c r="M32" s="182"/>
      <c r="N32" s="196" t="s">
        <v>202</v>
      </c>
      <c r="O32" s="197"/>
      <c r="P32" s="197"/>
      <c r="Q32" s="197"/>
      <c r="R32" s="198"/>
      <c r="S32" s="106"/>
    </row>
    <row r="33" spans="2:22" ht="18" customHeight="1" x14ac:dyDescent="0.35">
      <c r="B33" s="264"/>
      <c r="C33" s="154" t="s">
        <v>203</v>
      </c>
      <c r="D33" s="149" t="s">
        <v>49</v>
      </c>
      <c r="E33" s="181" t="str">
        <f>INDEX(List!$F$2:$CE$173,MATCH($Q$23,List!$F$2:$F$173,0),MATCH(Placemat!$C33,List!$F$2:$CE$2,0))</f>
        <v>N</v>
      </c>
      <c r="F33" s="107"/>
      <c r="G33" s="187"/>
      <c r="H33" s="187"/>
      <c r="I33" s="189"/>
      <c r="J33" s="189"/>
      <c r="K33" s="189"/>
      <c r="L33" s="187"/>
      <c r="M33" s="182"/>
      <c r="N33" s="244" t="s">
        <v>204</v>
      </c>
      <c r="O33" s="245"/>
      <c r="P33" s="142"/>
      <c r="Q33" s="97">
        <f>IF($F$4='CMMC Levels'!$C$1,COUNTIFS('CMMC Levels'!$B$1:$B$172,Placemat!$S33,'CMMC Levels'!$C$1:$C$172,"X"),IF($F$4='CMMC Levels'!$D$1,COUNTIFS('CMMC Levels'!$B$1:$B$172,Placemat!$S33,'CMMC Levels'!$D$1:$D$172,"X"),IF($F$4='CMMC Levels'!$E$1,COUNTIFS('CMMC Levels'!$B$1:$B$172,Placemat!$S33,'CMMC Levels'!$E$1:$E$172,"X"))))</f>
        <v>9</v>
      </c>
      <c r="R33" s="143">
        <f>Q33/SUM($Q$33:$Q$36)</f>
        <v>8.1818181818181818E-2</v>
      </c>
      <c r="S33" s="147" t="s">
        <v>206</v>
      </c>
    </row>
    <row r="34" spans="2:22" ht="18" customHeight="1" x14ac:dyDescent="0.35">
      <c r="B34" s="264"/>
      <c r="C34" s="154" t="s">
        <v>207</v>
      </c>
      <c r="D34" s="149" t="s">
        <v>49</v>
      </c>
      <c r="E34" s="181" t="str">
        <f>INDEX(List!$F$2:$CE$173,MATCH($Q$23,List!$F$2:$F$173,0),MATCH(Placemat!$C34,List!$F$2:$CE$2,0))</f>
        <v>N</v>
      </c>
      <c r="F34" s="108"/>
      <c r="G34" s="187"/>
      <c r="H34" s="187"/>
      <c r="I34" s="187"/>
      <c r="J34" s="189"/>
      <c r="K34" s="189"/>
      <c r="L34" s="187"/>
      <c r="M34" s="182"/>
      <c r="N34" s="246" t="s">
        <v>208</v>
      </c>
      <c r="O34" s="247"/>
      <c r="P34" s="104"/>
      <c r="Q34" s="97">
        <f>IF($F$4='CMMC Levels'!$C$1,COUNTIFS('CMMC Levels'!$B$1:$B$172,Placemat!$S34,'CMMC Levels'!$C$1:$C$172,"X"),IF($F$4='CMMC Levels'!$D$1,COUNTIFS('CMMC Levels'!$B$1:$B$172,Placemat!$S34,'CMMC Levels'!$D$1:$D$172,"X"),IF($F$4='CMMC Levels'!$E$1,COUNTIFS('CMMC Levels'!$B$1:$B$172,Placemat!$S34,'CMMC Levels'!$E$1:$E$172,"X"))))</f>
        <v>11</v>
      </c>
      <c r="R34" s="120">
        <f>Q34/SUM($Q$33:$Q$36)</f>
        <v>0.1</v>
      </c>
      <c r="S34" s="140" t="s">
        <v>209</v>
      </c>
      <c r="T34" s="103"/>
      <c r="U34" s="103"/>
    </row>
    <row r="35" spans="2:22" ht="18" customHeight="1" x14ac:dyDescent="0.35">
      <c r="B35" s="264"/>
      <c r="C35" s="154" t="s">
        <v>210</v>
      </c>
      <c r="D35" s="149" t="s">
        <v>49</v>
      </c>
      <c r="E35" s="181" t="str">
        <f>INDEX(List!$F$2:$CE$173,MATCH($Q$23,List!$F$2:$F$173,0),MATCH(Placemat!$C35,List!$F$2:$CE$2,0))</f>
        <v>N</v>
      </c>
      <c r="F35" s="108"/>
      <c r="G35" s="187"/>
      <c r="H35" s="182"/>
      <c r="I35" s="182"/>
      <c r="J35" s="182"/>
      <c r="K35" s="182"/>
      <c r="L35" s="182"/>
      <c r="M35" s="182"/>
      <c r="N35" s="246" t="s">
        <v>211</v>
      </c>
      <c r="O35" s="247"/>
      <c r="P35" s="105"/>
      <c r="Q35" s="97">
        <f>IF($F$4='CMMC Levels'!$C$1,COUNTIFS('CMMC Levels'!$B$1:$B$172,Placemat!$S35,'CMMC Levels'!$C$1:$C$172,"X"),IF($F$4='CMMC Levels'!$D$1,COUNTIFS('CMMC Levels'!$B$1:$B$172,Placemat!$S35,'CMMC Levels'!$D$1:$D$172,"X"),IF($F$4='CMMC Levels'!$E$1,COUNTIFS('CMMC Levels'!$B$1:$B$172,Placemat!$S35,'CMMC Levels'!$E$1:$E$172,"X"))))</f>
        <v>89</v>
      </c>
      <c r="R35" s="120">
        <f>Q35/SUM($Q$33:$Q$36)</f>
        <v>0.80909090909090908</v>
      </c>
      <c r="S35" s="141" t="s">
        <v>212</v>
      </c>
      <c r="T35" s="103"/>
      <c r="U35" s="103"/>
      <c r="V35" s="103"/>
    </row>
    <row r="36" spans="2:22" ht="18" customHeight="1" thickBot="1" x14ac:dyDescent="0.4">
      <c r="B36" s="264"/>
      <c r="C36" s="154" t="s">
        <v>213</v>
      </c>
      <c r="D36" s="149" t="s">
        <v>49</v>
      </c>
      <c r="E36" s="181" t="str">
        <f>INDEX(List!$F$2:$CE$173,MATCH($Q$23,List!$F$2:$F$173,0),MATCH(Placemat!$C36,List!$F$2:$CE$2,0))</f>
        <v>N</v>
      </c>
      <c r="F36" s="108"/>
      <c r="G36" s="187"/>
      <c r="H36" s="182"/>
      <c r="I36" s="182"/>
      <c r="J36" s="182"/>
      <c r="K36" s="182"/>
      <c r="L36" s="182"/>
      <c r="M36" s="182"/>
      <c r="N36" s="248" t="s">
        <v>214</v>
      </c>
      <c r="O36" s="249"/>
      <c r="P36" s="170"/>
      <c r="Q36" s="145">
        <f>IF($F$4='CMMC Levels'!$C$1,COUNTIFS('CMMC Levels'!$B$1:$B$172,Placemat!$S36,'CMMC Levels'!$C$1:$C$172,"X"),IF($F$4='CMMC Levels'!$D$1,COUNTIFS('CMMC Levels'!$B$1:$B$172,Placemat!$S36,'CMMC Levels'!$D$1:$D$172,"X"),IF($F$4='CMMC Levels'!$E$1,COUNTIFS('CMMC Levels'!$B$1:$B$172,Placemat!$S36,'CMMC Levels'!$E$1:$E$172,"X"))))</f>
        <v>1</v>
      </c>
      <c r="R36" s="144">
        <f>Q36/SUM($Q$33:$Q$36)</f>
        <v>9.0909090909090905E-3</v>
      </c>
      <c r="S36" s="141" t="s">
        <v>215</v>
      </c>
    </row>
    <row r="37" spans="2:22" ht="18" customHeight="1" x14ac:dyDescent="0.35">
      <c r="B37" s="264"/>
      <c r="C37" s="154" t="s">
        <v>216</v>
      </c>
      <c r="D37" s="149" t="s">
        <v>49</v>
      </c>
      <c r="E37" s="181" t="str">
        <f>INDEX(List!$F$2:$CE$173,MATCH($Q$23,List!$F$2:$F$173,0),MATCH(Placemat!$C37,List!$F$2:$CE$2,0))</f>
        <v>S</v>
      </c>
      <c r="F37" s="108"/>
      <c r="G37" s="187"/>
      <c r="H37" s="182"/>
      <c r="I37" s="182"/>
      <c r="J37" s="182"/>
      <c r="K37" s="182"/>
      <c r="L37" s="182"/>
      <c r="M37" s="182"/>
      <c r="N37" s="250" t="s">
        <v>217</v>
      </c>
      <c r="O37" s="250"/>
      <c r="P37" s="171" t="s">
        <v>205</v>
      </c>
      <c r="Q37" s="172">
        <f>IF($F$4='CMMC Levels'!$C$1,COUNTIFS('CMMC Levels'!$B$1:$B$172,Placemat!$S37,'CMMC Levels'!$C$1:$C$172,"X"),IF($F$4='CMMC Levels'!$D$1,COUNTIFS('CMMC Levels'!$B$1:$B$172,Placemat!$S37,'CMMC Levels'!$D$1:$D$172,"X"),IF($F$4='CMMC Levels'!$E$1,COUNTIFS('CMMC Levels'!$B$1:$B$172,Placemat!$S37,'CMMC Levels'!$E$1:$E$172,"X"))))</f>
        <v>0</v>
      </c>
      <c r="R37" s="173">
        <f>Q37/SUM($Q$33:$Q$36)</f>
        <v>0</v>
      </c>
      <c r="S37" s="141" t="s">
        <v>218</v>
      </c>
    </row>
    <row r="38" spans="2:22" ht="18" customHeight="1" x14ac:dyDescent="0.35">
      <c r="B38" s="264"/>
      <c r="C38" s="154" t="s">
        <v>219</v>
      </c>
      <c r="D38" s="149" t="s">
        <v>49</v>
      </c>
      <c r="E38" s="181" t="str">
        <f>INDEX(List!$F$2:$CE$173,MATCH($Q$23,List!$F$2:$F$173,0),MATCH(Placemat!$C38,List!$F$2:$CE$2,0))</f>
        <v>N</v>
      </c>
      <c r="F38" s="108"/>
      <c r="G38" s="187"/>
      <c r="H38" s="182"/>
      <c r="I38" s="182"/>
      <c r="J38" s="182"/>
      <c r="K38" s="182"/>
      <c r="L38" s="182"/>
      <c r="M38" s="182"/>
      <c r="N38" s="182"/>
      <c r="O38" s="182"/>
      <c r="P38" s="182"/>
      <c r="Q38" s="182"/>
      <c r="R38" s="182"/>
      <c r="S38" s="1"/>
    </row>
    <row r="39" spans="2:22" ht="18" customHeight="1" thickBot="1" x14ac:dyDescent="0.4">
      <c r="B39" s="264"/>
      <c r="C39" s="154" t="s">
        <v>220</v>
      </c>
      <c r="D39" s="149" t="s">
        <v>49</v>
      </c>
      <c r="E39" s="181" t="str">
        <f>INDEX(List!$F$2:$CE$173,MATCH($Q$23,List!$F$2:$F$173,0),MATCH(Placemat!$C39,List!$F$2:$CE$2,0))</f>
        <v>N</v>
      </c>
      <c r="F39" s="108"/>
      <c r="G39" s="187"/>
      <c r="H39" s="182"/>
      <c r="I39" s="182"/>
      <c r="J39" s="182"/>
      <c r="K39" s="182"/>
      <c r="L39" s="182"/>
      <c r="M39" s="182"/>
      <c r="N39" s="182"/>
      <c r="O39" s="182"/>
      <c r="P39" s="182"/>
      <c r="Q39" s="182"/>
      <c r="R39" s="182"/>
      <c r="S39" s="1"/>
    </row>
    <row r="40" spans="2:22" ht="18" customHeight="1" thickBot="1" x14ac:dyDescent="0.4">
      <c r="B40" s="265"/>
      <c r="C40" s="157" t="s">
        <v>221</v>
      </c>
      <c r="D40" s="150" t="s">
        <v>49</v>
      </c>
      <c r="E40" s="181" t="str">
        <f>INDEX(List!$F$2:$CE$173,MATCH($Q$23,List!$F$2:$F$173,0),MATCH(Placemat!$C40,List!$F$2:$CE$2,0))</f>
        <v>N</v>
      </c>
      <c r="F40" s="108"/>
      <c r="G40" s="187"/>
      <c r="H40" s="182"/>
      <c r="I40" s="182"/>
      <c r="J40" s="182"/>
      <c r="K40" s="182"/>
      <c r="L40" s="182"/>
      <c r="M40" s="182"/>
      <c r="N40" s="199" t="s">
        <v>222</v>
      </c>
      <c r="O40" s="200"/>
      <c r="P40" s="200"/>
      <c r="Q40" s="200"/>
      <c r="R40" s="201"/>
      <c r="S40" s="1"/>
    </row>
    <row r="41" spans="2:22" ht="18" customHeight="1" x14ac:dyDescent="0.35">
      <c r="B41" s="266" t="s">
        <v>223</v>
      </c>
      <c r="C41" s="153" t="s">
        <v>224</v>
      </c>
      <c r="D41" s="148" t="s">
        <v>49</v>
      </c>
      <c r="E41" s="181" t="str">
        <f>INDEX(List!$F$2:$CE$173,MATCH($Q$23,List!$F$2:$F$173,0),MATCH(Placemat!$C41,List!$F$2:$CE$2,0))</f>
        <v>N</v>
      </c>
      <c r="F41" s="108"/>
      <c r="G41" s="187"/>
      <c r="H41" s="187"/>
      <c r="I41" s="187"/>
      <c r="J41" s="187"/>
      <c r="K41" s="187"/>
      <c r="L41" s="187"/>
      <c r="M41" s="182"/>
      <c r="N41" s="232" t="s">
        <v>225</v>
      </c>
      <c r="O41" s="233"/>
      <c r="P41" s="214" t="str">
        <f>$Q$23</f>
        <v>AC.L1-3.1.1</v>
      </c>
      <c r="Q41" s="215"/>
      <c r="R41" s="216"/>
      <c r="S41" s="1"/>
    </row>
    <row r="42" spans="2:22" ht="18" customHeight="1" x14ac:dyDescent="0.35">
      <c r="B42" s="267"/>
      <c r="C42" s="154" t="s">
        <v>255</v>
      </c>
      <c r="D42" s="149" t="s">
        <v>49</v>
      </c>
      <c r="E42" s="181" t="str">
        <f>INDEX(List!$F$2:$CE$173,MATCH($Q$23,List!$F$2:$F$173,0),MATCH(Placemat!$C43,List!$F$2:$CE$2,0))</f>
        <v>N</v>
      </c>
      <c r="F42" s="108"/>
      <c r="G42" s="187"/>
      <c r="H42" s="187"/>
      <c r="I42" s="187"/>
      <c r="J42" s="187"/>
      <c r="K42" s="187"/>
      <c r="L42" s="187"/>
      <c r="M42" s="182"/>
      <c r="N42" s="226" t="s">
        <v>227</v>
      </c>
      <c r="O42" s="227"/>
      <c r="P42" s="217" t="str">
        <f>IFERROR(VLOOKUP($P$41,'Control Information'!$C$3:$G$173,2,FALSE),"")</f>
        <v>Limit information system access to authorized users, processes acting on behalf of authorized users or devices (including other information systems).</v>
      </c>
      <c r="Q42" s="218"/>
      <c r="R42" s="219"/>
      <c r="S42" s="1"/>
    </row>
    <row r="43" spans="2:22" ht="18" customHeight="1" x14ac:dyDescent="0.35">
      <c r="B43" s="267"/>
      <c r="C43" s="154" t="s">
        <v>226</v>
      </c>
      <c r="D43" s="149" t="s">
        <v>49</v>
      </c>
      <c r="E43" s="181" t="str">
        <f>INDEX(List!$F$2:$CE$173,MATCH($Q$23,List!$F$2:$F$173,0),MATCH(Placemat!$C44,List!$F$2:$CE$2,0))</f>
        <v>N</v>
      </c>
      <c r="F43" s="108"/>
      <c r="G43" s="187"/>
      <c r="H43" s="187"/>
      <c r="I43" s="187"/>
      <c r="J43" s="187"/>
      <c r="K43" s="187"/>
      <c r="L43" s="187"/>
      <c r="M43" s="187"/>
      <c r="N43" s="228"/>
      <c r="O43" s="229"/>
      <c r="P43" s="220"/>
      <c r="Q43" s="221"/>
      <c r="R43" s="222"/>
      <c r="S43" s="1"/>
    </row>
    <row r="44" spans="2:22" ht="18" customHeight="1" x14ac:dyDescent="0.35">
      <c r="B44" s="267"/>
      <c r="C44" s="154" t="s">
        <v>228</v>
      </c>
      <c r="D44" s="149" t="s">
        <v>49</v>
      </c>
      <c r="E44" s="181" t="str">
        <f>INDEX(List!$F$2:$CE$173,MATCH($Q$23,List!$F$2:$F$173,0),MATCH(Placemat!$C45,List!$F$2:$CE$2,0))</f>
        <v>N</v>
      </c>
      <c r="F44" s="108"/>
      <c r="G44" s="187"/>
      <c r="H44" s="187"/>
      <c r="I44" s="187"/>
      <c r="J44" s="187"/>
      <c r="K44" s="187"/>
      <c r="L44" s="187"/>
      <c r="M44" s="187"/>
      <c r="N44" s="228"/>
      <c r="O44" s="229"/>
      <c r="P44" s="220"/>
      <c r="Q44" s="221"/>
      <c r="R44" s="222"/>
      <c r="S44" s="1"/>
    </row>
    <row r="45" spans="2:22" x14ac:dyDescent="0.35">
      <c r="B45" s="267"/>
      <c r="C45" s="154" t="s">
        <v>229</v>
      </c>
      <c r="D45" s="149" t="s">
        <v>49</v>
      </c>
      <c r="E45" s="181" t="str">
        <f>INDEX(List!$F$2:$CE$173,MATCH($Q$23,List!$F$2:$F$173,0),MATCH(Placemat!$C46,List!$F$2:$CE$2,0))</f>
        <v>N</v>
      </c>
      <c r="F45" s="108"/>
      <c r="G45" s="187"/>
      <c r="H45" s="187"/>
      <c r="I45" s="187"/>
      <c r="J45" s="187"/>
      <c r="K45" s="187"/>
      <c r="L45" s="187"/>
      <c r="M45" s="187"/>
      <c r="N45" s="228"/>
      <c r="O45" s="229"/>
      <c r="P45" s="220"/>
      <c r="Q45" s="221"/>
      <c r="R45" s="222"/>
      <c r="S45" s="1"/>
    </row>
    <row r="46" spans="2:22" ht="14.5" customHeight="1" x14ac:dyDescent="0.35">
      <c r="B46" s="267"/>
      <c r="C46" s="154" t="s">
        <v>230</v>
      </c>
      <c r="D46" s="149" t="s">
        <v>49</v>
      </c>
      <c r="E46" s="181" t="str">
        <f>INDEX(List!$F$2:$CE$173,MATCH($Q$23,List!$F$2:$F$173,0),MATCH(Placemat!$C47,List!$F$2:$CE$2,0))</f>
        <v>N</v>
      </c>
      <c r="F46" s="108"/>
      <c r="G46" s="187"/>
      <c r="H46" s="187"/>
      <c r="I46" s="187"/>
      <c r="J46" s="187"/>
      <c r="K46" s="187"/>
      <c r="L46" s="187"/>
      <c r="M46" s="187"/>
      <c r="N46" s="228"/>
      <c r="O46" s="229"/>
      <c r="P46" s="220"/>
      <c r="Q46" s="221"/>
      <c r="R46" s="222"/>
      <c r="S46" s="1"/>
    </row>
    <row r="47" spans="2:22" ht="18" customHeight="1" x14ac:dyDescent="0.35">
      <c r="B47" s="267"/>
      <c r="C47" s="154" t="s">
        <v>231</v>
      </c>
      <c r="D47" s="149" t="s">
        <v>49</v>
      </c>
      <c r="E47" s="181" t="str">
        <f>INDEX(List!$F$2:$CE$173,MATCH($Q$23,List!$F$2:$F$173,0),MATCH(Placemat!$C48,List!$F$2:$CE$2,0))</f>
        <v>N</v>
      </c>
      <c r="F47" s="109"/>
      <c r="G47" s="190"/>
      <c r="H47" s="187"/>
      <c r="I47" s="187"/>
      <c r="J47" s="187"/>
      <c r="K47" s="187"/>
      <c r="L47" s="187"/>
      <c r="M47" s="187"/>
      <c r="N47" s="228"/>
      <c r="O47" s="229"/>
      <c r="P47" s="220"/>
      <c r="Q47" s="221"/>
      <c r="R47" s="222"/>
      <c r="S47" s="1"/>
    </row>
    <row r="48" spans="2:22" ht="15" customHeight="1" x14ac:dyDescent="0.35">
      <c r="B48" s="267"/>
      <c r="C48" s="154" t="s">
        <v>232</v>
      </c>
      <c r="D48" s="149" t="s">
        <v>49</v>
      </c>
      <c r="E48" s="181" t="str">
        <f>INDEX(List!$F$2:$CE$173,MATCH($Q$23,List!$F$2:$F$173,0),MATCH(Placemat!$C49,List!$F$2:$CE$2,0))</f>
        <v>N</v>
      </c>
      <c r="F48" s="109"/>
      <c r="G48" s="190"/>
      <c r="H48" s="190"/>
      <c r="I48" s="190"/>
      <c r="J48" s="190"/>
      <c r="K48" s="187"/>
      <c r="L48" s="187"/>
      <c r="M48" s="187"/>
      <c r="N48" s="230"/>
      <c r="O48" s="231"/>
      <c r="P48" s="223"/>
      <c r="Q48" s="224"/>
      <c r="R48" s="225"/>
      <c r="S48" s="1"/>
    </row>
    <row r="49" spans="2:22" ht="15" customHeight="1" x14ac:dyDescent="0.35">
      <c r="B49" s="267"/>
      <c r="C49" s="154" t="s">
        <v>233</v>
      </c>
      <c r="D49" s="149" t="s">
        <v>49</v>
      </c>
      <c r="E49" s="181" t="str">
        <f>INDEX(List!$F$2:$CE$173,MATCH($Q$23,List!$F$2:$F$173,0),MATCH(Placemat!$C50,List!$F$2:$CE$2,0))</f>
        <v>S</v>
      </c>
      <c r="F49" s="109"/>
      <c r="G49" s="190"/>
      <c r="H49" s="190"/>
      <c r="I49" s="190"/>
      <c r="J49" s="190"/>
      <c r="K49" s="187"/>
      <c r="L49" s="187"/>
      <c r="M49" s="187"/>
      <c r="N49" s="234" t="s">
        <v>235</v>
      </c>
      <c r="O49" s="235"/>
      <c r="P49" s="238" t="str">
        <f>IFERROR(VLOOKUP($P$41,'Control Information'!$C$3:$G$173,5,FALSE),"")</f>
        <v>Shared Coverage</v>
      </c>
      <c r="Q49" s="239"/>
      <c r="R49" s="240"/>
      <c r="S49" s="1"/>
    </row>
    <row r="50" spans="2:22" ht="14.75" customHeight="1" thickBot="1" x14ac:dyDescent="0.4">
      <c r="B50" s="267"/>
      <c r="C50" s="154" t="s">
        <v>234</v>
      </c>
      <c r="D50" s="149" t="s">
        <v>49</v>
      </c>
      <c r="E50" s="181" t="str">
        <f>INDEX(List!$F$2:$CE$173,MATCH($Q$23,List!$F$2:$F$173,0),MATCH(Placemat!$C51,List!$F$2:$CE$2,0))</f>
        <v>N</v>
      </c>
      <c r="F50" s="109"/>
      <c r="G50" s="190"/>
      <c r="H50" s="190"/>
      <c r="I50" s="190"/>
      <c r="J50" s="190"/>
      <c r="K50" s="187"/>
      <c r="L50" s="187"/>
      <c r="M50" s="187"/>
      <c r="N50" s="236"/>
      <c r="O50" s="237"/>
      <c r="P50" s="241"/>
      <c r="Q50" s="242"/>
      <c r="R50" s="243"/>
      <c r="S50" s="1"/>
    </row>
    <row r="51" spans="2:22" ht="18" customHeight="1" x14ac:dyDescent="0.35">
      <c r="B51" s="267"/>
      <c r="C51" s="154" t="s">
        <v>236</v>
      </c>
      <c r="D51" s="149" t="s">
        <v>49</v>
      </c>
      <c r="E51" s="181" t="str">
        <f>INDEX(List!$F$2:$CE$173,MATCH($Q$23,List!$F$2:$F$173,0),MATCH(Placemat!$C52,List!$F$2:$CE$2,0))</f>
        <v>N</v>
      </c>
      <c r="F51" s="109"/>
      <c r="G51" s="190"/>
      <c r="H51" s="190"/>
      <c r="I51" s="190"/>
      <c r="J51" s="190"/>
      <c r="K51" s="187"/>
      <c r="L51" s="187"/>
      <c r="M51" s="187"/>
      <c r="N51" s="182"/>
      <c r="O51" s="187"/>
      <c r="P51" s="187"/>
      <c r="Q51" s="187"/>
      <c r="R51" s="182"/>
      <c r="S51" s="1"/>
    </row>
    <row r="52" spans="2:22" ht="14.75" customHeight="1" x14ac:dyDescent="0.35">
      <c r="B52" s="267"/>
      <c r="C52" s="154" t="s">
        <v>237</v>
      </c>
      <c r="D52" s="149" t="s">
        <v>49</v>
      </c>
      <c r="E52" s="181" t="str">
        <f>INDEX(List!$F$2:$CE$173,MATCH($Q$23,List!$F$2:$F$173,0),MATCH(Placemat!$C53,List!$F$2:$CE$2,0))</f>
        <v>S</v>
      </c>
      <c r="F52" s="109"/>
      <c r="G52" s="190"/>
      <c r="H52" s="190"/>
      <c r="I52" s="190"/>
      <c r="J52" s="190"/>
      <c r="K52" s="187"/>
      <c r="L52" s="187"/>
      <c r="M52" s="187"/>
      <c r="N52" s="191"/>
      <c r="O52" s="187"/>
      <c r="P52" s="187"/>
      <c r="Q52" s="187"/>
      <c r="R52" s="182"/>
      <c r="S52" s="1"/>
    </row>
    <row r="53" spans="2:22" ht="14.75" customHeight="1" x14ac:dyDescent="0.35">
      <c r="B53" s="267"/>
      <c r="C53" s="154" t="s">
        <v>238</v>
      </c>
      <c r="D53" s="149" t="s">
        <v>49</v>
      </c>
      <c r="E53" s="181" t="str">
        <f>INDEX(List!$F$2:$CE$173,MATCH($Q$23,List!$F$2:$F$173,0),MATCH(Placemat!$C55,List!$F$2:$CE$2,0))</f>
        <v>N</v>
      </c>
      <c r="F53" s="109"/>
      <c r="G53" s="190"/>
      <c r="H53" s="190"/>
      <c r="I53" s="190"/>
      <c r="J53" s="190"/>
      <c r="K53" s="187"/>
      <c r="L53" s="187"/>
      <c r="M53" s="187"/>
      <c r="N53" s="191"/>
      <c r="O53" s="187"/>
      <c r="P53" s="187"/>
      <c r="Q53" s="187"/>
      <c r="R53" s="182"/>
      <c r="S53" s="1"/>
    </row>
    <row r="54" spans="2:22" ht="14.75" customHeight="1" x14ac:dyDescent="0.35">
      <c r="B54" s="267"/>
      <c r="C54" s="154" t="s">
        <v>259</v>
      </c>
      <c r="D54" s="149" t="s">
        <v>49</v>
      </c>
      <c r="E54" s="181" t="str">
        <f>INDEX(List!$F$2:$CE$173,MATCH($Q$23,List!$F$2:$F$173,0),MATCH(Placemat!$C56,List!$F$2:$CE$2,0))</f>
        <v>N</v>
      </c>
      <c r="F54" s="109"/>
      <c r="G54" s="190"/>
      <c r="H54" s="190"/>
      <c r="I54" s="190"/>
      <c r="J54" s="190"/>
      <c r="K54" s="187"/>
      <c r="L54" s="187"/>
      <c r="M54" s="187"/>
      <c r="N54" s="182"/>
      <c r="O54" s="182"/>
      <c r="P54" s="182"/>
      <c r="Q54" s="182"/>
      <c r="R54" s="182"/>
      <c r="S54" s="133"/>
      <c r="T54" s="103"/>
      <c r="U54" s="103"/>
      <c r="V54" s="103"/>
    </row>
    <row r="55" spans="2:22" ht="14.75" customHeight="1" x14ac:dyDescent="0.35">
      <c r="B55" s="267"/>
      <c r="C55" s="154" t="s">
        <v>239</v>
      </c>
      <c r="D55" s="149" t="s">
        <v>49</v>
      </c>
      <c r="E55" s="181" t="str">
        <f>INDEX(List!$F$2:$CE$173,MATCH($Q$23,List!$F$2:$F$173,0),MATCH(Placemat!$C63,List!$F$2:$CE$2,0))</f>
        <v>N</v>
      </c>
      <c r="F55" s="109"/>
      <c r="G55" s="190"/>
      <c r="H55" s="190"/>
      <c r="I55" s="190"/>
      <c r="J55" s="190"/>
      <c r="K55" s="187"/>
      <c r="L55" s="187"/>
      <c r="M55" s="187"/>
      <c r="N55" s="182"/>
      <c r="O55" s="182"/>
      <c r="P55" s="182"/>
      <c r="Q55" s="182"/>
      <c r="R55" s="182"/>
      <c r="S55" s="133"/>
      <c r="T55" s="103"/>
      <c r="U55" s="103"/>
      <c r="V55" s="103"/>
    </row>
    <row r="56" spans="2:22" ht="14.75" customHeight="1" thickBot="1" x14ac:dyDescent="0.4">
      <c r="B56" s="267"/>
      <c r="C56" s="154" t="s">
        <v>240</v>
      </c>
      <c r="D56" s="149" t="s">
        <v>49</v>
      </c>
      <c r="E56" s="181" t="str">
        <f>INDEX(List!$F$2:$CE$173,MATCH($Q$23,List!$F$2:$F$173,0),MATCH(Placemat!$C64,List!$F$2:$CE$2,0))</f>
        <v>S</v>
      </c>
      <c r="F56" s="109"/>
      <c r="G56" s="190"/>
      <c r="H56" s="190"/>
      <c r="I56" s="190"/>
      <c r="J56" s="190"/>
      <c r="K56" s="187"/>
      <c r="L56" s="187"/>
      <c r="M56" s="187"/>
      <c r="N56" s="182"/>
      <c r="O56" s="182"/>
      <c r="P56" s="182"/>
      <c r="Q56" s="182"/>
      <c r="R56" s="182"/>
      <c r="S56" s="133"/>
      <c r="T56" s="103"/>
      <c r="U56" s="103"/>
      <c r="V56" s="103"/>
    </row>
    <row r="57" spans="2:22" ht="21.5" thickBot="1" x14ac:dyDescent="0.55000000000000004">
      <c r="B57" s="267"/>
      <c r="C57" s="154" t="s">
        <v>260</v>
      </c>
      <c r="D57" s="149" t="s">
        <v>49</v>
      </c>
      <c r="E57" s="181" t="str">
        <f>INDEX(List!$F$2:$CE$173,MATCH($Q$23,List!$F$2:$F$173,0),MATCH(Placemat!$C65,List!$F$2:$CE$2,0))</f>
        <v>N</v>
      </c>
      <c r="F57" s="109"/>
      <c r="G57" s="202" t="str">
        <f>CONCATENATE($P$41, " - Customer Implementation Guidance")</f>
        <v>AC.L1-3.1.1 - Customer Implementation Guidance</v>
      </c>
      <c r="H57" s="203"/>
      <c r="I57" s="203"/>
      <c r="J57" s="203"/>
      <c r="K57" s="203"/>
      <c r="L57" s="203"/>
      <c r="M57" s="203"/>
      <c r="N57" s="203"/>
      <c r="O57" s="203"/>
      <c r="P57" s="203"/>
      <c r="Q57" s="203"/>
      <c r="R57" s="204"/>
      <c r="S57" s="133"/>
      <c r="T57" s="103"/>
      <c r="U57" s="103"/>
      <c r="V57" s="103"/>
    </row>
    <row r="58" spans="2:22" ht="18.5" x14ac:dyDescent="0.35">
      <c r="B58" s="267"/>
      <c r="C58" s="154" t="s">
        <v>263</v>
      </c>
      <c r="D58" s="149" t="s">
        <v>49</v>
      </c>
      <c r="E58" s="181" t="str">
        <f>INDEX(List!$F$2:$CE$173,MATCH($Q$23,List!$F$2:$F$173,0),MATCH(Placemat!$C66,List!$F$2:$CE$2,0))</f>
        <v>N</v>
      </c>
      <c r="F58" s="109"/>
      <c r="G58" s="205" t="str">
        <f>VLOOKUP($P$41,Statements!$B$1:$C$172,2,FALSE)</f>
        <v>It is good practice to assign permissions using the principle of least permissions; this involves giving users the exact permissions they need to do their jobs properly. Users, groups, and applications are added to roles in Azure, and those roles have certain permissions. You can use the built-in roles that Azure offers, or you can create custom roles in RBAC.
RBAC helps in the creation and assignment of different permissions to different identities. This helps in segregating duties within teams, rather than everyone having all permissions. RBAC helps in making people responsible for their job because others might not even have the necessary access to perform it. It should be noted that providing permissions at a greater scope automatically ensures that child resources inherit those permissions. For example, providing an identity with read access for a resource group means that the identity will have read access to all the resources within that group, too.
Customer Responsibility:
•	Responsible for authorizing access to the customer system.</v>
      </c>
      <c r="H58" s="206"/>
      <c r="I58" s="206"/>
      <c r="J58" s="206"/>
      <c r="K58" s="206"/>
      <c r="L58" s="206"/>
      <c r="M58" s="206"/>
      <c r="N58" s="206"/>
      <c r="O58" s="206"/>
      <c r="P58" s="206"/>
      <c r="Q58" s="206"/>
      <c r="R58" s="207"/>
      <c r="S58" s="133"/>
      <c r="T58" s="103"/>
      <c r="U58" s="103"/>
      <c r="V58" s="103"/>
    </row>
    <row r="59" spans="2:22" ht="18.5" x14ac:dyDescent="0.35">
      <c r="B59" s="267"/>
      <c r="C59" s="154" t="s">
        <v>265</v>
      </c>
      <c r="D59" s="149" t="s">
        <v>49</v>
      </c>
      <c r="E59" s="181" t="str">
        <f>INDEX(List!$F$2:$CE$173,MATCH($Q$23,List!$F$2:$F$173,0),MATCH(Placemat!$C67,List!$F$2:$CE$2,0))</f>
        <v>N</v>
      </c>
      <c r="F59" s="109"/>
      <c r="G59" s="208"/>
      <c r="H59" s="209"/>
      <c r="I59" s="209"/>
      <c r="J59" s="209"/>
      <c r="K59" s="209"/>
      <c r="L59" s="209"/>
      <c r="M59" s="209"/>
      <c r="N59" s="209"/>
      <c r="O59" s="209"/>
      <c r="P59" s="209"/>
      <c r="Q59" s="209"/>
      <c r="R59" s="210"/>
      <c r="S59" s="133"/>
      <c r="T59" s="103"/>
      <c r="U59" s="103"/>
      <c r="V59" s="103"/>
    </row>
    <row r="60" spans="2:22" ht="18.5" x14ac:dyDescent="0.35">
      <c r="B60" s="267"/>
      <c r="C60" s="154" t="s">
        <v>266</v>
      </c>
      <c r="D60" s="149" t="s">
        <v>49</v>
      </c>
      <c r="E60" s="181" t="str">
        <f>INDEX(List!$F$2:$CE$173,MATCH($Q$23,List!$F$2:$F$173,0),MATCH(Placemat!$C68,List!$F$2:$CE$2,0))</f>
        <v>N</v>
      </c>
      <c r="F60" s="109"/>
      <c r="G60" s="208"/>
      <c r="H60" s="209"/>
      <c r="I60" s="209"/>
      <c r="J60" s="209"/>
      <c r="K60" s="209"/>
      <c r="L60" s="209"/>
      <c r="M60" s="209"/>
      <c r="N60" s="209"/>
      <c r="O60" s="209"/>
      <c r="P60" s="209"/>
      <c r="Q60" s="209"/>
      <c r="R60" s="210"/>
      <c r="S60" s="133"/>
      <c r="T60" s="103"/>
      <c r="U60" s="103"/>
      <c r="V60" s="103"/>
    </row>
    <row r="61" spans="2:22" ht="18.5" x14ac:dyDescent="0.35">
      <c r="B61" s="267"/>
      <c r="C61" s="154" t="s">
        <v>267</v>
      </c>
      <c r="D61" s="149" t="s">
        <v>49</v>
      </c>
      <c r="E61" s="181" t="str">
        <f>INDEX(List!$F$2:$CE$173,MATCH($Q$23,List!$F$2:$F$173,0),MATCH(Placemat!$C69,List!$F$2:$CE$2,0))</f>
        <v>N</v>
      </c>
      <c r="F61" s="109"/>
      <c r="G61" s="208"/>
      <c r="H61" s="209"/>
      <c r="I61" s="209"/>
      <c r="J61" s="209"/>
      <c r="K61" s="209"/>
      <c r="L61" s="209"/>
      <c r="M61" s="209"/>
      <c r="N61" s="209"/>
      <c r="O61" s="209"/>
      <c r="P61" s="209"/>
      <c r="Q61" s="209"/>
      <c r="R61" s="210"/>
      <c r="S61" s="133"/>
      <c r="T61" s="103"/>
      <c r="U61" s="103"/>
      <c r="V61" s="103"/>
    </row>
    <row r="62" spans="2:22" ht="19" thickBot="1" x14ac:dyDescent="0.4">
      <c r="B62" s="267"/>
      <c r="C62" s="157" t="s">
        <v>268</v>
      </c>
      <c r="D62" s="150" t="s">
        <v>49</v>
      </c>
      <c r="E62" s="181" t="str">
        <f>INDEX(List!$F$2:$CE$173,MATCH($Q$23,List!$F$2:$F$173,0),MATCH(Placemat!$C70,List!$F$2:$CE$2,0))</f>
        <v>N</v>
      </c>
      <c r="F62" s="109"/>
      <c r="G62" s="208"/>
      <c r="H62" s="209"/>
      <c r="I62" s="209"/>
      <c r="J62" s="209"/>
      <c r="K62" s="209"/>
      <c r="L62" s="209"/>
      <c r="M62" s="209"/>
      <c r="N62" s="209"/>
      <c r="O62" s="209"/>
      <c r="P62" s="209"/>
      <c r="Q62" s="209"/>
      <c r="R62" s="210"/>
      <c r="S62" s="133"/>
      <c r="T62" s="103"/>
      <c r="U62" s="103"/>
      <c r="V62" s="103"/>
    </row>
    <row r="63" spans="2:22" ht="19" customHeight="1" x14ac:dyDescent="0.35">
      <c r="B63" s="267"/>
      <c r="C63" s="154" t="s">
        <v>241</v>
      </c>
      <c r="D63" s="149" t="s">
        <v>49</v>
      </c>
      <c r="E63" s="181" t="str">
        <f>INDEX(List!$F$2:$CE$173,MATCH($Q$23,List!$F$2:$F$173,0),MATCH(Placemat!$C71,List!$F$2:$CE$2,0))</f>
        <v>N</v>
      </c>
      <c r="F63" s="109"/>
      <c r="G63" s="208"/>
      <c r="H63" s="209"/>
      <c r="I63" s="209"/>
      <c r="J63" s="209"/>
      <c r="K63" s="209"/>
      <c r="L63" s="209"/>
      <c r="M63" s="209"/>
      <c r="N63" s="209"/>
      <c r="O63" s="209"/>
      <c r="P63" s="209"/>
      <c r="Q63" s="209"/>
      <c r="R63" s="210"/>
      <c r="S63" s="133"/>
      <c r="T63" s="103"/>
      <c r="U63" s="103"/>
      <c r="V63" s="103"/>
    </row>
    <row r="64" spans="2:22" ht="19" thickBot="1" x14ac:dyDescent="0.4">
      <c r="B64" s="267"/>
      <c r="C64" s="157" t="s">
        <v>242</v>
      </c>
      <c r="D64" s="150" t="s">
        <v>49</v>
      </c>
      <c r="E64" s="181" t="str">
        <f>INDEX(List!$F$2:$CE$173,MATCH($Q$23,List!$F$2:$F$173,0),MATCH(Placemat!$C72,List!$F$2:$CE$2,0))</f>
        <v>N</v>
      </c>
      <c r="F64" s="109"/>
      <c r="G64" s="208"/>
      <c r="H64" s="209"/>
      <c r="I64" s="209"/>
      <c r="J64" s="209"/>
      <c r="K64" s="209"/>
      <c r="L64" s="209"/>
      <c r="M64" s="209"/>
      <c r="N64" s="209"/>
      <c r="O64" s="209"/>
      <c r="P64" s="209"/>
      <c r="Q64" s="209"/>
      <c r="R64" s="210"/>
      <c r="S64" s="133"/>
      <c r="T64" s="103"/>
      <c r="U64" s="103"/>
      <c r="V64" s="103"/>
    </row>
    <row r="65" spans="2:22" ht="18.5" x14ac:dyDescent="0.35">
      <c r="B65" s="267"/>
      <c r="C65" s="155" t="s">
        <v>243</v>
      </c>
      <c r="D65" s="151" t="s">
        <v>49</v>
      </c>
      <c r="E65" s="181" t="str">
        <f>INDEX(List!$F$2:$CE$173,MATCH($Q$23,List!$F$2:$F$173,0),MATCH(Placemat!$C73,List!$F$2:$CE$2,0))</f>
        <v>N</v>
      </c>
      <c r="F65" s="109"/>
      <c r="G65" s="208"/>
      <c r="H65" s="209"/>
      <c r="I65" s="209"/>
      <c r="J65" s="209"/>
      <c r="K65" s="209"/>
      <c r="L65" s="209"/>
      <c r="M65" s="209"/>
      <c r="N65" s="209"/>
      <c r="O65" s="209"/>
      <c r="P65" s="209"/>
      <c r="Q65" s="209"/>
      <c r="R65" s="210"/>
      <c r="S65" s="133"/>
      <c r="T65" s="103"/>
      <c r="U65" s="103"/>
      <c r="V65" s="103"/>
    </row>
    <row r="66" spans="2:22" ht="21" customHeight="1" x14ac:dyDescent="0.5">
      <c r="B66" s="267"/>
      <c r="C66" s="154" t="s">
        <v>244</v>
      </c>
      <c r="D66" s="149" t="s">
        <v>49</v>
      </c>
      <c r="E66" s="181" t="str">
        <f>INDEX(List!$F$2:$CE$173,MATCH($Q$23,List!$F$2:$F$173,0),MATCH(Placemat!$C74,List!$F$2:$CE$2,0))</f>
        <v>N</v>
      </c>
      <c r="F66" s="109"/>
      <c r="G66" s="208"/>
      <c r="H66" s="209"/>
      <c r="I66" s="209"/>
      <c r="J66" s="209"/>
      <c r="K66" s="209"/>
      <c r="L66" s="209"/>
      <c r="M66" s="209"/>
      <c r="N66" s="209"/>
      <c r="O66" s="209"/>
      <c r="P66" s="209"/>
      <c r="Q66" s="209"/>
      <c r="R66" s="210"/>
      <c r="S66" s="134"/>
      <c r="T66" s="122"/>
      <c r="U66" s="103"/>
    </row>
    <row r="67" spans="2:22" ht="17" x14ac:dyDescent="0.35">
      <c r="B67" s="267"/>
      <c r="C67" s="154" t="s">
        <v>245</v>
      </c>
      <c r="D67" s="149" t="s">
        <v>49</v>
      </c>
      <c r="E67" s="181" t="str">
        <f>INDEX(List!$F$2:$CE$173,MATCH($Q$23,List!$F$2:$F$173,0),MATCH(Placemat!$C42,List!$F$2:$CE$2,0))</f>
        <v>S</v>
      </c>
      <c r="F67" s="108"/>
      <c r="G67" s="208"/>
      <c r="H67" s="209"/>
      <c r="I67" s="209"/>
      <c r="J67" s="209"/>
      <c r="K67" s="209"/>
      <c r="L67" s="209"/>
      <c r="M67" s="209"/>
      <c r="N67" s="209"/>
      <c r="O67" s="209"/>
      <c r="P67" s="209"/>
      <c r="Q67" s="209"/>
      <c r="R67" s="210"/>
      <c r="S67" s="135"/>
      <c r="T67" s="121"/>
      <c r="U67" s="103"/>
    </row>
    <row r="68" spans="2:22" ht="17" x14ac:dyDescent="0.35">
      <c r="B68" s="267"/>
      <c r="C68" s="154" t="s">
        <v>246</v>
      </c>
      <c r="D68" s="149" t="s">
        <v>49</v>
      </c>
      <c r="E68" s="181" t="str">
        <f>INDEX(List!$F$2:$CE$173,MATCH($Q$23,List!$F$2:$F$173,0),MATCH(Placemat!$C75,List!$F$2:$CE$2,0))</f>
        <v>N</v>
      </c>
      <c r="F68" s="108"/>
      <c r="G68" s="208"/>
      <c r="H68" s="209"/>
      <c r="I68" s="209"/>
      <c r="J68" s="209"/>
      <c r="K68" s="209"/>
      <c r="L68" s="209"/>
      <c r="M68" s="209"/>
      <c r="N68" s="209"/>
      <c r="O68" s="209"/>
      <c r="P68" s="209"/>
      <c r="Q68" s="209"/>
      <c r="R68" s="210"/>
      <c r="S68" s="135"/>
      <c r="T68" s="121"/>
      <c r="U68" s="103"/>
    </row>
    <row r="69" spans="2:22" ht="17" x14ac:dyDescent="0.35">
      <c r="B69" s="267"/>
      <c r="C69" s="154" t="s">
        <v>247</v>
      </c>
      <c r="D69" s="149" t="s">
        <v>49</v>
      </c>
      <c r="E69" s="181" t="str">
        <f>INDEX(List!$F$2:$CE$173,MATCH($Q$23,List!$F$2:$F$173,0),MATCH(Placemat!$C76,List!$F$2:$CE$2,0))</f>
        <v>N</v>
      </c>
      <c r="F69" s="108"/>
      <c r="G69" s="208"/>
      <c r="H69" s="209"/>
      <c r="I69" s="209"/>
      <c r="J69" s="209"/>
      <c r="K69" s="209"/>
      <c r="L69" s="209"/>
      <c r="M69" s="209"/>
      <c r="N69" s="209"/>
      <c r="O69" s="209"/>
      <c r="P69" s="209"/>
      <c r="Q69" s="209"/>
      <c r="R69" s="210"/>
      <c r="S69" s="135"/>
      <c r="T69" s="121"/>
      <c r="U69" s="103"/>
    </row>
    <row r="70" spans="2:22" ht="17.5" thickBot="1" x14ac:dyDescent="0.4">
      <c r="B70" s="267"/>
      <c r="C70" s="157" t="s">
        <v>248</v>
      </c>
      <c r="D70" s="150" t="s">
        <v>49</v>
      </c>
      <c r="E70" s="181" t="str">
        <f>INDEX(List!$F$2:$CE$173,MATCH($Q$23,List!$F$2:$F$173,0),MATCH(Placemat!$C77,List!$F$2:$CE$2,0))</f>
        <v>N</v>
      </c>
      <c r="F70" s="108"/>
      <c r="G70" s="208"/>
      <c r="H70" s="209"/>
      <c r="I70" s="209"/>
      <c r="J70" s="209"/>
      <c r="K70" s="209"/>
      <c r="L70" s="209"/>
      <c r="M70" s="209"/>
      <c r="N70" s="209"/>
      <c r="O70" s="209"/>
      <c r="P70" s="209"/>
      <c r="Q70" s="209"/>
      <c r="R70" s="210"/>
      <c r="S70" s="135"/>
      <c r="T70" s="121"/>
      <c r="U70" s="103"/>
    </row>
    <row r="71" spans="2:22" ht="17" x14ac:dyDescent="0.35">
      <c r="B71" s="266" t="s">
        <v>249</v>
      </c>
      <c r="C71" s="155" t="s">
        <v>250</v>
      </c>
      <c r="D71" s="151" t="s">
        <v>49</v>
      </c>
      <c r="E71" s="181" t="str">
        <f>INDEX(List!$F$2:$CE$173,MATCH($Q$23,List!$F$2:$F$173,0),MATCH(Placemat!$C54,List!$F$2:$CE$2,0))</f>
        <v>N</v>
      </c>
      <c r="F71" s="108"/>
      <c r="G71" s="208"/>
      <c r="H71" s="209"/>
      <c r="I71" s="209"/>
      <c r="J71" s="209"/>
      <c r="K71" s="209"/>
      <c r="L71" s="209"/>
      <c r="M71" s="209"/>
      <c r="N71" s="209"/>
      <c r="O71" s="209"/>
      <c r="P71" s="209"/>
      <c r="Q71" s="209"/>
      <c r="R71" s="210"/>
      <c r="S71" s="135"/>
      <c r="T71" s="121"/>
      <c r="U71" s="103"/>
    </row>
    <row r="72" spans="2:22" ht="17" x14ac:dyDescent="0.35">
      <c r="B72" s="267"/>
      <c r="C72" s="154" t="s">
        <v>251</v>
      </c>
      <c r="D72" s="149" t="s">
        <v>49</v>
      </c>
      <c r="E72" s="181" t="str">
        <f>INDEX(List!$F$2:$CE$173,MATCH($Q$23,List!$F$2:$F$173,0),MATCH(Placemat!$C57,List!$F$2:$CE$2,0))</f>
        <v>N</v>
      </c>
      <c r="F72" s="109"/>
      <c r="G72" s="208"/>
      <c r="H72" s="209"/>
      <c r="I72" s="209"/>
      <c r="J72" s="209"/>
      <c r="K72" s="209"/>
      <c r="L72" s="209"/>
      <c r="M72" s="209"/>
      <c r="N72" s="209"/>
      <c r="O72" s="209"/>
      <c r="P72" s="209"/>
      <c r="Q72" s="209"/>
      <c r="R72" s="210"/>
      <c r="S72" s="135"/>
      <c r="T72" s="121"/>
      <c r="U72" s="103"/>
    </row>
    <row r="73" spans="2:22" ht="17.5" customHeight="1" thickBot="1" x14ac:dyDescent="0.4">
      <c r="B73" s="268"/>
      <c r="C73" s="157" t="s">
        <v>252</v>
      </c>
      <c r="D73" s="150" t="s">
        <v>49</v>
      </c>
      <c r="E73" s="181" t="str">
        <f>INDEX(List!$F$2:$CE$173,MATCH($Q$23,List!$F$2:$F$173,0),MATCH(Placemat!$C78,List!$F$2:$CE$2,0))</f>
        <v>N</v>
      </c>
      <c r="F73" s="109"/>
      <c r="G73" s="208"/>
      <c r="H73" s="209"/>
      <c r="I73" s="209"/>
      <c r="J73" s="209"/>
      <c r="K73" s="209"/>
      <c r="L73" s="209"/>
      <c r="M73" s="209"/>
      <c r="N73" s="209"/>
      <c r="O73" s="209"/>
      <c r="P73" s="209"/>
      <c r="Q73" s="209"/>
      <c r="R73" s="210"/>
      <c r="S73" s="135"/>
      <c r="T73" s="121"/>
      <c r="U73" s="103"/>
    </row>
    <row r="74" spans="2:22" ht="17.5" customHeight="1" x14ac:dyDescent="0.35">
      <c r="B74" s="266" t="s">
        <v>253</v>
      </c>
      <c r="C74" s="154" t="s">
        <v>254</v>
      </c>
      <c r="D74" s="149" t="s">
        <v>49</v>
      </c>
      <c r="E74" s="181" t="str">
        <f>INDEX(List!$F$2:$CE$173,MATCH($Q$23,List!$F$2:$F$173,0),MATCH(Placemat!$C79,List!$F$2:$CE$2,0))</f>
        <v>N</v>
      </c>
      <c r="F74" s="109"/>
      <c r="G74" s="208"/>
      <c r="H74" s="209"/>
      <c r="I74" s="209"/>
      <c r="J74" s="209"/>
      <c r="K74" s="209"/>
      <c r="L74" s="209"/>
      <c r="M74" s="209"/>
      <c r="N74" s="209"/>
      <c r="O74" s="209"/>
      <c r="P74" s="209"/>
      <c r="Q74" s="209"/>
      <c r="R74" s="210"/>
      <c r="S74" s="135"/>
      <c r="T74" s="121"/>
      <c r="U74" s="103"/>
    </row>
    <row r="75" spans="2:22" ht="18" customHeight="1" x14ac:dyDescent="0.35">
      <c r="B75" s="267"/>
      <c r="C75" s="154" t="s">
        <v>256</v>
      </c>
      <c r="D75" s="149" t="s">
        <v>49</v>
      </c>
      <c r="E75" s="181" t="str">
        <f>INDEX(List!$F$2:$CE$173,MATCH($Q$23,List!$F$2:$F$173,0),MATCH(Placemat!$C58,List!$F$2:$CE$2,0))</f>
        <v>N</v>
      </c>
      <c r="F75" s="109"/>
      <c r="G75" s="208"/>
      <c r="H75" s="209"/>
      <c r="I75" s="209"/>
      <c r="J75" s="209"/>
      <c r="K75" s="209"/>
      <c r="L75" s="209"/>
      <c r="M75" s="209"/>
      <c r="N75" s="209"/>
      <c r="O75" s="209"/>
      <c r="P75" s="209"/>
      <c r="Q75" s="209"/>
      <c r="R75" s="210"/>
      <c r="S75" s="135"/>
      <c r="T75" s="121"/>
      <c r="U75" s="103"/>
    </row>
    <row r="76" spans="2:22" ht="17.5" customHeight="1" x14ac:dyDescent="0.35">
      <c r="B76" s="267"/>
      <c r="C76" s="154" t="s">
        <v>257</v>
      </c>
      <c r="D76" s="149" t="s">
        <v>49</v>
      </c>
      <c r="E76" s="181" t="str">
        <f>INDEX(List!$F$2:$CE$173,MATCH($Q$23,List!$F$2:$F$173,0),MATCH(Placemat!$C80,List!$F$2:$CE$2,0))</f>
        <v>N</v>
      </c>
      <c r="F76" s="108"/>
      <c r="G76" s="208"/>
      <c r="H76" s="209"/>
      <c r="I76" s="209"/>
      <c r="J76" s="209"/>
      <c r="K76" s="209"/>
      <c r="L76" s="209"/>
      <c r="M76" s="209"/>
      <c r="N76" s="209"/>
      <c r="O76" s="209"/>
      <c r="P76" s="209"/>
      <c r="Q76" s="209"/>
      <c r="R76" s="210"/>
      <c r="S76" s="135"/>
      <c r="T76" s="121"/>
      <c r="U76" s="103"/>
    </row>
    <row r="77" spans="2:22" ht="17.5" customHeight="1" x14ac:dyDescent="0.35">
      <c r="B77" s="267"/>
      <c r="C77" s="154" t="s">
        <v>258</v>
      </c>
      <c r="D77" s="149" t="s">
        <v>49</v>
      </c>
      <c r="E77" s="181" t="str">
        <f>INDEX(List!$F$2:$CE$173,MATCH($Q$23,List!$F$2:$F$173,0),MATCH(Placemat!$C59,List!$F$2:$CE$2,0))</f>
        <v>N</v>
      </c>
      <c r="F77" s="108"/>
      <c r="G77" s="208"/>
      <c r="H77" s="209"/>
      <c r="I77" s="209"/>
      <c r="J77" s="209"/>
      <c r="K77" s="209"/>
      <c r="L77" s="209"/>
      <c r="M77" s="209"/>
      <c r="N77" s="209"/>
      <c r="O77" s="209"/>
      <c r="P77" s="209"/>
      <c r="Q77" s="209"/>
      <c r="R77" s="210"/>
      <c r="S77" s="135"/>
      <c r="T77" s="121"/>
      <c r="U77" s="103"/>
    </row>
    <row r="78" spans="2:22" ht="17.5" customHeight="1" x14ac:dyDescent="0.35">
      <c r="B78" s="267"/>
      <c r="C78" s="155" t="s">
        <v>261</v>
      </c>
      <c r="D78" s="151" t="s">
        <v>49</v>
      </c>
      <c r="E78" s="181" t="str">
        <f>INDEX(List!$F$2:$CE$173,MATCH($Q$23,List!$F$2:$F$173,0),MATCH(Placemat!$C60,List!$F$2:$CE$2,0))</f>
        <v>P</v>
      </c>
      <c r="F78" s="108"/>
      <c r="G78" s="208"/>
      <c r="H78" s="209"/>
      <c r="I78" s="209"/>
      <c r="J78" s="209"/>
      <c r="K78" s="209"/>
      <c r="L78" s="209"/>
      <c r="M78" s="209"/>
      <c r="N78" s="209"/>
      <c r="O78" s="209"/>
      <c r="P78" s="209"/>
      <c r="Q78" s="209"/>
      <c r="R78" s="210"/>
      <c r="S78" s="135"/>
      <c r="T78" s="121"/>
      <c r="U78" s="103"/>
    </row>
    <row r="79" spans="2:22" ht="18" customHeight="1" x14ac:dyDescent="0.35">
      <c r="B79" s="267"/>
      <c r="C79" s="154" t="s">
        <v>262</v>
      </c>
      <c r="D79" s="149" t="s">
        <v>49</v>
      </c>
      <c r="E79" s="181" t="str">
        <f>INDEX(List!$F$2:$CE$173,MATCH($Q$23,List!$F$2:$F$173,0),MATCH(Placemat!$C61,List!$F$2:$CE$2,0))</f>
        <v>N</v>
      </c>
      <c r="F79" s="108"/>
      <c r="G79" s="208"/>
      <c r="H79" s="209"/>
      <c r="I79" s="209"/>
      <c r="J79" s="209"/>
      <c r="K79" s="209"/>
      <c r="L79" s="209"/>
      <c r="M79" s="209"/>
      <c r="N79" s="209"/>
      <c r="O79" s="209"/>
      <c r="P79" s="209"/>
      <c r="Q79" s="209"/>
      <c r="R79" s="210"/>
      <c r="S79" s="135"/>
      <c r="T79" s="121"/>
      <c r="U79" s="103"/>
    </row>
    <row r="80" spans="2:22" ht="17.5" thickBot="1" x14ac:dyDescent="0.4">
      <c r="B80" s="268"/>
      <c r="C80" s="154" t="s">
        <v>264</v>
      </c>
      <c r="D80" s="149" t="s">
        <v>49</v>
      </c>
      <c r="E80" s="181" t="str">
        <f>INDEX(List!$F$2:$CE$173,MATCH($Q$23,List!$F$2:$F$173,0),MATCH(Placemat!$C62,List!$F$2:$CE$2,0))</f>
        <v>N</v>
      </c>
      <c r="F80" s="108"/>
      <c r="G80" s="208"/>
      <c r="H80" s="209"/>
      <c r="I80" s="209"/>
      <c r="J80" s="209"/>
      <c r="K80" s="209"/>
      <c r="L80" s="209"/>
      <c r="M80" s="209"/>
      <c r="N80" s="209"/>
      <c r="O80" s="209"/>
      <c r="P80" s="209"/>
      <c r="Q80" s="209"/>
      <c r="R80" s="210"/>
      <c r="S80" s="135"/>
      <c r="T80" s="121"/>
      <c r="U80" s="103"/>
    </row>
    <row r="81" spans="1:21" ht="17" x14ac:dyDescent="0.35">
      <c r="A81" s="30"/>
      <c r="E81" s="30"/>
      <c r="F81" s="108"/>
      <c r="G81" s="208"/>
      <c r="H81" s="209"/>
      <c r="I81" s="209"/>
      <c r="J81" s="209"/>
      <c r="K81" s="209"/>
      <c r="L81" s="209"/>
      <c r="M81" s="209"/>
      <c r="N81" s="209"/>
      <c r="O81" s="209"/>
      <c r="P81" s="209"/>
      <c r="Q81" s="209"/>
      <c r="R81" s="210"/>
      <c r="S81" s="135"/>
      <c r="T81" s="121"/>
      <c r="U81" s="103"/>
    </row>
    <row r="82" spans="1:21" ht="15" customHeight="1" x14ac:dyDescent="0.35">
      <c r="A82" s="30"/>
      <c r="E82" s="30"/>
      <c r="F82" s="108"/>
      <c r="G82" s="208"/>
      <c r="H82" s="209"/>
      <c r="I82" s="209"/>
      <c r="J82" s="209"/>
      <c r="K82" s="209"/>
      <c r="L82" s="209"/>
      <c r="M82" s="209"/>
      <c r="N82" s="209"/>
      <c r="O82" s="209"/>
      <c r="P82" s="209"/>
      <c r="Q82" s="209"/>
      <c r="R82" s="210"/>
      <c r="S82" s="135"/>
      <c r="T82" s="121"/>
      <c r="U82" s="103"/>
    </row>
    <row r="83" spans="1:21" ht="14.5" customHeight="1" x14ac:dyDescent="0.35">
      <c r="A83" s="30"/>
      <c r="E83" s="30"/>
      <c r="F83" s="108"/>
      <c r="G83" s="208"/>
      <c r="H83" s="209"/>
      <c r="I83" s="209"/>
      <c r="J83" s="209"/>
      <c r="K83" s="209"/>
      <c r="L83" s="209"/>
      <c r="M83" s="209"/>
      <c r="N83" s="209"/>
      <c r="O83" s="209"/>
      <c r="P83" s="209"/>
      <c r="Q83" s="209"/>
      <c r="R83" s="210"/>
      <c r="S83" s="135"/>
      <c r="T83" s="121"/>
      <c r="U83" s="103"/>
    </row>
    <row r="84" spans="1:21" ht="15" customHeight="1" thickBot="1" x14ac:dyDescent="0.4">
      <c r="A84" s="30"/>
      <c r="E84" s="30"/>
      <c r="F84" s="108"/>
      <c r="G84" s="208"/>
      <c r="H84" s="209"/>
      <c r="I84" s="209"/>
      <c r="J84" s="209"/>
      <c r="K84" s="209"/>
      <c r="L84" s="209"/>
      <c r="M84" s="209"/>
      <c r="N84" s="209"/>
      <c r="O84" s="209"/>
      <c r="P84" s="209"/>
      <c r="Q84" s="209"/>
      <c r="R84" s="210"/>
      <c r="S84" s="135"/>
      <c r="T84" s="121"/>
      <c r="U84" s="103"/>
    </row>
    <row r="85" spans="1:21" ht="15" customHeight="1" x14ac:dyDescent="0.35">
      <c r="A85" s="30"/>
      <c r="B85" s="269" t="s">
        <v>269</v>
      </c>
      <c r="C85" s="270"/>
      <c r="D85" s="271"/>
      <c r="E85" s="30"/>
      <c r="F85" s="108"/>
      <c r="G85" s="208"/>
      <c r="H85" s="209"/>
      <c r="I85" s="209"/>
      <c r="J85" s="209"/>
      <c r="K85" s="209"/>
      <c r="L85" s="209"/>
      <c r="M85" s="209"/>
      <c r="N85" s="209"/>
      <c r="O85" s="209"/>
      <c r="P85" s="209"/>
      <c r="Q85" s="209"/>
      <c r="R85" s="210"/>
      <c r="S85" s="135"/>
      <c r="T85" s="121"/>
      <c r="U85" s="103"/>
    </row>
    <row r="86" spans="1:21" ht="15" customHeight="1" x14ac:dyDescent="0.35">
      <c r="A86" s="30"/>
      <c r="B86" s="272"/>
      <c r="C86" s="273"/>
      <c r="D86" s="274"/>
      <c r="E86" s="30"/>
      <c r="F86" s="108"/>
      <c r="G86" s="208"/>
      <c r="H86" s="209"/>
      <c r="I86" s="209"/>
      <c r="J86" s="209"/>
      <c r="K86" s="209"/>
      <c r="L86" s="209"/>
      <c r="M86" s="209"/>
      <c r="N86" s="209"/>
      <c r="O86" s="209"/>
      <c r="P86" s="209"/>
      <c r="Q86" s="209"/>
      <c r="R86" s="210"/>
      <c r="S86" s="135"/>
      <c r="T86" s="121"/>
      <c r="U86" s="103"/>
    </row>
    <row r="87" spans="1:21" ht="15" customHeight="1" x14ac:dyDescent="0.35">
      <c r="A87" s="30"/>
      <c r="B87" s="272"/>
      <c r="C87" s="273"/>
      <c r="D87" s="274"/>
      <c r="E87" s="30"/>
      <c r="F87" s="108"/>
      <c r="G87" s="208"/>
      <c r="H87" s="209"/>
      <c r="I87" s="209"/>
      <c r="J87" s="209"/>
      <c r="K87" s="209"/>
      <c r="L87" s="209"/>
      <c r="M87" s="209"/>
      <c r="N87" s="209"/>
      <c r="O87" s="209"/>
      <c r="P87" s="209"/>
      <c r="Q87" s="209"/>
      <c r="R87" s="210"/>
      <c r="S87" s="135"/>
      <c r="T87" s="121"/>
      <c r="U87" s="103"/>
    </row>
    <row r="88" spans="1:21" ht="15" customHeight="1" x14ac:dyDescent="0.35">
      <c r="A88" s="30"/>
      <c r="B88" s="272"/>
      <c r="C88" s="273"/>
      <c r="D88" s="274"/>
      <c r="E88" s="30"/>
      <c r="F88" s="108"/>
      <c r="G88" s="208"/>
      <c r="H88" s="209"/>
      <c r="I88" s="209"/>
      <c r="J88" s="209"/>
      <c r="K88" s="209"/>
      <c r="L88" s="209"/>
      <c r="M88" s="209"/>
      <c r="N88" s="209"/>
      <c r="O88" s="209"/>
      <c r="P88" s="209"/>
      <c r="Q88" s="209"/>
      <c r="R88" s="210"/>
      <c r="S88" s="135"/>
      <c r="T88" s="121"/>
      <c r="U88" s="103"/>
    </row>
    <row r="89" spans="1:21" ht="15" customHeight="1" thickBot="1" x14ac:dyDescent="0.4">
      <c r="A89" s="30"/>
      <c r="B89" s="275"/>
      <c r="C89" s="276"/>
      <c r="D89" s="277"/>
      <c r="E89" s="30"/>
      <c r="F89" s="108"/>
      <c r="G89" s="208"/>
      <c r="H89" s="209"/>
      <c r="I89" s="209"/>
      <c r="J89" s="209"/>
      <c r="K89" s="209"/>
      <c r="L89" s="209"/>
      <c r="M89" s="209"/>
      <c r="N89" s="209"/>
      <c r="O89" s="209"/>
      <c r="P89" s="209"/>
      <c r="Q89" s="209"/>
      <c r="R89" s="210"/>
      <c r="S89" s="135"/>
      <c r="T89" s="121"/>
      <c r="U89" s="103"/>
    </row>
    <row r="90" spans="1:21" ht="15" customHeight="1" thickBot="1" x14ac:dyDescent="0.4">
      <c r="A90" s="30"/>
      <c r="E90" s="30"/>
      <c r="F90" s="108"/>
      <c r="G90" s="208"/>
      <c r="H90" s="209"/>
      <c r="I90" s="209"/>
      <c r="J90" s="209"/>
      <c r="K90" s="209"/>
      <c r="L90" s="209"/>
      <c r="M90" s="209"/>
      <c r="N90" s="209"/>
      <c r="O90" s="209"/>
      <c r="P90" s="209"/>
      <c r="Q90" s="209"/>
      <c r="R90" s="210"/>
      <c r="S90" s="135"/>
      <c r="T90" s="121"/>
      <c r="U90" s="103"/>
    </row>
    <row r="91" spans="1:21" ht="25" customHeight="1" thickBot="1" x14ac:dyDescent="0.6">
      <c r="A91" s="30"/>
      <c r="B91" s="177" t="s">
        <v>270</v>
      </c>
      <c r="C91" s="178"/>
      <c r="D91" s="179"/>
      <c r="E91" s="30"/>
      <c r="F91" s="108"/>
      <c r="G91" s="208"/>
      <c r="H91" s="209"/>
      <c r="I91" s="209"/>
      <c r="J91" s="209"/>
      <c r="K91" s="209"/>
      <c r="L91" s="209"/>
      <c r="M91" s="209"/>
      <c r="N91" s="209"/>
      <c r="O91" s="209"/>
      <c r="P91" s="209"/>
      <c r="Q91" s="209"/>
      <c r="R91" s="210"/>
      <c r="S91" s="135"/>
      <c r="T91" s="121"/>
      <c r="U91" s="103"/>
    </row>
    <row r="92" spans="1:21" ht="15" customHeight="1" x14ac:dyDescent="0.35">
      <c r="A92" s="30"/>
      <c r="B92" s="2"/>
      <c r="D92" s="1"/>
      <c r="E92" s="30"/>
      <c r="F92" s="108"/>
      <c r="G92" s="208"/>
      <c r="H92" s="209"/>
      <c r="I92" s="209"/>
      <c r="J92" s="209"/>
      <c r="K92" s="209"/>
      <c r="L92" s="209"/>
      <c r="M92" s="209"/>
      <c r="N92" s="209"/>
      <c r="O92" s="209"/>
      <c r="P92" s="209"/>
      <c r="Q92" s="209"/>
      <c r="R92" s="210"/>
      <c r="S92" s="135"/>
      <c r="T92" s="121"/>
      <c r="U92" s="103"/>
    </row>
    <row r="93" spans="1:21" ht="15" customHeight="1" x14ac:dyDescent="0.35">
      <c r="A93" s="30"/>
      <c r="B93" s="2"/>
      <c r="D93" s="1"/>
      <c r="E93" s="30"/>
      <c r="F93" s="108"/>
      <c r="G93" s="208"/>
      <c r="H93" s="209"/>
      <c r="I93" s="209"/>
      <c r="J93" s="209"/>
      <c r="K93" s="209"/>
      <c r="L93" s="209"/>
      <c r="M93" s="209"/>
      <c r="N93" s="209"/>
      <c r="O93" s="209"/>
      <c r="P93" s="209"/>
      <c r="Q93" s="209"/>
      <c r="R93" s="210"/>
      <c r="S93" s="135"/>
      <c r="T93" s="121"/>
      <c r="U93" s="103"/>
    </row>
    <row r="94" spans="1:21" ht="15" customHeight="1" x14ac:dyDescent="0.35">
      <c r="A94" s="30"/>
      <c r="B94" s="2"/>
      <c r="D94" s="1"/>
      <c r="E94" s="30"/>
      <c r="F94" s="108"/>
      <c r="G94" s="208"/>
      <c r="H94" s="209"/>
      <c r="I94" s="209"/>
      <c r="J94" s="209"/>
      <c r="K94" s="209"/>
      <c r="L94" s="209"/>
      <c r="M94" s="209"/>
      <c r="N94" s="209"/>
      <c r="O94" s="209"/>
      <c r="P94" s="209"/>
      <c r="Q94" s="209"/>
      <c r="R94" s="210"/>
      <c r="S94" s="135"/>
      <c r="T94" s="121"/>
      <c r="U94" s="103"/>
    </row>
    <row r="95" spans="1:21" ht="15" customHeight="1" x14ac:dyDescent="0.35">
      <c r="A95" s="30"/>
      <c r="B95" s="2"/>
      <c r="D95" s="1"/>
      <c r="E95" s="30"/>
      <c r="F95" s="108"/>
      <c r="G95" s="208"/>
      <c r="H95" s="209"/>
      <c r="I95" s="209"/>
      <c r="J95" s="209"/>
      <c r="K95" s="209"/>
      <c r="L95" s="209"/>
      <c r="M95" s="209"/>
      <c r="N95" s="209"/>
      <c r="O95" s="209"/>
      <c r="P95" s="209"/>
      <c r="Q95" s="209"/>
      <c r="R95" s="210"/>
      <c r="S95" s="135"/>
      <c r="T95" s="121"/>
      <c r="U95" s="103"/>
    </row>
    <row r="96" spans="1:21" ht="15" customHeight="1" thickBot="1" x14ac:dyDescent="0.4">
      <c r="A96" s="30"/>
      <c r="B96" s="10"/>
      <c r="C96" s="11"/>
      <c r="D96" s="12"/>
      <c r="E96" s="30"/>
      <c r="F96" s="108"/>
      <c r="G96" s="208"/>
      <c r="H96" s="209"/>
      <c r="I96" s="209"/>
      <c r="J96" s="209"/>
      <c r="K96" s="209"/>
      <c r="L96" s="209"/>
      <c r="M96" s="209"/>
      <c r="N96" s="209"/>
      <c r="O96" s="209"/>
      <c r="P96" s="209"/>
      <c r="Q96" s="209"/>
      <c r="R96" s="210"/>
      <c r="S96" s="135"/>
      <c r="T96" s="121"/>
      <c r="U96" s="103"/>
    </row>
    <row r="97" spans="1:22" ht="15" customHeight="1" thickBot="1" x14ac:dyDescent="0.4">
      <c r="A97" s="30"/>
      <c r="E97" s="30"/>
      <c r="F97" s="108"/>
      <c r="G97" s="208"/>
      <c r="H97" s="209"/>
      <c r="I97" s="209"/>
      <c r="J97" s="209"/>
      <c r="K97" s="209"/>
      <c r="L97" s="209"/>
      <c r="M97" s="209"/>
      <c r="N97" s="209"/>
      <c r="O97" s="209"/>
      <c r="P97" s="209"/>
      <c r="Q97" s="209"/>
      <c r="R97" s="210"/>
      <c r="S97" s="135"/>
      <c r="T97" s="121"/>
      <c r="U97" s="103"/>
    </row>
    <row r="98" spans="1:22" ht="25" customHeight="1" thickBot="1" x14ac:dyDescent="0.6">
      <c r="A98" s="30"/>
      <c r="B98" s="177" t="s">
        <v>271</v>
      </c>
      <c r="C98" s="178"/>
      <c r="D98" s="179"/>
      <c r="E98" s="30"/>
      <c r="F98" s="108"/>
      <c r="G98" s="208"/>
      <c r="H98" s="209"/>
      <c r="I98" s="209"/>
      <c r="J98" s="209"/>
      <c r="K98" s="209"/>
      <c r="L98" s="209"/>
      <c r="M98" s="209"/>
      <c r="N98" s="209"/>
      <c r="O98" s="209"/>
      <c r="P98" s="209"/>
      <c r="Q98" s="209"/>
      <c r="R98" s="210"/>
      <c r="S98" s="135"/>
      <c r="T98" s="121"/>
      <c r="U98" s="103"/>
    </row>
    <row r="99" spans="1:22" ht="15" customHeight="1" x14ac:dyDescent="0.35">
      <c r="A99" s="30"/>
      <c r="B99" s="2"/>
      <c r="D99" s="1"/>
      <c r="E99" s="30"/>
      <c r="F99" s="108"/>
      <c r="G99" s="208"/>
      <c r="H99" s="209"/>
      <c r="I99" s="209"/>
      <c r="J99" s="209"/>
      <c r="K99" s="209"/>
      <c r="L99" s="209"/>
      <c r="M99" s="209"/>
      <c r="N99" s="209"/>
      <c r="O99" s="209"/>
      <c r="P99" s="209"/>
      <c r="Q99" s="209"/>
      <c r="R99" s="210"/>
      <c r="S99" s="135"/>
      <c r="T99" s="121"/>
      <c r="U99" s="103"/>
    </row>
    <row r="100" spans="1:22" ht="15" customHeight="1" x14ac:dyDescent="0.35">
      <c r="A100" s="30"/>
      <c r="B100" s="2"/>
      <c r="D100" s="1"/>
      <c r="E100" s="30"/>
      <c r="F100" s="108"/>
      <c r="G100" s="208"/>
      <c r="H100" s="209"/>
      <c r="I100" s="209"/>
      <c r="J100" s="209"/>
      <c r="K100" s="209"/>
      <c r="L100" s="209"/>
      <c r="M100" s="209"/>
      <c r="N100" s="209"/>
      <c r="O100" s="209"/>
      <c r="P100" s="209"/>
      <c r="Q100" s="209"/>
      <c r="R100" s="210"/>
      <c r="S100" s="135"/>
      <c r="T100" s="121"/>
      <c r="U100" s="103"/>
    </row>
    <row r="101" spans="1:22" ht="15" customHeight="1" x14ac:dyDescent="0.35">
      <c r="A101" s="30"/>
      <c r="B101" s="2"/>
      <c r="D101" s="1"/>
      <c r="E101" s="30"/>
      <c r="F101" s="108"/>
      <c r="G101" s="208"/>
      <c r="H101" s="209"/>
      <c r="I101" s="209"/>
      <c r="J101" s="209"/>
      <c r="K101" s="209"/>
      <c r="L101" s="209"/>
      <c r="M101" s="209"/>
      <c r="N101" s="209"/>
      <c r="O101" s="209"/>
      <c r="P101" s="209"/>
      <c r="Q101" s="209"/>
      <c r="R101" s="210"/>
      <c r="S101" s="135"/>
      <c r="T101" s="121"/>
      <c r="U101" s="103"/>
    </row>
    <row r="102" spans="1:22" ht="15" customHeight="1" thickBot="1" x14ac:dyDescent="0.4">
      <c r="A102" s="30"/>
      <c r="B102" s="10"/>
      <c r="C102" s="11"/>
      <c r="D102" s="12"/>
      <c r="E102" s="30"/>
      <c r="F102" s="108"/>
      <c r="G102" s="208"/>
      <c r="H102" s="209"/>
      <c r="I102" s="209"/>
      <c r="J102" s="209"/>
      <c r="K102" s="209"/>
      <c r="L102" s="209"/>
      <c r="M102" s="209"/>
      <c r="N102" s="209"/>
      <c r="O102" s="209"/>
      <c r="P102" s="209"/>
      <c r="Q102" s="209"/>
      <c r="R102" s="210"/>
      <c r="S102" s="135"/>
      <c r="T102" s="121"/>
      <c r="U102" s="103"/>
    </row>
    <row r="103" spans="1:22" ht="15" customHeight="1" x14ac:dyDescent="0.35">
      <c r="A103" s="30"/>
      <c r="E103" s="30"/>
      <c r="F103" s="108"/>
      <c r="G103" s="208"/>
      <c r="H103" s="209"/>
      <c r="I103" s="209"/>
      <c r="J103" s="209"/>
      <c r="K103" s="209"/>
      <c r="L103" s="209"/>
      <c r="M103" s="209"/>
      <c r="N103" s="209"/>
      <c r="O103" s="209"/>
      <c r="P103" s="209"/>
      <c r="Q103" s="209"/>
      <c r="R103" s="210"/>
      <c r="S103" s="135"/>
      <c r="T103" s="121"/>
      <c r="U103" s="103"/>
    </row>
    <row r="104" spans="1:22" ht="21" x14ac:dyDescent="0.5">
      <c r="A104" s="30"/>
      <c r="B104" s="262" t="s">
        <v>1091</v>
      </c>
      <c r="C104" s="262"/>
      <c r="D104" s="262"/>
      <c r="E104" s="30"/>
      <c r="F104" s="108"/>
      <c r="G104" s="208"/>
      <c r="H104" s="209"/>
      <c r="I104" s="209"/>
      <c r="J104" s="209"/>
      <c r="K104" s="209"/>
      <c r="L104" s="209"/>
      <c r="M104" s="209"/>
      <c r="N104" s="209"/>
      <c r="O104" s="209"/>
      <c r="P104" s="209"/>
      <c r="Q104" s="209"/>
      <c r="R104" s="210"/>
      <c r="S104" s="135"/>
      <c r="T104" s="121"/>
      <c r="U104" s="103"/>
    </row>
    <row r="105" spans="1:22" ht="15" customHeight="1" x14ac:dyDescent="0.35">
      <c r="A105" s="30"/>
      <c r="E105" s="30"/>
      <c r="F105" s="108"/>
      <c r="G105" s="208"/>
      <c r="H105" s="209"/>
      <c r="I105" s="209"/>
      <c r="J105" s="209"/>
      <c r="K105" s="209"/>
      <c r="L105" s="209"/>
      <c r="M105" s="209"/>
      <c r="N105" s="209"/>
      <c r="O105" s="209"/>
      <c r="P105" s="209"/>
      <c r="Q105" s="209"/>
      <c r="R105" s="210"/>
      <c r="S105" s="135"/>
      <c r="T105" s="121"/>
      <c r="U105" s="103"/>
    </row>
    <row r="106" spans="1:22" ht="15" customHeight="1" x14ac:dyDescent="0.35">
      <c r="A106" s="30"/>
      <c r="E106" s="30"/>
      <c r="F106" s="108"/>
      <c r="G106" s="208"/>
      <c r="H106" s="209"/>
      <c r="I106" s="209"/>
      <c r="J106" s="209"/>
      <c r="K106" s="209"/>
      <c r="L106" s="209"/>
      <c r="M106" s="209"/>
      <c r="N106" s="209"/>
      <c r="O106" s="209"/>
      <c r="P106" s="209"/>
      <c r="Q106" s="209"/>
      <c r="R106" s="210"/>
      <c r="S106" s="135"/>
      <c r="T106" s="121"/>
      <c r="U106" s="103"/>
    </row>
    <row r="107" spans="1:22" ht="15" customHeight="1" x14ac:dyDescent="0.35">
      <c r="A107" s="30"/>
      <c r="E107" s="30"/>
      <c r="F107" s="108"/>
      <c r="G107" s="208"/>
      <c r="H107" s="209"/>
      <c r="I107" s="209"/>
      <c r="J107" s="209"/>
      <c r="K107" s="209"/>
      <c r="L107" s="209"/>
      <c r="M107" s="209"/>
      <c r="N107" s="209"/>
      <c r="O107" s="209"/>
      <c r="P107" s="209"/>
      <c r="Q107" s="209"/>
      <c r="R107" s="210"/>
      <c r="S107" s="135"/>
      <c r="T107" s="121"/>
      <c r="U107" s="103"/>
    </row>
    <row r="108" spans="1:22" ht="15" customHeight="1" x14ac:dyDescent="0.35">
      <c r="A108" s="30"/>
      <c r="E108" s="30"/>
      <c r="F108" s="108"/>
      <c r="G108" s="208"/>
      <c r="H108" s="209"/>
      <c r="I108" s="209"/>
      <c r="J108" s="209"/>
      <c r="K108" s="209"/>
      <c r="L108" s="209"/>
      <c r="M108" s="209"/>
      <c r="N108" s="209"/>
      <c r="O108" s="209"/>
      <c r="P108" s="209"/>
      <c r="Q108" s="209"/>
      <c r="R108" s="210"/>
      <c r="S108" s="135"/>
      <c r="T108" s="121"/>
      <c r="U108" s="103"/>
    </row>
    <row r="109" spans="1:22" ht="15" customHeight="1" x14ac:dyDescent="0.35">
      <c r="A109" s="30"/>
      <c r="E109" s="30"/>
      <c r="F109" s="108"/>
      <c r="G109" s="208"/>
      <c r="H109" s="209"/>
      <c r="I109" s="209"/>
      <c r="J109" s="209"/>
      <c r="K109" s="209"/>
      <c r="L109" s="209"/>
      <c r="M109" s="209"/>
      <c r="N109" s="209"/>
      <c r="O109" s="209"/>
      <c r="P109" s="209"/>
      <c r="Q109" s="209"/>
      <c r="R109" s="210"/>
      <c r="S109" s="135"/>
      <c r="T109" s="121"/>
      <c r="U109" s="103"/>
    </row>
    <row r="110" spans="1:22" ht="15" customHeight="1" thickBot="1" x14ac:dyDescent="0.4">
      <c r="A110" s="30"/>
      <c r="E110" s="30"/>
      <c r="F110" s="108"/>
      <c r="G110" s="211"/>
      <c r="H110" s="212"/>
      <c r="I110" s="212"/>
      <c r="J110" s="212"/>
      <c r="K110" s="212"/>
      <c r="L110" s="212"/>
      <c r="M110" s="212"/>
      <c r="N110" s="212"/>
      <c r="O110" s="212"/>
      <c r="P110" s="212"/>
      <c r="Q110" s="212"/>
      <c r="R110" s="213"/>
      <c r="S110" s="135"/>
      <c r="T110" s="121"/>
      <c r="U110" s="103"/>
    </row>
    <row r="111" spans="1:22" ht="15" thickBot="1" x14ac:dyDescent="0.4">
      <c r="A111" s="30"/>
      <c r="E111" s="30"/>
      <c r="F111" s="110"/>
      <c r="G111" s="111"/>
      <c r="H111" s="111"/>
      <c r="I111" s="111"/>
      <c r="J111" s="111"/>
      <c r="K111" s="111"/>
      <c r="L111" s="111"/>
      <c r="M111" s="111"/>
      <c r="N111" s="111"/>
      <c r="O111" s="111"/>
      <c r="P111" s="111"/>
      <c r="Q111" s="111"/>
      <c r="R111" s="111"/>
      <c r="S111" s="112"/>
      <c r="T111" s="103"/>
      <c r="U111" s="103"/>
      <c r="V111" s="103"/>
    </row>
    <row r="112" spans="1:22" x14ac:dyDescent="0.35">
      <c r="A112" s="30"/>
      <c r="E112" s="30"/>
      <c r="F112" s="30"/>
      <c r="G112" s="118"/>
      <c r="H112" s="30"/>
      <c r="I112" s="30"/>
      <c r="J112" s="30"/>
      <c r="K112" s="30"/>
      <c r="L112" s="30"/>
      <c r="M112" s="30"/>
      <c r="N112" s="30"/>
    </row>
    <row r="113" spans="1:17" x14ac:dyDescent="0.35">
      <c r="A113" s="30"/>
      <c r="E113" s="30"/>
      <c r="F113" s="30"/>
      <c r="G113" s="30"/>
      <c r="H113" s="30"/>
      <c r="I113" s="30"/>
      <c r="J113" s="30"/>
      <c r="K113" s="30"/>
      <c r="L113" s="30"/>
      <c r="M113" s="30"/>
      <c r="N113" s="30"/>
      <c r="O113" s="30"/>
      <c r="P113" s="30"/>
      <c r="Q113" s="30"/>
    </row>
    <row r="114" spans="1:17" x14ac:dyDescent="0.35">
      <c r="A114" s="30"/>
      <c r="D114" s="30"/>
      <c r="E114" s="30"/>
      <c r="F114" s="30"/>
      <c r="G114" s="30"/>
      <c r="H114" s="30"/>
      <c r="I114" s="30"/>
      <c r="J114" s="30"/>
      <c r="K114" s="30"/>
      <c r="L114" s="30"/>
      <c r="M114" s="30"/>
      <c r="N114" s="30"/>
      <c r="O114" s="30"/>
      <c r="P114" s="30"/>
      <c r="Q114" s="30"/>
    </row>
    <row r="115" spans="1:17" x14ac:dyDescent="0.35">
      <c r="A115" s="30"/>
      <c r="D115" s="30"/>
      <c r="E115" s="30"/>
      <c r="F115" s="30"/>
      <c r="G115" s="36"/>
      <c r="H115" s="36"/>
      <c r="I115" s="36"/>
      <c r="J115" s="30"/>
      <c r="K115" s="30"/>
      <c r="L115" s="30"/>
      <c r="M115" s="30"/>
      <c r="N115" s="30"/>
      <c r="O115" s="30"/>
      <c r="P115" s="30"/>
      <c r="Q115" s="30"/>
    </row>
    <row r="116" spans="1:17" x14ac:dyDescent="0.35">
      <c r="A116" s="30"/>
      <c r="D116" s="30"/>
      <c r="E116" s="30"/>
      <c r="F116" s="30"/>
      <c r="G116" s="30"/>
      <c r="H116" s="30"/>
      <c r="I116" s="30"/>
      <c r="J116" s="30"/>
      <c r="K116" s="30"/>
      <c r="L116" s="30"/>
      <c r="M116" s="30"/>
      <c r="N116" s="30"/>
      <c r="O116" s="30"/>
      <c r="P116" s="30"/>
      <c r="Q116" s="30"/>
    </row>
    <row r="117" spans="1:17" x14ac:dyDescent="0.35">
      <c r="A117" s="30"/>
      <c r="D117" s="29"/>
      <c r="E117" s="29"/>
      <c r="F117" s="29"/>
      <c r="G117" s="29"/>
      <c r="H117" s="29"/>
      <c r="I117" s="29"/>
      <c r="J117" s="29"/>
      <c r="K117" s="30"/>
      <c r="L117" s="30"/>
      <c r="M117" s="30"/>
      <c r="N117" s="30"/>
      <c r="O117" s="30"/>
      <c r="P117" s="30"/>
      <c r="Q117" s="30"/>
    </row>
    <row r="118" spans="1:17" x14ac:dyDescent="0.35">
      <c r="A118" s="30"/>
      <c r="D118" s="29"/>
      <c r="E118" s="29"/>
      <c r="F118" s="29"/>
      <c r="G118" s="29"/>
      <c r="H118" s="50"/>
      <c r="I118" s="29"/>
      <c r="J118" s="29"/>
      <c r="K118" s="30"/>
      <c r="L118" s="30"/>
      <c r="M118" s="30"/>
      <c r="N118" s="30"/>
      <c r="O118" s="30"/>
      <c r="P118" s="30"/>
      <c r="Q118" s="30"/>
    </row>
    <row r="119" spans="1:17" x14ac:dyDescent="0.35">
      <c r="A119" s="30"/>
      <c r="D119" s="29"/>
      <c r="E119" s="29"/>
      <c r="F119" s="29"/>
      <c r="G119" s="29"/>
      <c r="H119" s="50"/>
      <c r="I119" s="29"/>
      <c r="J119" s="29"/>
      <c r="K119" s="30"/>
      <c r="L119" s="30"/>
      <c r="M119" s="30"/>
      <c r="N119" s="30"/>
      <c r="O119" s="30"/>
      <c r="P119" s="30"/>
      <c r="Q119" s="30"/>
    </row>
    <row r="120" spans="1:17" x14ac:dyDescent="0.35">
      <c r="A120" s="30"/>
      <c r="D120" s="29"/>
      <c r="E120" s="29"/>
      <c r="F120" s="29"/>
      <c r="G120" s="29"/>
      <c r="H120" s="29"/>
      <c r="I120" s="29"/>
      <c r="J120" s="29"/>
      <c r="K120" s="30"/>
      <c r="L120" s="30"/>
      <c r="M120" s="30"/>
      <c r="N120" s="30"/>
      <c r="O120" s="30"/>
      <c r="P120" s="30"/>
      <c r="Q120" s="30"/>
    </row>
    <row r="121" spans="1:17" ht="18.5" x14ac:dyDescent="0.35">
      <c r="A121" s="30"/>
      <c r="D121" s="29"/>
      <c r="E121" s="29"/>
      <c r="F121" s="29"/>
      <c r="G121" s="175" t="str">
        <f>N33</f>
        <v>Primary Service</v>
      </c>
      <c r="H121" s="175">
        <f>Q33</f>
        <v>9</v>
      </c>
      <c r="I121" s="29"/>
      <c r="J121" s="29"/>
      <c r="K121" s="30"/>
      <c r="L121" s="30"/>
      <c r="M121" s="30"/>
      <c r="N121" s="30"/>
      <c r="O121" s="30"/>
      <c r="P121" s="30"/>
      <c r="Q121" s="30"/>
    </row>
    <row r="122" spans="1:17" ht="18.5" x14ac:dyDescent="0.35">
      <c r="A122" s="30"/>
      <c r="D122" s="29"/>
      <c r="E122" s="29"/>
      <c r="F122" s="29"/>
      <c r="G122" s="175" t="str">
        <f>N34</f>
        <v>Secondary Service</v>
      </c>
      <c r="H122" s="175">
        <f>Q34</f>
        <v>11</v>
      </c>
      <c r="I122" s="29"/>
      <c r="J122" s="29"/>
      <c r="K122" s="30"/>
      <c r="L122" s="30"/>
      <c r="M122" s="30"/>
      <c r="N122" s="30"/>
      <c r="O122" s="30"/>
      <c r="P122" s="30"/>
      <c r="Q122" s="30"/>
    </row>
    <row r="123" spans="1:17" ht="18.5" x14ac:dyDescent="0.35">
      <c r="A123" s="30"/>
      <c r="D123" s="29"/>
      <c r="E123" s="29"/>
      <c r="F123" s="29"/>
      <c r="G123" s="175" t="str">
        <f>N35</f>
        <v>Available Enablers</v>
      </c>
      <c r="H123" s="175">
        <f>Q35</f>
        <v>89</v>
      </c>
      <c r="I123" s="29"/>
      <c r="J123" s="29"/>
      <c r="K123" s="30"/>
      <c r="L123" s="30"/>
      <c r="M123" s="30"/>
      <c r="N123" s="30"/>
      <c r="O123" s="30"/>
      <c r="P123" s="30"/>
      <c r="Q123" s="30"/>
    </row>
    <row r="124" spans="1:17" ht="18.5" x14ac:dyDescent="0.35">
      <c r="A124" s="30"/>
      <c r="D124" s="29"/>
      <c r="E124" s="29"/>
      <c r="F124" s="29"/>
      <c r="G124" s="175" t="str">
        <f>N36</f>
        <v>No Available Enablers</v>
      </c>
      <c r="H124" s="175">
        <f>Q36</f>
        <v>1</v>
      </c>
      <c r="I124" s="29"/>
      <c r="J124" s="29"/>
      <c r="K124" s="30"/>
      <c r="L124" s="30"/>
      <c r="M124" s="30"/>
      <c r="N124" s="30"/>
      <c r="O124" s="30"/>
      <c r="P124" s="30"/>
      <c r="Q124" s="30"/>
    </row>
    <row r="125" spans="1:17" x14ac:dyDescent="0.35">
      <c r="A125" s="30"/>
      <c r="D125" s="29"/>
      <c r="E125" s="29"/>
      <c r="F125" s="29"/>
      <c r="G125" s="29"/>
      <c r="H125" s="29"/>
      <c r="I125" s="29"/>
      <c r="J125" s="29"/>
      <c r="K125" s="30"/>
      <c r="L125" s="30"/>
      <c r="M125" s="30"/>
      <c r="N125" s="30"/>
      <c r="O125" s="30"/>
      <c r="P125" s="30"/>
      <c r="Q125" s="30"/>
    </row>
    <row r="126" spans="1:17" x14ac:dyDescent="0.35">
      <c r="A126" s="30"/>
      <c r="D126" s="29"/>
      <c r="E126" s="29"/>
      <c r="F126" s="29"/>
      <c r="G126" s="29" t="s">
        <v>272</v>
      </c>
      <c r="H126" s="29">
        <f>COUNTIFS('Selection Pane Data'!$D$5:$D$175,Placemat!G126,'Selection Pane Data'!$F$5:$F$175,"X")</f>
        <v>6</v>
      </c>
      <c r="I126" s="176"/>
      <c r="J126" s="29"/>
      <c r="K126" s="30"/>
      <c r="L126" s="30"/>
      <c r="M126" s="30"/>
      <c r="N126" s="30"/>
      <c r="O126" s="30"/>
      <c r="P126" s="30"/>
      <c r="Q126" s="30"/>
    </row>
    <row r="127" spans="1:17" x14ac:dyDescent="0.35">
      <c r="A127" s="30"/>
      <c r="D127" s="29"/>
      <c r="E127" s="29"/>
      <c r="F127" s="29"/>
      <c r="G127" s="29" t="s">
        <v>273</v>
      </c>
      <c r="H127" s="29">
        <f>COUNTIFS('Selection Pane Data'!$D$5:$D$175,Placemat!G127,'Selection Pane Data'!$F$5:$F$175,"X")</f>
        <v>76</v>
      </c>
      <c r="I127" s="29"/>
      <c r="J127" s="29"/>
      <c r="K127" s="30"/>
      <c r="L127" s="30"/>
      <c r="M127" s="30"/>
      <c r="N127" s="30"/>
      <c r="O127" s="30"/>
      <c r="P127" s="30"/>
      <c r="Q127" s="30"/>
    </row>
    <row r="128" spans="1:17" x14ac:dyDescent="0.35">
      <c r="A128" s="30"/>
      <c r="D128" s="29"/>
      <c r="E128" s="29"/>
      <c r="F128" s="29"/>
      <c r="G128" s="29" t="s">
        <v>274</v>
      </c>
      <c r="H128" s="29">
        <f>COUNTIFS('Selection Pane Data'!$D$5:$D$175,Placemat!G128,'Selection Pane Data'!$F$5:$F$175,"X")</f>
        <v>28</v>
      </c>
      <c r="I128" s="29"/>
      <c r="J128" s="29"/>
      <c r="K128" s="30"/>
      <c r="L128" s="30"/>
      <c r="M128" s="30"/>
      <c r="N128" s="30"/>
      <c r="O128" s="30"/>
      <c r="P128" s="30"/>
      <c r="Q128" s="30"/>
    </row>
    <row r="129" spans="1:17" x14ac:dyDescent="0.35">
      <c r="A129" s="30"/>
      <c r="D129" s="29"/>
      <c r="E129" s="29"/>
      <c r="F129" s="29"/>
      <c r="G129" s="29" t="s">
        <v>275</v>
      </c>
      <c r="H129" s="29">
        <f>COUNTIFS('Selection Pane Data'!$D$5:$D$175,Placemat!G129,'Selection Pane Data'!$F$5:$F$175,"X")</f>
        <v>0</v>
      </c>
      <c r="I129" s="29"/>
      <c r="J129" s="29"/>
      <c r="K129" s="30"/>
      <c r="L129" s="30"/>
      <c r="M129" s="30"/>
      <c r="N129" s="30"/>
      <c r="O129" s="30"/>
      <c r="P129" s="30"/>
      <c r="Q129" s="30"/>
    </row>
    <row r="130" spans="1:17" x14ac:dyDescent="0.35">
      <c r="A130" s="30"/>
      <c r="D130" s="29"/>
      <c r="E130" s="29"/>
      <c r="F130" s="29"/>
      <c r="G130" s="29"/>
      <c r="H130" s="29">
        <f>SUM(H126:H129)</f>
        <v>110</v>
      </c>
      <c r="I130" s="29"/>
      <c r="J130" s="29"/>
      <c r="K130" s="30"/>
      <c r="L130" s="30"/>
      <c r="M130" s="30"/>
      <c r="N130" s="30"/>
      <c r="O130" s="30"/>
      <c r="P130" s="30"/>
      <c r="Q130" s="30"/>
    </row>
    <row r="131" spans="1:17" x14ac:dyDescent="0.35">
      <c r="A131" s="30"/>
      <c r="D131" s="29"/>
      <c r="E131" s="29"/>
      <c r="F131" s="29"/>
      <c r="G131" s="29"/>
      <c r="H131" s="29"/>
      <c r="I131" s="29"/>
      <c r="J131" s="29"/>
      <c r="K131" s="30"/>
      <c r="L131" s="30"/>
      <c r="M131" s="30"/>
      <c r="N131" s="30"/>
      <c r="O131" s="30"/>
      <c r="P131" s="30"/>
      <c r="Q131" s="30"/>
    </row>
    <row r="132" spans="1:17" x14ac:dyDescent="0.35">
      <c r="A132" s="30"/>
      <c r="D132" s="29"/>
      <c r="E132" s="29"/>
      <c r="F132" s="29"/>
      <c r="G132" s="29"/>
      <c r="H132" s="29"/>
      <c r="I132" s="29"/>
      <c r="J132" s="29"/>
      <c r="K132" s="30"/>
      <c r="L132" s="30"/>
      <c r="M132" s="30"/>
      <c r="N132" s="30"/>
      <c r="O132" s="30"/>
      <c r="P132" s="30"/>
      <c r="Q132" s="30"/>
    </row>
    <row r="133" spans="1:17" x14ac:dyDescent="0.35">
      <c r="A133" s="30"/>
      <c r="D133" s="29"/>
      <c r="E133" s="29"/>
      <c r="F133" s="29"/>
      <c r="G133" s="29"/>
      <c r="H133" s="29"/>
      <c r="I133" s="29"/>
      <c r="J133" s="29"/>
      <c r="K133" s="30"/>
      <c r="L133" s="30"/>
      <c r="M133" s="30"/>
      <c r="N133" s="30"/>
      <c r="O133" s="30"/>
      <c r="P133" s="30"/>
      <c r="Q133" s="30"/>
    </row>
    <row r="134" spans="1:17" x14ac:dyDescent="0.35">
      <c r="A134" s="30"/>
      <c r="D134" s="30"/>
      <c r="E134" s="30"/>
      <c r="F134" s="30"/>
      <c r="G134" s="30"/>
      <c r="H134" s="30"/>
      <c r="I134" s="30"/>
      <c r="J134" s="30"/>
      <c r="K134" s="30"/>
      <c r="L134" s="30"/>
      <c r="M134" s="30"/>
      <c r="N134" s="30"/>
      <c r="O134" s="30"/>
      <c r="P134" s="30"/>
      <c r="Q134" s="30"/>
    </row>
    <row r="135" spans="1:17" x14ac:dyDescent="0.35">
      <c r="A135" s="30"/>
      <c r="D135" s="30"/>
      <c r="E135" s="30"/>
      <c r="F135" s="30"/>
      <c r="G135" s="30"/>
      <c r="H135" s="30"/>
      <c r="I135" s="30"/>
      <c r="J135" s="30"/>
      <c r="K135" s="30"/>
      <c r="L135" s="30"/>
      <c r="M135" s="30"/>
      <c r="N135" s="30"/>
      <c r="O135" s="30"/>
      <c r="P135" s="30"/>
      <c r="Q135" s="30"/>
    </row>
    <row r="136" spans="1:17" x14ac:dyDescent="0.35">
      <c r="A136" s="30"/>
      <c r="D136" s="30"/>
      <c r="E136" s="30"/>
      <c r="F136" s="30"/>
      <c r="G136" s="30"/>
      <c r="H136" s="30"/>
      <c r="I136" s="30"/>
      <c r="J136" s="30"/>
      <c r="K136" s="30"/>
      <c r="L136" s="30"/>
      <c r="M136" s="30"/>
      <c r="N136" s="30"/>
      <c r="O136" s="30"/>
      <c r="P136" s="30"/>
      <c r="Q136" s="30"/>
    </row>
    <row r="137" spans="1:17" x14ac:dyDescent="0.35">
      <c r="A137" s="30"/>
      <c r="D137" s="30"/>
      <c r="E137" s="30"/>
      <c r="F137" s="30"/>
      <c r="G137" s="30"/>
      <c r="H137" s="30"/>
      <c r="I137" s="30"/>
      <c r="J137" s="30"/>
      <c r="K137" s="30"/>
      <c r="L137" s="30"/>
      <c r="M137" s="30"/>
      <c r="N137" s="30"/>
      <c r="O137" s="30"/>
      <c r="P137" s="30"/>
      <c r="Q137" s="30"/>
    </row>
    <row r="138" spans="1:17" x14ac:dyDescent="0.35">
      <c r="A138" s="30"/>
      <c r="D138" s="30"/>
      <c r="E138" s="30"/>
      <c r="F138" s="30"/>
      <c r="G138" s="30"/>
      <c r="H138" s="30"/>
      <c r="I138" s="30"/>
      <c r="J138" s="30"/>
      <c r="K138" s="30"/>
      <c r="L138" s="30"/>
      <c r="M138" s="30"/>
      <c r="N138" s="30"/>
      <c r="O138" s="30"/>
      <c r="P138" s="30"/>
      <c r="Q138" s="30"/>
    </row>
    <row r="139" spans="1:17" x14ac:dyDescent="0.35">
      <c r="A139" s="30"/>
      <c r="D139" s="30"/>
      <c r="E139" s="30"/>
      <c r="F139" s="30"/>
      <c r="G139" s="30"/>
      <c r="H139" s="30"/>
      <c r="I139" s="30"/>
      <c r="J139" s="30"/>
      <c r="K139" s="30"/>
      <c r="L139" s="30"/>
      <c r="M139" s="30"/>
      <c r="N139" s="30"/>
      <c r="O139" s="30"/>
      <c r="P139" s="30"/>
      <c r="Q139" s="30"/>
    </row>
    <row r="140" spans="1:17" x14ac:dyDescent="0.35">
      <c r="A140" s="30"/>
      <c r="D140" s="30"/>
      <c r="E140" s="30"/>
      <c r="F140" s="30"/>
      <c r="G140" s="30"/>
      <c r="H140" s="30"/>
      <c r="I140" s="30"/>
      <c r="J140" s="30"/>
      <c r="K140" s="30"/>
      <c r="L140" s="30"/>
      <c r="M140" s="30"/>
      <c r="N140" s="30"/>
      <c r="O140" s="30"/>
      <c r="P140" s="30"/>
      <c r="Q140" s="30"/>
    </row>
    <row r="141" spans="1:17" x14ac:dyDescent="0.35">
      <c r="A141" s="30"/>
      <c r="D141" s="30"/>
      <c r="E141" s="30"/>
      <c r="F141" s="30"/>
      <c r="G141" s="30"/>
      <c r="H141" s="30"/>
      <c r="I141" s="30"/>
      <c r="J141" s="30"/>
      <c r="K141" s="30"/>
      <c r="L141" s="30"/>
      <c r="M141" s="30"/>
      <c r="N141" s="30"/>
      <c r="O141" s="30"/>
      <c r="P141" s="30"/>
      <c r="Q141" s="30"/>
    </row>
    <row r="142" spans="1:17" x14ac:dyDescent="0.35">
      <c r="A142" s="30"/>
      <c r="D142" s="30"/>
      <c r="E142" s="30"/>
      <c r="F142" s="30"/>
      <c r="G142" s="30"/>
      <c r="H142" s="30"/>
      <c r="I142" s="30"/>
      <c r="J142" s="30"/>
      <c r="K142" s="30"/>
      <c r="L142" s="30"/>
      <c r="M142" s="30"/>
    </row>
    <row r="143" spans="1:17" x14ac:dyDescent="0.35">
      <c r="A143" s="30"/>
      <c r="D143" s="29"/>
      <c r="E143" s="29"/>
    </row>
    <row r="144" spans="1:17" x14ac:dyDescent="0.35">
      <c r="D144" s="29"/>
      <c r="E144" s="29"/>
    </row>
    <row r="145" spans="4:5" x14ac:dyDescent="0.35">
      <c r="D145" s="29"/>
      <c r="E145" s="29"/>
    </row>
    <row r="146" spans="4:5" x14ac:dyDescent="0.35">
      <c r="D146" s="29"/>
      <c r="E146" s="29"/>
    </row>
    <row r="147" spans="4:5" x14ac:dyDescent="0.35">
      <c r="D147" s="29"/>
      <c r="E147" s="29"/>
    </row>
    <row r="148" spans="4:5" x14ac:dyDescent="0.35">
      <c r="D148" s="29"/>
      <c r="E148" s="29"/>
    </row>
    <row r="149" spans="4:5" x14ac:dyDescent="0.35">
      <c r="D149" s="29"/>
      <c r="E149" s="29"/>
    </row>
    <row r="150" spans="4:5" x14ac:dyDescent="0.35">
      <c r="D150" s="29"/>
      <c r="E150" s="29"/>
    </row>
    <row r="151" spans="4:5" x14ac:dyDescent="0.35">
      <c r="D151" s="29"/>
      <c r="E151" s="29"/>
    </row>
    <row r="152" spans="4:5" x14ac:dyDescent="0.35">
      <c r="D152" s="29"/>
      <c r="E152" s="29"/>
    </row>
    <row r="153" spans="4:5" x14ac:dyDescent="0.35">
      <c r="D153" s="29"/>
    </row>
    <row r="154" spans="4:5" x14ac:dyDescent="0.35">
      <c r="D154" s="29"/>
    </row>
  </sheetData>
  <sheetProtection algorithmName="SHA-512" hashValue="cGHCnZb5chQ4yJ8IKDFIKMuzLbfKFx8yz419T3r2LIqp//L/w6rXb6E693a80bT/gqPDIJ4dRG1hJGs0ajCNHg==" saltValue="Opit20pFJa339Irek3n3VA==" spinCount="100000" sheet="1" objects="1" scenarios="1"/>
  <mergeCells count="26">
    <mergeCell ref="B104:D104"/>
    <mergeCell ref="B7:B40"/>
    <mergeCell ref="B74:B80"/>
    <mergeCell ref="B71:B73"/>
    <mergeCell ref="B41:B70"/>
    <mergeCell ref="B85:D89"/>
    <mergeCell ref="C4:D4"/>
    <mergeCell ref="B2:D2"/>
    <mergeCell ref="F4:H4"/>
    <mergeCell ref="B3:D3"/>
    <mergeCell ref="F2:S2"/>
    <mergeCell ref="N32:R32"/>
    <mergeCell ref="N40:R40"/>
    <mergeCell ref="G57:R57"/>
    <mergeCell ref="G58:R110"/>
    <mergeCell ref="P41:R41"/>
    <mergeCell ref="P42:R48"/>
    <mergeCell ref="N42:O48"/>
    <mergeCell ref="N41:O41"/>
    <mergeCell ref="N49:O50"/>
    <mergeCell ref="P49:R50"/>
    <mergeCell ref="N33:O33"/>
    <mergeCell ref="N34:O34"/>
    <mergeCell ref="N35:O35"/>
    <mergeCell ref="N36:O36"/>
    <mergeCell ref="N37:O37"/>
  </mergeCells>
  <conditionalFormatting sqref="D7:D79">
    <cfRule type="expression" dxfId="66" priority="62" stopIfTrue="1">
      <formula>$C$4="Manual"</formula>
    </cfRule>
  </conditionalFormatting>
  <conditionalFormatting sqref="C43:C54">
    <cfRule type="expression" dxfId="65" priority="16">
      <formula>E42="S"</formula>
    </cfRule>
    <cfRule type="expression" dxfId="64" priority="17">
      <formula>E42="P"</formula>
    </cfRule>
  </conditionalFormatting>
  <conditionalFormatting sqref="D57">
    <cfRule type="expression" dxfId="63" priority="15" stopIfTrue="1">
      <formula>$C$4="Manual"</formula>
    </cfRule>
  </conditionalFormatting>
  <conditionalFormatting sqref="C55:C57">
    <cfRule type="expression" dxfId="62" priority="13">
      <formula>E53="S"</formula>
    </cfRule>
    <cfRule type="expression" dxfId="61" priority="14">
      <formula>E53="P"</formula>
    </cfRule>
  </conditionalFormatting>
  <conditionalFormatting sqref="D80">
    <cfRule type="expression" dxfId="60" priority="12" stopIfTrue="1">
      <formula>$C$4="Manual"</formula>
    </cfRule>
  </conditionalFormatting>
  <conditionalFormatting sqref="C78:C79">
    <cfRule type="expression" dxfId="59" priority="10">
      <formula>E73="S"</formula>
    </cfRule>
    <cfRule type="expression" dxfId="58" priority="11">
      <formula>E73="P"</formula>
    </cfRule>
  </conditionalFormatting>
  <conditionalFormatting sqref="D58">
    <cfRule type="expression" dxfId="57" priority="9" stopIfTrue="1">
      <formula>$C$4="Manual"</formula>
    </cfRule>
  </conditionalFormatting>
  <conditionalFormatting sqref="C58:C62">
    <cfRule type="expression" dxfId="56" priority="7">
      <formula>E75="S"</formula>
    </cfRule>
    <cfRule type="expression" dxfId="55" priority="8">
      <formula>E75="P"</formula>
    </cfRule>
  </conditionalFormatting>
  <conditionalFormatting sqref="D62">
    <cfRule type="expression" dxfId="54" priority="6" stopIfTrue="1">
      <formula>$C$4="Manual"</formula>
    </cfRule>
  </conditionalFormatting>
  <conditionalFormatting sqref="C62 C59:C60">
    <cfRule type="expression" dxfId="53" priority="4">
      <formula>E77="S"</formula>
    </cfRule>
    <cfRule type="expression" dxfId="52" priority="5">
      <formula>E77="P"</formula>
    </cfRule>
  </conditionalFormatting>
  <conditionalFormatting sqref="D61">
    <cfRule type="expression" dxfId="51" priority="3" stopIfTrue="1">
      <formula>$C$4="Manual"</formula>
    </cfRule>
  </conditionalFormatting>
  <conditionalFormatting sqref="C61">
    <cfRule type="expression" dxfId="50" priority="1">
      <formula>E79="S"</formula>
    </cfRule>
    <cfRule type="expression" dxfId="49" priority="2">
      <formula>E79="P"</formula>
    </cfRule>
  </conditionalFormatting>
  <conditionalFormatting sqref="C7:C42">
    <cfRule type="expression" dxfId="48" priority="151">
      <formula>E7="S"</formula>
    </cfRule>
    <cfRule type="expression" dxfId="47" priority="152">
      <formula>E7="P"</formula>
    </cfRule>
  </conditionalFormatting>
  <conditionalFormatting sqref="C42">
    <cfRule type="expression" dxfId="46" priority="157">
      <formula>E67="S"</formula>
    </cfRule>
    <cfRule type="expression" dxfId="45" priority="158">
      <formula>E67="P"</formula>
    </cfRule>
  </conditionalFormatting>
  <conditionalFormatting sqref="C54">
    <cfRule type="expression" dxfId="44" priority="169">
      <formula>E71="S"</formula>
    </cfRule>
    <cfRule type="expression" dxfId="43" priority="170">
      <formula>E71="P"</formula>
    </cfRule>
  </conditionalFormatting>
  <conditionalFormatting sqref="C57:C58">
    <cfRule type="expression" dxfId="42" priority="177">
      <formula>E54="S"</formula>
    </cfRule>
    <cfRule type="expression" dxfId="41" priority="178">
      <formula>E54="P"</formula>
    </cfRule>
  </conditionalFormatting>
  <conditionalFormatting sqref="C57:C62">
    <cfRule type="expression" dxfId="40" priority="185">
      <formula>E72="S"</formula>
    </cfRule>
    <cfRule type="expression" dxfId="39" priority="186">
      <formula>E72="P"</formula>
    </cfRule>
  </conditionalFormatting>
  <conditionalFormatting sqref="C63:C74">
    <cfRule type="expression" dxfId="38" priority="196">
      <formula>E55="S"</formula>
    </cfRule>
    <cfRule type="expression" dxfId="37" priority="197">
      <formula>E55="P"</formula>
    </cfRule>
  </conditionalFormatting>
  <conditionalFormatting sqref="C75:C77">
    <cfRule type="expression" dxfId="36" priority="205">
      <formula>E68="S"</formula>
    </cfRule>
    <cfRule type="expression" dxfId="35" priority="206">
      <formula>E68="P"</formula>
    </cfRule>
  </conditionalFormatting>
  <conditionalFormatting sqref="C80">
    <cfRule type="expression" dxfId="34" priority="207">
      <formula>E76="S"</formula>
    </cfRule>
    <cfRule type="expression" dxfId="33" priority="208">
      <formula>E76="P"</formula>
    </cfRule>
  </conditionalFormatting>
  <dataValidations count="1">
    <dataValidation type="list" allowBlank="1" showInputMessage="1" showErrorMessage="1" sqref="D7:D80" xr:uid="{C4EB140F-8895-47BB-B5B6-7F019A3B49BA}">
      <formula1>"Yes, No"</formula1>
    </dataValidation>
  </dataValidations>
  <pageMargins left="0.7" right="0.7" top="0.75" bottom="0.75" header="0.3" footer="0.3"/>
  <pageSetup scale="25" orientation="portrait" r:id="rId1"/>
  <ignoredErrors>
    <ignoredError sqref="P4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69" id="{AAE30ECB-F9B6-4DC4-8D00-6AF7EC2E949D}">
            <xm:f>VLOOKUP(L7,'Selection Pane Data'!$B$4:$E$175,42,FALSE)&lt;&gt;$F$4</xm:f>
            <x14:dxf>
              <font>
                <color theme="0"/>
              </font>
              <fill>
                <patternFill>
                  <bgColor theme="0"/>
                </patternFill>
              </fill>
            </x14:dxf>
          </x14:cfRule>
          <x14:cfRule type="expression" priority="270" id="{9C85FDA1-26E7-468F-9BB5-DC0F20C57643}">
            <xm:f>VLOOKUP(L7,'Selection Pane Data'!$B$4:$G$175,2,FALSE)=#REF!</xm:f>
            <x14:dxf>
              <font>
                <color rgb="FFFF0000"/>
              </font>
              <fill>
                <patternFill>
                  <bgColor theme="0"/>
                </patternFill>
              </fill>
            </x14:dxf>
          </x14:cfRule>
          <x14:cfRule type="expression" priority="271" id="{16644D52-ABB3-41DE-B89C-DA20E62D57D3}">
            <xm:f>VLOOKUP(L7,'Selection Pane Data'!$B$4:$G$175,2,FALSE)=#REF!</xm:f>
            <x14:dxf>
              <font>
                <color theme="0"/>
              </font>
              <fill>
                <patternFill>
                  <bgColor rgb="FF737373"/>
                </patternFill>
              </fill>
            </x14:dxf>
          </x14:cfRule>
          <x14:cfRule type="expression" priority="272" id="{99CB822A-A2DC-455F-8F2B-EA2F7FC88EC2}">
            <xm:f>VLOOKUP(L7,'Selection Pane Data'!$B$4:$G$175,2,FALSE)=#REF!</xm:f>
            <x14:dxf>
              <font>
                <color theme="1"/>
              </font>
              <fill>
                <patternFill>
                  <bgColor rgb="FFFFB900"/>
                </patternFill>
              </fill>
            </x14:dxf>
          </x14:cfRule>
          <x14:cfRule type="expression" priority="273" id="{918130D4-C922-43A1-8F1F-B7E6F02F5850}">
            <xm:f>VLOOKUP(L7,'Selection Pane Data'!$B$4:$G$175,2,FALSE)=$S$33</xm:f>
            <x14:dxf>
              <font>
                <color theme="1"/>
              </font>
              <fill>
                <patternFill>
                  <bgColor rgb="FF00A4EF"/>
                </patternFill>
              </fill>
            </x14:dxf>
          </x14:cfRule>
          <xm:sqref>L7:L12</xm:sqref>
        </x14:conditionalFormatting>
        <x14:conditionalFormatting xmlns:xm="http://schemas.microsoft.com/office/excel/2006/main">
          <x14:cfRule type="expression" priority="275" id="{88BC6CEF-31EA-4E3A-9BD9-3D2129EDEC62}">
            <xm:f>INDEX('CMMC Levels'!$A$1:$E$172,MATCH(F7,'CMMC Levels'!$A$1:$A$172,0),MATCH($F$4,'CMMC Levels'!$A$1:$E$1,0))="N/A"</xm:f>
            <x14:dxf>
              <font>
                <color theme="0"/>
              </font>
              <fill>
                <patternFill>
                  <bgColor theme="0"/>
                </patternFill>
              </fill>
            </x14:dxf>
          </x14:cfRule>
          <x14:cfRule type="expression" priority="276" id="{8611E6B5-C92D-4014-81DE-943F1E5441C8}">
            <xm:f>VLOOKUP(F7,'Selection Pane Data'!$C$4:$G$175,5,FALSE)=$S$36</xm:f>
            <x14:dxf>
              <font>
                <color rgb="FFFF0000"/>
              </font>
              <fill>
                <patternFill>
                  <bgColor theme="0"/>
                </patternFill>
              </fill>
            </x14:dxf>
          </x14:cfRule>
          <x14:cfRule type="expression" priority="277" id="{C309F060-9A2C-4FF5-9D74-D63E18816C41}">
            <xm:f>VLOOKUP(F7,'Selection Pane Data'!$C$4:$G$175,5,FALSE)=$S$35</xm:f>
            <x14:dxf>
              <font>
                <color theme="0"/>
              </font>
              <fill>
                <patternFill>
                  <bgColor rgb="FF737373"/>
                </patternFill>
              </fill>
            </x14:dxf>
          </x14:cfRule>
          <x14:cfRule type="expression" priority="278" id="{17A5A1E0-8B6B-4498-A6DE-45160DF95609}">
            <xm:f>VLOOKUP(F7,'Selection Pane Data'!$C$4:$G$175,5,FALSE)=$S$34</xm:f>
            <x14:dxf>
              <font>
                <color theme="1"/>
              </font>
              <fill>
                <patternFill>
                  <bgColor rgb="FFFFB900"/>
                </patternFill>
              </fill>
            </x14:dxf>
          </x14:cfRule>
          <x14:cfRule type="expression" priority="279" id="{821E1571-0365-47A9-B46C-8B9D1F07B672}">
            <xm:f>VLOOKUP(F7,'Selection Pane Data'!$C$4:$G$175,5,FALSE)=$S$33</xm:f>
            <x14:dxf>
              <font>
                <color theme="1"/>
              </font>
              <fill>
                <patternFill>
                  <bgColor rgb="FF00A4EF"/>
                </patternFill>
              </fill>
            </x14:dxf>
          </x14:cfRule>
          <xm:sqref>F7:F29 G7:G15 H7:M7 H8:L12 I13:J17 J19:J24 N7:S8 O9:P12 Q9:S11 R12:S15 R16:R24 M8:M15</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F314E0C5-A3C7-4630-9197-6135623EB730}">
          <x14:formula1>
            <xm:f>'Selection Pane Filters'!$F$2:$U$2</xm:f>
          </x14:formula1>
          <xm:sqref>C4:D4</xm:sqref>
        </x14:dataValidation>
        <x14:dataValidation type="list" allowBlank="1" showInputMessage="1" showErrorMessage="1" xr:uid="{1AE074E9-B84B-4EC7-AB6D-BDE964ADA134}">
          <x14:formula1>
            <xm:f>'CMMC Levels'!$C$1:$E$1</xm:f>
          </x14:formula1>
          <xm:sqref>F4:H4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D5FD9-64F6-4E7C-BC00-3E6EF5885F7E}">
  <sheetPr codeName="Sheet9" filterMode="1"/>
  <dimension ref="A1:F178"/>
  <sheetViews>
    <sheetView workbookViewId="0">
      <selection activeCell="B131" sqref="B131"/>
    </sheetView>
  </sheetViews>
  <sheetFormatPr defaultColWidth="8.81640625" defaultRowHeight="14.5" x14ac:dyDescent="0.35"/>
  <cols>
    <col min="1" max="5" width="12.6328125" customWidth="1"/>
    <col min="6" max="6" width="10.6328125" customWidth="1"/>
  </cols>
  <sheetData>
    <row r="1" spans="1:6" ht="58" x14ac:dyDescent="0.35">
      <c r="A1" s="26" t="s">
        <v>276</v>
      </c>
      <c r="B1" s="26" t="s">
        <v>277</v>
      </c>
      <c r="C1" s="26" t="s">
        <v>29</v>
      </c>
      <c r="D1" s="26" t="s">
        <v>278</v>
      </c>
      <c r="E1" s="26" t="s">
        <v>279</v>
      </c>
      <c r="F1" s="26" t="s">
        <v>280</v>
      </c>
    </row>
    <row r="2" spans="1:6" hidden="1" x14ac:dyDescent="0.35">
      <c r="A2" t="s">
        <v>50</v>
      </c>
      <c r="B2" t="str">
        <f>INDEX('Selection Pane Data'!$C$5:$G$175,MATCH('CMMC Levels'!$A2,'Selection Pane Data'!$C$5:$C$175,0),5)</f>
        <v>U</v>
      </c>
      <c r="C2" t="str">
        <f>IF(COUNTIF($A2,"*L1*")=1,"X","N/A")</f>
        <v>X</v>
      </c>
      <c r="D2" t="str">
        <f>IF(C2="X","X",IF(COUNTIF($A2,"*L2*")=1,"X","N/A"))</f>
        <v>X</v>
      </c>
      <c r="E2" t="str">
        <f>IF(D2="X","X",IF(COUNTIF($A2,"*L3*")=1,"X","N/A"))</f>
        <v>X</v>
      </c>
      <c r="F2" t="str">
        <f>VLOOKUP(A2,Table7[[#All],[New Practices]:[CMMC Implementation Status]],5,FALSE)</f>
        <v>Shared Coverage</v>
      </c>
    </row>
    <row r="3" spans="1:6" hidden="1" x14ac:dyDescent="0.35">
      <c r="A3" t="s">
        <v>65</v>
      </c>
      <c r="B3" t="str">
        <f>INDEX('Selection Pane Data'!$C$5:$G$175,MATCH('CMMC Levels'!$A3,'Selection Pane Data'!$C$5:$C$175,0),5)</f>
        <v>U</v>
      </c>
      <c r="C3" t="str">
        <f t="shared" ref="C3:C66" si="0">IF(COUNTIF($A3,"*L1*")=1,"X","N/A")</f>
        <v>X</v>
      </c>
      <c r="D3" t="str">
        <f t="shared" ref="D3:D66" si="1">IF(C3="X","X",IF(COUNTIF($A3,"*L2*")=1,"X","N/A"))</f>
        <v>X</v>
      </c>
      <c r="E3" t="str">
        <f t="shared" ref="E3:E66" si="2">IF(D3="X","X",IF(COUNTIF($A3,"*L3*")=1,"X","N/A"))</f>
        <v>X</v>
      </c>
      <c r="F3" t="str">
        <f>VLOOKUP(A3,Table7[[#All],[New Practices]:[CMMC Implementation Status]],5,FALSE)</f>
        <v>Shared Coverage</v>
      </c>
    </row>
    <row r="4" spans="1:6" hidden="1" x14ac:dyDescent="0.35">
      <c r="A4" t="s">
        <v>80</v>
      </c>
      <c r="B4" t="str">
        <f>INDEX('Selection Pane Data'!$C$5:$G$175,MATCH('CMMC Levels'!$A4,'Selection Pane Data'!$C$5:$C$175,0),5)</f>
        <v>S</v>
      </c>
      <c r="C4" t="str">
        <f t="shared" si="0"/>
        <v>X</v>
      </c>
      <c r="D4" t="str">
        <f t="shared" si="1"/>
        <v>X</v>
      </c>
      <c r="E4" t="str">
        <f t="shared" si="2"/>
        <v>X</v>
      </c>
      <c r="F4" t="str">
        <f>VLOOKUP(A4,Table7[[#All],[New Practices]:[CMMC Implementation Status]],5,FALSE)</f>
        <v>Shared Coverage</v>
      </c>
    </row>
    <row r="5" spans="1:6" hidden="1" x14ac:dyDescent="0.35">
      <c r="A5" t="s">
        <v>94</v>
      </c>
      <c r="B5" t="str">
        <f>INDEX('Selection Pane Data'!$C$5:$G$175,MATCH('CMMC Levels'!$A5,'Selection Pane Data'!$C$5:$C$175,0),5)</f>
        <v>U</v>
      </c>
      <c r="C5" t="str">
        <f t="shared" si="0"/>
        <v>X</v>
      </c>
      <c r="D5" t="str">
        <f t="shared" si="1"/>
        <v>X</v>
      </c>
      <c r="E5" t="str">
        <f t="shared" si="2"/>
        <v>X</v>
      </c>
      <c r="F5" t="str">
        <f>VLOOKUP(A5,Table7[[#All],[New Practices]:[CMMC Implementation Status]],5,FALSE)</f>
        <v>Shared Coverage</v>
      </c>
    </row>
    <row r="6" spans="1:6" hidden="1" x14ac:dyDescent="0.35">
      <c r="A6" t="s">
        <v>169</v>
      </c>
      <c r="B6" t="str">
        <f>INDEX('Selection Pane Data'!$C$5:$G$175,MATCH('CMMC Levels'!$A6,'Selection Pane Data'!$C$5:$C$175,0),5)</f>
        <v>U</v>
      </c>
      <c r="C6" t="str">
        <f t="shared" si="0"/>
        <v>N/A</v>
      </c>
      <c r="D6" t="str">
        <f t="shared" si="1"/>
        <v>X</v>
      </c>
      <c r="E6" t="str">
        <f t="shared" si="2"/>
        <v>X</v>
      </c>
      <c r="F6" t="str">
        <f>VLOOKUP(A6,Table7[[#All],[New Practices]:[CMMC Implementation Status]],5,FALSE)</f>
        <v>Shared Coverage</v>
      </c>
    </row>
    <row r="7" spans="1:6" hidden="1" x14ac:dyDescent="0.35">
      <c r="A7" t="s">
        <v>196</v>
      </c>
      <c r="B7" t="str">
        <f>INDEX('Selection Pane Data'!$C$5:$G$175,MATCH('CMMC Levels'!$A7,'Selection Pane Data'!$C$5:$C$175,0),5)</f>
        <v>U</v>
      </c>
      <c r="C7" t="str">
        <f t="shared" si="0"/>
        <v>N/A</v>
      </c>
      <c r="D7" t="str">
        <f t="shared" si="1"/>
        <v>X</v>
      </c>
      <c r="E7" t="str">
        <f t="shared" si="2"/>
        <v>X</v>
      </c>
      <c r="F7" t="str">
        <f>VLOOKUP(A7,Table7[[#All],[New Practices]:[CMMC Implementation Status]],5,FALSE)</f>
        <v>Customer Responsibility</v>
      </c>
    </row>
    <row r="8" spans="1:6" hidden="1" x14ac:dyDescent="0.35">
      <c r="A8" t="s">
        <v>143</v>
      </c>
      <c r="B8" t="str">
        <f>INDEX('Selection Pane Data'!$C$5:$G$175,MATCH('CMMC Levels'!$A8,'Selection Pane Data'!$C$5:$C$175,0),5)</f>
        <v>U</v>
      </c>
      <c r="C8" t="str">
        <f t="shared" si="0"/>
        <v>N/A</v>
      </c>
      <c r="D8" t="str">
        <f t="shared" si="1"/>
        <v>X</v>
      </c>
      <c r="E8" t="str">
        <f t="shared" si="2"/>
        <v>X</v>
      </c>
      <c r="F8" t="str">
        <f>VLOOKUP(A8,Table7[[#All],[New Practices]:[CMMC Implementation Status]],5,FALSE)</f>
        <v>Shared Coverage</v>
      </c>
    </row>
    <row r="9" spans="1:6" hidden="1" x14ac:dyDescent="0.35">
      <c r="A9" t="s">
        <v>151</v>
      </c>
      <c r="B9" t="str">
        <f>INDEX('Selection Pane Data'!$C$5:$G$175,MATCH('CMMC Levels'!$A9,'Selection Pane Data'!$C$5:$C$175,0),5)</f>
        <v>U</v>
      </c>
      <c r="C9" t="str">
        <f t="shared" si="0"/>
        <v>N/A</v>
      </c>
      <c r="D9" t="str">
        <f t="shared" si="1"/>
        <v>X</v>
      </c>
      <c r="E9" t="str">
        <f t="shared" si="2"/>
        <v>X</v>
      </c>
      <c r="F9" t="str">
        <f>VLOOKUP(A9,Table7[[#All],[New Practices]:[CMMC Implementation Status]],5,FALSE)</f>
        <v>Shared Coverage</v>
      </c>
    </row>
    <row r="10" spans="1:6" hidden="1" x14ac:dyDescent="0.35">
      <c r="A10" t="s">
        <v>164</v>
      </c>
      <c r="B10" t="str">
        <f>INDEX('Selection Pane Data'!$C$5:$G$175,MATCH('CMMC Levels'!$A10,'Selection Pane Data'!$C$5:$C$175,0),5)</f>
        <v>U</v>
      </c>
      <c r="C10" t="str">
        <f t="shared" si="0"/>
        <v>N/A</v>
      </c>
      <c r="D10" t="str">
        <f t="shared" si="1"/>
        <v>X</v>
      </c>
      <c r="E10" t="str">
        <f t="shared" si="2"/>
        <v>X</v>
      </c>
      <c r="F10" t="str">
        <f>VLOOKUP(A10,Table7[[#All],[New Practices]:[CMMC Implementation Status]],5,FALSE)</f>
        <v>Shared Coverage</v>
      </c>
    </row>
    <row r="11" spans="1:6" hidden="1" x14ac:dyDescent="0.35">
      <c r="A11" t="s">
        <v>108</v>
      </c>
      <c r="B11" t="str">
        <f>INDEX('Selection Pane Data'!$C$5:$G$175,MATCH('CMMC Levels'!$A11,'Selection Pane Data'!$C$5:$C$175,0),5)</f>
        <v>S</v>
      </c>
      <c r="C11" t="str">
        <f t="shared" si="0"/>
        <v>N/A</v>
      </c>
      <c r="D11" t="str">
        <f t="shared" si="1"/>
        <v>X</v>
      </c>
      <c r="E11" t="str">
        <f t="shared" si="2"/>
        <v>X</v>
      </c>
      <c r="F11" t="str">
        <f>VLOOKUP(A11,Table7[[#All],[New Practices]:[CMMC Implementation Status]],5,FALSE)</f>
        <v>Shared Coverage</v>
      </c>
    </row>
    <row r="12" spans="1:6" hidden="1" x14ac:dyDescent="0.35">
      <c r="A12" t="s">
        <v>187</v>
      </c>
      <c r="B12" t="str">
        <f>INDEX('Selection Pane Data'!$C$5:$G$175,MATCH('CMMC Levels'!$A12,'Selection Pane Data'!$C$5:$C$175,0),5)</f>
        <v>U</v>
      </c>
      <c r="C12" t="str">
        <f t="shared" si="0"/>
        <v>N/A</v>
      </c>
      <c r="D12" t="str">
        <f t="shared" si="1"/>
        <v>X</v>
      </c>
      <c r="E12" t="str">
        <f t="shared" si="2"/>
        <v>X</v>
      </c>
      <c r="F12" t="str">
        <f>VLOOKUP(A12,Table7[[#All],[New Practices]:[CMMC Implementation Status]],5,FALSE)</f>
        <v>Customer Responsibility</v>
      </c>
    </row>
    <row r="13" spans="1:6" hidden="1" x14ac:dyDescent="0.35">
      <c r="A13" t="s">
        <v>175</v>
      </c>
      <c r="B13" t="str">
        <f>INDEX('Selection Pane Data'!$C$5:$G$175,MATCH('CMMC Levels'!$A13,'Selection Pane Data'!$C$5:$C$175,0),5)</f>
        <v>S</v>
      </c>
      <c r="C13" t="str">
        <f t="shared" si="0"/>
        <v>N/A</v>
      </c>
      <c r="D13" t="str">
        <f t="shared" si="1"/>
        <v>X</v>
      </c>
      <c r="E13" t="str">
        <f t="shared" si="2"/>
        <v>X</v>
      </c>
      <c r="F13" t="str">
        <f>VLOOKUP(A13,Table7[[#All],[New Practices]:[CMMC Implementation Status]],5,FALSE)</f>
        <v>Shared Coverage</v>
      </c>
    </row>
    <row r="14" spans="1:6" hidden="1" x14ac:dyDescent="0.35">
      <c r="A14" t="s">
        <v>181</v>
      </c>
      <c r="B14" t="str">
        <f>INDEX('Selection Pane Data'!$C$5:$G$175,MATCH('CMMC Levels'!$A14,'Selection Pane Data'!$C$5:$C$175,0),5)</f>
        <v>U</v>
      </c>
      <c r="C14" t="str">
        <f t="shared" si="0"/>
        <v>N/A</v>
      </c>
      <c r="D14" t="str">
        <f t="shared" si="1"/>
        <v>X</v>
      </c>
      <c r="E14" t="str">
        <f t="shared" si="2"/>
        <v>X</v>
      </c>
      <c r="F14" t="str">
        <f>VLOOKUP(A14,Table7[[#All],[New Practices]:[CMMC Implementation Status]],5,FALSE)</f>
        <v>Shared Coverage</v>
      </c>
    </row>
    <row r="15" spans="1:6" hidden="1" x14ac:dyDescent="0.35">
      <c r="A15" t="s">
        <v>122</v>
      </c>
      <c r="B15" t="str">
        <f>INDEX('Selection Pane Data'!$C$5:$G$175,MATCH('CMMC Levels'!$A15,'Selection Pane Data'!$C$5:$C$175,0),5)</f>
        <v>U</v>
      </c>
      <c r="C15" t="str">
        <f t="shared" si="0"/>
        <v>N/A</v>
      </c>
      <c r="D15" t="str">
        <f t="shared" si="1"/>
        <v>X</v>
      </c>
      <c r="E15" t="str">
        <f t="shared" si="2"/>
        <v>X</v>
      </c>
      <c r="F15" t="str">
        <f>VLOOKUP(A15,Table7[[#All],[New Practices]:[CMMC Implementation Status]],5,FALSE)</f>
        <v>Shared Coverage</v>
      </c>
    </row>
    <row r="16" spans="1:6" hidden="1" x14ac:dyDescent="0.35">
      <c r="A16" t="s">
        <v>190</v>
      </c>
      <c r="B16" t="str">
        <f>INDEX('Selection Pane Data'!$C$5:$G$175,MATCH('CMMC Levels'!$A16,'Selection Pane Data'!$C$5:$C$175,0),5)</f>
        <v>U</v>
      </c>
      <c r="C16" t="str">
        <f t="shared" si="0"/>
        <v>N/A</v>
      </c>
      <c r="D16" t="str">
        <f t="shared" si="1"/>
        <v>X</v>
      </c>
      <c r="E16" t="str">
        <f t="shared" si="2"/>
        <v>X</v>
      </c>
      <c r="F16" t="str">
        <f>VLOOKUP(A16,Table7[[#All],[New Practices]:[CMMC Implementation Status]],5,FALSE)</f>
        <v>Customer Responsibility</v>
      </c>
    </row>
    <row r="17" spans="1:6" hidden="1" x14ac:dyDescent="0.35">
      <c r="A17" t="s">
        <v>178</v>
      </c>
      <c r="B17" t="str">
        <f>INDEX('Selection Pane Data'!$C$5:$G$175,MATCH('CMMC Levels'!$A17,'Selection Pane Data'!$C$5:$C$175,0),5)</f>
        <v>P</v>
      </c>
      <c r="C17" t="str">
        <f t="shared" si="0"/>
        <v>N/A</v>
      </c>
      <c r="D17" t="str">
        <f t="shared" si="1"/>
        <v>X</v>
      </c>
      <c r="E17" t="str">
        <f t="shared" si="2"/>
        <v>X</v>
      </c>
      <c r="F17" t="str">
        <f>VLOOKUP(A17,Table7[[#All],[New Practices]:[CMMC Implementation Status]],5,FALSE)</f>
        <v>Shared Coverage</v>
      </c>
    </row>
    <row r="18" spans="1:6" hidden="1" x14ac:dyDescent="0.35">
      <c r="A18" t="s">
        <v>135</v>
      </c>
      <c r="B18" t="str">
        <f>INDEX('Selection Pane Data'!$C$5:$G$175,MATCH('CMMC Levels'!$A18,'Selection Pane Data'!$C$5:$C$175,0),5)</f>
        <v>U</v>
      </c>
      <c r="C18" t="str">
        <f t="shared" si="0"/>
        <v>N/A</v>
      </c>
      <c r="D18" t="str">
        <f t="shared" si="1"/>
        <v>X</v>
      </c>
      <c r="E18" t="str">
        <f t="shared" si="2"/>
        <v>X</v>
      </c>
      <c r="F18" t="str">
        <f>VLOOKUP(A18,Table7[[#All],[New Practices]:[CMMC Implementation Status]],5,FALSE)</f>
        <v>Customer Responsibility</v>
      </c>
    </row>
    <row r="19" spans="1:6" hidden="1" x14ac:dyDescent="0.35">
      <c r="A19" t="s">
        <v>159</v>
      </c>
      <c r="B19" t="str">
        <f>INDEX('Selection Pane Data'!$C$5:$G$175,MATCH('CMMC Levels'!$A19,'Selection Pane Data'!$C$5:$C$175,0),5)</f>
        <v>U</v>
      </c>
      <c r="C19" t="str">
        <f t="shared" si="0"/>
        <v>N/A</v>
      </c>
      <c r="D19" t="str">
        <f t="shared" si="1"/>
        <v>X</v>
      </c>
      <c r="E19" t="str">
        <f t="shared" si="2"/>
        <v>X</v>
      </c>
      <c r="F19" t="str">
        <f>VLOOKUP(A19,Table7[[#All],[New Practices]:[CMMC Implementation Status]],5,FALSE)</f>
        <v>Shared Coverage</v>
      </c>
    </row>
    <row r="20" spans="1:6" hidden="1" x14ac:dyDescent="0.35">
      <c r="A20" t="s">
        <v>172</v>
      </c>
      <c r="B20" t="str">
        <f>INDEX('Selection Pane Data'!$C$5:$G$175,MATCH('CMMC Levels'!$A20,'Selection Pane Data'!$C$5:$C$175,0),5)</f>
        <v>P</v>
      </c>
      <c r="C20" t="str">
        <f t="shared" si="0"/>
        <v>N/A</v>
      </c>
      <c r="D20" t="str">
        <f t="shared" si="1"/>
        <v>X</v>
      </c>
      <c r="E20" t="str">
        <f t="shared" si="2"/>
        <v>X</v>
      </c>
      <c r="F20" t="str">
        <f>VLOOKUP(A20,Table7[[#All],[New Practices]:[CMMC Implementation Status]],5,FALSE)</f>
        <v>Shared Coverage</v>
      </c>
    </row>
    <row r="21" spans="1:6" hidden="1" x14ac:dyDescent="0.35">
      <c r="A21" t="s">
        <v>192</v>
      </c>
      <c r="B21" t="str">
        <f>INDEX('Selection Pane Data'!$C$5:$G$175,MATCH('CMMC Levels'!$A21,'Selection Pane Data'!$C$5:$C$175,0),5)</f>
        <v>U</v>
      </c>
      <c r="C21" t="str">
        <f t="shared" si="0"/>
        <v>N/A</v>
      </c>
      <c r="D21" t="str">
        <f t="shared" si="1"/>
        <v>X</v>
      </c>
      <c r="E21" t="str">
        <f t="shared" si="2"/>
        <v>X</v>
      </c>
      <c r="F21" t="str">
        <f>VLOOKUP(A21,Table7[[#All],[New Practices]:[CMMC Implementation Status]],5,FALSE)</f>
        <v>Shared Coverage</v>
      </c>
    </row>
    <row r="22" spans="1:6" hidden="1" x14ac:dyDescent="0.35">
      <c r="A22" t="s">
        <v>184</v>
      </c>
      <c r="B22" t="str">
        <f>INDEX('Selection Pane Data'!$C$5:$G$175,MATCH('CMMC Levels'!$A22,'Selection Pane Data'!$C$5:$C$175,0),5)</f>
        <v>U</v>
      </c>
      <c r="C22" t="str">
        <f t="shared" si="0"/>
        <v>N/A</v>
      </c>
      <c r="D22" t="str">
        <f t="shared" si="1"/>
        <v>X</v>
      </c>
      <c r="E22" t="str">
        <f t="shared" si="2"/>
        <v>X</v>
      </c>
      <c r="F22" t="str">
        <f>VLOOKUP(A22,Table7[[#All],[New Practices]:[CMMC Implementation Status]],5,FALSE)</f>
        <v>Shared Coverage</v>
      </c>
    </row>
    <row r="23" spans="1:6" hidden="1" x14ac:dyDescent="0.35">
      <c r="A23" t="s">
        <v>194</v>
      </c>
      <c r="B23" t="str">
        <f>INDEX('Selection Pane Data'!$C$5:$G$175,MATCH('CMMC Levels'!$A23,'Selection Pane Data'!$C$5:$C$175,0),5)</f>
        <v>U</v>
      </c>
      <c r="C23" t="str">
        <f t="shared" si="0"/>
        <v>N/A</v>
      </c>
      <c r="D23" t="str">
        <f t="shared" si="1"/>
        <v>X</v>
      </c>
      <c r="E23" t="str">
        <f t="shared" si="2"/>
        <v>X</v>
      </c>
      <c r="F23" t="str">
        <f>VLOOKUP(A23,Table7[[#All],[New Practices]:[CMMC Implementation Status]],5,FALSE)</f>
        <v>Shared Coverage</v>
      </c>
    </row>
    <row r="24" spans="1:6" x14ac:dyDescent="0.35">
      <c r="A24" t="s">
        <v>198</v>
      </c>
      <c r="B24" t="str">
        <f>INDEX('Selection Pane Data'!$C$5:$G$175,MATCH('CMMC Levels'!$A24,'Selection Pane Data'!$C$5:$C$175,0),5)</f>
        <v>N</v>
      </c>
      <c r="C24" t="str">
        <f t="shared" si="0"/>
        <v>N/A</v>
      </c>
      <c r="D24" t="str">
        <f t="shared" si="1"/>
        <v>N/A</v>
      </c>
      <c r="E24" t="str">
        <f t="shared" si="2"/>
        <v>X</v>
      </c>
      <c r="F24" t="str">
        <f>VLOOKUP(A24,Table7[[#All],[New Practices]:[CMMC Implementation Status]],5,FALSE)</f>
        <v>Not Applicable</v>
      </c>
    </row>
    <row r="25" spans="1:6" hidden="1" x14ac:dyDescent="0.35">
      <c r="A25" t="s">
        <v>281</v>
      </c>
      <c r="B25" t="str">
        <f>INDEX('Selection Pane Data'!$C$5:$G$175,MATCH('CMMC Levels'!$A25,'Selection Pane Data'!$C$5:$C$175,0),5)</f>
        <v>N</v>
      </c>
      <c r="C25" t="str">
        <f t="shared" si="0"/>
        <v>N/A</v>
      </c>
      <c r="D25" t="str">
        <f t="shared" si="1"/>
        <v>N/A</v>
      </c>
      <c r="E25" t="str">
        <f t="shared" si="2"/>
        <v>N/A</v>
      </c>
      <c r="F25" t="str">
        <f>VLOOKUP(A25,Table7[[#All],[New Practices]:[CMMC Implementation Status]],5,FALSE)</f>
        <v>Not Applicable</v>
      </c>
    </row>
    <row r="26" spans="1:6" hidden="1" x14ac:dyDescent="0.35">
      <c r="A26" t="s">
        <v>281</v>
      </c>
      <c r="B26" t="str">
        <f>INDEX('Selection Pane Data'!$C$5:$G$175,MATCH('CMMC Levels'!$A26,'Selection Pane Data'!$C$5:$C$175,0),5)</f>
        <v>N</v>
      </c>
      <c r="C26" t="str">
        <f t="shared" si="0"/>
        <v>N/A</v>
      </c>
      <c r="D26" t="str">
        <f t="shared" si="1"/>
        <v>N/A</v>
      </c>
      <c r="E26" t="str">
        <f t="shared" si="2"/>
        <v>N/A</v>
      </c>
      <c r="F26" t="str">
        <f>VLOOKUP(A26,Table7[[#All],[New Practices]:[CMMC Implementation Status]],5,FALSE)</f>
        <v>Not Applicable</v>
      </c>
    </row>
    <row r="27" spans="1:6" hidden="1" x14ac:dyDescent="0.35">
      <c r="A27" t="s">
        <v>281</v>
      </c>
      <c r="B27" t="str">
        <f>INDEX('Selection Pane Data'!$C$5:$G$175,MATCH('CMMC Levels'!$A27,'Selection Pane Data'!$C$5:$C$175,0),5)</f>
        <v>N</v>
      </c>
      <c r="C27" t="str">
        <f t="shared" si="0"/>
        <v>N/A</v>
      </c>
      <c r="D27" t="str">
        <f t="shared" si="1"/>
        <v>N/A</v>
      </c>
      <c r="E27" t="str">
        <f t="shared" si="2"/>
        <v>N/A</v>
      </c>
      <c r="F27" t="str">
        <f>VLOOKUP(A27,Table7[[#All],[New Practices]:[CMMC Implementation Status]],5,FALSE)</f>
        <v>Not Applicable</v>
      </c>
    </row>
    <row r="28" spans="1:6" hidden="1" x14ac:dyDescent="0.35">
      <c r="A28" t="s">
        <v>281</v>
      </c>
      <c r="B28" t="str">
        <f>INDEX('Selection Pane Data'!$C$5:$G$175,MATCH('CMMC Levels'!$A28,'Selection Pane Data'!$C$5:$C$175,0),5)</f>
        <v>N</v>
      </c>
      <c r="C28" t="str">
        <f t="shared" si="0"/>
        <v>N/A</v>
      </c>
      <c r="D28" t="str">
        <f t="shared" si="1"/>
        <v>N/A</v>
      </c>
      <c r="E28" t="str">
        <f t="shared" si="2"/>
        <v>N/A</v>
      </c>
      <c r="F28" t="str">
        <f>VLOOKUP(A28,Table7[[#All],[New Practices]:[CMMC Implementation Status]],5,FALSE)</f>
        <v>Not Applicable</v>
      </c>
    </row>
    <row r="29" spans="1:6" x14ac:dyDescent="0.35">
      <c r="A29" t="s">
        <v>282</v>
      </c>
      <c r="B29" t="e">
        <f>INDEX('Selection Pane Data'!$C$5:$G$175,MATCH('CMMC Levels'!$A29,'Selection Pane Data'!$C$5:$C$175,0),5)</f>
        <v>#N/A</v>
      </c>
      <c r="C29" t="str">
        <f t="shared" si="0"/>
        <v>N/A</v>
      </c>
      <c r="D29" t="str">
        <f t="shared" si="1"/>
        <v>N/A</v>
      </c>
      <c r="E29" t="str">
        <f t="shared" si="2"/>
        <v>X</v>
      </c>
      <c r="F29" t="e">
        <f>VLOOKUP(A29,Table7[[#All],[New Practices]:[CMMC Implementation Status]],5,FALSE)</f>
        <v>#N/A</v>
      </c>
    </row>
    <row r="30" spans="1:6" hidden="1" x14ac:dyDescent="0.35">
      <c r="A30" t="s">
        <v>52</v>
      </c>
      <c r="B30" t="str">
        <f>INDEX('Selection Pane Data'!$C$5:$G$175,MATCH('CMMC Levels'!$A30,'Selection Pane Data'!$C$5:$C$175,0),5)</f>
        <v>U</v>
      </c>
      <c r="C30" t="str">
        <f t="shared" si="0"/>
        <v>N/A</v>
      </c>
      <c r="D30" t="str">
        <f t="shared" si="1"/>
        <v>X</v>
      </c>
      <c r="E30" t="str">
        <f t="shared" si="2"/>
        <v>X</v>
      </c>
      <c r="F30" t="str">
        <f>VLOOKUP(A30,Table7[[#All],[New Practices]:[CMMC Implementation Status]],5,FALSE)</f>
        <v>Customer Responsibility</v>
      </c>
    </row>
    <row r="31" spans="1:6" hidden="1" x14ac:dyDescent="0.35">
      <c r="A31" t="s">
        <v>67</v>
      </c>
      <c r="B31" t="str">
        <f>INDEX('Selection Pane Data'!$C$5:$G$175,MATCH('CMMC Levels'!$A31,'Selection Pane Data'!$C$5:$C$175,0),5)</f>
        <v>U</v>
      </c>
      <c r="C31" t="str">
        <f t="shared" si="0"/>
        <v>N/A</v>
      </c>
      <c r="D31" t="str">
        <f t="shared" si="1"/>
        <v>X</v>
      </c>
      <c r="E31" t="str">
        <f t="shared" si="2"/>
        <v>X</v>
      </c>
      <c r="F31" t="str">
        <f>VLOOKUP(A31,Table7[[#All],[New Practices]:[CMMC Implementation Status]],5,FALSE)</f>
        <v>Customer Responsibility</v>
      </c>
    </row>
    <row r="32" spans="1:6" hidden="1" x14ac:dyDescent="0.35">
      <c r="A32" t="s">
        <v>82</v>
      </c>
      <c r="B32" t="str">
        <f>INDEX('Selection Pane Data'!$C$5:$G$175,MATCH('CMMC Levels'!$A32,'Selection Pane Data'!$C$5:$C$175,0),5)</f>
        <v>U</v>
      </c>
      <c r="C32" t="str">
        <f t="shared" si="0"/>
        <v>N/A</v>
      </c>
      <c r="D32" t="str">
        <f t="shared" si="1"/>
        <v>X</v>
      </c>
      <c r="E32" t="str">
        <f t="shared" si="2"/>
        <v>X</v>
      </c>
      <c r="F32" t="str">
        <f>VLOOKUP(A32,Table7[[#All],[New Practices]:[CMMC Implementation Status]],5,FALSE)</f>
        <v>Customer Responsibility</v>
      </c>
    </row>
    <row r="33" spans="1:6" x14ac:dyDescent="0.35">
      <c r="A33" t="s">
        <v>96</v>
      </c>
      <c r="B33" t="str">
        <f>INDEX('Selection Pane Data'!$C$5:$G$175,MATCH('CMMC Levels'!$A33,'Selection Pane Data'!$C$5:$C$175,0),5)</f>
        <v>N</v>
      </c>
      <c r="C33" t="str">
        <f t="shared" si="0"/>
        <v>N/A</v>
      </c>
      <c r="D33" t="str">
        <f t="shared" si="1"/>
        <v>N/A</v>
      </c>
      <c r="E33" t="str">
        <f t="shared" si="2"/>
        <v>X</v>
      </c>
      <c r="F33" t="str">
        <f>VLOOKUP(A33,Table7[[#All],[New Practices]:[CMMC Implementation Status]],5,FALSE)</f>
        <v>Not Applicable</v>
      </c>
    </row>
    <row r="34" spans="1:6" x14ac:dyDescent="0.35">
      <c r="A34" t="s">
        <v>110</v>
      </c>
      <c r="B34" t="str">
        <f>INDEX('Selection Pane Data'!$C$5:$G$175,MATCH('CMMC Levels'!$A34,'Selection Pane Data'!$C$5:$C$175,0),5)</f>
        <v>N</v>
      </c>
      <c r="C34" t="str">
        <f t="shared" si="0"/>
        <v>N/A</v>
      </c>
      <c r="D34" t="str">
        <f t="shared" si="1"/>
        <v>N/A</v>
      </c>
      <c r="E34" t="str">
        <f t="shared" si="2"/>
        <v>X</v>
      </c>
      <c r="F34" t="str">
        <f>VLOOKUP(A34,Table7[[#All],[New Practices]:[CMMC Implementation Status]],5,FALSE)</f>
        <v>Not Applicable</v>
      </c>
    </row>
    <row r="35" spans="1:6" hidden="1" x14ac:dyDescent="0.35">
      <c r="A35" t="s">
        <v>66</v>
      </c>
      <c r="B35" t="str">
        <f>INDEX('Selection Pane Data'!$C$5:$G$175,MATCH('CMMC Levels'!$A35,'Selection Pane Data'!$C$5:$C$175,0),5)</f>
        <v>U</v>
      </c>
      <c r="C35" t="str">
        <f t="shared" si="0"/>
        <v>N/A</v>
      </c>
      <c r="D35" t="str">
        <f t="shared" si="1"/>
        <v>X</v>
      </c>
      <c r="E35" t="str">
        <f t="shared" si="2"/>
        <v>X</v>
      </c>
      <c r="F35" t="str">
        <f>VLOOKUP(A35,Table7[[#All],[New Practices]:[CMMC Implementation Status]],5,FALSE)</f>
        <v>Shared Coverage</v>
      </c>
    </row>
    <row r="36" spans="1:6" hidden="1" x14ac:dyDescent="0.35">
      <c r="A36" t="s">
        <v>51</v>
      </c>
      <c r="B36" t="str">
        <f>INDEX('Selection Pane Data'!$C$5:$G$175,MATCH('CMMC Levels'!$A36,'Selection Pane Data'!$C$5:$C$175,0),5)</f>
        <v>U</v>
      </c>
      <c r="C36" t="str">
        <f t="shared" si="0"/>
        <v>N/A</v>
      </c>
      <c r="D36" t="str">
        <f t="shared" si="1"/>
        <v>X</v>
      </c>
      <c r="E36" t="str">
        <f t="shared" si="2"/>
        <v>X</v>
      </c>
      <c r="F36" t="str">
        <f>VLOOKUP(A36,Table7[[#All],[New Practices]:[CMMC Implementation Status]],5,FALSE)</f>
        <v>Shared Coverage</v>
      </c>
    </row>
    <row r="37" spans="1:6" hidden="1" x14ac:dyDescent="0.35">
      <c r="A37" t="s">
        <v>136</v>
      </c>
      <c r="B37" t="str">
        <f>INDEX('Selection Pane Data'!$C$5:$G$175,MATCH('CMMC Levels'!$A37,'Selection Pane Data'!$C$5:$C$175,0),5)</f>
        <v>U</v>
      </c>
      <c r="C37" t="str">
        <f t="shared" si="0"/>
        <v>N/A</v>
      </c>
      <c r="D37" t="str">
        <f t="shared" si="1"/>
        <v>X</v>
      </c>
      <c r="E37" t="str">
        <f t="shared" si="2"/>
        <v>X</v>
      </c>
      <c r="F37" t="str">
        <f>VLOOKUP(A37,Table7[[#All],[New Practices]:[CMMC Implementation Status]],5,FALSE)</f>
        <v>Shared Coverage</v>
      </c>
    </row>
    <row r="38" spans="1:6" hidden="1" x14ac:dyDescent="0.35">
      <c r="A38" t="s">
        <v>281</v>
      </c>
      <c r="B38" t="str">
        <f>INDEX('Selection Pane Data'!$C$5:$G$175,MATCH('CMMC Levels'!$A38,'Selection Pane Data'!$C$5:$C$175,0),5)</f>
        <v>N</v>
      </c>
      <c r="C38" t="str">
        <f t="shared" si="0"/>
        <v>N/A</v>
      </c>
      <c r="D38" t="str">
        <f t="shared" si="1"/>
        <v>N/A</v>
      </c>
      <c r="E38" t="str">
        <f t="shared" si="2"/>
        <v>N/A</v>
      </c>
      <c r="F38" t="str">
        <f>VLOOKUP(A38,Table7[[#All],[New Practices]:[CMMC Implementation Status]],5,FALSE)</f>
        <v>Not Applicable</v>
      </c>
    </row>
    <row r="39" spans="1:6" hidden="1" x14ac:dyDescent="0.35">
      <c r="A39" t="s">
        <v>81</v>
      </c>
      <c r="B39" t="str">
        <f>INDEX('Selection Pane Data'!$C$5:$G$175,MATCH('CMMC Levels'!$A39,'Selection Pane Data'!$C$5:$C$175,0),5)</f>
        <v>U</v>
      </c>
      <c r="C39" t="str">
        <f t="shared" si="0"/>
        <v>N/A</v>
      </c>
      <c r="D39" t="str">
        <f t="shared" si="1"/>
        <v>X</v>
      </c>
      <c r="E39" t="str">
        <f t="shared" si="2"/>
        <v>X</v>
      </c>
      <c r="F39" t="str">
        <f>VLOOKUP(A39,Table7[[#All],[New Practices]:[CMMC Implementation Status]],5,FALSE)</f>
        <v>Customer Responsibility</v>
      </c>
    </row>
    <row r="40" spans="1:6" hidden="1" x14ac:dyDescent="0.35">
      <c r="A40" t="s">
        <v>95</v>
      </c>
      <c r="B40" t="str">
        <f>INDEX('Selection Pane Data'!$C$5:$G$175,MATCH('CMMC Levels'!$A40,'Selection Pane Data'!$C$5:$C$175,0),5)</f>
        <v>U</v>
      </c>
      <c r="C40" t="str">
        <f t="shared" si="0"/>
        <v>N/A</v>
      </c>
      <c r="D40" t="str">
        <f t="shared" si="1"/>
        <v>X</v>
      </c>
      <c r="E40" t="str">
        <f t="shared" si="2"/>
        <v>X</v>
      </c>
      <c r="F40" t="str">
        <f>VLOOKUP(A40,Table7[[#All],[New Practices]:[CMMC Implementation Status]],5,FALSE)</f>
        <v>Shared Coverage</v>
      </c>
    </row>
    <row r="41" spans="1:6" hidden="1" x14ac:dyDescent="0.35">
      <c r="A41" t="s">
        <v>281</v>
      </c>
      <c r="B41" t="str">
        <f>INDEX('Selection Pane Data'!$C$5:$G$175,MATCH('CMMC Levels'!$A41,'Selection Pane Data'!$C$5:$C$175,0),5)</f>
        <v>N</v>
      </c>
      <c r="C41" t="str">
        <f t="shared" si="0"/>
        <v>N/A</v>
      </c>
      <c r="D41" t="str">
        <f t="shared" si="1"/>
        <v>N/A</v>
      </c>
      <c r="E41" t="str">
        <f t="shared" si="2"/>
        <v>N/A</v>
      </c>
      <c r="F41" t="str">
        <f>VLOOKUP(A41,Table7[[#All],[New Practices]:[CMMC Implementation Status]],5,FALSE)</f>
        <v>Not Applicable</v>
      </c>
    </row>
    <row r="42" spans="1:6" hidden="1" x14ac:dyDescent="0.35">
      <c r="A42" t="s">
        <v>144</v>
      </c>
      <c r="B42" t="str">
        <f>INDEX('Selection Pane Data'!$C$5:$G$175,MATCH('CMMC Levels'!$A42,'Selection Pane Data'!$C$5:$C$175,0),5)</f>
        <v>U</v>
      </c>
      <c r="C42" t="str">
        <f t="shared" si="0"/>
        <v>N/A</v>
      </c>
      <c r="D42" t="str">
        <f t="shared" si="1"/>
        <v>X</v>
      </c>
      <c r="E42" t="str">
        <f t="shared" si="2"/>
        <v>X</v>
      </c>
      <c r="F42" t="str">
        <f>VLOOKUP(A42,Table7[[#All],[New Practices]:[CMMC Implementation Status]],5,FALSE)</f>
        <v>Shared Coverage</v>
      </c>
    </row>
    <row r="43" spans="1:6" hidden="1" x14ac:dyDescent="0.35">
      <c r="A43" t="s">
        <v>152</v>
      </c>
      <c r="B43" t="str">
        <f>INDEX('Selection Pane Data'!$C$5:$G$175,MATCH('CMMC Levels'!$A43,'Selection Pane Data'!$C$5:$C$175,0),5)</f>
        <v>U</v>
      </c>
      <c r="C43" t="str">
        <f t="shared" si="0"/>
        <v>N/A</v>
      </c>
      <c r="D43" t="str">
        <f t="shared" si="1"/>
        <v>X</v>
      </c>
      <c r="E43" t="str">
        <f t="shared" si="2"/>
        <v>X</v>
      </c>
      <c r="F43" t="str">
        <f>VLOOKUP(A43,Table7[[#All],[New Practices]:[CMMC Implementation Status]],5,FALSE)</f>
        <v>Customer Responsibility</v>
      </c>
    </row>
    <row r="44" spans="1:6" hidden="1" x14ac:dyDescent="0.35">
      <c r="A44" t="s">
        <v>109</v>
      </c>
      <c r="B44" t="str">
        <f>INDEX('Selection Pane Data'!$C$5:$G$175,MATCH('CMMC Levels'!$A44,'Selection Pane Data'!$C$5:$C$175,0),5)</f>
        <v>U</v>
      </c>
      <c r="C44" t="str">
        <f t="shared" si="0"/>
        <v>N/A</v>
      </c>
      <c r="D44" t="str">
        <f t="shared" si="1"/>
        <v>X</v>
      </c>
      <c r="E44" t="str">
        <f t="shared" si="2"/>
        <v>X</v>
      </c>
      <c r="F44" t="str">
        <f>VLOOKUP(A44,Table7[[#All],[New Practices]:[CMMC Implementation Status]],5,FALSE)</f>
        <v>Shared Coverage</v>
      </c>
    </row>
    <row r="45" spans="1:6" hidden="1" x14ac:dyDescent="0.35">
      <c r="A45" t="s">
        <v>123</v>
      </c>
      <c r="B45" t="str">
        <f>INDEX('Selection Pane Data'!$C$5:$G$175,MATCH('CMMC Levels'!$A45,'Selection Pane Data'!$C$5:$C$175,0),5)</f>
        <v>U</v>
      </c>
      <c r="C45" t="str">
        <f t="shared" si="0"/>
        <v>N/A</v>
      </c>
      <c r="D45" t="str">
        <f t="shared" si="1"/>
        <v>X</v>
      </c>
      <c r="E45" t="str">
        <f t="shared" si="2"/>
        <v>X</v>
      </c>
      <c r="F45" t="str">
        <f>VLOOKUP(A45,Table7[[#All],[New Practices]:[CMMC Implementation Status]],5,FALSE)</f>
        <v>Shared Coverage</v>
      </c>
    </row>
    <row r="46" spans="1:6" hidden="1" x14ac:dyDescent="0.35">
      <c r="A46" t="s">
        <v>281</v>
      </c>
      <c r="B46" t="str">
        <f>INDEX('Selection Pane Data'!$C$5:$G$175,MATCH('CMMC Levels'!$A46,'Selection Pane Data'!$C$5:$C$175,0),5)</f>
        <v>N</v>
      </c>
      <c r="C46" t="str">
        <f t="shared" si="0"/>
        <v>N/A</v>
      </c>
      <c r="D46" t="str">
        <f t="shared" si="1"/>
        <v>N/A</v>
      </c>
      <c r="E46" t="str">
        <f t="shared" si="2"/>
        <v>N/A</v>
      </c>
      <c r="F46" t="str">
        <f>VLOOKUP(A46,Table7[[#All],[New Practices]:[CMMC Implementation Status]],5,FALSE)</f>
        <v>Not Applicable</v>
      </c>
    </row>
    <row r="47" spans="1:6" hidden="1" x14ac:dyDescent="0.35">
      <c r="A47" t="s">
        <v>281</v>
      </c>
      <c r="B47" t="str">
        <f>INDEX('Selection Pane Data'!$C$5:$G$175,MATCH('CMMC Levels'!$A47,'Selection Pane Data'!$C$5:$C$175,0),5)</f>
        <v>N</v>
      </c>
      <c r="C47" t="str">
        <f t="shared" si="0"/>
        <v>N/A</v>
      </c>
      <c r="D47" t="str">
        <f t="shared" si="1"/>
        <v>N/A</v>
      </c>
      <c r="E47" t="str">
        <f t="shared" si="2"/>
        <v>N/A</v>
      </c>
      <c r="F47" t="str">
        <f>VLOOKUP(A47,Table7[[#All],[New Practices]:[CMMC Implementation Status]],5,FALSE)</f>
        <v>Not Applicable</v>
      </c>
    </row>
    <row r="48" spans="1:6" hidden="1" x14ac:dyDescent="0.35">
      <c r="A48" t="s">
        <v>281</v>
      </c>
      <c r="B48" t="str">
        <f>INDEX('Selection Pane Data'!$C$5:$G$175,MATCH('CMMC Levels'!$A48,'Selection Pane Data'!$C$5:$C$175,0),5)</f>
        <v>N</v>
      </c>
      <c r="C48" t="str">
        <f t="shared" si="0"/>
        <v>N/A</v>
      </c>
      <c r="D48" t="str">
        <f t="shared" si="1"/>
        <v>N/A</v>
      </c>
      <c r="E48" t="str">
        <f t="shared" si="2"/>
        <v>N/A</v>
      </c>
      <c r="F48" t="str">
        <f>VLOOKUP(A48,Table7[[#All],[New Practices]:[CMMC Implementation Status]],5,FALSE)</f>
        <v>Not Applicable</v>
      </c>
    </row>
    <row r="49" spans="1:6" hidden="1" x14ac:dyDescent="0.35">
      <c r="A49" t="s">
        <v>104</v>
      </c>
      <c r="B49" t="str">
        <f>INDEX('Selection Pane Data'!$C$5:$G$175,MATCH('CMMC Levels'!$A49,'Selection Pane Data'!$C$5:$C$175,0),5)</f>
        <v>U</v>
      </c>
      <c r="C49" t="str">
        <f t="shared" si="0"/>
        <v>N/A</v>
      </c>
      <c r="D49" t="str">
        <f t="shared" si="1"/>
        <v>X</v>
      </c>
      <c r="E49" t="str">
        <f t="shared" si="2"/>
        <v>X</v>
      </c>
      <c r="F49" t="str">
        <f>VLOOKUP(A49,Table7[[#All],[New Practices]:[CMMC Implementation Status]],5,FALSE)</f>
        <v>Shared Coverage</v>
      </c>
    </row>
    <row r="50" spans="1:6" hidden="1" x14ac:dyDescent="0.35">
      <c r="A50" t="s">
        <v>61</v>
      </c>
      <c r="B50" t="str">
        <f>INDEX('Selection Pane Data'!$C$5:$G$175,MATCH('CMMC Levels'!$A50,'Selection Pane Data'!$C$5:$C$175,0),5)</f>
        <v>U</v>
      </c>
      <c r="C50" t="str">
        <f t="shared" si="0"/>
        <v>N/A</v>
      </c>
      <c r="D50" t="str">
        <f t="shared" si="1"/>
        <v>X</v>
      </c>
      <c r="E50" t="str">
        <f t="shared" si="2"/>
        <v>X</v>
      </c>
      <c r="F50" t="str">
        <f>VLOOKUP(A50,Table7[[#All],[New Practices]:[CMMC Implementation Status]],5,FALSE)</f>
        <v>Shared Coverage</v>
      </c>
    </row>
    <row r="51" spans="1:6" hidden="1" x14ac:dyDescent="0.35">
      <c r="A51" t="s">
        <v>76</v>
      </c>
      <c r="B51" t="str">
        <f>INDEX('Selection Pane Data'!$C$5:$G$175,MATCH('CMMC Levels'!$A51,'Selection Pane Data'!$C$5:$C$175,0),5)</f>
        <v>U</v>
      </c>
      <c r="C51" t="str">
        <f t="shared" si="0"/>
        <v>N/A</v>
      </c>
      <c r="D51" t="str">
        <f t="shared" si="1"/>
        <v>X</v>
      </c>
      <c r="E51" t="str">
        <f t="shared" si="2"/>
        <v>X</v>
      </c>
      <c r="F51" t="str">
        <f>VLOOKUP(A51,Table7[[#All],[New Practices]:[CMMC Implementation Status]],5,FALSE)</f>
        <v>Shared Coverage</v>
      </c>
    </row>
    <row r="52" spans="1:6" hidden="1" x14ac:dyDescent="0.35">
      <c r="A52" t="s">
        <v>90</v>
      </c>
      <c r="B52" t="str">
        <f>INDEX('Selection Pane Data'!$C$5:$G$175,MATCH('CMMC Levels'!$A52,'Selection Pane Data'!$C$5:$C$175,0),5)</f>
        <v>U</v>
      </c>
      <c r="C52" t="str">
        <f t="shared" si="0"/>
        <v>N/A</v>
      </c>
      <c r="D52" t="str">
        <f t="shared" si="1"/>
        <v>X</v>
      </c>
      <c r="E52" t="str">
        <f t="shared" si="2"/>
        <v>X</v>
      </c>
      <c r="F52" t="str">
        <f>VLOOKUP(A52,Table7[[#All],[New Practices]:[CMMC Implementation Status]],5,FALSE)</f>
        <v>Shared Coverage</v>
      </c>
    </row>
    <row r="53" spans="1:6" hidden="1" x14ac:dyDescent="0.35">
      <c r="A53" t="s">
        <v>281</v>
      </c>
      <c r="B53" t="str">
        <f>INDEX('Selection Pane Data'!$C$5:$G$175,MATCH('CMMC Levels'!$A53,'Selection Pane Data'!$C$5:$C$175,0),5)</f>
        <v>N</v>
      </c>
      <c r="C53" t="str">
        <f t="shared" si="0"/>
        <v>N/A</v>
      </c>
      <c r="D53" t="str">
        <f t="shared" si="1"/>
        <v>N/A</v>
      </c>
      <c r="E53" t="str">
        <f t="shared" si="2"/>
        <v>N/A</v>
      </c>
      <c r="F53" t="str">
        <f>VLOOKUP(A53,Table7[[#All],[New Practices]:[CMMC Implementation Status]],5,FALSE)</f>
        <v>Not Applicable</v>
      </c>
    </row>
    <row r="54" spans="1:6" hidden="1" x14ac:dyDescent="0.35">
      <c r="A54" t="s">
        <v>281</v>
      </c>
      <c r="B54" t="str">
        <f>INDEX('Selection Pane Data'!$C$5:$G$175,MATCH('CMMC Levels'!$A54,'Selection Pane Data'!$C$5:$C$175,0),5)</f>
        <v>N</v>
      </c>
      <c r="C54" t="str">
        <f t="shared" si="0"/>
        <v>N/A</v>
      </c>
      <c r="D54" t="str">
        <f t="shared" si="1"/>
        <v>N/A</v>
      </c>
      <c r="E54" t="str">
        <f t="shared" si="2"/>
        <v>N/A</v>
      </c>
      <c r="F54" t="str">
        <f>VLOOKUP(A54,Table7[[#All],[New Practices]:[CMMC Implementation Status]],5,FALSE)</f>
        <v>Not Applicable</v>
      </c>
    </row>
    <row r="55" spans="1:6" x14ac:dyDescent="0.35">
      <c r="A55" t="s">
        <v>118</v>
      </c>
      <c r="B55" t="str">
        <f>INDEX('Selection Pane Data'!$C$5:$G$175,MATCH('CMMC Levels'!$A55,'Selection Pane Data'!$C$5:$C$175,0),5)</f>
        <v>N</v>
      </c>
      <c r="C55" t="str">
        <f t="shared" si="0"/>
        <v>N/A</v>
      </c>
      <c r="D55" t="str">
        <f t="shared" si="1"/>
        <v>N/A</v>
      </c>
      <c r="E55" t="str">
        <f t="shared" si="2"/>
        <v>X</v>
      </c>
      <c r="F55" t="str">
        <f>VLOOKUP(A55,Table7[[#All],[New Practices]:[CMMC Implementation Status]],5,FALSE)</f>
        <v>Not Applicable</v>
      </c>
    </row>
    <row r="56" spans="1:6" hidden="1" x14ac:dyDescent="0.35">
      <c r="A56" t="s">
        <v>281</v>
      </c>
      <c r="B56" t="str">
        <f>INDEX('Selection Pane Data'!$C$5:$G$175,MATCH('CMMC Levels'!$A56,'Selection Pane Data'!$C$5:$C$175,0),5)</f>
        <v>N</v>
      </c>
      <c r="C56" t="str">
        <f t="shared" si="0"/>
        <v>N/A</v>
      </c>
      <c r="D56" t="str">
        <f t="shared" si="1"/>
        <v>N/A</v>
      </c>
      <c r="E56" t="str">
        <f t="shared" si="2"/>
        <v>N/A</v>
      </c>
      <c r="F56" t="str">
        <f>VLOOKUP(A56,Table7[[#All],[New Practices]:[CMMC Implementation Status]],5,FALSE)</f>
        <v>Not Applicable</v>
      </c>
    </row>
    <row r="57" spans="1:6" hidden="1" x14ac:dyDescent="0.35">
      <c r="A57" t="s">
        <v>53</v>
      </c>
      <c r="B57" t="str">
        <f>INDEX('Selection Pane Data'!$C$5:$G$175,MATCH('CMMC Levels'!$A57,'Selection Pane Data'!$C$5:$C$175,0),5)</f>
        <v>U</v>
      </c>
      <c r="C57" t="str">
        <f t="shared" si="0"/>
        <v>N/A</v>
      </c>
      <c r="D57" t="str">
        <f t="shared" si="1"/>
        <v>X</v>
      </c>
      <c r="E57" t="str">
        <f t="shared" si="2"/>
        <v>X</v>
      </c>
      <c r="F57" t="str">
        <f>VLOOKUP(A57,Table7[[#All],[New Practices]:[CMMC Implementation Status]],5,FALSE)</f>
        <v>Customer Responsibility</v>
      </c>
    </row>
    <row r="58" spans="1:6" hidden="1" x14ac:dyDescent="0.35">
      <c r="A58" t="s">
        <v>124</v>
      </c>
      <c r="B58" t="str">
        <f>INDEX('Selection Pane Data'!$C$5:$G$175,MATCH('CMMC Levels'!$A58,'Selection Pane Data'!$C$5:$C$175,0),5)</f>
        <v>U</v>
      </c>
      <c r="C58" t="str">
        <f t="shared" si="0"/>
        <v>N/A</v>
      </c>
      <c r="D58" t="str">
        <f t="shared" si="1"/>
        <v>X</v>
      </c>
      <c r="E58" t="str">
        <f t="shared" si="2"/>
        <v>X</v>
      </c>
      <c r="F58" t="str">
        <f>VLOOKUP(A58,Table7[[#All],[New Practices]:[CMMC Implementation Status]],5,FALSE)</f>
        <v>Customer Responsibility</v>
      </c>
    </row>
    <row r="59" spans="1:6" hidden="1" x14ac:dyDescent="0.35">
      <c r="A59" t="s">
        <v>153</v>
      </c>
      <c r="B59" t="str">
        <f>INDEX('Selection Pane Data'!$C$5:$G$175,MATCH('CMMC Levels'!$A59,'Selection Pane Data'!$C$5:$C$175,0),5)</f>
        <v>U</v>
      </c>
      <c r="C59" t="str">
        <f t="shared" si="0"/>
        <v>N/A</v>
      </c>
      <c r="D59" t="str">
        <f t="shared" si="1"/>
        <v>X</v>
      </c>
      <c r="E59" t="str">
        <f t="shared" si="2"/>
        <v>X</v>
      </c>
      <c r="F59" t="str">
        <f>VLOOKUP(A59,Table7[[#All],[New Practices]:[CMMC Implementation Status]],5,FALSE)</f>
        <v>Shared Coverage</v>
      </c>
    </row>
    <row r="60" spans="1:6" hidden="1" x14ac:dyDescent="0.35">
      <c r="A60" t="s">
        <v>68</v>
      </c>
      <c r="B60" t="str">
        <f>INDEX('Selection Pane Data'!$C$5:$G$175,MATCH('CMMC Levels'!$A60,'Selection Pane Data'!$C$5:$C$175,0),5)</f>
        <v>U</v>
      </c>
      <c r="C60" t="str">
        <f t="shared" si="0"/>
        <v>N/A</v>
      </c>
      <c r="D60" t="str">
        <f t="shared" si="1"/>
        <v>X</v>
      </c>
      <c r="E60" t="str">
        <f t="shared" si="2"/>
        <v>X</v>
      </c>
      <c r="F60" t="str">
        <f>VLOOKUP(A60,Table7[[#All],[New Practices]:[CMMC Implementation Status]],5,FALSE)</f>
        <v>Customer Responsibility</v>
      </c>
    </row>
    <row r="61" spans="1:6" hidden="1" x14ac:dyDescent="0.35">
      <c r="A61" t="s">
        <v>83</v>
      </c>
      <c r="B61" t="str">
        <f>INDEX('Selection Pane Data'!$C$5:$G$175,MATCH('CMMC Levels'!$A61,'Selection Pane Data'!$C$5:$C$175,0),5)</f>
        <v>U</v>
      </c>
      <c r="C61" t="str">
        <f t="shared" si="0"/>
        <v>N/A</v>
      </c>
      <c r="D61" t="str">
        <f t="shared" si="1"/>
        <v>X</v>
      </c>
      <c r="E61" t="str">
        <f t="shared" si="2"/>
        <v>X</v>
      </c>
      <c r="F61" t="str">
        <f>VLOOKUP(A61,Table7[[#All],[New Practices]:[CMMC Implementation Status]],5,FALSE)</f>
        <v>Customer Responsibility</v>
      </c>
    </row>
    <row r="62" spans="1:6" hidden="1" x14ac:dyDescent="0.35">
      <c r="A62" t="s">
        <v>97</v>
      </c>
      <c r="B62" t="str">
        <f>INDEX('Selection Pane Data'!$C$5:$G$175,MATCH('CMMC Levels'!$A62,'Selection Pane Data'!$C$5:$C$175,0),5)</f>
        <v>U</v>
      </c>
      <c r="C62" t="str">
        <f t="shared" si="0"/>
        <v>N/A</v>
      </c>
      <c r="D62" t="str">
        <f t="shared" si="1"/>
        <v>X</v>
      </c>
      <c r="E62" t="str">
        <f t="shared" si="2"/>
        <v>X</v>
      </c>
      <c r="F62" t="str">
        <f>VLOOKUP(A62,Table7[[#All],[New Practices]:[CMMC Implementation Status]],5,FALSE)</f>
        <v>Customer Responsibility</v>
      </c>
    </row>
    <row r="63" spans="1:6" hidden="1" x14ac:dyDescent="0.35">
      <c r="A63" t="s">
        <v>111</v>
      </c>
      <c r="B63" t="str">
        <f>INDEX('Selection Pane Data'!$C$5:$G$175,MATCH('CMMC Levels'!$A63,'Selection Pane Data'!$C$5:$C$175,0),5)</f>
        <v>U</v>
      </c>
      <c r="C63" t="str">
        <f t="shared" si="0"/>
        <v>N/A</v>
      </c>
      <c r="D63" t="str">
        <f t="shared" si="1"/>
        <v>X</v>
      </c>
      <c r="E63" t="str">
        <f t="shared" si="2"/>
        <v>X</v>
      </c>
      <c r="F63" t="str">
        <f>VLOOKUP(A63,Table7[[#All],[New Practices]:[CMMC Implementation Status]],5,FALSE)</f>
        <v>Customer Responsibility</v>
      </c>
    </row>
    <row r="64" spans="1:6" hidden="1" x14ac:dyDescent="0.35">
      <c r="A64" t="s">
        <v>137</v>
      </c>
      <c r="B64" t="str">
        <f>INDEX('Selection Pane Data'!$C$5:$G$175,MATCH('CMMC Levels'!$A64,'Selection Pane Data'!$C$5:$C$175,0),5)</f>
        <v>U</v>
      </c>
      <c r="C64" t="str">
        <f t="shared" si="0"/>
        <v>N/A</v>
      </c>
      <c r="D64" t="str">
        <f t="shared" si="1"/>
        <v>X</v>
      </c>
      <c r="E64" t="str">
        <f t="shared" si="2"/>
        <v>X</v>
      </c>
      <c r="F64" t="str">
        <f>VLOOKUP(A64,Table7[[#All],[New Practices]:[CMMC Implementation Status]],5,FALSE)</f>
        <v>Shared Coverage</v>
      </c>
    </row>
    <row r="65" spans="1:6" hidden="1" x14ac:dyDescent="0.35">
      <c r="A65" t="s">
        <v>145</v>
      </c>
      <c r="B65" t="str">
        <f>INDEX('Selection Pane Data'!$C$5:$G$175,MATCH('CMMC Levels'!$A65,'Selection Pane Data'!$C$5:$C$175,0),5)</f>
        <v>U</v>
      </c>
      <c r="C65" t="str">
        <f t="shared" si="0"/>
        <v>N/A</v>
      </c>
      <c r="D65" t="str">
        <f t="shared" si="1"/>
        <v>X</v>
      </c>
      <c r="E65" t="str">
        <f t="shared" si="2"/>
        <v>X</v>
      </c>
      <c r="F65" t="str">
        <f>VLOOKUP(A65,Table7[[#All],[New Practices]:[CMMC Implementation Status]],5,FALSE)</f>
        <v>Customer Responsibility</v>
      </c>
    </row>
    <row r="66" spans="1:6" x14ac:dyDescent="0.35">
      <c r="A66" t="s">
        <v>160</v>
      </c>
      <c r="B66" t="str">
        <f>INDEX('Selection Pane Data'!$C$5:$G$175,MATCH('CMMC Levels'!$A66,'Selection Pane Data'!$C$5:$C$175,0),5)</f>
        <v>N</v>
      </c>
      <c r="C66" t="str">
        <f t="shared" si="0"/>
        <v>N/A</v>
      </c>
      <c r="D66" t="str">
        <f t="shared" si="1"/>
        <v>N/A</v>
      </c>
      <c r="E66" t="str">
        <f t="shared" si="2"/>
        <v>X</v>
      </c>
      <c r="F66" t="str">
        <f>VLOOKUP(A66,Table7[[#All],[New Practices]:[CMMC Implementation Status]],5,FALSE)</f>
        <v>Not Applicable</v>
      </c>
    </row>
    <row r="67" spans="1:6" x14ac:dyDescent="0.35">
      <c r="A67" t="s">
        <v>165</v>
      </c>
      <c r="B67" t="str">
        <f>INDEX('Selection Pane Data'!$C$5:$G$175,MATCH('CMMC Levels'!$A67,'Selection Pane Data'!$C$5:$C$175,0),5)</f>
        <v>N</v>
      </c>
      <c r="C67" t="str">
        <f t="shared" ref="C67:C130" si="3">IF(COUNTIF($A67,"*L1*")=1,"X","N/A")</f>
        <v>N/A</v>
      </c>
      <c r="D67" t="str">
        <f t="shared" ref="D67:D130" si="4">IF(C67="X","X",IF(COUNTIF($A67,"*L2*")=1,"X","N/A"))</f>
        <v>N/A</v>
      </c>
      <c r="E67" t="str">
        <f t="shared" ref="E67:E130" si="5">IF(D67="X","X",IF(COUNTIF($A67,"*L3*")=1,"X","N/A"))</f>
        <v>X</v>
      </c>
      <c r="F67" t="str">
        <f>VLOOKUP(A67,Table7[[#All],[New Practices]:[CMMC Implementation Status]],5,FALSE)</f>
        <v>Not Applicable</v>
      </c>
    </row>
    <row r="68" spans="1:6" hidden="1" x14ac:dyDescent="0.35">
      <c r="A68" t="s">
        <v>54</v>
      </c>
      <c r="B68" t="str">
        <f>INDEX('Selection Pane Data'!$C$5:$G$175,MATCH('CMMC Levels'!$A68,'Selection Pane Data'!$C$5:$C$175,0),5)</f>
        <v>U</v>
      </c>
      <c r="C68" t="str">
        <f t="shared" si="3"/>
        <v>X</v>
      </c>
      <c r="D68" t="str">
        <f t="shared" si="4"/>
        <v>X</v>
      </c>
      <c r="E68" t="str">
        <f t="shared" si="5"/>
        <v>X</v>
      </c>
      <c r="F68" t="str">
        <f>VLOOKUP(A68,Table7[[#All],[New Practices]:[CMMC Implementation Status]],5,FALSE)</f>
        <v>Shared Coverage</v>
      </c>
    </row>
    <row r="69" spans="1:6" hidden="1" x14ac:dyDescent="0.35">
      <c r="A69" t="s">
        <v>69</v>
      </c>
      <c r="B69" t="str">
        <f>INDEX('Selection Pane Data'!$C$5:$G$175,MATCH('CMMC Levels'!$A69,'Selection Pane Data'!$C$5:$C$175,0),5)</f>
        <v>U</v>
      </c>
      <c r="C69" t="str">
        <f t="shared" si="3"/>
        <v>X</v>
      </c>
      <c r="D69" t="str">
        <f t="shared" si="4"/>
        <v>X</v>
      </c>
      <c r="E69" t="str">
        <f t="shared" si="5"/>
        <v>X</v>
      </c>
      <c r="F69" t="str">
        <f>VLOOKUP(A69,Table7[[#All],[New Practices]:[CMMC Implementation Status]],5,FALSE)</f>
        <v>Shared Coverage</v>
      </c>
    </row>
    <row r="70" spans="1:6" hidden="1" x14ac:dyDescent="0.35">
      <c r="A70" t="s">
        <v>138</v>
      </c>
      <c r="B70" t="str">
        <f>INDEX('Selection Pane Data'!$C$5:$G$175,MATCH('CMMC Levels'!$A70,'Selection Pane Data'!$C$5:$C$175,0),5)</f>
        <v>U</v>
      </c>
      <c r="C70" t="str">
        <f t="shared" si="3"/>
        <v>N/A</v>
      </c>
      <c r="D70" t="str">
        <f t="shared" si="4"/>
        <v>X</v>
      </c>
      <c r="E70" t="str">
        <f t="shared" si="5"/>
        <v>X</v>
      </c>
      <c r="F70" t="str">
        <f>VLOOKUP(A70,Table7[[#All],[New Practices]:[CMMC Implementation Status]],5,FALSE)</f>
        <v>Shared Coverage</v>
      </c>
    </row>
    <row r="71" spans="1:6" hidden="1" x14ac:dyDescent="0.35">
      <c r="A71" t="s">
        <v>146</v>
      </c>
      <c r="B71" t="str">
        <f>INDEX('Selection Pane Data'!$C$5:$G$175,MATCH('CMMC Levels'!$A71,'Selection Pane Data'!$C$5:$C$175,0),5)</f>
        <v>U</v>
      </c>
      <c r="C71" t="str">
        <f t="shared" si="3"/>
        <v>N/A</v>
      </c>
      <c r="D71" t="str">
        <f t="shared" si="4"/>
        <v>X</v>
      </c>
      <c r="E71" t="str">
        <f t="shared" si="5"/>
        <v>X</v>
      </c>
      <c r="F71" t="str">
        <f>VLOOKUP(A71,Table7[[#All],[New Practices]:[CMMC Implementation Status]],5,FALSE)</f>
        <v>Shared Coverage</v>
      </c>
    </row>
    <row r="72" spans="1:6" hidden="1" x14ac:dyDescent="0.35">
      <c r="A72" t="s">
        <v>154</v>
      </c>
      <c r="B72" t="str">
        <f>INDEX('Selection Pane Data'!$C$5:$G$175,MATCH('CMMC Levels'!$A72,'Selection Pane Data'!$C$5:$C$175,0),5)</f>
        <v>U</v>
      </c>
      <c r="C72" t="str">
        <f t="shared" si="3"/>
        <v>N/A</v>
      </c>
      <c r="D72" t="str">
        <f t="shared" si="4"/>
        <v>X</v>
      </c>
      <c r="E72" t="str">
        <f t="shared" si="5"/>
        <v>X</v>
      </c>
      <c r="F72" t="str">
        <f>VLOOKUP(A72,Table7[[#All],[New Practices]:[CMMC Implementation Status]],5,FALSE)</f>
        <v>Customer Responsibility</v>
      </c>
    </row>
    <row r="73" spans="1:6" hidden="1" x14ac:dyDescent="0.35">
      <c r="A73" t="s">
        <v>161</v>
      </c>
      <c r="B73" t="str">
        <f>INDEX('Selection Pane Data'!$C$5:$G$175,MATCH('CMMC Levels'!$A73,'Selection Pane Data'!$C$5:$C$175,0),5)</f>
        <v>P</v>
      </c>
      <c r="C73" t="str">
        <f t="shared" si="3"/>
        <v>N/A</v>
      </c>
      <c r="D73" t="str">
        <f t="shared" si="4"/>
        <v>X</v>
      </c>
      <c r="E73" t="str">
        <f t="shared" si="5"/>
        <v>X</v>
      </c>
      <c r="F73" t="str">
        <f>VLOOKUP(A73,Table7[[#All],[New Practices]:[CMMC Implementation Status]],5,FALSE)</f>
        <v>Shared Coverage</v>
      </c>
    </row>
    <row r="74" spans="1:6" hidden="1" x14ac:dyDescent="0.35">
      <c r="A74" t="s">
        <v>166</v>
      </c>
      <c r="B74" t="str">
        <f>INDEX('Selection Pane Data'!$C$5:$G$175,MATCH('CMMC Levels'!$A74,'Selection Pane Data'!$C$5:$C$175,0),5)</f>
        <v>S</v>
      </c>
      <c r="C74" t="str">
        <f t="shared" si="3"/>
        <v>N/A</v>
      </c>
      <c r="D74" t="str">
        <f t="shared" si="4"/>
        <v>X</v>
      </c>
      <c r="E74" t="str">
        <f t="shared" si="5"/>
        <v>X</v>
      </c>
      <c r="F74" t="str">
        <f>VLOOKUP(A74,Table7[[#All],[New Practices]:[CMMC Implementation Status]],5,FALSE)</f>
        <v>Shared Coverage</v>
      </c>
    </row>
    <row r="75" spans="1:6" hidden="1" x14ac:dyDescent="0.35">
      <c r="A75" t="s">
        <v>84</v>
      </c>
      <c r="B75" t="str">
        <f>INDEX('Selection Pane Data'!$C$5:$G$175,MATCH('CMMC Levels'!$A75,'Selection Pane Data'!$C$5:$C$175,0),5)</f>
        <v>S</v>
      </c>
      <c r="C75" t="str">
        <f t="shared" si="3"/>
        <v>N/A</v>
      </c>
      <c r="D75" t="str">
        <f t="shared" si="4"/>
        <v>X</v>
      </c>
      <c r="E75" t="str">
        <f t="shared" si="5"/>
        <v>X</v>
      </c>
      <c r="F75" t="str">
        <f>VLOOKUP(A75,Table7[[#All],[New Practices]:[CMMC Implementation Status]],5,FALSE)</f>
        <v>Shared Coverage</v>
      </c>
    </row>
    <row r="76" spans="1:6" hidden="1" x14ac:dyDescent="0.35">
      <c r="A76" t="s">
        <v>98</v>
      </c>
      <c r="B76" t="str">
        <f>INDEX('Selection Pane Data'!$C$5:$G$175,MATCH('CMMC Levels'!$A76,'Selection Pane Data'!$C$5:$C$175,0),5)</f>
        <v>P</v>
      </c>
      <c r="C76" t="str">
        <f t="shared" si="3"/>
        <v>N/A</v>
      </c>
      <c r="D76" t="str">
        <f t="shared" si="4"/>
        <v>X</v>
      </c>
      <c r="E76" t="str">
        <f t="shared" si="5"/>
        <v>X</v>
      </c>
      <c r="F76" t="str">
        <f>VLOOKUP(A76,Table7[[#All],[New Practices]:[CMMC Implementation Status]],5,FALSE)</f>
        <v>Shared Coverage</v>
      </c>
    </row>
    <row r="77" spans="1:6" hidden="1" x14ac:dyDescent="0.35">
      <c r="A77" t="s">
        <v>112</v>
      </c>
      <c r="B77" t="str">
        <f>INDEX('Selection Pane Data'!$C$5:$G$175,MATCH('CMMC Levels'!$A77,'Selection Pane Data'!$C$5:$C$175,0),5)</f>
        <v>U</v>
      </c>
      <c r="C77" t="str">
        <f t="shared" si="3"/>
        <v>N/A</v>
      </c>
      <c r="D77" t="str">
        <f t="shared" si="4"/>
        <v>X</v>
      </c>
      <c r="E77" t="str">
        <f t="shared" si="5"/>
        <v>X</v>
      </c>
      <c r="F77" t="str">
        <f>VLOOKUP(A77,Table7[[#All],[New Practices]:[CMMC Implementation Status]],5,FALSE)</f>
        <v>Shared Coverage</v>
      </c>
    </row>
    <row r="78" spans="1:6" hidden="1" x14ac:dyDescent="0.35">
      <c r="A78" t="s">
        <v>125</v>
      </c>
      <c r="B78" t="str">
        <f>INDEX('Selection Pane Data'!$C$5:$G$175,MATCH('CMMC Levels'!$A78,'Selection Pane Data'!$C$5:$C$175,0),5)</f>
        <v>U</v>
      </c>
      <c r="C78" t="str">
        <f t="shared" si="3"/>
        <v>N/A</v>
      </c>
      <c r="D78" t="str">
        <f t="shared" si="4"/>
        <v>X</v>
      </c>
      <c r="E78" t="str">
        <f t="shared" si="5"/>
        <v>X</v>
      </c>
      <c r="F78" t="str">
        <f>VLOOKUP(A78,Table7[[#All],[New Practices]:[CMMC Implementation Status]],5,FALSE)</f>
        <v>Shared Coverage</v>
      </c>
    </row>
    <row r="79" spans="1:6" hidden="1" x14ac:dyDescent="0.35">
      <c r="A79" t="s">
        <v>55</v>
      </c>
      <c r="B79" t="str">
        <f>INDEX('Selection Pane Data'!$C$5:$G$175,MATCH('CMMC Levels'!$A79,'Selection Pane Data'!$C$5:$C$175,0),5)</f>
        <v>U</v>
      </c>
      <c r="C79" t="str">
        <f t="shared" si="3"/>
        <v>N/A</v>
      </c>
      <c r="D79" t="str">
        <f t="shared" si="4"/>
        <v>X</v>
      </c>
      <c r="E79" t="str">
        <f t="shared" si="5"/>
        <v>X</v>
      </c>
      <c r="F79" t="str">
        <f>VLOOKUP(A79,Table7[[#All],[New Practices]:[CMMC Implementation Status]],5,FALSE)</f>
        <v>Customer Responsibility</v>
      </c>
    </row>
    <row r="80" spans="1:6" hidden="1" x14ac:dyDescent="0.35">
      <c r="A80" t="s">
        <v>281</v>
      </c>
      <c r="B80" t="str">
        <f>INDEX('Selection Pane Data'!$C$5:$G$175,MATCH('CMMC Levels'!$A80,'Selection Pane Data'!$C$5:$C$175,0),5)</f>
        <v>N</v>
      </c>
      <c r="C80" t="str">
        <f t="shared" si="3"/>
        <v>N/A</v>
      </c>
      <c r="D80" t="str">
        <f t="shared" si="4"/>
        <v>N/A</v>
      </c>
      <c r="E80" t="str">
        <f t="shared" si="5"/>
        <v>N/A</v>
      </c>
      <c r="F80" t="str">
        <f>VLOOKUP(A80,Table7[[#All],[New Practices]:[CMMC Implementation Status]],5,FALSE)</f>
        <v>Not Applicable</v>
      </c>
    </row>
    <row r="81" spans="1:6" hidden="1" x14ac:dyDescent="0.35">
      <c r="A81" t="s">
        <v>281</v>
      </c>
      <c r="B81" t="str">
        <f>INDEX('Selection Pane Data'!$C$5:$G$175,MATCH('CMMC Levels'!$A81,'Selection Pane Data'!$C$5:$C$175,0),5)</f>
        <v>N</v>
      </c>
      <c r="C81" t="str">
        <f t="shared" si="3"/>
        <v>N/A</v>
      </c>
      <c r="D81" t="str">
        <f t="shared" si="4"/>
        <v>N/A</v>
      </c>
      <c r="E81" t="str">
        <f t="shared" si="5"/>
        <v>N/A</v>
      </c>
      <c r="F81" t="str">
        <f>VLOOKUP(A81,Table7[[#All],[New Practices]:[CMMC Implementation Status]],5,FALSE)</f>
        <v>Not Applicable</v>
      </c>
    </row>
    <row r="82" spans="1:6" hidden="1" x14ac:dyDescent="0.35">
      <c r="A82" t="s">
        <v>281</v>
      </c>
      <c r="B82" t="str">
        <f>INDEX('Selection Pane Data'!$C$5:$G$175,MATCH('CMMC Levels'!$A82,'Selection Pane Data'!$C$5:$C$175,0),5)</f>
        <v>N</v>
      </c>
      <c r="C82" t="str">
        <f t="shared" si="3"/>
        <v>N/A</v>
      </c>
      <c r="D82" t="str">
        <f t="shared" si="4"/>
        <v>N/A</v>
      </c>
      <c r="E82" t="str">
        <f t="shared" si="5"/>
        <v>N/A</v>
      </c>
      <c r="F82" t="str">
        <f>VLOOKUP(A82,Table7[[#All],[New Practices]:[CMMC Implementation Status]],5,FALSE)</f>
        <v>Not Applicable</v>
      </c>
    </row>
    <row r="83" spans="1:6" hidden="1" x14ac:dyDescent="0.35">
      <c r="A83" t="s">
        <v>281</v>
      </c>
      <c r="B83" t="str">
        <f>INDEX('Selection Pane Data'!$C$5:$G$175,MATCH('CMMC Levels'!$A83,'Selection Pane Data'!$C$5:$C$175,0),5)</f>
        <v>N</v>
      </c>
      <c r="C83" t="str">
        <f t="shared" si="3"/>
        <v>N/A</v>
      </c>
      <c r="D83" t="str">
        <f t="shared" si="4"/>
        <v>N/A</v>
      </c>
      <c r="E83" t="str">
        <f t="shared" si="5"/>
        <v>N/A</v>
      </c>
      <c r="F83" t="str">
        <f>VLOOKUP(A83,Table7[[#All],[New Practices]:[CMMC Implementation Status]],5,FALSE)</f>
        <v>Not Applicable</v>
      </c>
    </row>
    <row r="84" spans="1:6" hidden="1" x14ac:dyDescent="0.35">
      <c r="A84" t="s">
        <v>70</v>
      </c>
      <c r="B84" t="str">
        <f>INDEX('Selection Pane Data'!$C$5:$G$175,MATCH('CMMC Levels'!$A84,'Selection Pane Data'!$C$5:$C$175,0),5)</f>
        <v>U</v>
      </c>
      <c r="C84" t="str">
        <f t="shared" si="3"/>
        <v>N/A</v>
      </c>
      <c r="D84" t="str">
        <f t="shared" si="4"/>
        <v>X</v>
      </c>
      <c r="E84" t="str">
        <f t="shared" si="5"/>
        <v>X</v>
      </c>
      <c r="F84" t="str">
        <f>VLOOKUP(A84,Table7[[#All],[New Practices]:[CMMC Implementation Status]],5,FALSE)</f>
        <v>Shared Coverage</v>
      </c>
    </row>
    <row r="85" spans="1:6" hidden="1" x14ac:dyDescent="0.35">
      <c r="A85" t="s">
        <v>85</v>
      </c>
      <c r="B85" t="str">
        <f>INDEX('Selection Pane Data'!$C$5:$G$175,MATCH('CMMC Levels'!$A85,'Selection Pane Data'!$C$5:$C$175,0),5)</f>
        <v>U</v>
      </c>
      <c r="C85" t="str">
        <f t="shared" si="3"/>
        <v>N/A</v>
      </c>
      <c r="D85" t="str">
        <f t="shared" si="4"/>
        <v>X</v>
      </c>
      <c r="E85" t="str">
        <f t="shared" si="5"/>
        <v>X</v>
      </c>
      <c r="F85" t="str">
        <f>VLOOKUP(A85,Table7[[#All],[New Practices]:[CMMC Implementation Status]],5,FALSE)</f>
        <v>Customer Responsibility</v>
      </c>
    </row>
    <row r="86" spans="1:6" hidden="1" x14ac:dyDescent="0.35">
      <c r="A86" t="s">
        <v>281</v>
      </c>
      <c r="B86" t="str">
        <f>INDEX('Selection Pane Data'!$C$5:$G$175,MATCH('CMMC Levels'!$A86,'Selection Pane Data'!$C$5:$C$175,0),5)</f>
        <v>N</v>
      </c>
      <c r="C86" t="str">
        <f t="shared" si="3"/>
        <v>N/A</v>
      </c>
      <c r="D86" t="str">
        <f t="shared" si="4"/>
        <v>N/A</v>
      </c>
      <c r="E86" t="str">
        <f t="shared" si="5"/>
        <v>N/A</v>
      </c>
      <c r="F86" t="str">
        <f>VLOOKUP(A86,Table7[[#All],[New Practices]:[CMMC Implementation Status]],5,FALSE)</f>
        <v>Not Applicable</v>
      </c>
    </row>
    <row r="87" spans="1:6" x14ac:dyDescent="0.35">
      <c r="A87" t="s">
        <v>99</v>
      </c>
      <c r="B87" t="str">
        <f>INDEX('Selection Pane Data'!$C$5:$G$175,MATCH('CMMC Levels'!$A87,'Selection Pane Data'!$C$5:$C$175,0),5)</f>
        <v>N</v>
      </c>
      <c r="C87" t="str">
        <f t="shared" si="3"/>
        <v>N/A</v>
      </c>
      <c r="D87" t="str">
        <f t="shared" si="4"/>
        <v>N/A</v>
      </c>
      <c r="E87" t="str">
        <f t="shared" si="5"/>
        <v>X</v>
      </c>
      <c r="F87" t="str">
        <f>VLOOKUP(A87,Table7[[#All],[New Practices]:[CMMC Implementation Status]],5,FALSE)</f>
        <v>Not Applicable</v>
      </c>
    </row>
    <row r="88" spans="1:6" hidden="1" x14ac:dyDescent="0.35">
      <c r="A88" t="s">
        <v>281</v>
      </c>
      <c r="B88" t="str">
        <f>INDEX('Selection Pane Data'!$C$5:$G$175,MATCH('CMMC Levels'!$A88,'Selection Pane Data'!$C$5:$C$175,0),5)</f>
        <v>N</v>
      </c>
      <c r="C88" t="str">
        <f t="shared" si="3"/>
        <v>N/A</v>
      </c>
      <c r="D88" t="str">
        <f t="shared" si="4"/>
        <v>N/A</v>
      </c>
      <c r="E88" t="str">
        <f t="shared" si="5"/>
        <v>N/A</v>
      </c>
      <c r="F88" t="str">
        <f>VLOOKUP(A88,Table7[[#All],[New Practices]:[CMMC Implementation Status]],5,FALSE)</f>
        <v>Not Applicable</v>
      </c>
    </row>
    <row r="89" spans="1:6" hidden="1" x14ac:dyDescent="0.35">
      <c r="A89" t="s">
        <v>281</v>
      </c>
      <c r="B89" t="str">
        <f>INDEX('Selection Pane Data'!$C$5:$G$175,MATCH('CMMC Levels'!$A89,'Selection Pane Data'!$C$5:$C$175,0),5)</f>
        <v>N</v>
      </c>
      <c r="C89" t="str">
        <f t="shared" si="3"/>
        <v>N/A</v>
      </c>
      <c r="D89" t="str">
        <f t="shared" si="4"/>
        <v>N/A</v>
      </c>
      <c r="E89" t="str">
        <f t="shared" si="5"/>
        <v>N/A</v>
      </c>
      <c r="F89" t="str">
        <f>VLOOKUP(A89,Table7[[#All],[New Practices]:[CMMC Implementation Status]],5,FALSE)</f>
        <v>Not Applicable</v>
      </c>
    </row>
    <row r="90" spans="1:6" x14ac:dyDescent="0.35">
      <c r="A90" t="s">
        <v>113</v>
      </c>
      <c r="B90" t="str">
        <f>INDEX('Selection Pane Data'!$C$5:$G$175,MATCH('CMMC Levels'!$A90,'Selection Pane Data'!$C$5:$C$175,0),5)</f>
        <v>N</v>
      </c>
      <c r="C90" t="str">
        <f t="shared" si="3"/>
        <v>N/A</v>
      </c>
      <c r="D90" t="str">
        <f t="shared" si="4"/>
        <v>N/A</v>
      </c>
      <c r="E90" t="str">
        <f t="shared" si="5"/>
        <v>X</v>
      </c>
      <c r="F90" t="str">
        <f>VLOOKUP(A90,Table7[[#All],[New Practices]:[CMMC Implementation Status]],5,FALSE)</f>
        <v>Not Applicable</v>
      </c>
    </row>
    <row r="91" spans="1:6" x14ac:dyDescent="0.35">
      <c r="A91" t="s">
        <v>126</v>
      </c>
      <c r="B91" t="str">
        <f>INDEX('Selection Pane Data'!$C$5:$G$175,MATCH('CMMC Levels'!$A91,'Selection Pane Data'!$C$5:$C$175,0),5)</f>
        <v>N</v>
      </c>
      <c r="C91" t="str">
        <f t="shared" si="3"/>
        <v>N/A</v>
      </c>
      <c r="D91" t="str">
        <f t="shared" si="4"/>
        <v>N/A</v>
      </c>
      <c r="E91" t="str">
        <f t="shared" si="5"/>
        <v>X</v>
      </c>
      <c r="F91" t="str">
        <f>VLOOKUP(A91,Table7[[#All],[New Practices]:[CMMC Implementation Status]],5,FALSE)</f>
        <v>Not Applicable</v>
      </c>
    </row>
    <row r="92" spans="1:6" hidden="1" x14ac:dyDescent="0.35">
      <c r="A92" t="s">
        <v>56</v>
      </c>
      <c r="B92" t="str">
        <f>INDEX('Selection Pane Data'!$C$5:$G$175,MATCH('CMMC Levels'!$A92,'Selection Pane Data'!$C$5:$C$175,0),5)</f>
        <v>S</v>
      </c>
      <c r="C92" t="str">
        <f t="shared" si="3"/>
        <v>N/A</v>
      </c>
      <c r="D92" t="str">
        <f t="shared" si="4"/>
        <v>X</v>
      </c>
      <c r="E92" t="str">
        <f t="shared" si="5"/>
        <v>X</v>
      </c>
      <c r="F92" t="str">
        <f>VLOOKUP(A92,Table7[[#All],[New Practices]:[CMMC Implementation Status]],5,FALSE)</f>
        <v>Shared Coverage</v>
      </c>
    </row>
    <row r="93" spans="1:6" hidden="1" x14ac:dyDescent="0.35">
      <c r="A93" t="s">
        <v>71</v>
      </c>
      <c r="B93" t="str">
        <f>INDEX('Selection Pane Data'!$C$5:$G$175,MATCH('CMMC Levels'!$A93,'Selection Pane Data'!$C$5:$C$175,0),5)</f>
        <v>U</v>
      </c>
      <c r="C93" t="str">
        <f t="shared" si="3"/>
        <v>N/A</v>
      </c>
      <c r="D93" t="str">
        <f t="shared" si="4"/>
        <v>X</v>
      </c>
      <c r="E93" t="str">
        <f t="shared" si="5"/>
        <v>X</v>
      </c>
      <c r="F93" t="str">
        <f>VLOOKUP(A93,Table7[[#All],[New Practices]:[CMMC Implementation Status]],5,FALSE)</f>
        <v>Shared Coverage</v>
      </c>
    </row>
    <row r="94" spans="1:6" hidden="1" x14ac:dyDescent="0.35">
      <c r="A94" t="s">
        <v>114</v>
      </c>
      <c r="B94" t="str">
        <f>INDEX('Selection Pane Data'!$C$5:$G$175,MATCH('CMMC Levels'!$A94,'Selection Pane Data'!$C$5:$C$175,0),5)</f>
        <v>S</v>
      </c>
      <c r="C94" t="str">
        <f t="shared" si="3"/>
        <v>N/A</v>
      </c>
      <c r="D94" t="str">
        <f t="shared" si="4"/>
        <v>X</v>
      </c>
      <c r="E94" t="str">
        <f t="shared" si="5"/>
        <v>X</v>
      </c>
      <c r="F94" t="str">
        <f>VLOOKUP(A94,Table7[[#All],[New Practices]:[CMMC Implementation Status]],5,FALSE)</f>
        <v>Shared Coverage</v>
      </c>
    </row>
    <row r="95" spans="1:6" hidden="1" x14ac:dyDescent="0.35">
      <c r="A95" t="s">
        <v>127</v>
      </c>
      <c r="B95" t="str">
        <f>INDEX('Selection Pane Data'!$C$5:$G$175,MATCH('CMMC Levels'!$A95,'Selection Pane Data'!$C$5:$C$175,0),5)</f>
        <v>U</v>
      </c>
      <c r="C95" t="str">
        <f t="shared" si="3"/>
        <v>N/A</v>
      </c>
      <c r="D95" t="str">
        <f t="shared" si="4"/>
        <v>X</v>
      </c>
      <c r="E95" t="str">
        <f t="shared" si="5"/>
        <v>X</v>
      </c>
      <c r="F95" t="str">
        <f>VLOOKUP(A95,Table7[[#All],[New Practices]:[CMMC Implementation Status]],5,FALSE)</f>
        <v>Shared Coverage</v>
      </c>
    </row>
    <row r="96" spans="1:6" hidden="1" x14ac:dyDescent="0.35">
      <c r="A96" t="s">
        <v>86</v>
      </c>
      <c r="B96" t="str">
        <f>INDEX('Selection Pane Data'!$C$5:$G$175,MATCH('CMMC Levels'!$A96,'Selection Pane Data'!$C$5:$C$175,0),5)</f>
        <v>U</v>
      </c>
      <c r="C96" t="str">
        <f t="shared" si="3"/>
        <v>N/A</v>
      </c>
      <c r="D96" t="str">
        <f t="shared" si="4"/>
        <v>X</v>
      </c>
      <c r="E96" t="str">
        <f t="shared" si="5"/>
        <v>X</v>
      </c>
      <c r="F96" t="str">
        <f>VLOOKUP(A96,Table7[[#All],[New Practices]:[CMMC Implementation Status]],5,FALSE)</f>
        <v>Shared Coverage</v>
      </c>
    </row>
    <row r="97" spans="1:6" hidden="1" x14ac:dyDescent="0.35">
      <c r="A97" t="s">
        <v>100</v>
      </c>
      <c r="B97" t="str">
        <f>INDEX('Selection Pane Data'!$C$5:$G$175,MATCH('CMMC Levels'!$A97,'Selection Pane Data'!$C$5:$C$175,0),5)</f>
        <v>U</v>
      </c>
      <c r="C97" t="str">
        <f t="shared" si="3"/>
        <v>N/A</v>
      </c>
      <c r="D97" t="str">
        <f t="shared" si="4"/>
        <v>X</v>
      </c>
      <c r="E97" t="str">
        <f t="shared" si="5"/>
        <v>X</v>
      </c>
      <c r="F97" t="str">
        <f>VLOOKUP(A97,Table7[[#All],[New Practices]:[CMMC Implementation Status]],5,FALSE)</f>
        <v>Shared Coverage</v>
      </c>
    </row>
    <row r="98" spans="1:6" hidden="1" x14ac:dyDescent="0.35">
      <c r="A98" t="s">
        <v>57</v>
      </c>
      <c r="B98" t="str">
        <f>INDEX('Selection Pane Data'!$C$5:$G$175,MATCH('CMMC Levels'!$A98,'Selection Pane Data'!$C$5:$C$175,0),5)</f>
        <v>U</v>
      </c>
      <c r="C98" t="str">
        <f t="shared" si="3"/>
        <v>X</v>
      </c>
      <c r="D98" t="str">
        <f t="shared" si="4"/>
        <v>X</v>
      </c>
      <c r="E98" t="str">
        <f t="shared" si="5"/>
        <v>X</v>
      </c>
      <c r="F98" t="str">
        <f>VLOOKUP(A98,Table7[[#All],[New Practices]:[CMMC Implementation Status]],5,FALSE)</f>
        <v>Shared Coverage</v>
      </c>
    </row>
    <row r="99" spans="1:6" hidden="1" x14ac:dyDescent="0.35">
      <c r="A99" t="s">
        <v>72</v>
      </c>
      <c r="B99" t="str">
        <f>INDEX('Selection Pane Data'!$C$5:$G$175,MATCH('CMMC Levels'!$A99,'Selection Pane Data'!$C$5:$C$175,0),5)</f>
        <v>U</v>
      </c>
      <c r="C99" t="str">
        <f t="shared" si="3"/>
        <v>N/A</v>
      </c>
      <c r="D99" t="str">
        <f t="shared" si="4"/>
        <v>X</v>
      </c>
      <c r="E99" t="str">
        <f t="shared" si="5"/>
        <v>X</v>
      </c>
      <c r="F99" t="str">
        <f>VLOOKUP(A99,Table7[[#All],[New Practices]:[CMMC Implementation Status]],5,FALSE)</f>
        <v>Shared Coverage</v>
      </c>
    </row>
    <row r="100" spans="1:6" hidden="1" x14ac:dyDescent="0.35">
      <c r="A100" t="s">
        <v>87</v>
      </c>
      <c r="B100" t="str">
        <f>INDEX('Selection Pane Data'!$C$5:$G$175,MATCH('CMMC Levels'!$A100,'Selection Pane Data'!$C$5:$C$175,0),5)</f>
        <v>U</v>
      </c>
      <c r="C100" t="str">
        <f t="shared" si="3"/>
        <v>N/A</v>
      </c>
      <c r="D100" t="str">
        <f t="shared" si="4"/>
        <v>X</v>
      </c>
      <c r="E100" t="str">
        <f t="shared" si="5"/>
        <v>X</v>
      </c>
      <c r="F100" t="str">
        <f>VLOOKUP(A100,Table7[[#All],[New Practices]:[CMMC Implementation Status]],5,FALSE)</f>
        <v>Customer Responsibility</v>
      </c>
    </row>
    <row r="101" spans="1:6" hidden="1" x14ac:dyDescent="0.35">
      <c r="A101" t="s">
        <v>139</v>
      </c>
      <c r="B101" t="str">
        <f>INDEX('Selection Pane Data'!$C$5:$G$175,MATCH('CMMC Levels'!$A101,'Selection Pane Data'!$C$5:$C$175,0),5)</f>
        <v>U</v>
      </c>
      <c r="C101" t="str">
        <f t="shared" si="3"/>
        <v>N/A</v>
      </c>
      <c r="D101" t="str">
        <f t="shared" si="4"/>
        <v>X</v>
      </c>
      <c r="E101" t="str">
        <f t="shared" si="5"/>
        <v>X</v>
      </c>
      <c r="F101" t="str">
        <f>VLOOKUP(A101,Table7[[#All],[New Practices]:[CMMC Implementation Status]],5,FALSE)</f>
        <v>Shared Coverage</v>
      </c>
    </row>
    <row r="102" spans="1:6" hidden="1" x14ac:dyDescent="0.35">
      <c r="A102" t="s">
        <v>101</v>
      </c>
      <c r="B102" t="str">
        <f>INDEX('Selection Pane Data'!$C$5:$G$175,MATCH('CMMC Levels'!$A102,'Selection Pane Data'!$C$5:$C$175,0),5)</f>
        <v>U</v>
      </c>
      <c r="C102" t="str">
        <f t="shared" si="3"/>
        <v>N/A</v>
      </c>
      <c r="D102" t="str">
        <f t="shared" si="4"/>
        <v>X</v>
      </c>
      <c r="E102" t="str">
        <f t="shared" si="5"/>
        <v>X</v>
      </c>
      <c r="F102" t="str">
        <f>VLOOKUP(A102,Table7[[#All],[New Practices]:[CMMC Implementation Status]],5,FALSE)</f>
        <v>Customer Responsibility</v>
      </c>
    </row>
    <row r="103" spans="1:6" hidden="1" x14ac:dyDescent="0.35">
      <c r="A103" t="s">
        <v>147</v>
      </c>
      <c r="B103" t="str">
        <f>INDEX('Selection Pane Data'!$C$5:$G$175,MATCH('CMMC Levels'!$A103,'Selection Pane Data'!$C$5:$C$175,0),5)</f>
        <v>U</v>
      </c>
      <c r="C103" t="str">
        <f t="shared" si="3"/>
        <v>N/A</v>
      </c>
      <c r="D103" t="str">
        <f t="shared" si="4"/>
        <v>X</v>
      </c>
      <c r="E103" t="str">
        <f t="shared" si="5"/>
        <v>X</v>
      </c>
      <c r="F103" t="str">
        <f>VLOOKUP(A103,Table7[[#All],[New Practices]:[CMMC Implementation Status]],5,FALSE)</f>
        <v>Shared Coverage</v>
      </c>
    </row>
    <row r="104" spans="1:6" hidden="1" x14ac:dyDescent="0.35">
      <c r="A104" t="s">
        <v>115</v>
      </c>
      <c r="B104" t="str">
        <f>INDEX('Selection Pane Data'!$C$5:$G$175,MATCH('CMMC Levels'!$A104,'Selection Pane Data'!$C$5:$C$175,0),5)</f>
        <v>U</v>
      </c>
      <c r="C104" t="str">
        <f t="shared" si="3"/>
        <v>N/A</v>
      </c>
      <c r="D104" t="str">
        <f t="shared" si="4"/>
        <v>X</v>
      </c>
      <c r="E104" t="str">
        <f t="shared" si="5"/>
        <v>X</v>
      </c>
      <c r="F104" t="str">
        <f>VLOOKUP(A104,Table7[[#All],[New Practices]:[CMMC Implementation Status]],5,FALSE)</f>
        <v>Shared Coverage</v>
      </c>
    </row>
    <row r="105" spans="1:6" hidden="1" x14ac:dyDescent="0.35">
      <c r="A105" t="s">
        <v>128</v>
      </c>
      <c r="B105" t="str">
        <f>INDEX('Selection Pane Data'!$C$5:$G$175,MATCH('CMMC Levels'!$A105,'Selection Pane Data'!$C$5:$C$175,0),5)</f>
        <v>U</v>
      </c>
      <c r="C105" t="str">
        <f t="shared" si="3"/>
        <v>N/A</v>
      </c>
      <c r="D105" t="str">
        <f t="shared" si="4"/>
        <v>X</v>
      </c>
      <c r="E105" t="str">
        <f t="shared" si="5"/>
        <v>X</v>
      </c>
      <c r="F105" t="str">
        <f>VLOOKUP(A105,Table7[[#All],[New Practices]:[CMMC Implementation Status]],5,FALSE)</f>
        <v>Shared Coverage</v>
      </c>
    </row>
    <row r="106" spans="1:6" hidden="1" x14ac:dyDescent="0.35">
      <c r="A106" t="s">
        <v>155</v>
      </c>
      <c r="B106" t="str">
        <f>INDEX('Selection Pane Data'!$C$5:$G$175,MATCH('CMMC Levels'!$A106,'Selection Pane Data'!$C$5:$C$175,0),5)</f>
        <v>U</v>
      </c>
      <c r="C106" t="str">
        <f t="shared" si="3"/>
        <v>N/A</v>
      </c>
      <c r="D106" t="str">
        <f t="shared" si="4"/>
        <v>X</v>
      </c>
      <c r="E106" t="str">
        <f t="shared" si="5"/>
        <v>X</v>
      </c>
      <c r="F106" t="str">
        <f>VLOOKUP(A106,Table7[[#All],[New Practices]:[CMMC Implementation Status]],5,FALSE)</f>
        <v>Shared Coverage</v>
      </c>
    </row>
    <row r="107" spans="1:6" hidden="1" x14ac:dyDescent="0.35">
      <c r="A107" t="s">
        <v>59</v>
      </c>
      <c r="B107" t="str">
        <f>INDEX('Selection Pane Data'!$C$5:$G$175,MATCH('CMMC Levels'!$A107,'Selection Pane Data'!$C$5:$C$175,0),5)</f>
        <v>P</v>
      </c>
      <c r="C107" t="str">
        <f t="shared" si="3"/>
        <v>X</v>
      </c>
      <c r="D107" t="str">
        <f t="shared" si="4"/>
        <v>X</v>
      </c>
      <c r="E107" t="str">
        <f t="shared" si="5"/>
        <v>X</v>
      </c>
      <c r="F107" t="str">
        <f>VLOOKUP(A107,Table7[[#All],[New Practices]:[CMMC Implementation Status]],5,FALSE)</f>
        <v>Microsoft Coverage</v>
      </c>
    </row>
    <row r="108" spans="1:6" hidden="1" x14ac:dyDescent="0.35">
      <c r="A108" t="s">
        <v>74</v>
      </c>
      <c r="B108" t="str">
        <f>INDEX('Selection Pane Data'!$C$5:$G$175,MATCH('CMMC Levels'!$A108,'Selection Pane Data'!$C$5:$C$175,0),5)</f>
        <v>P</v>
      </c>
      <c r="C108" t="str">
        <f t="shared" si="3"/>
        <v>X</v>
      </c>
      <c r="D108" t="str">
        <f t="shared" si="4"/>
        <v>X</v>
      </c>
      <c r="E108" t="str">
        <f t="shared" si="5"/>
        <v>X</v>
      </c>
      <c r="F108" t="str">
        <f>VLOOKUP(A108,Table7[[#All],[New Practices]:[CMMC Implementation Status]],5,FALSE)</f>
        <v>Microsoft Coverage</v>
      </c>
    </row>
    <row r="109" spans="1:6" hidden="1" x14ac:dyDescent="0.35">
      <c r="A109" t="s">
        <v>88</v>
      </c>
      <c r="B109" t="str">
        <f>INDEX('Selection Pane Data'!$C$5:$G$175,MATCH('CMMC Levels'!$A109,'Selection Pane Data'!$C$5:$C$175,0),5)</f>
        <v>P</v>
      </c>
      <c r="C109" t="str">
        <f t="shared" si="3"/>
        <v>X</v>
      </c>
      <c r="D109" t="str">
        <f t="shared" si="4"/>
        <v>X</v>
      </c>
      <c r="E109" t="str">
        <f t="shared" si="5"/>
        <v>X</v>
      </c>
      <c r="F109" t="str">
        <f>VLOOKUP(A109,Table7[[#All],[New Practices]:[CMMC Implementation Status]],5,FALSE)</f>
        <v>Microsoft Coverage</v>
      </c>
    </row>
    <row r="110" spans="1:6" hidden="1" x14ac:dyDescent="0.35">
      <c r="A110" t="s">
        <v>102</v>
      </c>
      <c r="B110" t="str">
        <f>INDEX('Selection Pane Data'!$C$5:$G$175,MATCH('CMMC Levels'!$A110,'Selection Pane Data'!$C$5:$C$175,0),5)</f>
        <v>P</v>
      </c>
      <c r="C110" t="str">
        <f t="shared" si="3"/>
        <v>X</v>
      </c>
      <c r="D110" t="str">
        <f t="shared" si="4"/>
        <v>X</v>
      </c>
      <c r="E110" t="str">
        <f t="shared" si="5"/>
        <v>X</v>
      </c>
      <c r="F110" t="str">
        <f>VLOOKUP(A110,Table7[[#All],[New Practices]:[CMMC Implementation Status]],5,FALSE)</f>
        <v>Microsoft Coverage</v>
      </c>
    </row>
    <row r="111" spans="1:6" hidden="1" x14ac:dyDescent="0.35">
      <c r="A111" t="s">
        <v>116</v>
      </c>
      <c r="B111" t="str">
        <f>INDEX('Selection Pane Data'!$C$5:$G$175,MATCH('CMMC Levels'!$A111,'Selection Pane Data'!$C$5:$C$175,0),5)</f>
        <v>P</v>
      </c>
      <c r="C111" t="str">
        <f t="shared" si="3"/>
        <v>N/A</v>
      </c>
      <c r="D111" t="str">
        <f t="shared" si="4"/>
        <v>X</v>
      </c>
      <c r="E111" t="str">
        <f t="shared" si="5"/>
        <v>X</v>
      </c>
      <c r="F111" t="str">
        <f>VLOOKUP(A111,Table7[[#All],[New Practices]:[CMMC Implementation Status]],5,FALSE)</f>
        <v>Microsoft Coverage</v>
      </c>
    </row>
    <row r="112" spans="1:6" hidden="1" x14ac:dyDescent="0.35">
      <c r="A112" t="s">
        <v>129</v>
      </c>
      <c r="B112" t="str">
        <f>INDEX('Selection Pane Data'!$C$5:$G$175,MATCH('CMMC Levels'!$A112,'Selection Pane Data'!$C$5:$C$175,0),5)</f>
        <v>U</v>
      </c>
      <c r="C112" t="str">
        <f t="shared" si="3"/>
        <v>N/A</v>
      </c>
      <c r="D112" t="str">
        <f t="shared" si="4"/>
        <v>X</v>
      </c>
      <c r="E112" t="str">
        <f t="shared" si="5"/>
        <v>X</v>
      </c>
      <c r="F112" t="str">
        <f>VLOOKUP(A112,Table7[[#All],[New Practices]:[CMMC Implementation Status]],5,FALSE)</f>
        <v>Shared Coverage</v>
      </c>
    </row>
    <row r="113" spans="1:6" hidden="1" x14ac:dyDescent="0.35">
      <c r="A113" t="s">
        <v>58</v>
      </c>
      <c r="B113" t="str">
        <f>INDEX('Selection Pane Data'!$C$5:$G$175,MATCH('CMMC Levels'!$A113,'Selection Pane Data'!$C$5:$C$175,0),5)</f>
        <v>N</v>
      </c>
      <c r="C113" t="str">
        <f t="shared" si="3"/>
        <v>N/A</v>
      </c>
      <c r="D113" t="str">
        <f t="shared" si="4"/>
        <v>X</v>
      </c>
      <c r="E113" t="str">
        <f t="shared" si="5"/>
        <v>X</v>
      </c>
      <c r="F113" t="str">
        <f>VLOOKUP(A113,Table7[[#All],[New Practices]:[CMMC Implementation Status]],5,FALSE)</f>
        <v>Customer Responsibility</v>
      </c>
    </row>
    <row r="114" spans="1:6" hidden="1" x14ac:dyDescent="0.35">
      <c r="A114" t="s">
        <v>73</v>
      </c>
      <c r="B114" t="str">
        <f>INDEX('Selection Pane Data'!$C$5:$G$175,MATCH('CMMC Levels'!$A114,'Selection Pane Data'!$C$5:$C$175,0),5)</f>
        <v>U</v>
      </c>
      <c r="C114" t="str">
        <f t="shared" si="3"/>
        <v>N/A</v>
      </c>
      <c r="D114" t="str">
        <f t="shared" si="4"/>
        <v>X</v>
      </c>
      <c r="E114" t="str">
        <f t="shared" si="5"/>
        <v>X</v>
      </c>
      <c r="F114" t="str">
        <f>VLOOKUP(A114,Table7[[#All],[New Practices]:[CMMC Implementation Status]],5,FALSE)</f>
        <v>Shared Coverage</v>
      </c>
    </row>
    <row r="115" spans="1:6" hidden="1" x14ac:dyDescent="0.35">
      <c r="A115" t="s">
        <v>281</v>
      </c>
      <c r="B115" t="str">
        <f>INDEX('Selection Pane Data'!$C$5:$G$175,MATCH('CMMC Levels'!$A115,'Selection Pane Data'!$C$5:$C$175,0),5)</f>
        <v>N</v>
      </c>
      <c r="C115" t="str">
        <f t="shared" si="3"/>
        <v>N/A</v>
      </c>
      <c r="D115" t="str">
        <f t="shared" si="4"/>
        <v>N/A</v>
      </c>
      <c r="E115" t="str">
        <f t="shared" si="5"/>
        <v>N/A</v>
      </c>
      <c r="F115" t="str">
        <f>VLOOKUP(A115,Table7[[#All],[New Practices]:[CMMC Implementation Status]],5,FALSE)</f>
        <v>Not Applicable</v>
      </c>
    </row>
    <row r="116" spans="1:6" hidden="1" x14ac:dyDescent="0.35">
      <c r="A116" t="s">
        <v>281</v>
      </c>
      <c r="B116" t="str">
        <f>INDEX('Selection Pane Data'!$C$5:$G$175,MATCH('CMMC Levels'!$A116,'Selection Pane Data'!$C$5:$C$175,0),5)</f>
        <v>N</v>
      </c>
      <c r="C116" t="str">
        <f t="shared" si="3"/>
        <v>N/A</v>
      </c>
      <c r="D116" t="str">
        <f t="shared" si="4"/>
        <v>N/A</v>
      </c>
      <c r="E116" t="str">
        <f t="shared" si="5"/>
        <v>N/A</v>
      </c>
      <c r="F116" t="str">
        <f>VLOOKUP(A116,Table7[[#All],[New Practices]:[CMMC Implementation Status]],5,FALSE)</f>
        <v>Not Applicable</v>
      </c>
    </row>
    <row r="117" spans="1:6" x14ac:dyDescent="0.35">
      <c r="A117" t="s">
        <v>283</v>
      </c>
      <c r="B117" t="e">
        <f>INDEX('Selection Pane Data'!$C$5:$G$175,MATCH('CMMC Levels'!$A117,'Selection Pane Data'!$C$5:$C$175,0),5)</f>
        <v>#N/A</v>
      </c>
      <c r="C117" t="str">
        <f t="shared" si="3"/>
        <v>N/A</v>
      </c>
      <c r="D117" t="str">
        <f t="shared" si="4"/>
        <v>N/A</v>
      </c>
      <c r="E117" t="str">
        <f t="shared" si="5"/>
        <v>X</v>
      </c>
      <c r="F117" t="e">
        <f>VLOOKUP(A117,Table7[[#All],[New Practices]:[CMMC Implementation Status]],5,FALSE)</f>
        <v>#N/A</v>
      </c>
    </row>
    <row r="118" spans="1:6" hidden="1" x14ac:dyDescent="0.35">
      <c r="A118" t="s">
        <v>60</v>
      </c>
      <c r="B118" t="str">
        <f>INDEX('Selection Pane Data'!$C$5:$G$175,MATCH('CMMC Levels'!$A118,'Selection Pane Data'!$C$5:$C$175,0),5)</f>
        <v>U</v>
      </c>
      <c r="C118" t="str">
        <f t="shared" si="3"/>
        <v>N/A</v>
      </c>
      <c r="D118" t="str">
        <f t="shared" si="4"/>
        <v>X</v>
      </c>
      <c r="E118" t="str">
        <f t="shared" si="5"/>
        <v>X</v>
      </c>
      <c r="F118" t="str">
        <f>VLOOKUP(A118,Table7[[#All],[New Practices]:[CMMC Implementation Status]],5,FALSE)</f>
        <v>Shared Coverage</v>
      </c>
    </row>
    <row r="119" spans="1:6" hidden="1" x14ac:dyDescent="0.35">
      <c r="A119" t="s">
        <v>75</v>
      </c>
      <c r="B119" t="str">
        <f>INDEX('Selection Pane Data'!$C$5:$G$175,MATCH('CMMC Levels'!$A119,'Selection Pane Data'!$C$5:$C$175,0),5)</f>
        <v>U</v>
      </c>
      <c r="C119" t="str">
        <f t="shared" si="3"/>
        <v>N/A</v>
      </c>
      <c r="D119" t="str">
        <f t="shared" si="4"/>
        <v>X</v>
      </c>
      <c r="E119" t="str">
        <f t="shared" si="5"/>
        <v>X</v>
      </c>
      <c r="F119" t="str">
        <f>VLOOKUP(A119,Table7[[#All],[New Practices]:[CMMC Implementation Status]],5,FALSE)</f>
        <v>Shared Coverage</v>
      </c>
    </row>
    <row r="120" spans="1:6" hidden="1" x14ac:dyDescent="0.35">
      <c r="A120" t="s">
        <v>89</v>
      </c>
      <c r="B120" t="str">
        <f>INDEX('Selection Pane Data'!$C$5:$G$175,MATCH('CMMC Levels'!$A120,'Selection Pane Data'!$C$5:$C$175,0),5)</f>
        <v>U</v>
      </c>
      <c r="C120" t="str">
        <f t="shared" si="3"/>
        <v>N/A</v>
      </c>
      <c r="D120" t="str">
        <f t="shared" si="4"/>
        <v>X</v>
      </c>
      <c r="E120" t="str">
        <f t="shared" si="5"/>
        <v>X</v>
      </c>
      <c r="F120" t="str">
        <f>VLOOKUP(A120,Table7[[#All],[New Practices]:[CMMC Implementation Status]],5,FALSE)</f>
        <v>Shared Coverage</v>
      </c>
    </row>
    <row r="121" spans="1:6" hidden="1" x14ac:dyDescent="0.35">
      <c r="A121" t="s">
        <v>281</v>
      </c>
      <c r="B121" t="str">
        <f>INDEX('Selection Pane Data'!$C$5:$G$175,MATCH('CMMC Levels'!$A121,'Selection Pane Data'!$C$5:$C$175,0),5)</f>
        <v>N</v>
      </c>
      <c r="C121" t="str">
        <f t="shared" si="3"/>
        <v>N/A</v>
      </c>
      <c r="D121" t="str">
        <f t="shared" si="4"/>
        <v>N/A</v>
      </c>
      <c r="E121" t="str">
        <f t="shared" si="5"/>
        <v>N/A</v>
      </c>
      <c r="F121" t="str">
        <f>VLOOKUP(A121,Table7[[#All],[New Practices]:[CMMC Implementation Status]],5,FALSE)</f>
        <v>Not Applicable</v>
      </c>
    </row>
    <row r="122" spans="1:6" hidden="1" x14ac:dyDescent="0.35">
      <c r="A122" t="s">
        <v>281</v>
      </c>
      <c r="B122" t="str">
        <f>INDEX('Selection Pane Data'!$C$5:$G$175,MATCH('CMMC Levels'!$A122,'Selection Pane Data'!$C$5:$C$175,0),5)</f>
        <v>N</v>
      </c>
      <c r="C122" t="str">
        <f t="shared" si="3"/>
        <v>N/A</v>
      </c>
      <c r="D122" t="str">
        <f t="shared" si="4"/>
        <v>N/A</v>
      </c>
      <c r="E122" t="str">
        <f t="shared" si="5"/>
        <v>N/A</v>
      </c>
      <c r="F122" t="str">
        <f>VLOOKUP(A122,Table7[[#All],[New Practices]:[CMMC Implementation Status]],5,FALSE)</f>
        <v>Not Applicable</v>
      </c>
    </row>
    <row r="123" spans="1:6" hidden="1" x14ac:dyDescent="0.35">
      <c r="A123" t="s">
        <v>281</v>
      </c>
      <c r="B123" t="str">
        <f>INDEX('Selection Pane Data'!$C$5:$G$175,MATCH('CMMC Levels'!$A123,'Selection Pane Data'!$C$5:$C$175,0),5)</f>
        <v>N</v>
      </c>
      <c r="C123" t="str">
        <f t="shared" si="3"/>
        <v>N/A</v>
      </c>
      <c r="D123" t="str">
        <f t="shared" si="4"/>
        <v>N/A</v>
      </c>
      <c r="E123" t="str">
        <f t="shared" si="5"/>
        <v>N/A</v>
      </c>
      <c r="F123" t="str">
        <f>VLOOKUP(A123,Table7[[#All],[New Practices]:[CMMC Implementation Status]],5,FALSE)</f>
        <v>Not Applicable</v>
      </c>
    </row>
    <row r="124" spans="1:6" x14ac:dyDescent="0.35">
      <c r="A124" t="s">
        <v>103</v>
      </c>
      <c r="B124" t="str">
        <f>INDEX('Selection Pane Data'!$C$5:$G$175,MATCH('CMMC Levels'!$A124,'Selection Pane Data'!$C$5:$C$175,0),5)</f>
        <v>N</v>
      </c>
      <c r="C124" t="str">
        <f t="shared" si="3"/>
        <v>N/A</v>
      </c>
      <c r="D124" t="str">
        <f t="shared" si="4"/>
        <v>N/A</v>
      </c>
      <c r="E124" t="str">
        <f t="shared" si="5"/>
        <v>X</v>
      </c>
      <c r="F124" t="str">
        <f>VLOOKUP(A124,Table7[[#All],[New Practices]:[CMMC Implementation Status]],5,FALSE)</f>
        <v>Not Applicable</v>
      </c>
    </row>
    <row r="125" spans="1:6" hidden="1" x14ac:dyDescent="0.35">
      <c r="A125" t="s">
        <v>281</v>
      </c>
      <c r="B125" t="str">
        <f>INDEX('Selection Pane Data'!$C$5:$G$175,MATCH('CMMC Levels'!$A125,'Selection Pane Data'!$C$5:$C$175,0),5)</f>
        <v>N</v>
      </c>
      <c r="C125" t="str">
        <f t="shared" si="3"/>
        <v>N/A</v>
      </c>
      <c r="D125" t="str">
        <f t="shared" si="4"/>
        <v>N/A</v>
      </c>
      <c r="E125" t="str">
        <f t="shared" si="5"/>
        <v>N/A</v>
      </c>
      <c r="F125" t="str">
        <f>VLOOKUP(A125,Table7[[#All],[New Practices]:[CMMC Implementation Status]],5,FALSE)</f>
        <v>Not Applicable</v>
      </c>
    </row>
    <row r="126" spans="1:6" x14ac:dyDescent="0.35">
      <c r="A126" t="s">
        <v>117</v>
      </c>
      <c r="B126" t="str">
        <f>INDEX('Selection Pane Data'!$C$5:$G$175,MATCH('CMMC Levels'!$A126,'Selection Pane Data'!$C$5:$C$175,0),5)</f>
        <v>N</v>
      </c>
      <c r="C126" t="str">
        <f t="shared" si="3"/>
        <v>N/A</v>
      </c>
      <c r="D126" t="str">
        <f t="shared" si="4"/>
        <v>N/A</v>
      </c>
      <c r="E126" t="str">
        <f t="shared" si="5"/>
        <v>X</v>
      </c>
      <c r="F126" t="str">
        <f>VLOOKUP(A126,Table7[[#All],[New Practices]:[CMMC Implementation Status]],5,FALSE)</f>
        <v>Not Applicable</v>
      </c>
    </row>
    <row r="127" spans="1:6" hidden="1" x14ac:dyDescent="0.35">
      <c r="A127" t="s">
        <v>281</v>
      </c>
      <c r="B127" t="str">
        <f>INDEX('Selection Pane Data'!$C$5:$G$175,MATCH('CMMC Levels'!$A127,'Selection Pane Data'!$C$5:$C$175,0),5)</f>
        <v>N</v>
      </c>
      <c r="C127" t="str">
        <f t="shared" si="3"/>
        <v>N/A</v>
      </c>
      <c r="D127" t="str">
        <f t="shared" si="4"/>
        <v>N/A</v>
      </c>
      <c r="E127" t="str">
        <f t="shared" si="5"/>
        <v>N/A</v>
      </c>
      <c r="F127" t="str">
        <f>VLOOKUP(A127,Table7[[#All],[New Practices]:[CMMC Implementation Status]],5,FALSE)</f>
        <v>Not Applicable</v>
      </c>
    </row>
    <row r="128" spans="1:6" hidden="1" x14ac:dyDescent="0.35">
      <c r="A128" t="s">
        <v>281</v>
      </c>
      <c r="B128" t="str">
        <f>INDEX('Selection Pane Data'!$C$5:$G$175,MATCH('CMMC Levels'!$A128,'Selection Pane Data'!$C$5:$C$175,0),5)</f>
        <v>N</v>
      </c>
      <c r="C128" t="str">
        <f t="shared" si="3"/>
        <v>N/A</v>
      </c>
      <c r="D128" t="str">
        <f t="shared" si="4"/>
        <v>N/A</v>
      </c>
      <c r="E128" t="str">
        <f t="shared" si="5"/>
        <v>N/A</v>
      </c>
      <c r="F128" t="str">
        <f>VLOOKUP(A128,Table7[[#All],[New Practices]:[CMMC Implementation Status]],5,FALSE)</f>
        <v>Not Applicable</v>
      </c>
    </row>
    <row r="129" spans="1:6" x14ac:dyDescent="0.35">
      <c r="A129" t="s">
        <v>130</v>
      </c>
      <c r="B129" t="str">
        <f>INDEX('Selection Pane Data'!$C$5:$G$175,MATCH('CMMC Levels'!$A129,'Selection Pane Data'!$C$5:$C$175,0),5)</f>
        <v>N</v>
      </c>
      <c r="C129" t="str">
        <f t="shared" si="3"/>
        <v>N/A</v>
      </c>
      <c r="D129" t="str">
        <f t="shared" si="4"/>
        <v>N/A</v>
      </c>
      <c r="E129" t="str">
        <f t="shared" si="5"/>
        <v>X</v>
      </c>
      <c r="F129" t="str">
        <f>VLOOKUP(A129,Table7[[#All],[New Practices]:[CMMC Implementation Status]],5,FALSE)</f>
        <v>Not Applicable</v>
      </c>
    </row>
    <row r="130" spans="1:6" hidden="1" x14ac:dyDescent="0.35">
      <c r="A130" t="s">
        <v>281</v>
      </c>
      <c r="B130" t="str">
        <f>INDEX('Selection Pane Data'!$C$5:$G$175,MATCH('CMMC Levels'!$A130,'Selection Pane Data'!$C$5:$C$175,0),5)</f>
        <v>N</v>
      </c>
      <c r="C130" t="str">
        <f t="shared" si="3"/>
        <v>N/A</v>
      </c>
      <c r="D130" t="str">
        <f t="shared" si="4"/>
        <v>N/A</v>
      </c>
      <c r="E130" t="str">
        <f t="shared" si="5"/>
        <v>N/A</v>
      </c>
      <c r="F130" t="str">
        <f>VLOOKUP(A130,Table7[[#All],[New Practices]:[CMMC Implementation Status]],5,FALSE)</f>
        <v>Not Applicable</v>
      </c>
    </row>
    <row r="131" spans="1:6" x14ac:dyDescent="0.35">
      <c r="A131" t="s">
        <v>284</v>
      </c>
      <c r="B131" t="e">
        <f>INDEX('Selection Pane Data'!$C$5:$G$175,MATCH('CMMC Levels'!$A131,'Selection Pane Data'!$C$5:$C$175,0),5)</f>
        <v>#N/A</v>
      </c>
      <c r="C131" t="str">
        <f t="shared" ref="C131:C172" si="6">IF(COUNTIF($A131,"*L1*")=1,"X","N/A")</f>
        <v>N/A</v>
      </c>
      <c r="D131" t="str">
        <f t="shared" ref="D131:D172" si="7">IF(C131="X","X",IF(COUNTIF($A131,"*L2*")=1,"X","N/A"))</f>
        <v>N/A</v>
      </c>
      <c r="E131" t="str">
        <f t="shared" ref="E131:E172" si="8">IF(D131="X","X",IF(COUNTIF($A131,"*L3*")=1,"X","N/A"))</f>
        <v>X</v>
      </c>
      <c r="F131" t="e">
        <f>VLOOKUP(A131,Table7[[#All],[New Practices]:[CMMC Implementation Status]],5,FALSE)</f>
        <v>#N/A</v>
      </c>
    </row>
    <row r="132" spans="1:6" hidden="1" x14ac:dyDescent="0.35">
      <c r="A132" t="s">
        <v>281</v>
      </c>
      <c r="B132" t="str">
        <f>INDEX('Selection Pane Data'!$C$5:$G$175,MATCH('CMMC Levels'!$A132,'Selection Pane Data'!$C$5:$C$175,0),5)</f>
        <v>N</v>
      </c>
      <c r="C132" t="str">
        <f t="shared" si="6"/>
        <v>N/A</v>
      </c>
      <c r="D132" t="str">
        <f t="shared" si="7"/>
        <v>N/A</v>
      </c>
      <c r="E132" t="str">
        <f t="shared" si="8"/>
        <v>N/A</v>
      </c>
      <c r="F132" t="str">
        <f>VLOOKUP(A132,Table7[[#All],[New Practices]:[CMMC Implementation Status]],5,FALSE)</f>
        <v>Not Applicable</v>
      </c>
    </row>
    <row r="133" spans="1:6" hidden="1" x14ac:dyDescent="0.35">
      <c r="A133" t="s">
        <v>62</v>
      </c>
      <c r="B133" t="str">
        <f>INDEX('Selection Pane Data'!$C$5:$G$175,MATCH('CMMC Levels'!$A133,'Selection Pane Data'!$C$5:$C$175,0),5)</f>
        <v>S</v>
      </c>
      <c r="C133" t="str">
        <f t="shared" si="6"/>
        <v>X</v>
      </c>
      <c r="D133" t="str">
        <f t="shared" si="7"/>
        <v>X</v>
      </c>
      <c r="E133" t="str">
        <f t="shared" si="8"/>
        <v>X</v>
      </c>
      <c r="F133" t="str">
        <f>VLOOKUP(A133,Table7[[#All],[New Practices]:[CMMC Implementation Status]],5,FALSE)</f>
        <v>Shared Coverage</v>
      </c>
    </row>
    <row r="134" spans="1:6" hidden="1" x14ac:dyDescent="0.35">
      <c r="A134" t="s">
        <v>77</v>
      </c>
      <c r="B134" t="str">
        <f>INDEX('Selection Pane Data'!$C$5:$G$175,MATCH('CMMC Levels'!$A134,'Selection Pane Data'!$C$5:$C$175,0),5)</f>
        <v>U</v>
      </c>
      <c r="C134" t="str">
        <f t="shared" si="6"/>
        <v>X</v>
      </c>
      <c r="D134" t="str">
        <f t="shared" si="7"/>
        <v>X</v>
      </c>
      <c r="E134" t="str">
        <f t="shared" si="8"/>
        <v>X</v>
      </c>
      <c r="F134" t="str">
        <f>VLOOKUP(A134,Table7[[#All],[New Practices]:[CMMC Implementation Status]],5,FALSE)</f>
        <v>Shared Coverage</v>
      </c>
    </row>
    <row r="135" spans="1:6" hidden="1" x14ac:dyDescent="0.35">
      <c r="A135" t="s">
        <v>170</v>
      </c>
      <c r="B135" t="str">
        <f>INDEX('Selection Pane Data'!$C$5:$G$175,MATCH('CMMC Levels'!$A135,'Selection Pane Data'!$C$5:$C$175,0),5)</f>
        <v>U</v>
      </c>
      <c r="C135" t="str">
        <f t="shared" si="6"/>
        <v>N/A</v>
      </c>
      <c r="D135" t="str">
        <f t="shared" si="7"/>
        <v>X</v>
      </c>
      <c r="E135" t="str">
        <f t="shared" si="8"/>
        <v>X</v>
      </c>
      <c r="F135" t="str">
        <f>VLOOKUP(A135,Table7[[#All],[New Practices]:[CMMC Implementation Status]],5,FALSE)</f>
        <v>Shared Coverage</v>
      </c>
    </row>
    <row r="136" spans="1:6" hidden="1" x14ac:dyDescent="0.35">
      <c r="A136" t="s">
        <v>281</v>
      </c>
      <c r="B136" t="str">
        <f>INDEX('Selection Pane Data'!$C$5:$G$175,MATCH('CMMC Levels'!$A136,'Selection Pane Data'!$C$5:$C$175,0),5)</f>
        <v>N</v>
      </c>
      <c r="C136" t="str">
        <f t="shared" si="6"/>
        <v>N/A</v>
      </c>
      <c r="D136" t="str">
        <f t="shared" si="7"/>
        <v>N/A</v>
      </c>
      <c r="E136" t="str">
        <f t="shared" si="8"/>
        <v>N/A</v>
      </c>
      <c r="F136" t="str">
        <f>VLOOKUP(A136,Table7[[#All],[New Practices]:[CMMC Implementation Status]],5,FALSE)</f>
        <v>Not Applicable</v>
      </c>
    </row>
    <row r="137" spans="1:6" hidden="1" x14ac:dyDescent="0.35">
      <c r="A137" t="s">
        <v>167</v>
      </c>
      <c r="B137" t="str">
        <f>INDEX('Selection Pane Data'!$C$5:$G$175,MATCH('CMMC Levels'!$A137,'Selection Pane Data'!$C$5:$C$175,0),5)</f>
        <v>S</v>
      </c>
      <c r="C137" t="str">
        <f t="shared" si="6"/>
        <v>N/A</v>
      </c>
      <c r="D137" t="str">
        <f t="shared" si="7"/>
        <v>X</v>
      </c>
      <c r="E137" t="str">
        <f t="shared" si="8"/>
        <v>X</v>
      </c>
      <c r="F137" t="str">
        <f>VLOOKUP(A137,Table7[[#All],[New Practices]:[CMMC Implementation Status]],5,FALSE)</f>
        <v>Microsoft Coverage</v>
      </c>
    </row>
    <row r="138" spans="1:6" hidden="1" x14ac:dyDescent="0.35">
      <c r="A138" t="s">
        <v>91</v>
      </c>
      <c r="B138" t="str">
        <f>INDEX('Selection Pane Data'!$C$5:$G$175,MATCH('CMMC Levels'!$A138,'Selection Pane Data'!$C$5:$C$175,0),5)</f>
        <v>U</v>
      </c>
      <c r="C138" t="str">
        <f t="shared" si="6"/>
        <v>N/A</v>
      </c>
      <c r="D138" t="str">
        <f t="shared" si="7"/>
        <v>X</v>
      </c>
      <c r="E138" t="str">
        <f t="shared" si="8"/>
        <v>X</v>
      </c>
      <c r="F138" t="str">
        <f>VLOOKUP(A138,Table7[[#All],[New Practices]:[CMMC Implementation Status]],5,FALSE)</f>
        <v>Shared Coverage</v>
      </c>
    </row>
    <row r="139" spans="1:6" hidden="1" x14ac:dyDescent="0.35">
      <c r="A139" t="s">
        <v>105</v>
      </c>
      <c r="B139" t="str">
        <f>INDEX('Selection Pane Data'!$C$5:$G$175,MATCH('CMMC Levels'!$A139,'Selection Pane Data'!$C$5:$C$175,0),5)</f>
        <v>U</v>
      </c>
      <c r="C139" t="str">
        <f t="shared" si="6"/>
        <v>N/A</v>
      </c>
      <c r="D139" t="str">
        <f t="shared" si="7"/>
        <v>X</v>
      </c>
      <c r="E139" t="str">
        <f t="shared" si="8"/>
        <v>X</v>
      </c>
      <c r="F139" t="str">
        <f>VLOOKUP(A139,Table7[[#All],[New Practices]:[CMMC Implementation Status]],5,FALSE)</f>
        <v>Shared Coverage</v>
      </c>
    </row>
    <row r="140" spans="1:6" hidden="1" x14ac:dyDescent="0.35">
      <c r="A140" t="s">
        <v>119</v>
      </c>
      <c r="B140" t="str">
        <f>INDEX('Selection Pane Data'!$C$5:$G$175,MATCH('CMMC Levels'!$A140,'Selection Pane Data'!$C$5:$C$175,0),5)</f>
        <v>U</v>
      </c>
      <c r="C140" t="str">
        <f t="shared" si="6"/>
        <v>N/A</v>
      </c>
      <c r="D140" t="str">
        <f t="shared" si="7"/>
        <v>X</v>
      </c>
      <c r="E140" t="str">
        <f t="shared" si="8"/>
        <v>X</v>
      </c>
      <c r="F140" t="str">
        <f>VLOOKUP(A140,Table7[[#All],[New Practices]:[CMMC Implementation Status]],5,FALSE)</f>
        <v>Shared Coverage</v>
      </c>
    </row>
    <row r="141" spans="1:6" hidden="1" x14ac:dyDescent="0.35">
      <c r="A141" t="s">
        <v>131</v>
      </c>
      <c r="B141" t="str">
        <f>INDEX('Selection Pane Data'!$C$5:$G$175,MATCH('CMMC Levels'!$A141,'Selection Pane Data'!$C$5:$C$175,0),5)</f>
        <v>U</v>
      </c>
      <c r="C141" t="str">
        <f t="shared" si="6"/>
        <v>N/A</v>
      </c>
      <c r="D141" t="str">
        <f t="shared" si="7"/>
        <v>X</v>
      </c>
      <c r="E141" t="str">
        <f t="shared" si="8"/>
        <v>X</v>
      </c>
      <c r="F141" t="str">
        <f>VLOOKUP(A141,Table7[[#All],[New Practices]:[CMMC Implementation Status]],5,FALSE)</f>
        <v>Shared Coverage</v>
      </c>
    </row>
    <row r="142" spans="1:6" hidden="1" x14ac:dyDescent="0.35">
      <c r="A142" t="s">
        <v>140</v>
      </c>
      <c r="B142" t="str">
        <f>INDEX('Selection Pane Data'!$C$5:$G$175,MATCH('CMMC Levels'!$A142,'Selection Pane Data'!$C$5:$C$175,0),5)</f>
        <v>U</v>
      </c>
      <c r="C142" t="str">
        <f t="shared" si="6"/>
        <v>N/A</v>
      </c>
      <c r="D142" t="str">
        <f t="shared" si="7"/>
        <v>X</v>
      </c>
      <c r="E142" t="str">
        <f t="shared" si="8"/>
        <v>X</v>
      </c>
      <c r="F142" t="str">
        <f>VLOOKUP(A142,Table7[[#All],[New Practices]:[CMMC Implementation Status]],5,FALSE)</f>
        <v>Customer Responsibility</v>
      </c>
    </row>
    <row r="143" spans="1:6" hidden="1" x14ac:dyDescent="0.35">
      <c r="A143" t="s">
        <v>148</v>
      </c>
      <c r="B143" t="str">
        <f>INDEX('Selection Pane Data'!$C$5:$G$175,MATCH('CMMC Levels'!$A143,'Selection Pane Data'!$C$5:$C$175,0),5)</f>
        <v>S</v>
      </c>
      <c r="C143" t="str">
        <f t="shared" si="6"/>
        <v>N/A</v>
      </c>
      <c r="D143" t="str">
        <f t="shared" si="7"/>
        <v>X</v>
      </c>
      <c r="E143" t="str">
        <f t="shared" si="8"/>
        <v>X</v>
      </c>
      <c r="F143" t="str">
        <f>VLOOKUP(A143,Table7[[#All],[New Practices]:[CMMC Implementation Status]],5,FALSE)</f>
        <v>Shared Coverage</v>
      </c>
    </row>
    <row r="144" spans="1:6" hidden="1" x14ac:dyDescent="0.35">
      <c r="A144" t="s">
        <v>156</v>
      </c>
      <c r="B144" t="str">
        <f>INDEX('Selection Pane Data'!$C$5:$G$175,MATCH('CMMC Levels'!$A144,'Selection Pane Data'!$C$5:$C$175,0),5)</f>
        <v>S</v>
      </c>
      <c r="C144" t="str">
        <f t="shared" si="6"/>
        <v>N/A</v>
      </c>
      <c r="D144" t="str">
        <f t="shared" si="7"/>
        <v>X</v>
      </c>
      <c r="E144" t="str">
        <f t="shared" si="8"/>
        <v>X</v>
      </c>
      <c r="F144" t="str">
        <f>VLOOKUP(A144,Table7[[#All],[New Practices]:[CMMC Implementation Status]],5,FALSE)</f>
        <v>Shared Coverage</v>
      </c>
    </row>
    <row r="145" spans="1:6" hidden="1" x14ac:dyDescent="0.35">
      <c r="A145" t="s">
        <v>162</v>
      </c>
      <c r="B145" t="str">
        <f>INDEX('Selection Pane Data'!$C$5:$G$175,MATCH('CMMC Levels'!$A145,'Selection Pane Data'!$C$5:$C$175,0),5)</f>
        <v>U</v>
      </c>
      <c r="C145" t="str">
        <f t="shared" si="6"/>
        <v>N/A</v>
      </c>
      <c r="D145" t="str">
        <f t="shared" si="7"/>
        <v>X</v>
      </c>
      <c r="E145" t="str">
        <f t="shared" si="8"/>
        <v>X</v>
      </c>
      <c r="F145" t="str">
        <f>VLOOKUP(A145,Table7[[#All],[New Practices]:[CMMC Implementation Status]],5,FALSE)</f>
        <v>Shared Coverage</v>
      </c>
    </row>
    <row r="146" spans="1:6" hidden="1" x14ac:dyDescent="0.35">
      <c r="A146" t="s">
        <v>173</v>
      </c>
      <c r="B146" t="str">
        <f>INDEX('Selection Pane Data'!$C$5:$G$175,MATCH('CMMC Levels'!$A146,'Selection Pane Data'!$C$5:$C$175,0),5)</f>
        <v>U</v>
      </c>
      <c r="C146" t="str">
        <f t="shared" si="6"/>
        <v>N/A</v>
      </c>
      <c r="D146" t="str">
        <f t="shared" si="7"/>
        <v>X</v>
      </c>
      <c r="E146" t="str">
        <f t="shared" si="8"/>
        <v>X</v>
      </c>
      <c r="F146" t="str">
        <f>VLOOKUP(A146,Table7[[#All],[New Practices]:[CMMC Implementation Status]],5,FALSE)</f>
        <v>Customer Responsibility</v>
      </c>
    </row>
    <row r="147" spans="1:6" hidden="1" x14ac:dyDescent="0.35">
      <c r="A147" t="s">
        <v>176</v>
      </c>
      <c r="B147" t="str">
        <f>INDEX('Selection Pane Data'!$C$5:$G$175,MATCH('CMMC Levels'!$A147,'Selection Pane Data'!$C$5:$C$175,0),5)</f>
        <v>U</v>
      </c>
      <c r="C147" t="str">
        <f t="shared" si="6"/>
        <v>N/A</v>
      </c>
      <c r="D147" t="str">
        <f t="shared" si="7"/>
        <v>X</v>
      </c>
      <c r="E147" t="str">
        <f t="shared" si="8"/>
        <v>X</v>
      </c>
      <c r="F147" t="str">
        <f>VLOOKUP(A147,Table7[[#All],[New Practices]:[CMMC Implementation Status]],5,FALSE)</f>
        <v>Customer Responsibility</v>
      </c>
    </row>
    <row r="148" spans="1:6" hidden="1" x14ac:dyDescent="0.35">
      <c r="A148" t="s">
        <v>179</v>
      </c>
      <c r="B148" t="str">
        <f>INDEX('Selection Pane Data'!$C$5:$G$175,MATCH('CMMC Levels'!$A148,'Selection Pane Data'!$C$5:$C$175,0),5)</f>
        <v>U</v>
      </c>
      <c r="C148" t="str">
        <f t="shared" si="6"/>
        <v>N/A</v>
      </c>
      <c r="D148" t="str">
        <f t="shared" si="7"/>
        <v>X</v>
      </c>
      <c r="E148" t="str">
        <f t="shared" si="8"/>
        <v>X</v>
      </c>
      <c r="F148" t="str">
        <f>VLOOKUP(A148,Table7[[#All],[New Practices]:[CMMC Implementation Status]],5,FALSE)</f>
        <v>Shared Coverage</v>
      </c>
    </row>
    <row r="149" spans="1:6" hidden="1" x14ac:dyDescent="0.35">
      <c r="A149" t="s">
        <v>182</v>
      </c>
      <c r="B149" t="str">
        <f>INDEX('Selection Pane Data'!$C$5:$G$175,MATCH('CMMC Levels'!$A149,'Selection Pane Data'!$C$5:$C$175,0),5)</f>
        <v>U</v>
      </c>
      <c r="C149" t="str">
        <f t="shared" si="6"/>
        <v>N/A</v>
      </c>
      <c r="D149" t="str">
        <f t="shared" si="7"/>
        <v>X</v>
      </c>
      <c r="E149" t="str">
        <f t="shared" si="8"/>
        <v>X</v>
      </c>
      <c r="F149" t="str">
        <f>VLOOKUP(A149,Table7[[#All],[New Practices]:[CMMC Implementation Status]],5,FALSE)</f>
        <v>Shared Coverage</v>
      </c>
    </row>
    <row r="150" spans="1:6" hidden="1" x14ac:dyDescent="0.35">
      <c r="A150" t="s">
        <v>281</v>
      </c>
      <c r="B150" t="str">
        <f>INDEX('Selection Pane Data'!$C$5:$G$175,MATCH('CMMC Levels'!$A150,'Selection Pane Data'!$C$5:$C$175,0),5)</f>
        <v>N</v>
      </c>
      <c r="C150" t="str">
        <f t="shared" si="6"/>
        <v>N/A</v>
      </c>
      <c r="D150" t="str">
        <f t="shared" si="7"/>
        <v>N/A</v>
      </c>
      <c r="E150" t="str">
        <f t="shared" si="8"/>
        <v>N/A</v>
      </c>
      <c r="F150" t="str">
        <f>VLOOKUP(A150,Table7[[#All],[New Practices]:[CMMC Implementation Status]],5,FALSE)</f>
        <v>Not Applicable</v>
      </c>
    </row>
    <row r="151" spans="1:6" hidden="1" x14ac:dyDescent="0.35">
      <c r="A151" t="s">
        <v>281</v>
      </c>
      <c r="B151" t="str">
        <f>INDEX('Selection Pane Data'!$C$5:$G$175,MATCH('CMMC Levels'!$A151,'Selection Pane Data'!$C$5:$C$175,0),5)</f>
        <v>N</v>
      </c>
      <c r="C151" t="str">
        <f t="shared" si="6"/>
        <v>N/A</v>
      </c>
      <c r="D151" t="str">
        <f t="shared" si="7"/>
        <v>N/A</v>
      </c>
      <c r="E151" t="str">
        <f t="shared" si="8"/>
        <v>N/A</v>
      </c>
      <c r="F151" t="str">
        <f>VLOOKUP(A151,Table7[[#All],[New Practices]:[CMMC Implementation Status]],5,FALSE)</f>
        <v>Not Applicable</v>
      </c>
    </row>
    <row r="152" spans="1:6" x14ac:dyDescent="0.35">
      <c r="A152" t="s">
        <v>185</v>
      </c>
      <c r="B152" t="str">
        <f>INDEX('Selection Pane Data'!$C$5:$G$175,MATCH('CMMC Levels'!$A152,'Selection Pane Data'!$C$5:$C$175,0),5)</f>
        <v>N</v>
      </c>
      <c r="C152" t="str">
        <f t="shared" si="6"/>
        <v>N/A</v>
      </c>
      <c r="D152" t="str">
        <f t="shared" si="7"/>
        <v>N/A</v>
      </c>
      <c r="E152" t="str">
        <f t="shared" si="8"/>
        <v>X</v>
      </c>
      <c r="F152" t="str">
        <f>VLOOKUP(A152,Table7[[#All],[New Practices]:[CMMC Implementation Status]],5,FALSE)</f>
        <v>Not Applicable</v>
      </c>
    </row>
    <row r="153" spans="1:6" hidden="1" x14ac:dyDescent="0.35">
      <c r="A153" t="s">
        <v>281</v>
      </c>
      <c r="B153" t="str">
        <f>INDEX('Selection Pane Data'!$C$5:$G$175,MATCH('CMMC Levels'!$A153,'Selection Pane Data'!$C$5:$C$175,0),5)</f>
        <v>N</v>
      </c>
      <c r="C153" t="str">
        <f t="shared" si="6"/>
        <v>N/A</v>
      </c>
      <c r="D153" t="str">
        <f t="shared" si="7"/>
        <v>N/A</v>
      </c>
      <c r="E153" t="str">
        <f t="shared" si="8"/>
        <v>N/A</v>
      </c>
      <c r="F153" t="str">
        <f>VLOOKUP(A153,Table7[[#All],[New Practices]:[CMMC Implementation Status]],5,FALSE)</f>
        <v>Not Applicable</v>
      </c>
    </row>
    <row r="154" spans="1:6" hidden="1" x14ac:dyDescent="0.35">
      <c r="A154" t="s">
        <v>281</v>
      </c>
      <c r="B154" t="str">
        <f>INDEX('Selection Pane Data'!$C$5:$G$175,MATCH('CMMC Levels'!$A154,'Selection Pane Data'!$C$5:$C$175,0),5)</f>
        <v>N</v>
      </c>
      <c r="C154" t="str">
        <f t="shared" si="6"/>
        <v>N/A</v>
      </c>
      <c r="D154" t="str">
        <f t="shared" si="7"/>
        <v>N/A</v>
      </c>
      <c r="E154" t="str">
        <f t="shared" si="8"/>
        <v>N/A</v>
      </c>
      <c r="F154" t="str">
        <f>VLOOKUP(A154,Table7[[#All],[New Practices]:[CMMC Implementation Status]],5,FALSE)</f>
        <v>Not Applicable</v>
      </c>
    </row>
    <row r="155" spans="1:6" x14ac:dyDescent="0.35">
      <c r="A155" t="s">
        <v>188</v>
      </c>
      <c r="B155" t="str">
        <f>INDEX('Selection Pane Data'!$C$5:$G$175,MATCH('CMMC Levels'!$A155,'Selection Pane Data'!$C$5:$C$175,0),5)</f>
        <v>N</v>
      </c>
      <c r="C155" t="str">
        <f t="shared" si="6"/>
        <v>N/A</v>
      </c>
      <c r="D155" t="str">
        <f t="shared" si="7"/>
        <v>N/A</v>
      </c>
      <c r="E155" t="str">
        <f t="shared" si="8"/>
        <v>X</v>
      </c>
      <c r="F155" t="str">
        <f>VLOOKUP(A155,Table7[[#All],[New Practices]:[CMMC Implementation Status]],5,FALSE)</f>
        <v>Not Applicable</v>
      </c>
    </row>
    <row r="156" spans="1:6" hidden="1" x14ac:dyDescent="0.35">
      <c r="A156" t="s">
        <v>281</v>
      </c>
      <c r="B156" t="str">
        <f>INDEX('Selection Pane Data'!$C$5:$G$175,MATCH('CMMC Levels'!$A156,'Selection Pane Data'!$C$5:$C$175,0),5)</f>
        <v>N</v>
      </c>
      <c r="C156" t="str">
        <f t="shared" si="6"/>
        <v>N/A</v>
      </c>
      <c r="D156" t="str">
        <f t="shared" si="7"/>
        <v>N/A</v>
      </c>
      <c r="E156" t="str">
        <f t="shared" si="8"/>
        <v>N/A</v>
      </c>
      <c r="F156" t="str">
        <f>VLOOKUP(A156,Table7[[#All],[New Practices]:[CMMC Implementation Status]],5,FALSE)</f>
        <v>Not Applicable</v>
      </c>
    </row>
    <row r="157" spans="1:6" hidden="1" x14ac:dyDescent="0.35">
      <c r="A157" t="s">
        <v>281</v>
      </c>
      <c r="B157" t="str">
        <f>INDEX('Selection Pane Data'!$C$5:$G$175,MATCH('CMMC Levels'!$A157,'Selection Pane Data'!$C$5:$C$175,0),5)</f>
        <v>N</v>
      </c>
      <c r="C157" t="str">
        <f t="shared" si="6"/>
        <v>N/A</v>
      </c>
      <c r="D157" t="str">
        <f t="shared" si="7"/>
        <v>N/A</v>
      </c>
      <c r="E157" t="str">
        <f t="shared" si="8"/>
        <v>N/A</v>
      </c>
      <c r="F157" t="str">
        <f>VLOOKUP(A157,Table7[[#All],[New Practices]:[CMMC Implementation Status]],5,FALSE)</f>
        <v>Not Applicable</v>
      </c>
    </row>
    <row r="158" spans="1:6" hidden="1" x14ac:dyDescent="0.35">
      <c r="A158" t="s">
        <v>281</v>
      </c>
      <c r="B158" t="str">
        <f>INDEX('Selection Pane Data'!$C$5:$G$175,MATCH('CMMC Levels'!$A158,'Selection Pane Data'!$C$5:$C$175,0),5)</f>
        <v>N</v>
      </c>
      <c r="C158" t="str">
        <f t="shared" si="6"/>
        <v>N/A</v>
      </c>
      <c r="D158" t="str">
        <f t="shared" si="7"/>
        <v>N/A</v>
      </c>
      <c r="E158" t="str">
        <f t="shared" si="8"/>
        <v>N/A</v>
      </c>
      <c r="F158" t="str">
        <f>VLOOKUP(A158,Table7[[#All],[New Practices]:[CMMC Implementation Status]],5,FALSE)</f>
        <v>Not Applicable</v>
      </c>
    </row>
    <row r="159" spans="1:6" hidden="1" x14ac:dyDescent="0.35">
      <c r="A159" t="s">
        <v>281</v>
      </c>
      <c r="B159" t="str">
        <f>INDEX('Selection Pane Data'!$C$5:$G$175,MATCH('CMMC Levels'!$A159,'Selection Pane Data'!$C$5:$C$175,0),5)</f>
        <v>N</v>
      </c>
      <c r="C159" t="str">
        <f t="shared" si="6"/>
        <v>N/A</v>
      </c>
      <c r="D159" t="str">
        <f t="shared" si="7"/>
        <v>N/A</v>
      </c>
      <c r="E159" t="str">
        <f t="shared" si="8"/>
        <v>N/A</v>
      </c>
      <c r="F159" t="str">
        <f>VLOOKUP(A159,Table7[[#All],[New Practices]:[CMMC Implementation Status]],5,FALSE)</f>
        <v>Not Applicable</v>
      </c>
    </row>
    <row r="160" spans="1:6" hidden="1" x14ac:dyDescent="0.35">
      <c r="A160" t="s">
        <v>63</v>
      </c>
      <c r="B160" t="str">
        <f>INDEX('Selection Pane Data'!$C$5:$G$175,MATCH('CMMC Levels'!$A160,'Selection Pane Data'!$C$5:$C$175,0),5)</f>
        <v>U</v>
      </c>
      <c r="C160" t="str">
        <f t="shared" si="6"/>
        <v>X</v>
      </c>
      <c r="D160" t="str">
        <f t="shared" si="7"/>
        <v>X</v>
      </c>
      <c r="E160" t="str">
        <f t="shared" si="8"/>
        <v>X</v>
      </c>
      <c r="F160" t="str">
        <f>VLOOKUP(A160,Table7[[#All],[New Practices]:[CMMC Implementation Status]],5,FALSE)</f>
        <v>Shared Coverage</v>
      </c>
    </row>
    <row r="161" spans="1:6" hidden="1" x14ac:dyDescent="0.35">
      <c r="A161" t="s">
        <v>78</v>
      </c>
      <c r="B161" t="str">
        <f>INDEX('Selection Pane Data'!$C$5:$G$175,MATCH('CMMC Levels'!$A161,'Selection Pane Data'!$C$5:$C$175,0),5)</f>
        <v>U</v>
      </c>
      <c r="C161" t="str">
        <f t="shared" si="6"/>
        <v>X</v>
      </c>
      <c r="D161" t="str">
        <f t="shared" si="7"/>
        <v>X</v>
      </c>
      <c r="E161" t="str">
        <f t="shared" si="8"/>
        <v>X</v>
      </c>
      <c r="F161" t="str">
        <f>VLOOKUP(A161,Table7[[#All],[New Practices]:[CMMC Implementation Status]],5,FALSE)</f>
        <v>Shared Coverage</v>
      </c>
    </row>
    <row r="162" spans="1:6" hidden="1" x14ac:dyDescent="0.35">
      <c r="A162" t="s">
        <v>92</v>
      </c>
      <c r="B162" t="str">
        <f>INDEX('Selection Pane Data'!$C$5:$G$175,MATCH('CMMC Levels'!$A162,'Selection Pane Data'!$C$5:$C$175,0),5)</f>
        <v>U</v>
      </c>
      <c r="C162" t="str">
        <f t="shared" si="6"/>
        <v>X</v>
      </c>
      <c r="D162" t="str">
        <f t="shared" si="7"/>
        <v>X</v>
      </c>
      <c r="E162" t="str">
        <f t="shared" si="8"/>
        <v>X</v>
      </c>
      <c r="F162" t="str">
        <f>VLOOKUP(A162,Table7[[#All],[New Practices]:[CMMC Implementation Status]],5,FALSE)</f>
        <v>Shared Coverage</v>
      </c>
    </row>
    <row r="163" spans="1:6" hidden="1" x14ac:dyDescent="0.35">
      <c r="A163" t="s">
        <v>106</v>
      </c>
      <c r="B163" t="str">
        <f>INDEX('Selection Pane Data'!$C$5:$G$175,MATCH('CMMC Levels'!$A163,'Selection Pane Data'!$C$5:$C$175,0),5)</f>
        <v>U</v>
      </c>
      <c r="C163" t="str">
        <f t="shared" si="6"/>
        <v>X</v>
      </c>
      <c r="D163" t="str">
        <f t="shared" si="7"/>
        <v>X</v>
      </c>
      <c r="E163" t="str">
        <f t="shared" si="8"/>
        <v>X</v>
      </c>
      <c r="F163" t="str">
        <f>VLOOKUP(A163,Table7[[#All],[New Practices]:[CMMC Implementation Status]],5,FALSE)</f>
        <v>Customer Responsibility</v>
      </c>
    </row>
    <row r="164" spans="1:6" hidden="1" x14ac:dyDescent="0.35">
      <c r="A164" t="s">
        <v>120</v>
      </c>
      <c r="B164" t="str">
        <f>INDEX('Selection Pane Data'!$C$5:$G$175,MATCH('CMMC Levels'!$A164,'Selection Pane Data'!$C$5:$C$175,0),5)</f>
        <v>U</v>
      </c>
      <c r="C164" t="str">
        <f t="shared" si="6"/>
        <v>N/A</v>
      </c>
      <c r="D164" t="str">
        <f t="shared" si="7"/>
        <v>X</v>
      </c>
      <c r="E164" t="str">
        <f t="shared" si="8"/>
        <v>X</v>
      </c>
      <c r="F164" t="str">
        <f>VLOOKUP(A164,Table7[[#All],[New Practices]:[CMMC Implementation Status]],5,FALSE)</f>
        <v>Customer Responsibility</v>
      </c>
    </row>
    <row r="165" spans="1:6" hidden="1" x14ac:dyDescent="0.35">
      <c r="A165" t="s">
        <v>132</v>
      </c>
      <c r="B165" t="str">
        <f>INDEX('Selection Pane Data'!$C$5:$G$175,MATCH('CMMC Levels'!$A165,'Selection Pane Data'!$C$5:$C$175,0),5)</f>
        <v>U</v>
      </c>
      <c r="C165" t="str">
        <f t="shared" si="6"/>
        <v>N/A</v>
      </c>
      <c r="D165" t="str">
        <f t="shared" si="7"/>
        <v>X</v>
      </c>
      <c r="E165" t="str">
        <f t="shared" si="8"/>
        <v>X</v>
      </c>
      <c r="F165" t="str">
        <f>VLOOKUP(A165,Table7[[#All],[New Practices]:[CMMC Implementation Status]],5,FALSE)</f>
        <v>Shared Coverage</v>
      </c>
    </row>
    <row r="166" spans="1:6" hidden="1" x14ac:dyDescent="0.35">
      <c r="A166" t="s">
        <v>141</v>
      </c>
      <c r="B166" t="str">
        <f>INDEX('Selection Pane Data'!$C$5:$G$175,MATCH('CMMC Levels'!$A166,'Selection Pane Data'!$C$5:$C$175,0),5)</f>
        <v>U</v>
      </c>
      <c r="C166" t="str">
        <f t="shared" si="6"/>
        <v>N/A</v>
      </c>
      <c r="D166" t="str">
        <f t="shared" si="7"/>
        <v>X</v>
      </c>
      <c r="E166" t="str">
        <f t="shared" si="8"/>
        <v>X</v>
      </c>
      <c r="F166" t="str">
        <f>VLOOKUP(A166,Table7[[#All],[New Practices]:[CMMC Implementation Status]],5,FALSE)</f>
        <v>Customer Responsibility</v>
      </c>
    </row>
    <row r="167" spans="1:6" hidden="1" x14ac:dyDescent="0.35">
      <c r="A167" t="s">
        <v>281</v>
      </c>
      <c r="B167" t="str">
        <f>INDEX('Selection Pane Data'!$C$5:$G$175,MATCH('CMMC Levels'!$A167,'Selection Pane Data'!$C$5:$C$175,0),5)</f>
        <v>N</v>
      </c>
      <c r="C167" t="str">
        <f t="shared" si="6"/>
        <v>N/A</v>
      </c>
      <c r="D167" t="str">
        <f t="shared" si="7"/>
        <v>N/A</v>
      </c>
      <c r="E167" t="str">
        <f t="shared" si="8"/>
        <v>N/A</v>
      </c>
      <c r="F167" t="str">
        <f>VLOOKUP(A167,Table7[[#All],[New Practices]:[CMMC Implementation Status]],5,FALSE)</f>
        <v>Not Applicable</v>
      </c>
    </row>
    <row r="168" spans="1:6" hidden="1" x14ac:dyDescent="0.35">
      <c r="A168" t="s">
        <v>281</v>
      </c>
      <c r="B168" t="str">
        <f>INDEX('Selection Pane Data'!$C$5:$G$175,MATCH('CMMC Levels'!$A168,'Selection Pane Data'!$C$5:$C$175,0),5)</f>
        <v>N</v>
      </c>
      <c r="C168" t="str">
        <f t="shared" si="6"/>
        <v>N/A</v>
      </c>
      <c r="D168" t="str">
        <f t="shared" si="7"/>
        <v>N/A</v>
      </c>
      <c r="E168" t="str">
        <f t="shared" si="8"/>
        <v>N/A</v>
      </c>
      <c r="F168" t="str">
        <f>VLOOKUP(A168,Table7[[#All],[New Practices]:[CMMC Implementation Status]],5,FALSE)</f>
        <v>Not Applicable</v>
      </c>
    </row>
    <row r="169" spans="1:6" hidden="1" x14ac:dyDescent="0.35">
      <c r="A169" t="s">
        <v>281</v>
      </c>
      <c r="B169" t="str">
        <f>INDEX('Selection Pane Data'!$C$5:$G$175,MATCH('CMMC Levels'!$A169,'Selection Pane Data'!$C$5:$C$175,0),5)</f>
        <v>N</v>
      </c>
      <c r="C169" t="str">
        <f t="shared" si="6"/>
        <v>N/A</v>
      </c>
      <c r="D169" t="str">
        <f t="shared" si="7"/>
        <v>N/A</v>
      </c>
      <c r="E169" t="str">
        <f t="shared" si="8"/>
        <v>N/A</v>
      </c>
      <c r="F169" t="str">
        <f>VLOOKUP(A169,Table7[[#All],[New Practices]:[CMMC Implementation Status]],5,FALSE)</f>
        <v>Not Applicable</v>
      </c>
    </row>
    <row r="170" spans="1:6" x14ac:dyDescent="0.35">
      <c r="A170" t="s">
        <v>149</v>
      </c>
      <c r="B170" t="str">
        <f>INDEX('Selection Pane Data'!$C$5:$G$175,MATCH('CMMC Levels'!$A170,'Selection Pane Data'!$C$5:$C$175,0),5)</f>
        <v>N</v>
      </c>
      <c r="C170" t="str">
        <f t="shared" si="6"/>
        <v>N/A</v>
      </c>
      <c r="D170" t="str">
        <f t="shared" si="7"/>
        <v>N/A</v>
      </c>
      <c r="E170" t="str">
        <f t="shared" si="8"/>
        <v>X</v>
      </c>
      <c r="F170" t="str">
        <f>VLOOKUP(A170,Table7[[#All],[New Practices]:[CMMC Implementation Status]],5,FALSE)</f>
        <v>Not Applicable</v>
      </c>
    </row>
    <row r="171" spans="1:6" hidden="1" x14ac:dyDescent="0.35">
      <c r="A171" t="s">
        <v>281</v>
      </c>
      <c r="B171" t="str">
        <f>INDEX('Selection Pane Data'!$C$5:$G$175,MATCH('CMMC Levels'!$A171,'Selection Pane Data'!$C$5:$C$175,0),5)</f>
        <v>N</v>
      </c>
      <c r="C171" t="str">
        <f t="shared" si="6"/>
        <v>N/A</v>
      </c>
      <c r="D171" t="str">
        <f t="shared" si="7"/>
        <v>N/A</v>
      </c>
      <c r="E171" t="str">
        <f t="shared" si="8"/>
        <v>N/A</v>
      </c>
      <c r="F171" t="str">
        <f>VLOOKUP(A171,Table7[[#All],[New Practices]:[CMMC Implementation Status]],5,FALSE)</f>
        <v>Not Applicable</v>
      </c>
    </row>
    <row r="172" spans="1:6" x14ac:dyDescent="0.35">
      <c r="A172" t="s">
        <v>157</v>
      </c>
      <c r="B172" t="str">
        <f>INDEX('Selection Pane Data'!$C$5:$G$175,MATCH('CMMC Levels'!$A172,'Selection Pane Data'!$C$5:$C$175,0),5)</f>
        <v>N</v>
      </c>
      <c r="C172" t="str">
        <f t="shared" si="6"/>
        <v>N/A</v>
      </c>
      <c r="D172" t="str">
        <f t="shared" si="7"/>
        <v>N/A</v>
      </c>
      <c r="E172" t="str">
        <f t="shared" si="8"/>
        <v>X</v>
      </c>
      <c r="F172" t="str">
        <f>VLOOKUP(A172,Table7[[#All],[New Practices]:[CMMC Implementation Status]],5,FALSE)</f>
        <v>Not Applicable</v>
      </c>
    </row>
    <row r="174" spans="1:6" x14ac:dyDescent="0.35">
      <c r="A174" t="s">
        <v>206</v>
      </c>
      <c r="B174">
        <f>COUNTIF($B$2:$B$172,A174)</f>
        <v>9</v>
      </c>
      <c r="D174" t="s">
        <v>274</v>
      </c>
      <c r="F174">
        <f>COUNTIF($F$2:$F$172,D174)</f>
        <v>28</v>
      </c>
    </row>
    <row r="175" spans="1:6" x14ac:dyDescent="0.35">
      <c r="A175" t="s">
        <v>209</v>
      </c>
      <c r="B175">
        <f>COUNTIF($B$2:$B$172,A175)</f>
        <v>11</v>
      </c>
      <c r="D175" t="s">
        <v>272</v>
      </c>
      <c r="F175">
        <f>COUNTIF($F$2:$F$172,D175)</f>
        <v>6</v>
      </c>
    </row>
    <row r="176" spans="1:6" x14ac:dyDescent="0.35">
      <c r="A176" t="s">
        <v>215</v>
      </c>
      <c r="B176">
        <f>COUNTIF($B$2:$B$172,A176)</f>
        <v>59</v>
      </c>
      <c r="D176" t="s">
        <v>273</v>
      </c>
      <c r="F176">
        <f>COUNTIF($F$2:$F$172,D176)</f>
        <v>76</v>
      </c>
    </row>
    <row r="177" spans="1:6" x14ac:dyDescent="0.35">
      <c r="A177" t="s">
        <v>212</v>
      </c>
      <c r="B177">
        <f>COUNTIF($B$2:$B$172,A177)</f>
        <v>89</v>
      </c>
      <c r="F177">
        <f>SUM(F174:F176)</f>
        <v>110</v>
      </c>
    </row>
    <row r="178" spans="1:6" x14ac:dyDescent="0.35">
      <c r="B178">
        <f>SUM(B174:B177)</f>
        <v>168</v>
      </c>
    </row>
  </sheetData>
  <autoFilter ref="A1:F172" xr:uid="{4D0D5FD9-64F6-4E7C-BC00-3E6EF5885F7E}">
    <filterColumn colId="3">
      <filters>
        <filter val="N/A"/>
      </filters>
    </filterColumn>
    <filterColumn colId="4">
      <filters>
        <filter val="X"/>
      </filters>
    </filterColumn>
  </autoFilter>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FA51A3-9064-4C43-88D6-B0CE5817FDD4}">
  <sheetPr codeName="Sheet1"/>
  <dimension ref="B1:CE195"/>
  <sheetViews>
    <sheetView topLeftCell="A152" workbookViewId="0">
      <selection activeCell="G158" sqref="G158"/>
    </sheetView>
  </sheetViews>
  <sheetFormatPr defaultColWidth="8.6328125" defaultRowHeight="14.5" x14ac:dyDescent="0.35"/>
  <cols>
    <col min="2" max="3" width="10.6328125" customWidth="1"/>
    <col min="4" max="4" width="20.6328125" bestFit="1" customWidth="1"/>
    <col min="5" max="5" width="31.6328125" bestFit="1" customWidth="1"/>
    <col min="7" max="7" width="5.453125" bestFit="1" customWidth="1"/>
    <col min="8" max="83" width="15.6328125" customWidth="1"/>
  </cols>
  <sheetData>
    <row r="1" spans="2:83" ht="15" thickBot="1" x14ac:dyDescent="0.4"/>
    <row r="2" spans="2:83" ht="21.5" thickBot="1" x14ac:dyDescent="0.55000000000000004">
      <c r="B2" s="14"/>
      <c r="C2" s="14"/>
      <c r="G2" s="14"/>
      <c r="H2" s="287" t="s">
        <v>47</v>
      </c>
      <c r="I2" s="288"/>
      <c r="J2" s="288"/>
      <c r="K2" s="288"/>
      <c r="L2" s="288"/>
      <c r="M2" s="288"/>
      <c r="N2" s="288"/>
      <c r="O2" s="288"/>
      <c r="P2" s="288"/>
      <c r="Q2" s="288"/>
      <c r="R2" s="288"/>
      <c r="S2" s="288"/>
      <c r="T2" s="288"/>
      <c r="U2" s="288"/>
      <c r="V2" s="288"/>
      <c r="W2" s="288"/>
      <c r="X2" s="288"/>
      <c r="Y2" s="288"/>
      <c r="Z2" s="288"/>
      <c r="AA2" s="288"/>
      <c r="AB2" s="288"/>
      <c r="AC2" s="288"/>
      <c r="AD2" s="289"/>
      <c r="AE2" s="287" t="s">
        <v>285</v>
      </c>
      <c r="AF2" s="288"/>
      <c r="AG2" s="288"/>
      <c r="AH2" s="288"/>
      <c r="AI2" s="288"/>
      <c r="AJ2" s="288"/>
      <c r="AK2" s="288"/>
      <c r="AL2" s="288"/>
      <c r="AM2" s="288"/>
      <c r="AN2" s="288"/>
      <c r="AO2" s="288"/>
      <c r="AP2" s="288"/>
      <c r="AQ2" s="288"/>
      <c r="AR2" s="288"/>
      <c r="AS2" s="288"/>
      <c r="AT2" s="288"/>
      <c r="AU2" s="288"/>
      <c r="AV2" s="288"/>
      <c r="AW2" s="288"/>
      <c r="AX2" s="288"/>
      <c r="AY2" s="288"/>
      <c r="AZ2" s="288"/>
      <c r="BA2" s="288"/>
      <c r="BB2" s="288"/>
      <c r="BC2" s="288"/>
      <c r="BD2" s="289"/>
      <c r="BE2" s="286" t="s">
        <v>286</v>
      </c>
      <c r="BF2" s="278"/>
      <c r="BG2" s="278"/>
      <c r="BH2" s="278"/>
      <c r="BI2" s="278"/>
      <c r="BJ2" s="279"/>
      <c r="BK2" s="286" t="s">
        <v>223</v>
      </c>
      <c r="BL2" s="278"/>
      <c r="BM2" s="278"/>
      <c r="BN2" s="278"/>
      <c r="BO2" s="278"/>
      <c r="BP2" s="278"/>
      <c r="BQ2" s="278"/>
      <c r="BR2" s="278"/>
      <c r="BS2" s="278"/>
      <c r="BT2" s="278"/>
      <c r="BU2" s="278"/>
      <c r="BV2" s="278"/>
      <c r="BW2" s="279"/>
      <c r="BX2" s="286" t="s">
        <v>249</v>
      </c>
      <c r="BY2" s="278"/>
      <c r="BZ2" s="279"/>
      <c r="CA2" s="278" t="s">
        <v>253</v>
      </c>
      <c r="CB2" s="278"/>
      <c r="CC2" s="278"/>
      <c r="CD2" s="279"/>
    </row>
    <row r="3" spans="2:83" s="4" customFormat="1" ht="58.5" thickBot="1" x14ac:dyDescent="0.4">
      <c r="B3" s="26"/>
      <c r="C3" s="26"/>
      <c r="D3" s="81"/>
      <c r="G3" s="28" t="s">
        <v>287</v>
      </c>
      <c r="H3" s="113" t="s">
        <v>107</v>
      </c>
      <c r="I3" s="114" t="s">
        <v>121</v>
      </c>
      <c r="J3" s="114" t="s">
        <v>133</v>
      </c>
      <c r="K3" s="114" t="s">
        <v>203</v>
      </c>
      <c r="L3" s="114" t="s">
        <v>142</v>
      </c>
      <c r="M3" s="114" t="s">
        <v>150</v>
      </c>
      <c r="N3" s="114" t="s">
        <v>158</v>
      </c>
      <c r="O3" s="114" t="s">
        <v>163</v>
      </c>
      <c r="P3" s="114" t="s">
        <v>168</v>
      </c>
      <c r="Q3" s="114" t="s">
        <v>171</v>
      </c>
      <c r="R3" s="114" t="s">
        <v>174</v>
      </c>
      <c r="S3" s="114" t="s">
        <v>177</v>
      </c>
      <c r="T3" s="114" t="s">
        <v>180</v>
      </c>
      <c r="U3" s="114" t="s">
        <v>207</v>
      </c>
      <c r="V3" s="114" t="s">
        <v>183</v>
      </c>
      <c r="W3" s="114" t="s">
        <v>189</v>
      </c>
      <c r="X3" s="114" t="s">
        <v>191</v>
      </c>
      <c r="Y3" s="114" t="s">
        <v>195</v>
      </c>
      <c r="Z3" s="114" t="s">
        <v>197</v>
      </c>
      <c r="AA3" s="114" t="s">
        <v>199</v>
      </c>
      <c r="AB3" s="114" t="s">
        <v>213</v>
      </c>
      <c r="AC3" s="114" t="s">
        <v>220</v>
      </c>
      <c r="AD3" s="163" t="s">
        <v>221</v>
      </c>
      <c r="AE3" s="164" t="s">
        <v>254</v>
      </c>
      <c r="AF3" s="165" t="s">
        <v>48</v>
      </c>
      <c r="AG3" s="165" t="s">
        <v>93</v>
      </c>
      <c r="AH3" s="165" t="s">
        <v>216</v>
      </c>
      <c r="AI3" s="165" t="s">
        <v>64</v>
      </c>
      <c r="AJ3" s="165" t="s">
        <v>265</v>
      </c>
      <c r="AK3" s="165" t="s">
        <v>193</v>
      </c>
      <c r="AL3" s="165" t="s">
        <v>255</v>
      </c>
      <c r="AM3" s="165" t="s">
        <v>257</v>
      </c>
      <c r="AN3" s="165" t="s">
        <v>228</v>
      </c>
      <c r="AO3" s="165" t="s">
        <v>266</v>
      </c>
      <c r="AP3" s="165" t="s">
        <v>230</v>
      </c>
      <c r="AQ3" s="165" t="s">
        <v>267</v>
      </c>
      <c r="AR3" s="165" t="s">
        <v>233</v>
      </c>
      <c r="AS3" s="165" t="s">
        <v>239</v>
      </c>
      <c r="AT3" s="165" t="s">
        <v>259</v>
      </c>
      <c r="AU3" s="165" t="s">
        <v>268</v>
      </c>
      <c r="AV3" s="165" t="s">
        <v>201</v>
      </c>
      <c r="AW3" s="165" t="s">
        <v>260</v>
      </c>
      <c r="AX3" s="165" t="s">
        <v>262</v>
      </c>
      <c r="AY3" s="165" t="s">
        <v>79</v>
      </c>
      <c r="AZ3" s="165" t="s">
        <v>245</v>
      </c>
      <c r="BA3" s="165" t="s">
        <v>210</v>
      </c>
      <c r="BB3" s="165" t="s">
        <v>219</v>
      </c>
      <c r="BC3" s="165" t="s">
        <v>248</v>
      </c>
      <c r="BD3" s="163" t="s">
        <v>263</v>
      </c>
      <c r="BE3" s="164" t="s">
        <v>243</v>
      </c>
      <c r="BF3" s="165" t="s">
        <v>232</v>
      </c>
      <c r="BG3" s="165" t="s">
        <v>240</v>
      </c>
      <c r="BH3" s="165" t="s">
        <v>242</v>
      </c>
      <c r="BI3" s="165" t="s">
        <v>231</v>
      </c>
      <c r="BJ3" s="163" t="s">
        <v>237</v>
      </c>
      <c r="BK3" s="164" t="s">
        <v>247</v>
      </c>
      <c r="BL3" s="165" t="s">
        <v>241</v>
      </c>
      <c r="BM3" s="165" t="s">
        <v>246</v>
      </c>
      <c r="BN3" s="165" t="s">
        <v>244</v>
      </c>
      <c r="BO3" s="165" t="s">
        <v>193</v>
      </c>
      <c r="BP3" s="165" t="s">
        <v>226</v>
      </c>
      <c r="BQ3" s="165" t="s">
        <v>234</v>
      </c>
      <c r="BR3" s="165" t="s">
        <v>256</v>
      </c>
      <c r="BS3" s="165" t="s">
        <v>224</v>
      </c>
      <c r="BT3" s="165" t="s">
        <v>229</v>
      </c>
      <c r="BU3" s="165" t="s">
        <v>245</v>
      </c>
      <c r="BV3" s="165" t="s">
        <v>186</v>
      </c>
      <c r="BW3" s="163" t="s">
        <v>238</v>
      </c>
      <c r="BX3" s="164" t="s">
        <v>250</v>
      </c>
      <c r="BY3" s="165" t="s">
        <v>251</v>
      </c>
      <c r="BZ3" s="163" t="s">
        <v>252</v>
      </c>
      <c r="CA3" s="166" t="s">
        <v>258</v>
      </c>
      <c r="CB3" s="165" t="s">
        <v>236</v>
      </c>
      <c r="CC3" s="165" t="s">
        <v>261</v>
      </c>
      <c r="CD3" s="163" t="s">
        <v>264</v>
      </c>
      <c r="CE3" s="163" t="s">
        <v>200</v>
      </c>
    </row>
    <row r="4" spans="2:83" ht="29.5" thickBot="1" x14ac:dyDescent="0.4">
      <c r="B4" s="128" t="s">
        <v>288</v>
      </c>
      <c r="C4" s="128" t="s">
        <v>276</v>
      </c>
      <c r="D4" s="31" t="s">
        <v>289</v>
      </c>
      <c r="E4" s="31" t="s">
        <v>290</v>
      </c>
      <c r="F4" t="s">
        <v>291</v>
      </c>
      <c r="G4" s="76"/>
      <c r="H4" s="49" t="str">
        <f>IF(VLOOKUP(H3,Placemat!$C$7:$D$80,2,FALSE)="Yes","Yes","")</f>
        <v/>
      </c>
      <c r="I4" s="49" t="str">
        <f>IF(VLOOKUP(I3,Placemat!$C$7:$D$80,2,FALSE)="Yes","Yes","")</f>
        <v/>
      </c>
      <c r="J4" s="49" t="str">
        <f>IF(VLOOKUP(J3,Placemat!$C$7:$D$80,2,FALSE)="Yes","Yes","")</f>
        <v>Yes</v>
      </c>
      <c r="K4" s="49" t="str">
        <f>IF(VLOOKUP(K3,Placemat!$C$7:$D$80,2,FALSE)="Yes","Yes","")</f>
        <v/>
      </c>
      <c r="L4" s="49" t="str">
        <f>IF(VLOOKUP(L3,Placemat!$C$7:$D$80,2,FALSE)="Yes","Yes","")</f>
        <v/>
      </c>
      <c r="M4" s="49" t="str">
        <f>IF(VLOOKUP(M3,Placemat!$C$7:$D$80,2,FALSE)="Yes","Yes","")</f>
        <v/>
      </c>
      <c r="N4" s="49" t="str">
        <f>IF(VLOOKUP(N3,Placemat!$C$7:$D$80,2,FALSE)="Yes","Yes","")</f>
        <v/>
      </c>
      <c r="O4" s="49" t="str">
        <f>IF(VLOOKUP(O3,Placemat!$C$7:$D$80,2,FALSE)="Yes","Yes","")</f>
        <v/>
      </c>
      <c r="P4" s="49" t="str">
        <f>IF(VLOOKUP(P3,Placemat!$C$7:$D$80,2,FALSE)="Yes","Yes","")</f>
        <v/>
      </c>
      <c r="Q4" s="49" t="str">
        <f>IF(VLOOKUP(Q3,Placemat!$C$7:$D$80,2,FALSE)="Yes","Yes","")</f>
        <v/>
      </c>
      <c r="R4" s="49" t="str">
        <f>IF(VLOOKUP(R3,Placemat!$C$7:$D$80,2,FALSE)="Yes","Yes","")</f>
        <v/>
      </c>
      <c r="S4" s="49" t="str">
        <f>IF(VLOOKUP(S3,Placemat!$C$7:$D$80,2,FALSE)="Yes","Yes","")</f>
        <v/>
      </c>
      <c r="T4" s="49" t="str">
        <f>IF(VLOOKUP(T3,Placemat!$C$7:$D$80,2,FALSE)="Yes","Yes","")</f>
        <v/>
      </c>
      <c r="U4" s="49" t="str">
        <f>IF(VLOOKUP(U3,Placemat!$C$7:$D$80,2,FALSE)="Yes","Yes","")</f>
        <v/>
      </c>
      <c r="V4" s="49" t="str">
        <f>IF(VLOOKUP(V3,Placemat!$C$7:$D$80,2,FALSE)="Yes","Yes","")</f>
        <v/>
      </c>
      <c r="W4" s="49" t="str">
        <f>IF(VLOOKUP(W3,Placemat!$C$7:$D$80,2,FALSE)="Yes","Yes","")</f>
        <v/>
      </c>
      <c r="X4" s="49" t="str">
        <f>IF(VLOOKUP(X3,Placemat!$C$7:$D$80,2,FALSE)="Yes","Yes","")</f>
        <v/>
      </c>
      <c r="Y4" s="49" t="str">
        <f>IF(VLOOKUP(Y3,Placemat!$C$7:$D$80,2,FALSE)="Yes","Yes","")</f>
        <v/>
      </c>
      <c r="Z4" s="49" t="str">
        <f>IF(VLOOKUP(Z3,Placemat!$C$7:$D$80,2,FALSE)="Yes","Yes","")</f>
        <v/>
      </c>
      <c r="AA4" s="49" t="str">
        <f>IF(VLOOKUP(AA3,Placemat!$C$7:$D$80,2,FALSE)="Yes","Yes","")</f>
        <v>Yes</v>
      </c>
      <c r="AB4" s="49" t="str">
        <f>IF(VLOOKUP(AB3,Placemat!$C$7:$D$80,2,FALSE)="Yes","Yes","")</f>
        <v/>
      </c>
      <c r="AC4" s="49" t="str">
        <f>IF(VLOOKUP(AC3,Placemat!$C$7:$D$80,2,FALSE)="Yes","Yes","")</f>
        <v/>
      </c>
      <c r="AD4" s="49" t="str">
        <f>IF(VLOOKUP(AD3,Placemat!$C$7:$D$80,2,FALSE)="Yes","Yes","")</f>
        <v/>
      </c>
      <c r="AE4" s="49" t="str">
        <f>IF(VLOOKUP(AE3,Placemat!$C$7:$D$80,2,FALSE)="Yes","Yes","")</f>
        <v/>
      </c>
      <c r="AF4" s="49" t="str">
        <f>IF(VLOOKUP(AF3,Placemat!$C$7:$D$80,2,FALSE)="Yes","Yes","")</f>
        <v/>
      </c>
      <c r="AG4" s="49" t="str">
        <f>IF(VLOOKUP(AG3,Placemat!$C$7:$D$80,2,FALSE)="Yes","Yes","")</f>
        <v/>
      </c>
      <c r="AH4" s="49" t="str">
        <f>IF(VLOOKUP(AH3,Placemat!$C$7:$D$80,2,FALSE)="Yes","Yes","")</f>
        <v/>
      </c>
      <c r="AI4" s="49" t="str">
        <f>IF(VLOOKUP(AI3,Placemat!$C$7:$D$80,2,FALSE)="Yes","Yes","")</f>
        <v/>
      </c>
      <c r="AJ4" s="49" t="str">
        <f>IF(VLOOKUP(AJ3,Placemat!$C$7:$D$80,2,FALSE)="Yes","Yes","")</f>
        <v/>
      </c>
      <c r="AK4" s="49" t="str">
        <f>IF(VLOOKUP(AK3,Placemat!$C$7:$D$80,2,FALSE)="Yes","Yes","")</f>
        <v/>
      </c>
      <c r="AL4" s="49" t="str">
        <f>IF(VLOOKUP(AL3,Placemat!$C$7:$D$80,2,FALSE)="Yes","Yes","")</f>
        <v/>
      </c>
      <c r="AM4" s="49" t="str">
        <f>IF(VLOOKUP(AM3,Placemat!$C$7:$D$80,2,FALSE)="Yes","Yes","")</f>
        <v/>
      </c>
      <c r="AN4" s="49" t="str">
        <f>IF(VLOOKUP(AN3,Placemat!$C$7:$D$80,2,FALSE)="Yes","Yes","")</f>
        <v/>
      </c>
      <c r="AO4" s="49" t="str">
        <f>IF(VLOOKUP(AO3,Placemat!$C$7:$D$80,2,FALSE)="Yes","Yes","")</f>
        <v/>
      </c>
      <c r="AP4" s="49" t="str">
        <f>IF(VLOOKUP(AP3,Placemat!$C$7:$D$80,2,FALSE)="Yes","Yes","")</f>
        <v/>
      </c>
      <c r="AQ4" s="49" t="str">
        <f>IF(VLOOKUP(AQ3,Placemat!$C$7:$D$80,2,FALSE)="Yes","Yes","")</f>
        <v/>
      </c>
      <c r="AR4" s="49" t="str">
        <f>IF(VLOOKUP(AR3,Placemat!$C$7:$D$80,2,FALSE)="Yes","Yes","")</f>
        <v/>
      </c>
      <c r="AS4" s="49" t="str">
        <f>IF(VLOOKUP(AS3,Placemat!$C$7:$D$80,2,FALSE)="Yes","Yes","")</f>
        <v/>
      </c>
      <c r="AT4" s="49" t="str">
        <f>IF(VLOOKUP(AT3,Placemat!$C$7:$D$80,2,FALSE)="Yes","Yes","")</f>
        <v/>
      </c>
      <c r="AU4" s="49" t="str">
        <f>IF(VLOOKUP(AU3,Placemat!$C$7:$D$80,2,FALSE)="Yes","Yes","")</f>
        <v/>
      </c>
      <c r="AV4" s="49" t="str">
        <f>IF(VLOOKUP(AV3,Placemat!$C$7:$D$80,2,FALSE)="Yes","Yes","")</f>
        <v/>
      </c>
      <c r="AW4" s="49" t="str">
        <f>IF(VLOOKUP(AW3,Placemat!$C$7:$D$80,2,FALSE)="Yes","Yes","")</f>
        <v/>
      </c>
      <c r="AX4" s="49" t="str">
        <f>IF(VLOOKUP(AX3,Placemat!$C$7:$D$80,2,FALSE)="Yes","Yes","")</f>
        <v/>
      </c>
      <c r="AY4" s="49" t="str">
        <f>IF(VLOOKUP(AY3,Placemat!$C$7:$D$80,2,FALSE)="Yes","Yes","")</f>
        <v/>
      </c>
      <c r="AZ4" s="49" t="str">
        <f>IF(VLOOKUP(AZ3,Placemat!$C$7:$D$80,2,FALSE)="Yes","Yes","")</f>
        <v/>
      </c>
      <c r="BA4" s="49" t="str">
        <f>IF(VLOOKUP(BA3,Placemat!$C$7:$D$80,2,FALSE)="Yes","Yes","")</f>
        <v/>
      </c>
      <c r="BB4" s="49" t="str">
        <f>IF(VLOOKUP(BB3,Placemat!$C$7:$D$80,2,FALSE)="Yes","Yes","")</f>
        <v/>
      </c>
      <c r="BC4" s="49" t="str">
        <f>IF(VLOOKUP(BC3,Placemat!$C$7:$D$80,2,FALSE)="Yes","Yes","")</f>
        <v/>
      </c>
      <c r="BD4" s="49" t="str">
        <f>IF(VLOOKUP(BD3,Placemat!$C$7:$D$80,2,FALSE)="Yes","Yes","")</f>
        <v/>
      </c>
      <c r="BE4" s="49" t="str">
        <f>IF(VLOOKUP(BE3,Placemat!$C$7:$D$80,2,FALSE)="Yes","Yes","")</f>
        <v/>
      </c>
      <c r="BF4" s="49" t="str">
        <f>IF(VLOOKUP(BF3,Placemat!$C$7:$D$80,2,FALSE)="Yes","Yes","")</f>
        <v/>
      </c>
      <c r="BG4" s="49" t="str">
        <f>IF(VLOOKUP(BG3,Placemat!$C$7:$D$80,2,FALSE)="Yes","Yes","")</f>
        <v/>
      </c>
      <c r="BH4" s="49" t="str">
        <f>IF(VLOOKUP(BH3,Placemat!$C$7:$D$80,2,FALSE)="Yes","Yes","")</f>
        <v/>
      </c>
      <c r="BI4" s="49" t="str">
        <f>IF(VLOOKUP(BI3,Placemat!$C$7:$D$80,2,FALSE)="Yes","Yes","")</f>
        <v/>
      </c>
      <c r="BJ4" s="49" t="str">
        <f>IF(VLOOKUP(BJ3,Placemat!$C$7:$D$80,2,FALSE)="Yes","Yes","")</f>
        <v/>
      </c>
      <c r="BK4" s="49" t="str">
        <f>IF(VLOOKUP(BK3,Placemat!$C$7:$D$80,2,FALSE)="Yes","Yes","")</f>
        <v/>
      </c>
      <c r="BL4" s="49" t="str">
        <f>IF(VLOOKUP(BL3,Placemat!$C$7:$D$80,2,FALSE)="Yes","Yes","")</f>
        <v/>
      </c>
      <c r="BM4" s="49" t="str">
        <f>IF(VLOOKUP(BM3,Placemat!$C$7:$D$80,2,FALSE)="Yes","Yes","")</f>
        <v/>
      </c>
      <c r="BN4" s="49" t="str">
        <f>IF(VLOOKUP(BN3,Placemat!$C$7:$D$80,2,FALSE)="Yes","Yes","")</f>
        <v/>
      </c>
      <c r="BO4" s="49" t="str">
        <f>IF(VLOOKUP(BO3,Placemat!$C$7:$D$80,2,FALSE)="Yes","Yes","")</f>
        <v/>
      </c>
      <c r="BP4" s="49" t="str">
        <f>IF(VLOOKUP(BP3,Placemat!$C$7:$D$80,2,FALSE)="Yes","Yes","")</f>
        <v/>
      </c>
      <c r="BQ4" s="49" t="str">
        <f>IF(VLOOKUP(BQ3,Placemat!$C$7:$D$80,2,FALSE)="Yes","Yes","")</f>
        <v/>
      </c>
      <c r="BR4" s="49" t="str">
        <f>IF(VLOOKUP(BR3,Placemat!$C$7:$D$80,2,FALSE)="Yes","Yes","")</f>
        <v/>
      </c>
      <c r="BS4" s="49" t="str">
        <f>IF(VLOOKUP(BS3,Placemat!$C$7:$D$80,2,FALSE)="Yes","Yes","")</f>
        <v/>
      </c>
      <c r="BT4" s="49" t="str">
        <f>IF(VLOOKUP(BT3,Placemat!$C$7:$D$80,2,FALSE)="Yes","Yes","")</f>
        <v/>
      </c>
      <c r="BU4" s="49" t="str">
        <f>IF(VLOOKUP(BU3,Placemat!$C$7:$D$80,2,FALSE)="Yes","Yes","")</f>
        <v/>
      </c>
      <c r="BV4" s="49" t="str">
        <f>IF(VLOOKUP(BV3,Placemat!$C$7:$D$80,2,FALSE)="Yes","Yes","")</f>
        <v/>
      </c>
      <c r="BW4" s="49" t="str">
        <f>IF(VLOOKUP(BW3,Placemat!$C$7:$D$80,2,FALSE)="Yes","Yes","")</f>
        <v/>
      </c>
      <c r="BX4" s="49" t="str">
        <f>IF(VLOOKUP(BX3,Placemat!$C$7:$D$80,2,FALSE)="Yes","Yes","")</f>
        <v/>
      </c>
      <c r="BY4" s="49" t="str">
        <f>IF(VLOOKUP(BY3,Placemat!$C$7:$D$80,2,FALSE)="Yes","Yes","")</f>
        <v/>
      </c>
      <c r="BZ4" s="49" t="str">
        <f>IF(VLOOKUP(BZ3,Placemat!$C$7:$D$80,2,FALSE)="Yes","Yes","")</f>
        <v/>
      </c>
      <c r="CA4" s="49" t="str">
        <f>IF(VLOOKUP(CA3,Placemat!$C$7:$D$80,2,FALSE)="Yes","Yes","")</f>
        <v/>
      </c>
      <c r="CB4" s="49" t="str">
        <f>IF(VLOOKUP(CB3,Placemat!$C$7:$D$80,2,FALSE)="Yes","Yes","")</f>
        <v/>
      </c>
      <c r="CC4" s="49" t="str">
        <f>IF(VLOOKUP(CC3,Placemat!$C$7:$D$80,2,FALSE)="Yes","Yes","")</f>
        <v/>
      </c>
      <c r="CD4" s="49" t="str">
        <f>IF(VLOOKUP(CD3,Placemat!$C$7:$D$80,2,FALSE)="Yes","Yes","")</f>
        <v/>
      </c>
      <c r="CE4" s="49" t="str">
        <f>IF(VLOOKUP(CE3,Placemat!$C$7:$D$80,2,FALSE)="Yes","Yes","")</f>
        <v/>
      </c>
    </row>
    <row r="5" spans="2:83" x14ac:dyDescent="0.35">
      <c r="B5" s="20" t="s">
        <v>292</v>
      </c>
      <c r="C5" s="126" t="str">
        <f>VLOOKUP(B5,List!$E$2:$G$173,2,FALSE)</f>
        <v>AC.L1-3.1.1</v>
      </c>
      <c r="D5" s="31" t="str">
        <f>List!G3</f>
        <v>Shared Coverage</v>
      </c>
      <c r="E5" s="31" t="str">
        <f>IF(Placemat!$F$4="All Practices","All Practices",IF(VLOOKUP(B5,Table7[#All],6,FALSE)="No Mapping","New CMMC Practices","Practices with NIST 800-171 Mappings"))</f>
        <v>Practices with NIST 800-171 Mappings</v>
      </c>
      <c r="F5" t="str">
        <f>INDEX('CMMC Levels'!$A$1:$F$172,MATCH('Selection Pane Data'!$C5,'CMMC Levels'!$A$1:$A$172,0),MATCH(Placemat!$F$4,'CMMC Levels'!$A$1:$F$1,0))</f>
        <v>X</v>
      </c>
      <c r="G5" s="77" t="str">
        <f>IF((COUNTIF(List!H3:CE3,"P")+COUNTIF(List!H3:CE3,"S"))=0,"N",IF(COUNTIF(H5:CE5,"P"),"P",IF(COUNTIF(H5:CE5,"S"),"S","U")))</f>
        <v>U</v>
      </c>
      <c r="H5" s="13" t="str">
        <f>IF(H$4="Yes",INDEX(List!$E$2:$CD$173,MATCH('Selection Pane Data'!$B5,List!$E$2:$E$173,0),MATCH('Selection Pane Data'!H$3,List!$E$2:$CD$2,0)),"")</f>
        <v/>
      </c>
      <c r="I5" s="13" t="str">
        <f>IF(I$4="Yes",INDEX(List!$E$2:$CD$173,MATCH('Selection Pane Data'!$B5,List!$E$2:$E$173,0),MATCH('Selection Pane Data'!I$3,List!$E$2:$CD$2,0)),"")</f>
        <v/>
      </c>
      <c r="J5" s="13" t="str">
        <f>IF(J$4="Yes",INDEX(List!$E$2:$CD$173,MATCH('Selection Pane Data'!$B5,List!$E$2:$E$173,0),MATCH('Selection Pane Data'!J$3,List!$E$2:$CD$2,0)),"")</f>
        <v>N</v>
      </c>
      <c r="K5" s="13" t="str">
        <f>IF(K$4="Yes",INDEX(List!$E$2:$CD$173,MATCH('Selection Pane Data'!$B5,List!$E$2:$E$173,0),MATCH('Selection Pane Data'!K$3,List!$E$2:$CD$2,0)),"")</f>
        <v/>
      </c>
      <c r="L5" s="13" t="str">
        <f>IF(L$4="Yes",INDEX(List!$E$2:$CD$173,MATCH('Selection Pane Data'!$B5,List!$E$2:$E$173,0),MATCH('Selection Pane Data'!L$3,List!$E$2:$CD$2,0)),"")</f>
        <v/>
      </c>
      <c r="M5" s="13" t="str">
        <f>IF(M$4="Yes",INDEX(List!$E$2:$CD$173,MATCH('Selection Pane Data'!$B5,List!$E$2:$E$173,0),MATCH('Selection Pane Data'!M$3,List!$E$2:$CD$2,0)),"")</f>
        <v/>
      </c>
      <c r="N5" s="13" t="str">
        <f>IF(N$4="Yes",INDEX(List!$E$2:$CD$173,MATCH('Selection Pane Data'!$B5,List!$E$2:$E$173,0),MATCH('Selection Pane Data'!N$3,List!$E$2:$CD$2,0)),"")</f>
        <v/>
      </c>
      <c r="O5" s="13" t="str">
        <f>IF(O$4="Yes",INDEX(List!$E$2:$CD$173,MATCH('Selection Pane Data'!$B5,List!$E$2:$E$173,0),MATCH('Selection Pane Data'!O$3,List!$E$2:$CD$2,0)),"")</f>
        <v/>
      </c>
      <c r="P5" s="13" t="str">
        <f>IF(P$4="Yes",INDEX(List!$E$2:$CD$173,MATCH('Selection Pane Data'!$B5,List!$E$2:$E$173,0),MATCH('Selection Pane Data'!P$3,List!$E$2:$CD$2,0)),"")</f>
        <v/>
      </c>
      <c r="Q5" s="13" t="str">
        <f>IF(Q$4="Yes",INDEX(List!$E$2:$CD$173,MATCH('Selection Pane Data'!$B5,List!$E$2:$E$173,0),MATCH('Selection Pane Data'!Q$3,List!$E$2:$CD$2,0)),"")</f>
        <v/>
      </c>
      <c r="R5" s="13" t="str">
        <f>IF(R$4="Yes",INDEX(List!$E$2:$CD$173,MATCH('Selection Pane Data'!$B5,List!$E$2:$E$173,0),MATCH('Selection Pane Data'!R$3,List!$E$2:$CD$2,0)),"")</f>
        <v/>
      </c>
      <c r="S5" s="13" t="str">
        <f>IF(S$4="Yes",INDEX(List!$E$2:$CD$173,MATCH('Selection Pane Data'!$B5,List!$E$2:$E$173,0),MATCH('Selection Pane Data'!S$3,List!$E$2:$CD$2,0)),"")</f>
        <v/>
      </c>
      <c r="T5" s="13" t="str">
        <f>IF(T$4="Yes",INDEX(List!$E$2:$CD$173,MATCH('Selection Pane Data'!$B5,List!$E$2:$E$173,0),MATCH('Selection Pane Data'!T$3,List!$E$2:$CD$2,0)),"")</f>
        <v/>
      </c>
      <c r="U5" s="13" t="str">
        <f>IF(U$4="Yes",INDEX(List!$E$2:$CD$173,MATCH('Selection Pane Data'!$B5,List!$E$2:$E$173,0),MATCH('Selection Pane Data'!U$3,List!$E$2:$CD$2,0)),"")</f>
        <v/>
      </c>
      <c r="V5" s="13" t="str">
        <f>IF(V$4="Yes",INDEX(List!$E$2:$CD$173,MATCH('Selection Pane Data'!$B5,List!$E$2:$E$173,0),MATCH('Selection Pane Data'!V$3,List!$E$2:$CD$2,0)),"")</f>
        <v/>
      </c>
      <c r="W5" s="13" t="str">
        <f>IF(W$4="Yes",INDEX(List!$E$2:$CD$173,MATCH('Selection Pane Data'!$B5,List!$E$2:$E$173,0),MATCH('Selection Pane Data'!W$3,List!$E$2:$CD$2,0)),"")</f>
        <v/>
      </c>
      <c r="X5" s="13" t="str">
        <f>IF(X$4="Yes",INDEX(List!$E$2:$CD$173,MATCH('Selection Pane Data'!$B5,List!$E$2:$E$173,0),MATCH('Selection Pane Data'!X$3,List!$E$2:$CD$2,0)),"")</f>
        <v/>
      </c>
      <c r="Y5" s="13" t="str">
        <f>IF(Y$4="Yes",INDEX(List!$E$2:$CD$173,MATCH('Selection Pane Data'!$B5,List!$E$2:$E$173,0),MATCH('Selection Pane Data'!Y$3,List!$E$2:$CD$2,0)),"")</f>
        <v/>
      </c>
      <c r="Z5" s="13" t="str">
        <f>IF(Z$4="Yes",INDEX(List!$E$2:$CD$173,MATCH('Selection Pane Data'!$B5,List!$E$2:$E$173,0),MATCH('Selection Pane Data'!Z$3,List!$E$2:$CD$2,0)),"")</f>
        <v/>
      </c>
      <c r="AA5" s="13" t="str">
        <f>IF(AA$4="Yes",INDEX(List!$E$2:$CD$173,MATCH('Selection Pane Data'!$B5,List!$E$2:$E$173,0),MATCH('Selection Pane Data'!AA$3,List!$E$2:$CD$2,0)),"")</f>
        <v>N</v>
      </c>
      <c r="AB5" s="13" t="str">
        <f>IF(AB$4="Yes",INDEX(List!$E$2:$CD$173,MATCH('Selection Pane Data'!$B5,List!$E$2:$E$173,0),MATCH('Selection Pane Data'!AB$3,List!$E$2:$CD$2,0)),"")</f>
        <v/>
      </c>
      <c r="AC5" s="13" t="str">
        <f>IF(AC$4="Yes",INDEX(List!$E$2:$CD$173,MATCH('Selection Pane Data'!$B5,List!$E$2:$E$173,0),MATCH('Selection Pane Data'!AC$3,List!$E$2:$CD$2,0)),"")</f>
        <v/>
      </c>
      <c r="AD5" s="13" t="str">
        <f>IF(AD$4="Yes",INDEX(List!$E$2:$CD$173,MATCH('Selection Pane Data'!$B5,List!$E$2:$E$173,0),MATCH('Selection Pane Data'!AD$3,List!$E$2:$CD$2,0)),"")</f>
        <v/>
      </c>
      <c r="AE5" s="13" t="str">
        <f>IF(AE$4="Yes",INDEX(List!$E$2:$CD$173,MATCH('Selection Pane Data'!$B5,List!$E$2:$E$173,0),MATCH('Selection Pane Data'!AE$3,List!$E$2:$CD$2,0)),"")</f>
        <v/>
      </c>
      <c r="AF5" s="13" t="str">
        <f>IF(AF$4="Yes",INDEX(List!$E$2:$CD$173,MATCH('Selection Pane Data'!$B5,List!$E$2:$E$173,0),MATCH('Selection Pane Data'!AF$3,List!$E$2:$CD$2,0)),"")</f>
        <v/>
      </c>
      <c r="AG5" s="13" t="str">
        <f>IF(AG$4="Yes",INDEX(List!$E$2:$CD$173,MATCH('Selection Pane Data'!$B5,List!$E$2:$E$173,0),MATCH('Selection Pane Data'!AG$3,List!$E$2:$CD$2,0)),"")</f>
        <v/>
      </c>
      <c r="AH5" s="13" t="str">
        <f>IF(AH$4="Yes",INDEX(List!$E$2:$CD$173,MATCH('Selection Pane Data'!$B5,List!$E$2:$E$173,0),MATCH('Selection Pane Data'!AH$3,List!$E$2:$CD$2,0)),"")</f>
        <v/>
      </c>
      <c r="AI5" s="13" t="str">
        <f>IF(AI$4="Yes",INDEX(List!$E$2:$CD$173,MATCH('Selection Pane Data'!$B5,List!$E$2:$E$173,0),MATCH('Selection Pane Data'!AI$3,List!$E$2:$CD$2,0)),"")</f>
        <v/>
      </c>
      <c r="AJ5" s="13" t="str">
        <f>IF(AJ$4="Yes",INDEX(List!$E$2:$CD$173,MATCH('Selection Pane Data'!$B5,List!$E$2:$E$173,0),MATCH('Selection Pane Data'!AJ$3,List!$E$2:$CD$2,0)),"")</f>
        <v/>
      </c>
      <c r="AK5" s="13" t="str">
        <f>IF(AK$4="Yes",INDEX(List!$E$2:$CD$173,MATCH('Selection Pane Data'!$B5,List!$E$2:$E$173,0),MATCH('Selection Pane Data'!AK$3,List!$E$2:$CD$2,0)),"")</f>
        <v/>
      </c>
      <c r="AL5" s="13" t="str">
        <f>IF(AL$4="Yes",INDEX(List!$E$2:$CD$173,MATCH('Selection Pane Data'!$B5,List!$E$2:$E$173,0),MATCH('Selection Pane Data'!AL$3,List!$E$2:$CD$2,0)),"")</f>
        <v/>
      </c>
      <c r="AM5" s="13" t="str">
        <f>IF(AM$4="Yes",INDEX(List!$E$2:$CD$173,MATCH('Selection Pane Data'!$B5,List!$E$2:$E$173,0),MATCH('Selection Pane Data'!AM$3,List!$E$2:$CD$2,0)),"")</f>
        <v/>
      </c>
      <c r="AN5" s="13" t="str">
        <f>IF(AN$4="Yes",INDEX(List!$E$2:$CD$173,MATCH('Selection Pane Data'!$B5,List!$E$2:$E$173,0),MATCH('Selection Pane Data'!AN$3,List!$E$2:$CD$2,0)),"")</f>
        <v/>
      </c>
      <c r="AO5" s="13" t="str">
        <f>IF(AO$4="Yes",INDEX(List!$E$2:$CD$173,MATCH('Selection Pane Data'!$B5,List!$E$2:$E$173,0),MATCH('Selection Pane Data'!AO$3,List!$E$2:$CD$2,0)),"")</f>
        <v/>
      </c>
      <c r="AP5" s="13" t="str">
        <f>IF(AP$4="Yes",INDEX(List!$E$2:$CD$173,MATCH('Selection Pane Data'!$B5,List!$E$2:$E$173,0),MATCH('Selection Pane Data'!AP$3,List!$E$2:$CD$2,0)),"")</f>
        <v/>
      </c>
      <c r="AQ5" s="13" t="str">
        <f>IF(AQ$4="Yes",INDEX(List!$E$2:$CD$173,MATCH('Selection Pane Data'!$B5,List!$E$2:$E$173,0),MATCH('Selection Pane Data'!AQ$3,List!$E$2:$CD$2,0)),"")</f>
        <v/>
      </c>
      <c r="AR5" s="13" t="str">
        <f>IF(AR$4="Yes",INDEX(List!$E$2:$CD$173,MATCH('Selection Pane Data'!$B5,List!$E$2:$E$173,0),MATCH('Selection Pane Data'!AR$3,List!$E$2:$CD$2,0)),"")</f>
        <v/>
      </c>
      <c r="AS5" s="13" t="str">
        <f>IF(AS$4="Yes",INDEX(List!$E$2:$CD$173,MATCH('Selection Pane Data'!$B5,List!$E$2:$E$173,0),MATCH('Selection Pane Data'!AS$3,List!$E$2:$CD$2,0)),"")</f>
        <v/>
      </c>
      <c r="AT5" s="13" t="str">
        <f>IF(AT$4="Yes",INDEX(List!$E$2:$CD$173,MATCH('Selection Pane Data'!$B5,List!$E$2:$E$173,0),MATCH('Selection Pane Data'!AT$3,List!$E$2:$CD$2,0)),"")</f>
        <v/>
      </c>
      <c r="AU5" s="13" t="str">
        <f>IF(AU$4="Yes",INDEX(List!$E$2:$CD$173,MATCH('Selection Pane Data'!$B5,List!$E$2:$E$173,0),MATCH('Selection Pane Data'!AU$3,List!$E$2:$CD$2,0)),"")</f>
        <v/>
      </c>
      <c r="AV5" s="13" t="str">
        <f>IF(AV$4="Yes",INDEX(List!$E$2:$CD$173,MATCH('Selection Pane Data'!$B5,List!$E$2:$E$173,0),MATCH('Selection Pane Data'!AV$3,List!$E$2:$CD$2,0)),"")</f>
        <v/>
      </c>
      <c r="AW5" s="13" t="str">
        <f>IF(AW$4="Yes",INDEX(List!$E$2:$CD$173,MATCH('Selection Pane Data'!$B5,List!$E$2:$E$173,0),MATCH('Selection Pane Data'!AW$3,List!$E$2:$CD$2,0)),"")</f>
        <v/>
      </c>
      <c r="AX5" s="13" t="str">
        <f>IF(AX$4="Yes",INDEX(List!$E$2:$CD$173,MATCH('Selection Pane Data'!$B5,List!$E$2:$E$173,0),MATCH('Selection Pane Data'!AX$3,List!$E$2:$CD$2,0)),"")</f>
        <v/>
      </c>
      <c r="AY5" s="13" t="str">
        <f>IF(AY$4="Yes",INDEX(List!$E$2:$CD$173,MATCH('Selection Pane Data'!$B5,List!$E$2:$E$173,0),MATCH('Selection Pane Data'!AY$3,List!$E$2:$CD$2,0)),"")</f>
        <v/>
      </c>
      <c r="AZ5" s="13" t="str">
        <f>IF(AZ$4="Yes",INDEX(List!$E$2:$CD$173,MATCH('Selection Pane Data'!$B5,List!$E$2:$E$173,0),MATCH('Selection Pane Data'!AZ$3,List!$E$2:$CD$2,0)),"")</f>
        <v/>
      </c>
      <c r="BA5" s="13" t="str">
        <f>IF(BA$4="Yes",INDEX(List!$E$2:$CD$173,MATCH('Selection Pane Data'!$B5,List!$E$2:$E$173,0),MATCH('Selection Pane Data'!BA$3,List!$E$2:$CD$2,0)),"")</f>
        <v/>
      </c>
      <c r="BB5" s="13" t="str">
        <f>IF(BB$4="Yes",INDEX(List!$E$2:$CD$173,MATCH('Selection Pane Data'!$B5,List!$E$2:$E$173,0),MATCH('Selection Pane Data'!BB$3,List!$E$2:$CD$2,0)),"")</f>
        <v/>
      </c>
      <c r="BC5" s="13" t="str">
        <f>IF(BC$4="Yes",INDEX(List!$E$2:$CD$173,MATCH('Selection Pane Data'!$B5,List!$E$2:$E$173,0),MATCH('Selection Pane Data'!BC$3,List!$E$2:$CD$2,0)),"")</f>
        <v/>
      </c>
      <c r="BD5" s="13" t="str">
        <f>IF(BD$4="Yes",INDEX(List!$E$2:$CD$173,MATCH('Selection Pane Data'!$B5,List!$E$2:$E$173,0),MATCH('Selection Pane Data'!BD$3,List!$E$2:$CD$2,0)),"")</f>
        <v/>
      </c>
      <c r="BE5" s="13" t="str">
        <f>IF(BE$4="Yes",INDEX(List!$E$2:$CD$173,MATCH('Selection Pane Data'!$B5,List!$E$2:$E$173,0),MATCH('Selection Pane Data'!BE$3,List!$E$2:$CD$2,0)),"")</f>
        <v/>
      </c>
      <c r="BF5" s="13" t="str">
        <f>IF(BF$4="Yes",INDEX(List!$E$2:$CD$173,MATCH('Selection Pane Data'!$B5,List!$E$2:$E$173,0),MATCH('Selection Pane Data'!BF$3,List!$E$2:$CD$2,0)),"")</f>
        <v/>
      </c>
      <c r="BG5" s="13" t="str">
        <f>IF(BG$4="Yes",INDEX(List!$E$2:$CD$173,MATCH('Selection Pane Data'!$B5,List!$E$2:$E$173,0),MATCH('Selection Pane Data'!BG$3,List!$E$2:$CD$2,0)),"")</f>
        <v/>
      </c>
      <c r="BH5" s="13" t="str">
        <f>IF(BH$4="Yes",INDEX(List!$E$2:$CD$173,MATCH('Selection Pane Data'!$B5,List!$E$2:$E$173,0),MATCH('Selection Pane Data'!BH$3,List!$E$2:$CD$2,0)),"")</f>
        <v/>
      </c>
      <c r="BI5" s="13" t="str">
        <f>IF(BI$4="Yes",INDEX(List!$E$2:$CD$173,MATCH('Selection Pane Data'!$B5,List!$E$2:$E$173,0),MATCH('Selection Pane Data'!BI$3,List!$E$2:$CD$2,0)),"")</f>
        <v/>
      </c>
      <c r="BJ5" s="13" t="str">
        <f>IF(BJ$4="Yes",INDEX(List!$E$2:$CD$173,MATCH('Selection Pane Data'!$B5,List!$E$2:$E$173,0),MATCH('Selection Pane Data'!BJ$3,List!$E$2:$CD$2,0)),"")</f>
        <v/>
      </c>
      <c r="BK5" s="13" t="str">
        <f>IF(BK$4="Yes",INDEX(List!$E$2:$CD$173,MATCH('Selection Pane Data'!$B5,List!$E$2:$E$173,0),MATCH('Selection Pane Data'!BK$3,List!$E$2:$CD$2,0)),"")</f>
        <v/>
      </c>
      <c r="BL5" s="13" t="str">
        <f>IF(BL$4="Yes",INDEX(List!$E$2:$CD$173,MATCH('Selection Pane Data'!$B5,List!$E$2:$E$173,0),MATCH('Selection Pane Data'!BL$3,List!$E$2:$CD$2,0)),"")</f>
        <v/>
      </c>
      <c r="BM5" s="13" t="str">
        <f>IF(BM$4="Yes",INDEX(List!$E$2:$CD$173,MATCH('Selection Pane Data'!$B5,List!$E$2:$E$173,0),MATCH('Selection Pane Data'!BM$3,List!$E$2:$CD$2,0)),"")</f>
        <v/>
      </c>
      <c r="BN5" s="13" t="str">
        <f>IF(BN$4="Yes",INDEX(List!$E$2:$CD$173,MATCH('Selection Pane Data'!$B5,List!$E$2:$E$173,0),MATCH('Selection Pane Data'!BN$3,List!$E$2:$CD$2,0)),"")</f>
        <v/>
      </c>
      <c r="BO5" s="13" t="str">
        <f>IF(BO$4="Yes",INDEX(List!$E$2:$CD$173,MATCH('Selection Pane Data'!$B5,List!$E$2:$E$173,0),MATCH('Selection Pane Data'!BO$3,List!$E$2:$CD$2,0)),"")</f>
        <v/>
      </c>
      <c r="BP5" s="13" t="str">
        <f>IF(BP$4="Yes",INDEX(List!$E$2:$CD$173,MATCH('Selection Pane Data'!$B5,List!$E$2:$E$173,0),MATCH('Selection Pane Data'!BP$3,List!$E$2:$CD$2,0)),"")</f>
        <v/>
      </c>
      <c r="BQ5" s="13" t="str">
        <f>IF(BQ$4="Yes",INDEX(List!$E$2:$CD$173,MATCH('Selection Pane Data'!$B5,List!$E$2:$E$173,0),MATCH('Selection Pane Data'!BQ$3,List!$E$2:$CD$2,0)),"")</f>
        <v/>
      </c>
      <c r="BR5" s="13" t="str">
        <f>IF(BR$4="Yes",INDEX(List!$E$2:$CD$173,MATCH('Selection Pane Data'!$B5,List!$E$2:$E$173,0),MATCH('Selection Pane Data'!BR$3,List!$E$2:$CD$2,0)),"")</f>
        <v/>
      </c>
      <c r="BS5" s="13" t="str">
        <f>IF(BS$4="Yes",INDEX(List!$E$2:$CD$173,MATCH('Selection Pane Data'!$B5,List!$E$2:$E$173,0),MATCH('Selection Pane Data'!BS$3,List!$E$2:$CD$2,0)),"")</f>
        <v/>
      </c>
      <c r="BT5" s="13" t="str">
        <f>IF(BT$4="Yes",INDEX(List!$E$2:$CD$173,MATCH('Selection Pane Data'!$B5,List!$E$2:$E$173,0),MATCH('Selection Pane Data'!BT$3,List!$E$2:$CD$2,0)),"")</f>
        <v/>
      </c>
      <c r="BU5" s="13" t="str">
        <f>IF(BU$4="Yes",INDEX(List!$E$2:$CD$173,MATCH('Selection Pane Data'!$B5,List!$E$2:$E$173,0),MATCH('Selection Pane Data'!BU$3,List!$E$2:$CD$2,0)),"")</f>
        <v/>
      </c>
      <c r="BV5" s="13" t="str">
        <f>IF(BV$4="Yes",INDEX(List!$E$2:$CD$173,MATCH('Selection Pane Data'!$B5,List!$E$2:$E$173,0),MATCH('Selection Pane Data'!BV$3,List!$E$2:$CD$2,0)),"")</f>
        <v/>
      </c>
      <c r="BW5" s="13" t="str">
        <f>IF(BW$4="Yes",INDEX(List!$E$2:$CD$173,MATCH('Selection Pane Data'!$B5,List!$E$2:$E$173,0),MATCH('Selection Pane Data'!BW$3,List!$E$2:$CD$2,0)),"")</f>
        <v/>
      </c>
      <c r="BX5" s="13" t="str">
        <f>IF(BX$4="Yes",INDEX(List!$E$2:$CD$173,MATCH('Selection Pane Data'!$B5,List!$E$2:$E$173,0),MATCH('Selection Pane Data'!BX$3,List!$E$2:$CD$2,0)),"")</f>
        <v/>
      </c>
      <c r="BY5" s="13" t="str">
        <f>IF(BY$4="Yes",INDEX(List!$E$2:$CD$173,MATCH('Selection Pane Data'!$B5,List!$E$2:$E$173,0),MATCH('Selection Pane Data'!BY$3,List!$E$2:$CD$2,0)),"")</f>
        <v/>
      </c>
      <c r="BZ5" s="13" t="str">
        <f>IF(BZ$4="Yes",INDEX(List!$E$2:$CD$173,MATCH('Selection Pane Data'!$B5,List!$E$2:$E$173,0),MATCH('Selection Pane Data'!BZ$3,List!$E$2:$CD$2,0)),"")</f>
        <v/>
      </c>
      <c r="CA5" s="13" t="str">
        <f>IF(CA$4="Yes",INDEX(List!$E$2:$CD$173,MATCH('Selection Pane Data'!$B5,List!$E$2:$E$173,0),MATCH('Selection Pane Data'!CA$3,List!$E$2:$CD$2,0)),"")</f>
        <v/>
      </c>
      <c r="CB5" s="13" t="str">
        <f>IF(CB$4="Yes",INDEX(List!$E$2:$CD$173,MATCH('Selection Pane Data'!$B5,List!$E$2:$E$173,0),MATCH('Selection Pane Data'!CB$3,List!$E$2:$CD$2,0)),"")</f>
        <v/>
      </c>
      <c r="CC5" s="13" t="str">
        <f>IF(CC$4="Yes",INDEX(List!$E$2:$CD$173,MATCH('Selection Pane Data'!$B5,List!$E$2:$E$173,0),MATCH('Selection Pane Data'!CC$3,List!$E$2:$CD$2,0)),"")</f>
        <v/>
      </c>
      <c r="CD5" s="13" t="str">
        <f>IF(CD$4="Yes",INDEX(List!$E$2:$CD$173,MATCH('Selection Pane Data'!$B5,List!$E$2:$E$173,0),MATCH('Selection Pane Data'!CD$3,List!$E$2:$CD$2,0)),"")</f>
        <v/>
      </c>
      <c r="CE5" s="13" t="str">
        <f>IF(CE$4="Yes",INDEX(List!$E$2:$CD$173,MATCH('Selection Pane Data'!$B5,List!$E$2:$E$173,0),MATCH('Selection Pane Data'!CE$3,List!$E$2:$CD$2,0)),"")</f>
        <v/>
      </c>
    </row>
    <row r="6" spans="2:83" x14ac:dyDescent="0.35">
      <c r="B6" s="21" t="s">
        <v>293</v>
      </c>
      <c r="C6" s="126" t="str">
        <f>VLOOKUP(B6,List!$E$2:$G$173,2,FALSE)</f>
        <v>AC.L1-3.1.2</v>
      </c>
      <c r="D6" s="31" t="str">
        <f>List!G4</f>
        <v>Shared Coverage</v>
      </c>
      <c r="E6" s="31" t="str">
        <f>IF(Placemat!$F$4="All Practices","All Practices",IF(VLOOKUP(B6,Table7[#All],6,FALSE)="No Mapping","New CMMC Practices","Practices with NIST 800-171 Mappings"))</f>
        <v>Practices with NIST 800-171 Mappings</v>
      </c>
      <c r="F6" t="str">
        <f>INDEX('CMMC Levels'!$A$1:$F$172,MATCH('Selection Pane Data'!$C6,'CMMC Levels'!$A$1:$A$172,0),MATCH(Placemat!$F$4,'CMMC Levels'!$A$1:$F$1,0))</f>
        <v>X</v>
      </c>
      <c r="G6" s="77" t="str">
        <f>IF((COUNTIF(List!H4:CE4,"P")+COUNTIF(List!H4:CE4,"S"))=0,"N",IF(COUNTIF(H6:CE6,"P"),"P",IF(COUNTIF(H6:CE6,"S"),"S","U")))</f>
        <v>U</v>
      </c>
      <c r="H6" s="13" t="str">
        <f>IF(H$4="Yes",INDEX(List!$E$2:$CD$173,MATCH('Selection Pane Data'!$B6,List!$E$2:$E$173,0),MATCH('Selection Pane Data'!H$3,List!$E$2:$CD$2,0)),"")</f>
        <v/>
      </c>
      <c r="I6" s="13" t="str">
        <f>IF(I$4="Yes",INDEX(List!$E$2:$CD$173,MATCH('Selection Pane Data'!$B6,List!$E$2:$E$173,0),MATCH('Selection Pane Data'!I$3,List!$E$2:$CD$2,0)),"")</f>
        <v/>
      </c>
      <c r="J6" s="13" t="str">
        <f>IF(J$4="Yes",INDEX(List!$E$2:$CD$173,MATCH('Selection Pane Data'!$B6,List!$E$2:$E$173,0),MATCH('Selection Pane Data'!J$3,List!$E$2:$CD$2,0)),"")</f>
        <v>N</v>
      </c>
      <c r="K6" s="13" t="str">
        <f>IF(K$4="Yes",INDEX(List!$E$2:$CD$173,MATCH('Selection Pane Data'!$B6,List!$E$2:$E$173,0),MATCH('Selection Pane Data'!K$3,List!$E$2:$CD$2,0)),"")</f>
        <v/>
      </c>
      <c r="L6" s="13" t="str">
        <f>IF(L$4="Yes",INDEX(List!$E$2:$CD$173,MATCH('Selection Pane Data'!$B6,List!$E$2:$E$173,0),MATCH('Selection Pane Data'!L$3,List!$E$2:$CD$2,0)),"")</f>
        <v/>
      </c>
      <c r="M6" s="13" t="str">
        <f>IF(M$4="Yes",INDEX(List!$E$2:$CD$173,MATCH('Selection Pane Data'!$B6,List!$E$2:$E$173,0),MATCH('Selection Pane Data'!M$3,List!$E$2:$CD$2,0)),"")</f>
        <v/>
      </c>
      <c r="N6" s="13" t="str">
        <f>IF(N$4="Yes",INDEX(List!$E$2:$CD$173,MATCH('Selection Pane Data'!$B6,List!$E$2:$E$173,0),MATCH('Selection Pane Data'!N$3,List!$E$2:$CD$2,0)),"")</f>
        <v/>
      </c>
      <c r="O6" s="13" t="str">
        <f>IF(O$4="Yes",INDEX(List!$E$2:$CD$173,MATCH('Selection Pane Data'!$B6,List!$E$2:$E$173,0),MATCH('Selection Pane Data'!O$3,List!$E$2:$CD$2,0)),"")</f>
        <v/>
      </c>
      <c r="P6" s="13" t="str">
        <f>IF(P$4="Yes",INDEX(List!$E$2:$CD$173,MATCH('Selection Pane Data'!$B6,List!$E$2:$E$173,0),MATCH('Selection Pane Data'!P$3,List!$E$2:$CD$2,0)),"")</f>
        <v/>
      </c>
      <c r="Q6" s="13" t="str">
        <f>IF(Q$4="Yes",INDEX(List!$E$2:$CD$173,MATCH('Selection Pane Data'!$B6,List!$E$2:$E$173,0),MATCH('Selection Pane Data'!Q$3,List!$E$2:$CD$2,0)),"")</f>
        <v/>
      </c>
      <c r="R6" s="13" t="str">
        <f>IF(R$4="Yes",INDEX(List!$E$2:$CD$173,MATCH('Selection Pane Data'!$B6,List!$E$2:$E$173,0),MATCH('Selection Pane Data'!R$3,List!$E$2:$CD$2,0)),"")</f>
        <v/>
      </c>
      <c r="S6" s="13" t="str">
        <f>IF(S$4="Yes",INDEX(List!$E$2:$CD$173,MATCH('Selection Pane Data'!$B6,List!$E$2:$E$173,0),MATCH('Selection Pane Data'!S$3,List!$E$2:$CD$2,0)),"")</f>
        <v/>
      </c>
      <c r="T6" s="13" t="str">
        <f>IF(T$4="Yes",INDEX(List!$E$2:$CD$173,MATCH('Selection Pane Data'!$B6,List!$E$2:$E$173,0),MATCH('Selection Pane Data'!T$3,List!$E$2:$CD$2,0)),"")</f>
        <v/>
      </c>
      <c r="U6" s="13" t="str">
        <f>IF(U$4="Yes",INDEX(List!$E$2:$CD$173,MATCH('Selection Pane Data'!$B6,List!$E$2:$E$173,0),MATCH('Selection Pane Data'!U$3,List!$E$2:$CD$2,0)),"")</f>
        <v/>
      </c>
      <c r="V6" s="13" t="str">
        <f>IF(V$4="Yes",INDEX(List!$E$2:$CD$173,MATCH('Selection Pane Data'!$B6,List!$E$2:$E$173,0),MATCH('Selection Pane Data'!V$3,List!$E$2:$CD$2,0)),"")</f>
        <v/>
      </c>
      <c r="W6" s="13" t="str">
        <f>IF(W$4="Yes",INDEX(List!$E$2:$CD$173,MATCH('Selection Pane Data'!$B6,List!$E$2:$E$173,0),MATCH('Selection Pane Data'!W$3,List!$E$2:$CD$2,0)),"")</f>
        <v/>
      </c>
      <c r="X6" s="13" t="str">
        <f>IF(X$4="Yes",INDEX(List!$E$2:$CD$173,MATCH('Selection Pane Data'!$B6,List!$E$2:$E$173,0),MATCH('Selection Pane Data'!X$3,List!$E$2:$CD$2,0)),"")</f>
        <v/>
      </c>
      <c r="Y6" s="13" t="str">
        <f>IF(Y$4="Yes",INDEX(List!$E$2:$CD$173,MATCH('Selection Pane Data'!$B6,List!$E$2:$E$173,0),MATCH('Selection Pane Data'!Y$3,List!$E$2:$CD$2,0)),"")</f>
        <v/>
      </c>
      <c r="Z6" s="13" t="str">
        <f>IF(Z$4="Yes",INDEX(List!$E$2:$CD$173,MATCH('Selection Pane Data'!$B6,List!$E$2:$E$173,0),MATCH('Selection Pane Data'!Z$3,List!$E$2:$CD$2,0)),"")</f>
        <v/>
      </c>
      <c r="AA6" s="13" t="str">
        <f>IF(AA$4="Yes",INDEX(List!$E$2:$CD$173,MATCH('Selection Pane Data'!$B6,List!$E$2:$E$173,0),MATCH('Selection Pane Data'!AA$3,List!$E$2:$CD$2,0)),"")</f>
        <v>N</v>
      </c>
      <c r="AB6" s="13" t="str">
        <f>IF(AB$4="Yes",INDEX(List!$E$2:$CD$173,MATCH('Selection Pane Data'!$B6,List!$E$2:$E$173,0),MATCH('Selection Pane Data'!AB$3,List!$E$2:$CD$2,0)),"")</f>
        <v/>
      </c>
      <c r="AC6" s="13" t="str">
        <f>IF(AC$4="Yes",INDEX(List!$E$2:$CD$173,MATCH('Selection Pane Data'!$B6,List!$E$2:$E$173,0),MATCH('Selection Pane Data'!AC$3,List!$E$2:$CD$2,0)),"")</f>
        <v/>
      </c>
      <c r="AD6" s="13" t="str">
        <f>IF(AD$4="Yes",INDEX(List!$E$2:$CD$173,MATCH('Selection Pane Data'!$B6,List!$E$2:$E$173,0),MATCH('Selection Pane Data'!AD$3,List!$E$2:$CD$2,0)),"")</f>
        <v/>
      </c>
      <c r="AE6" s="13" t="str">
        <f>IF(AE$4="Yes",INDEX(List!$E$2:$CD$173,MATCH('Selection Pane Data'!$B6,List!$E$2:$E$173,0),MATCH('Selection Pane Data'!AE$3,List!$E$2:$CD$2,0)),"")</f>
        <v/>
      </c>
      <c r="AF6" s="13" t="str">
        <f>IF(AF$4="Yes",INDEX(List!$E$2:$CD$173,MATCH('Selection Pane Data'!$B6,List!$E$2:$E$173,0),MATCH('Selection Pane Data'!AF$3,List!$E$2:$CD$2,0)),"")</f>
        <v/>
      </c>
      <c r="AG6" s="13" t="str">
        <f>IF(AG$4="Yes",INDEX(List!$E$2:$CD$173,MATCH('Selection Pane Data'!$B6,List!$E$2:$E$173,0),MATCH('Selection Pane Data'!AG$3,List!$E$2:$CD$2,0)),"")</f>
        <v/>
      </c>
      <c r="AH6" s="13" t="str">
        <f>IF(AH$4="Yes",INDEX(List!$E$2:$CD$173,MATCH('Selection Pane Data'!$B6,List!$E$2:$E$173,0),MATCH('Selection Pane Data'!AH$3,List!$E$2:$CD$2,0)),"")</f>
        <v/>
      </c>
      <c r="AI6" s="13" t="str">
        <f>IF(AI$4="Yes",INDEX(List!$E$2:$CD$173,MATCH('Selection Pane Data'!$B6,List!$E$2:$E$173,0),MATCH('Selection Pane Data'!AI$3,List!$E$2:$CD$2,0)),"")</f>
        <v/>
      </c>
      <c r="AJ6" s="13" t="str">
        <f>IF(AJ$4="Yes",INDEX(List!$E$2:$CD$173,MATCH('Selection Pane Data'!$B6,List!$E$2:$E$173,0),MATCH('Selection Pane Data'!AJ$3,List!$E$2:$CD$2,0)),"")</f>
        <v/>
      </c>
      <c r="AK6" s="13" t="str">
        <f>IF(AK$4="Yes",INDEX(List!$E$2:$CD$173,MATCH('Selection Pane Data'!$B6,List!$E$2:$E$173,0),MATCH('Selection Pane Data'!AK$3,List!$E$2:$CD$2,0)),"")</f>
        <v/>
      </c>
      <c r="AL6" s="13" t="str">
        <f>IF(AL$4="Yes",INDEX(List!$E$2:$CD$173,MATCH('Selection Pane Data'!$B6,List!$E$2:$E$173,0),MATCH('Selection Pane Data'!AL$3,List!$E$2:$CD$2,0)),"")</f>
        <v/>
      </c>
      <c r="AM6" s="13" t="str">
        <f>IF(AM$4="Yes",INDEX(List!$E$2:$CD$173,MATCH('Selection Pane Data'!$B6,List!$E$2:$E$173,0),MATCH('Selection Pane Data'!AM$3,List!$E$2:$CD$2,0)),"")</f>
        <v/>
      </c>
      <c r="AN6" s="13" t="str">
        <f>IF(AN$4="Yes",INDEX(List!$E$2:$CD$173,MATCH('Selection Pane Data'!$B6,List!$E$2:$E$173,0),MATCH('Selection Pane Data'!AN$3,List!$E$2:$CD$2,0)),"")</f>
        <v/>
      </c>
      <c r="AO6" s="13" t="str">
        <f>IF(AO$4="Yes",INDEX(List!$E$2:$CD$173,MATCH('Selection Pane Data'!$B6,List!$E$2:$E$173,0),MATCH('Selection Pane Data'!AO$3,List!$E$2:$CD$2,0)),"")</f>
        <v/>
      </c>
      <c r="AP6" s="13" t="str">
        <f>IF(AP$4="Yes",INDEX(List!$E$2:$CD$173,MATCH('Selection Pane Data'!$B6,List!$E$2:$E$173,0),MATCH('Selection Pane Data'!AP$3,List!$E$2:$CD$2,0)),"")</f>
        <v/>
      </c>
      <c r="AQ6" s="13" t="str">
        <f>IF(AQ$4="Yes",INDEX(List!$E$2:$CD$173,MATCH('Selection Pane Data'!$B6,List!$E$2:$E$173,0),MATCH('Selection Pane Data'!AQ$3,List!$E$2:$CD$2,0)),"")</f>
        <v/>
      </c>
      <c r="AR6" s="13" t="str">
        <f>IF(AR$4="Yes",INDEX(List!$E$2:$CD$173,MATCH('Selection Pane Data'!$B6,List!$E$2:$E$173,0),MATCH('Selection Pane Data'!AR$3,List!$E$2:$CD$2,0)),"")</f>
        <v/>
      </c>
      <c r="AS6" s="13" t="str">
        <f>IF(AS$4="Yes",INDEX(List!$E$2:$CD$173,MATCH('Selection Pane Data'!$B6,List!$E$2:$E$173,0),MATCH('Selection Pane Data'!AS$3,List!$E$2:$CD$2,0)),"")</f>
        <v/>
      </c>
      <c r="AT6" s="13" t="str">
        <f>IF(AT$4="Yes",INDEX(List!$E$2:$CD$173,MATCH('Selection Pane Data'!$B6,List!$E$2:$E$173,0),MATCH('Selection Pane Data'!AT$3,List!$E$2:$CD$2,0)),"")</f>
        <v/>
      </c>
      <c r="AU6" s="13" t="str">
        <f>IF(AU$4="Yes",INDEX(List!$E$2:$CD$173,MATCH('Selection Pane Data'!$B6,List!$E$2:$E$173,0),MATCH('Selection Pane Data'!AU$3,List!$E$2:$CD$2,0)),"")</f>
        <v/>
      </c>
      <c r="AV6" s="13" t="str">
        <f>IF(AV$4="Yes",INDEX(List!$E$2:$CD$173,MATCH('Selection Pane Data'!$B6,List!$E$2:$E$173,0),MATCH('Selection Pane Data'!AV$3,List!$E$2:$CD$2,0)),"")</f>
        <v/>
      </c>
      <c r="AW6" s="13" t="str">
        <f>IF(AW$4="Yes",INDEX(List!$E$2:$CD$173,MATCH('Selection Pane Data'!$B6,List!$E$2:$E$173,0),MATCH('Selection Pane Data'!AW$3,List!$E$2:$CD$2,0)),"")</f>
        <v/>
      </c>
      <c r="AX6" s="13" t="str">
        <f>IF(AX$4="Yes",INDEX(List!$E$2:$CD$173,MATCH('Selection Pane Data'!$B6,List!$E$2:$E$173,0),MATCH('Selection Pane Data'!AX$3,List!$E$2:$CD$2,0)),"")</f>
        <v/>
      </c>
      <c r="AY6" s="13" t="str">
        <f>IF(AY$4="Yes",INDEX(List!$E$2:$CD$173,MATCH('Selection Pane Data'!$B6,List!$E$2:$E$173,0),MATCH('Selection Pane Data'!AY$3,List!$E$2:$CD$2,0)),"")</f>
        <v/>
      </c>
      <c r="AZ6" s="13" t="str">
        <f>IF(AZ$4="Yes",INDEX(List!$E$2:$CD$173,MATCH('Selection Pane Data'!$B6,List!$E$2:$E$173,0),MATCH('Selection Pane Data'!AZ$3,List!$E$2:$CD$2,0)),"")</f>
        <v/>
      </c>
      <c r="BA6" s="13" t="str">
        <f>IF(BA$4="Yes",INDEX(List!$E$2:$CD$173,MATCH('Selection Pane Data'!$B6,List!$E$2:$E$173,0),MATCH('Selection Pane Data'!BA$3,List!$E$2:$CD$2,0)),"")</f>
        <v/>
      </c>
      <c r="BB6" s="13" t="str">
        <f>IF(BB$4="Yes",INDEX(List!$E$2:$CD$173,MATCH('Selection Pane Data'!$B6,List!$E$2:$E$173,0),MATCH('Selection Pane Data'!BB$3,List!$E$2:$CD$2,0)),"")</f>
        <v/>
      </c>
      <c r="BC6" s="13" t="str">
        <f>IF(BC$4="Yes",INDEX(List!$E$2:$CD$173,MATCH('Selection Pane Data'!$B6,List!$E$2:$E$173,0),MATCH('Selection Pane Data'!BC$3,List!$E$2:$CD$2,0)),"")</f>
        <v/>
      </c>
      <c r="BD6" s="13" t="str">
        <f>IF(BD$4="Yes",INDEX(List!$E$2:$CD$173,MATCH('Selection Pane Data'!$B6,List!$E$2:$E$173,0),MATCH('Selection Pane Data'!BD$3,List!$E$2:$CD$2,0)),"")</f>
        <v/>
      </c>
      <c r="BE6" s="13" t="str">
        <f>IF(BE$4="Yes",INDEX(List!$E$2:$CD$173,MATCH('Selection Pane Data'!$B6,List!$E$2:$E$173,0),MATCH('Selection Pane Data'!BE$3,List!$E$2:$CD$2,0)),"")</f>
        <v/>
      </c>
      <c r="BF6" s="13" t="str">
        <f>IF(BF$4="Yes",INDEX(List!$E$2:$CD$173,MATCH('Selection Pane Data'!$B6,List!$E$2:$E$173,0),MATCH('Selection Pane Data'!BF$3,List!$E$2:$CD$2,0)),"")</f>
        <v/>
      </c>
      <c r="BG6" s="13" t="str">
        <f>IF(BG$4="Yes",INDEX(List!$E$2:$CD$173,MATCH('Selection Pane Data'!$B6,List!$E$2:$E$173,0),MATCH('Selection Pane Data'!BG$3,List!$E$2:$CD$2,0)),"")</f>
        <v/>
      </c>
      <c r="BH6" s="13" t="str">
        <f>IF(BH$4="Yes",INDEX(List!$E$2:$CD$173,MATCH('Selection Pane Data'!$B6,List!$E$2:$E$173,0),MATCH('Selection Pane Data'!BH$3,List!$E$2:$CD$2,0)),"")</f>
        <v/>
      </c>
      <c r="BI6" s="13" t="str">
        <f>IF(BI$4="Yes",INDEX(List!$E$2:$CD$173,MATCH('Selection Pane Data'!$B6,List!$E$2:$E$173,0),MATCH('Selection Pane Data'!BI$3,List!$E$2:$CD$2,0)),"")</f>
        <v/>
      </c>
      <c r="BJ6" s="13" t="str">
        <f>IF(BJ$4="Yes",INDEX(List!$E$2:$CD$173,MATCH('Selection Pane Data'!$B6,List!$E$2:$E$173,0),MATCH('Selection Pane Data'!BJ$3,List!$E$2:$CD$2,0)),"")</f>
        <v/>
      </c>
      <c r="BK6" s="13" t="str">
        <f>IF(BK$4="Yes",INDEX(List!$E$2:$CD$173,MATCH('Selection Pane Data'!$B6,List!$E$2:$E$173,0),MATCH('Selection Pane Data'!BK$3,List!$E$2:$CD$2,0)),"")</f>
        <v/>
      </c>
      <c r="BL6" s="13" t="str">
        <f>IF(BL$4="Yes",INDEX(List!$E$2:$CD$173,MATCH('Selection Pane Data'!$B6,List!$E$2:$E$173,0),MATCH('Selection Pane Data'!BL$3,List!$E$2:$CD$2,0)),"")</f>
        <v/>
      </c>
      <c r="BM6" s="13" t="str">
        <f>IF(BM$4="Yes",INDEX(List!$E$2:$CD$173,MATCH('Selection Pane Data'!$B6,List!$E$2:$E$173,0),MATCH('Selection Pane Data'!BM$3,List!$E$2:$CD$2,0)),"")</f>
        <v/>
      </c>
      <c r="BN6" s="13" t="str">
        <f>IF(BN$4="Yes",INDEX(List!$E$2:$CD$173,MATCH('Selection Pane Data'!$B6,List!$E$2:$E$173,0),MATCH('Selection Pane Data'!BN$3,List!$E$2:$CD$2,0)),"")</f>
        <v/>
      </c>
      <c r="BO6" s="13" t="str">
        <f>IF(BO$4="Yes",INDEX(List!$E$2:$CD$173,MATCH('Selection Pane Data'!$B6,List!$E$2:$E$173,0),MATCH('Selection Pane Data'!BO$3,List!$E$2:$CD$2,0)),"")</f>
        <v/>
      </c>
      <c r="BP6" s="13" t="str">
        <f>IF(BP$4="Yes",INDEX(List!$E$2:$CD$173,MATCH('Selection Pane Data'!$B6,List!$E$2:$E$173,0),MATCH('Selection Pane Data'!BP$3,List!$E$2:$CD$2,0)),"")</f>
        <v/>
      </c>
      <c r="BQ6" s="13" t="str">
        <f>IF(BQ$4="Yes",INDEX(List!$E$2:$CD$173,MATCH('Selection Pane Data'!$B6,List!$E$2:$E$173,0),MATCH('Selection Pane Data'!BQ$3,List!$E$2:$CD$2,0)),"")</f>
        <v/>
      </c>
      <c r="BR6" s="13" t="str">
        <f>IF(BR$4="Yes",INDEX(List!$E$2:$CD$173,MATCH('Selection Pane Data'!$B6,List!$E$2:$E$173,0),MATCH('Selection Pane Data'!BR$3,List!$E$2:$CD$2,0)),"")</f>
        <v/>
      </c>
      <c r="BS6" s="13" t="str">
        <f>IF(BS$4="Yes",INDEX(List!$E$2:$CD$173,MATCH('Selection Pane Data'!$B6,List!$E$2:$E$173,0),MATCH('Selection Pane Data'!BS$3,List!$E$2:$CD$2,0)),"")</f>
        <v/>
      </c>
      <c r="BT6" s="13" t="str">
        <f>IF(BT$4="Yes",INDEX(List!$E$2:$CD$173,MATCH('Selection Pane Data'!$B6,List!$E$2:$E$173,0),MATCH('Selection Pane Data'!BT$3,List!$E$2:$CD$2,0)),"")</f>
        <v/>
      </c>
      <c r="BU6" s="13" t="str">
        <f>IF(BU$4="Yes",INDEX(List!$E$2:$CD$173,MATCH('Selection Pane Data'!$B6,List!$E$2:$E$173,0),MATCH('Selection Pane Data'!BU$3,List!$E$2:$CD$2,0)),"")</f>
        <v/>
      </c>
      <c r="BV6" s="13" t="str">
        <f>IF(BV$4="Yes",INDEX(List!$E$2:$CD$173,MATCH('Selection Pane Data'!$B6,List!$E$2:$E$173,0),MATCH('Selection Pane Data'!BV$3,List!$E$2:$CD$2,0)),"")</f>
        <v/>
      </c>
      <c r="BW6" s="13" t="str">
        <f>IF(BW$4="Yes",INDEX(List!$E$2:$CD$173,MATCH('Selection Pane Data'!$B6,List!$E$2:$E$173,0),MATCH('Selection Pane Data'!BW$3,List!$E$2:$CD$2,0)),"")</f>
        <v/>
      </c>
      <c r="BX6" s="13" t="str">
        <f>IF(BX$4="Yes",INDEX(List!$E$2:$CD$173,MATCH('Selection Pane Data'!$B6,List!$E$2:$E$173,0),MATCH('Selection Pane Data'!BX$3,List!$E$2:$CD$2,0)),"")</f>
        <v/>
      </c>
      <c r="BY6" s="13" t="str">
        <f>IF(BY$4="Yes",INDEX(List!$E$2:$CD$173,MATCH('Selection Pane Data'!$B6,List!$E$2:$E$173,0),MATCH('Selection Pane Data'!BY$3,List!$E$2:$CD$2,0)),"")</f>
        <v/>
      </c>
      <c r="BZ6" s="13" t="str">
        <f>IF(BZ$4="Yes",INDEX(List!$E$2:$CD$173,MATCH('Selection Pane Data'!$B6,List!$E$2:$E$173,0),MATCH('Selection Pane Data'!BZ$3,List!$E$2:$CD$2,0)),"")</f>
        <v/>
      </c>
      <c r="CA6" s="13" t="str">
        <f>IF(CA$4="Yes",INDEX(List!$E$2:$CD$173,MATCH('Selection Pane Data'!$B6,List!$E$2:$E$173,0),MATCH('Selection Pane Data'!CA$3,List!$E$2:$CD$2,0)),"")</f>
        <v/>
      </c>
      <c r="CB6" s="13" t="str">
        <f>IF(CB$4="Yes",INDEX(List!$E$2:$CD$173,MATCH('Selection Pane Data'!$B6,List!$E$2:$E$173,0),MATCH('Selection Pane Data'!CB$3,List!$E$2:$CD$2,0)),"")</f>
        <v/>
      </c>
      <c r="CC6" s="13" t="str">
        <f>IF(CC$4="Yes",INDEX(List!$E$2:$CD$173,MATCH('Selection Pane Data'!$B6,List!$E$2:$E$173,0),MATCH('Selection Pane Data'!CC$3,List!$E$2:$CD$2,0)),"")</f>
        <v/>
      </c>
      <c r="CD6" s="13" t="str">
        <f>IF(CD$4="Yes",INDEX(List!$E$2:$CD$173,MATCH('Selection Pane Data'!$B6,List!$E$2:$E$173,0),MATCH('Selection Pane Data'!CD$3,List!$E$2:$CD$2,0)),"")</f>
        <v/>
      </c>
      <c r="CE6" s="13" t="str">
        <f>IF(CE$4="Yes",INDEX(List!$E$2:$CD$173,MATCH('Selection Pane Data'!$B6,List!$E$2:$E$173,0),MATCH('Selection Pane Data'!CE$3,List!$E$2:$CD$2,0)),"")</f>
        <v/>
      </c>
    </row>
    <row r="7" spans="2:83" x14ac:dyDescent="0.35">
      <c r="B7" s="21" t="s">
        <v>294</v>
      </c>
      <c r="C7" s="126" t="str">
        <f>VLOOKUP(B7,List!$E$2:$G$173,2,FALSE)</f>
        <v>AC.L1-3.1.20</v>
      </c>
      <c r="D7" s="31" t="str">
        <f>List!G5</f>
        <v>Shared Coverage</v>
      </c>
      <c r="E7" s="31" t="str">
        <f>IF(Placemat!$F$4="All Practices","All Practices",IF(VLOOKUP(B7,Table7[#All],6,FALSE)="No Mapping","New CMMC Practices","Practices with NIST 800-171 Mappings"))</f>
        <v>Practices with NIST 800-171 Mappings</v>
      </c>
      <c r="F7" t="str">
        <f>INDEX('CMMC Levels'!$A$1:$F$172,MATCH('Selection Pane Data'!$C7,'CMMC Levels'!$A$1:$A$172,0),MATCH(Placemat!$F$4,'CMMC Levels'!$A$1:$F$1,0))</f>
        <v>X</v>
      </c>
      <c r="G7" s="77" t="str">
        <f>IF((COUNTIF(List!H5:CE5,"P")+COUNTIF(List!H5:CE5,"S"))=0,"N",IF(COUNTIF(H7:CE7,"P"),"P",IF(COUNTIF(H7:CE7,"S"),"S","U")))</f>
        <v>S</v>
      </c>
      <c r="H7" s="13" t="str">
        <f>IF(H$4="Yes",INDEX(List!$E$2:$CD$173,MATCH('Selection Pane Data'!$B7,List!$E$2:$E$173,0),MATCH('Selection Pane Data'!H$3,List!$E$2:$CD$2,0)),"")</f>
        <v/>
      </c>
      <c r="I7" s="13" t="str">
        <f>IF(I$4="Yes",INDEX(List!$E$2:$CD$173,MATCH('Selection Pane Data'!$B7,List!$E$2:$E$173,0),MATCH('Selection Pane Data'!I$3,List!$E$2:$CD$2,0)),"")</f>
        <v/>
      </c>
      <c r="J7" s="13" t="str">
        <f>IF(J$4="Yes",INDEX(List!$E$2:$CD$173,MATCH('Selection Pane Data'!$B7,List!$E$2:$E$173,0),MATCH('Selection Pane Data'!J$3,List!$E$2:$CD$2,0)),"")</f>
        <v>N</v>
      </c>
      <c r="K7" s="13" t="str">
        <f>IF(K$4="Yes",INDEX(List!$E$2:$CD$173,MATCH('Selection Pane Data'!$B7,List!$E$2:$E$173,0),MATCH('Selection Pane Data'!K$3,List!$E$2:$CD$2,0)),"")</f>
        <v/>
      </c>
      <c r="L7" s="13" t="str">
        <f>IF(L$4="Yes",INDEX(List!$E$2:$CD$173,MATCH('Selection Pane Data'!$B7,List!$E$2:$E$173,0),MATCH('Selection Pane Data'!L$3,List!$E$2:$CD$2,0)),"")</f>
        <v/>
      </c>
      <c r="M7" s="13" t="str">
        <f>IF(M$4="Yes",INDEX(List!$E$2:$CD$173,MATCH('Selection Pane Data'!$B7,List!$E$2:$E$173,0),MATCH('Selection Pane Data'!M$3,List!$E$2:$CD$2,0)),"")</f>
        <v/>
      </c>
      <c r="N7" s="13" t="str">
        <f>IF(N$4="Yes",INDEX(List!$E$2:$CD$173,MATCH('Selection Pane Data'!$B7,List!$E$2:$E$173,0),MATCH('Selection Pane Data'!N$3,List!$E$2:$CD$2,0)),"")</f>
        <v/>
      </c>
      <c r="O7" s="13" t="str">
        <f>IF(O$4="Yes",INDEX(List!$E$2:$CD$173,MATCH('Selection Pane Data'!$B7,List!$E$2:$E$173,0),MATCH('Selection Pane Data'!O$3,List!$E$2:$CD$2,0)),"")</f>
        <v/>
      </c>
      <c r="P7" s="13" t="str">
        <f>IF(P$4="Yes",INDEX(List!$E$2:$CD$173,MATCH('Selection Pane Data'!$B7,List!$E$2:$E$173,0),MATCH('Selection Pane Data'!P$3,List!$E$2:$CD$2,0)),"")</f>
        <v/>
      </c>
      <c r="Q7" s="13" t="str">
        <f>IF(Q$4="Yes",INDEX(List!$E$2:$CD$173,MATCH('Selection Pane Data'!$B7,List!$E$2:$E$173,0),MATCH('Selection Pane Data'!Q$3,List!$E$2:$CD$2,0)),"")</f>
        <v/>
      </c>
      <c r="R7" s="13" t="str">
        <f>IF(R$4="Yes",INDEX(List!$E$2:$CD$173,MATCH('Selection Pane Data'!$B7,List!$E$2:$E$173,0),MATCH('Selection Pane Data'!R$3,List!$E$2:$CD$2,0)),"")</f>
        <v/>
      </c>
      <c r="S7" s="13" t="str">
        <f>IF(S$4="Yes",INDEX(List!$E$2:$CD$173,MATCH('Selection Pane Data'!$B7,List!$E$2:$E$173,0),MATCH('Selection Pane Data'!S$3,List!$E$2:$CD$2,0)),"")</f>
        <v/>
      </c>
      <c r="T7" s="13" t="str">
        <f>IF(T$4="Yes",INDEX(List!$E$2:$CD$173,MATCH('Selection Pane Data'!$B7,List!$E$2:$E$173,0),MATCH('Selection Pane Data'!T$3,List!$E$2:$CD$2,0)),"")</f>
        <v/>
      </c>
      <c r="U7" s="13" t="str">
        <f>IF(U$4="Yes",INDEX(List!$E$2:$CD$173,MATCH('Selection Pane Data'!$B7,List!$E$2:$E$173,0),MATCH('Selection Pane Data'!U$3,List!$E$2:$CD$2,0)),"")</f>
        <v/>
      </c>
      <c r="V7" s="13" t="str">
        <f>IF(V$4="Yes",INDEX(List!$E$2:$CD$173,MATCH('Selection Pane Data'!$B7,List!$E$2:$E$173,0),MATCH('Selection Pane Data'!V$3,List!$E$2:$CD$2,0)),"")</f>
        <v/>
      </c>
      <c r="W7" s="13" t="str">
        <f>IF(W$4="Yes",INDEX(List!$E$2:$CD$173,MATCH('Selection Pane Data'!$B7,List!$E$2:$E$173,0),MATCH('Selection Pane Data'!W$3,List!$E$2:$CD$2,0)),"")</f>
        <v/>
      </c>
      <c r="X7" s="13" t="str">
        <f>IF(X$4="Yes",INDEX(List!$E$2:$CD$173,MATCH('Selection Pane Data'!$B7,List!$E$2:$E$173,0),MATCH('Selection Pane Data'!X$3,List!$E$2:$CD$2,0)),"")</f>
        <v/>
      </c>
      <c r="Y7" s="13" t="str">
        <f>IF(Y$4="Yes",INDEX(List!$E$2:$CD$173,MATCH('Selection Pane Data'!$B7,List!$E$2:$E$173,0),MATCH('Selection Pane Data'!Y$3,List!$E$2:$CD$2,0)),"")</f>
        <v/>
      </c>
      <c r="Z7" s="13" t="str">
        <f>IF(Z$4="Yes",INDEX(List!$E$2:$CD$173,MATCH('Selection Pane Data'!$B7,List!$E$2:$E$173,0),MATCH('Selection Pane Data'!Z$3,List!$E$2:$CD$2,0)),"")</f>
        <v/>
      </c>
      <c r="AA7" s="13" t="str">
        <f>IF(AA$4="Yes",INDEX(List!$E$2:$CD$173,MATCH('Selection Pane Data'!$B7,List!$E$2:$E$173,0),MATCH('Selection Pane Data'!AA$3,List!$E$2:$CD$2,0)),"")</f>
        <v>S</v>
      </c>
      <c r="AB7" s="13" t="str">
        <f>IF(AB$4="Yes",INDEX(List!$E$2:$CD$173,MATCH('Selection Pane Data'!$B7,List!$E$2:$E$173,0),MATCH('Selection Pane Data'!AB$3,List!$E$2:$CD$2,0)),"")</f>
        <v/>
      </c>
      <c r="AC7" s="13" t="str">
        <f>IF(AC$4="Yes",INDEX(List!$E$2:$CD$173,MATCH('Selection Pane Data'!$B7,List!$E$2:$E$173,0),MATCH('Selection Pane Data'!AC$3,List!$E$2:$CD$2,0)),"")</f>
        <v/>
      </c>
      <c r="AD7" s="13" t="str">
        <f>IF(AD$4="Yes",INDEX(List!$E$2:$CD$173,MATCH('Selection Pane Data'!$B7,List!$E$2:$E$173,0),MATCH('Selection Pane Data'!AD$3,List!$E$2:$CD$2,0)),"")</f>
        <v/>
      </c>
      <c r="AE7" s="13" t="str">
        <f>IF(AE$4="Yes",INDEX(List!$E$2:$CD$173,MATCH('Selection Pane Data'!$B7,List!$E$2:$E$173,0),MATCH('Selection Pane Data'!AE$3,List!$E$2:$CD$2,0)),"")</f>
        <v/>
      </c>
      <c r="AF7" s="13" t="str">
        <f>IF(AF$4="Yes",INDEX(List!$E$2:$CD$173,MATCH('Selection Pane Data'!$B7,List!$E$2:$E$173,0),MATCH('Selection Pane Data'!AF$3,List!$E$2:$CD$2,0)),"")</f>
        <v/>
      </c>
      <c r="AG7" s="13" t="str">
        <f>IF(AG$4="Yes",INDEX(List!$E$2:$CD$173,MATCH('Selection Pane Data'!$B7,List!$E$2:$E$173,0),MATCH('Selection Pane Data'!AG$3,List!$E$2:$CD$2,0)),"")</f>
        <v/>
      </c>
      <c r="AH7" s="13" t="str">
        <f>IF(AH$4="Yes",INDEX(List!$E$2:$CD$173,MATCH('Selection Pane Data'!$B7,List!$E$2:$E$173,0),MATCH('Selection Pane Data'!AH$3,List!$E$2:$CD$2,0)),"")</f>
        <v/>
      </c>
      <c r="AI7" s="13" t="str">
        <f>IF(AI$4="Yes",INDEX(List!$E$2:$CD$173,MATCH('Selection Pane Data'!$B7,List!$E$2:$E$173,0),MATCH('Selection Pane Data'!AI$3,List!$E$2:$CD$2,0)),"")</f>
        <v/>
      </c>
      <c r="AJ7" s="13" t="str">
        <f>IF(AJ$4="Yes",INDEX(List!$E$2:$CD$173,MATCH('Selection Pane Data'!$B7,List!$E$2:$E$173,0),MATCH('Selection Pane Data'!AJ$3,List!$E$2:$CD$2,0)),"")</f>
        <v/>
      </c>
      <c r="AK7" s="13" t="str">
        <f>IF(AK$4="Yes",INDEX(List!$E$2:$CD$173,MATCH('Selection Pane Data'!$B7,List!$E$2:$E$173,0),MATCH('Selection Pane Data'!AK$3,List!$E$2:$CD$2,0)),"")</f>
        <v/>
      </c>
      <c r="AL7" s="13" t="str">
        <f>IF(AL$4="Yes",INDEX(List!$E$2:$CD$173,MATCH('Selection Pane Data'!$B7,List!$E$2:$E$173,0),MATCH('Selection Pane Data'!AL$3,List!$E$2:$CD$2,0)),"")</f>
        <v/>
      </c>
      <c r="AM7" s="13" t="str">
        <f>IF(AM$4="Yes",INDEX(List!$E$2:$CD$173,MATCH('Selection Pane Data'!$B7,List!$E$2:$E$173,0),MATCH('Selection Pane Data'!AM$3,List!$E$2:$CD$2,0)),"")</f>
        <v/>
      </c>
      <c r="AN7" s="13" t="str">
        <f>IF(AN$4="Yes",INDEX(List!$E$2:$CD$173,MATCH('Selection Pane Data'!$B7,List!$E$2:$E$173,0),MATCH('Selection Pane Data'!AN$3,List!$E$2:$CD$2,0)),"")</f>
        <v/>
      </c>
      <c r="AO7" s="13" t="str">
        <f>IF(AO$4="Yes",INDEX(List!$E$2:$CD$173,MATCH('Selection Pane Data'!$B7,List!$E$2:$E$173,0),MATCH('Selection Pane Data'!AO$3,List!$E$2:$CD$2,0)),"")</f>
        <v/>
      </c>
      <c r="AP7" s="13" t="str">
        <f>IF(AP$4="Yes",INDEX(List!$E$2:$CD$173,MATCH('Selection Pane Data'!$B7,List!$E$2:$E$173,0),MATCH('Selection Pane Data'!AP$3,List!$E$2:$CD$2,0)),"")</f>
        <v/>
      </c>
      <c r="AQ7" s="13" t="str">
        <f>IF(AQ$4="Yes",INDEX(List!$E$2:$CD$173,MATCH('Selection Pane Data'!$B7,List!$E$2:$E$173,0),MATCH('Selection Pane Data'!AQ$3,List!$E$2:$CD$2,0)),"")</f>
        <v/>
      </c>
      <c r="AR7" s="13" t="str">
        <f>IF(AR$4="Yes",INDEX(List!$E$2:$CD$173,MATCH('Selection Pane Data'!$B7,List!$E$2:$E$173,0),MATCH('Selection Pane Data'!AR$3,List!$E$2:$CD$2,0)),"")</f>
        <v/>
      </c>
      <c r="AS7" s="13" t="str">
        <f>IF(AS$4="Yes",INDEX(List!$E$2:$CD$173,MATCH('Selection Pane Data'!$B7,List!$E$2:$E$173,0),MATCH('Selection Pane Data'!AS$3,List!$E$2:$CD$2,0)),"")</f>
        <v/>
      </c>
      <c r="AT7" s="13" t="str">
        <f>IF(AT$4="Yes",INDEX(List!$E$2:$CD$173,MATCH('Selection Pane Data'!$B7,List!$E$2:$E$173,0),MATCH('Selection Pane Data'!AT$3,List!$E$2:$CD$2,0)),"")</f>
        <v/>
      </c>
      <c r="AU7" s="13" t="str">
        <f>IF(AU$4="Yes",INDEX(List!$E$2:$CD$173,MATCH('Selection Pane Data'!$B7,List!$E$2:$E$173,0),MATCH('Selection Pane Data'!AU$3,List!$E$2:$CD$2,0)),"")</f>
        <v/>
      </c>
      <c r="AV7" s="13" t="str">
        <f>IF(AV$4="Yes",INDEX(List!$E$2:$CD$173,MATCH('Selection Pane Data'!$B7,List!$E$2:$E$173,0),MATCH('Selection Pane Data'!AV$3,List!$E$2:$CD$2,0)),"")</f>
        <v/>
      </c>
      <c r="AW7" s="13" t="str">
        <f>IF(AW$4="Yes",INDEX(List!$E$2:$CD$173,MATCH('Selection Pane Data'!$B7,List!$E$2:$E$173,0),MATCH('Selection Pane Data'!AW$3,List!$E$2:$CD$2,0)),"")</f>
        <v/>
      </c>
      <c r="AX7" s="13" t="str">
        <f>IF(AX$4="Yes",INDEX(List!$E$2:$CD$173,MATCH('Selection Pane Data'!$B7,List!$E$2:$E$173,0),MATCH('Selection Pane Data'!AX$3,List!$E$2:$CD$2,0)),"")</f>
        <v/>
      </c>
      <c r="AY7" s="13" t="str">
        <f>IF(AY$4="Yes",INDEX(List!$E$2:$CD$173,MATCH('Selection Pane Data'!$B7,List!$E$2:$E$173,0),MATCH('Selection Pane Data'!AY$3,List!$E$2:$CD$2,0)),"")</f>
        <v/>
      </c>
      <c r="AZ7" s="13" t="str">
        <f>IF(AZ$4="Yes",INDEX(List!$E$2:$CD$173,MATCH('Selection Pane Data'!$B7,List!$E$2:$E$173,0),MATCH('Selection Pane Data'!AZ$3,List!$E$2:$CD$2,0)),"")</f>
        <v/>
      </c>
      <c r="BA7" s="13" t="str">
        <f>IF(BA$4="Yes",INDEX(List!$E$2:$CD$173,MATCH('Selection Pane Data'!$B7,List!$E$2:$E$173,0),MATCH('Selection Pane Data'!BA$3,List!$E$2:$CD$2,0)),"")</f>
        <v/>
      </c>
      <c r="BB7" s="13" t="str">
        <f>IF(BB$4="Yes",INDEX(List!$E$2:$CD$173,MATCH('Selection Pane Data'!$B7,List!$E$2:$E$173,0),MATCH('Selection Pane Data'!BB$3,List!$E$2:$CD$2,0)),"")</f>
        <v/>
      </c>
      <c r="BC7" s="13" t="str">
        <f>IF(BC$4="Yes",INDEX(List!$E$2:$CD$173,MATCH('Selection Pane Data'!$B7,List!$E$2:$E$173,0),MATCH('Selection Pane Data'!BC$3,List!$E$2:$CD$2,0)),"")</f>
        <v/>
      </c>
      <c r="BD7" s="13" t="str">
        <f>IF(BD$4="Yes",INDEX(List!$E$2:$CD$173,MATCH('Selection Pane Data'!$B7,List!$E$2:$E$173,0),MATCH('Selection Pane Data'!BD$3,List!$E$2:$CD$2,0)),"")</f>
        <v/>
      </c>
      <c r="BE7" s="13" t="str">
        <f>IF(BE$4="Yes",INDEX(List!$E$2:$CD$173,MATCH('Selection Pane Data'!$B7,List!$E$2:$E$173,0),MATCH('Selection Pane Data'!BE$3,List!$E$2:$CD$2,0)),"")</f>
        <v/>
      </c>
      <c r="BF7" s="13" t="str">
        <f>IF(BF$4="Yes",INDEX(List!$E$2:$CD$173,MATCH('Selection Pane Data'!$B7,List!$E$2:$E$173,0),MATCH('Selection Pane Data'!BF$3,List!$E$2:$CD$2,0)),"")</f>
        <v/>
      </c>
      <c r="BG7" s="13" t="str">
        <f>IF(BG$4="Yes",INDEX(List!$E$2:$CD$173,MATCH('Selection Pane Data'!$B7,List!$E$2:$E$173,0),MATCH('Selection Pane Data'!BG$3,List!$E$2:$CD$2,0)),"")</f>
        <v/>
      </c>
      <c r="BH7" s="13" t="str">
        <f>IF(BH$4="Yes",INDEX(List!$E$2:$CD$173,MATCH('Selection Pane Data'!$B7,List!$E$2:$E$173,0),MATCH('Selection Pane Data'!BH$3,List!$E$2:$CD$2,0)),"")</f>
        <v/>
      </c>
      <c r="BI7" s="13" t="str">
        <f>IF(BI$4="Yes",INDEX(List!$E$2:$CD$173,MATCH('Selection Pane Data'!$B7,List!$E$2:$E$173,0),MATCH('Selection Pane Data'!BI$3,List!$E$2:$CD$2,0)),"")</f>
        <v/>
      </c>
      <c r="BJ7" s="13" t="str">
        <f>IF(BJ$4="Yes",INDEX(List!$E$2:$CD$173,MATCH('Selection Pane Data'!$B7,List!$E$2:$E$173,0),MATCH('Selection Pane Data'!BJ$3,List!$E$2:$CD$2,0)),"")</f>
        <v/>
      </c>
      <c r="BK7" s="13" t="str">
        <f>IF(BK$4="Yes",INDEX(List!$E$2:$CD$173,MATCH('Selection Pane Data'!$B7,List!$E$2:$E$173,0),MATCH('Selection Pane Data'!BK$3,List!$E$2:$CD$2,0)),"")</f>
        <v/>
      </c>
      <c r="BL7" s="13" t="str">
        <f>IF(BL$4="Yes",INDEX(List!$E$2:$CD$173,MATCH('Selection Pane Data'!$B7,List!$E$2:$E$173,0),MATCH('Selection Pane Data'!BL$3,List!$E$2:$CD$2,0)),"")</f>
        <v/>
      </c>
      <c r="BM7" s="13" t="str">
        <f>IF(BM$4="Yes",INDEX(List!$E$2:$CD$173,MATCH('Selection Pane Data'!$B7,List!$E$2:$E$173,0),MATCH('Selection Pane Data'!BM$3,List!$E$2:$CD$2,0)),"")</f>
        <v/>
      </c>
      <c r="BN7" s="13" t="str">
        <f>IF(BN$4="Yes",INDEX(List!$E$2:$CD$173,MATCH('Selection Pane Data'!$B7,List!$E$2:$E$173,0),MATCH('Selection Pane Data'!BN$3,List!$E$2:$CD$2,0)),"")</f>
        <v/>
      </c>
      <c r="BO7" s="13" t="str">
        <f>IF(BO$4="Yes",INDEX(List!$E$2:$CD$173,MATCH('Selection Pane Data'!$B7,List!$E$2:$E$173,0),MATCH('Selection Pane Data'!BO$3,List!$E$2:$CD$2,0)),"")</f>
        <v/>
      </c>
      <c r="BP7" s="13" t="str">
        <f>IF(BP$4="Yes",INDEX(List!$E$2:$CD$173,MATCH('Selection Pane Data'!$B7,List!$E$2:$E$173,0),MATCH('Selection Pane Data'!BP$3,List!$E$2:$CD$2,0)),"")</f>
        <v/>
      </c>
      <c r="BQ7" s="13" t="str">
        <f>IF(BQ$4="Yes",INDEX(List!$E$2:$CD$173,MATCH('Selection Pane Data'!$B7,List!$E$2:$E$173,0),MATCH('Selection Pane Data'!BQ$3,List!$E$2:$CD$2,0)),"")</f>
        <v/>
      </c>
      <c r="BR7" s="13" t="str">
        <f>IF(BR$4="Yes",INDEX(List!$E$2:$CD$173,MATCH('Selection Pane Data'!$B7,List!$E$2:$E$173,0),MATCH('Selection Pane Data'!BR$3,List!$E$2:$CD$2,0)),"")</f>
        <v/>
      </c>
      <c r="BS7" s="13" t="str">
        <f>IF(BS$4="Yes",INDEX(List!$E$2:$CD$173,MATCH('Selection Pane Data'!$B7,List!$E$2:$E$173,0),MATCH('Selection Pane Data'!BS$3,List!$E$2:$CD$2,0)),"")</f>
        <v/>
      </c>
      <c r="BT7" s="13" t="str">
        <f>IF(BT$4="Yes",INDEX(List!$E$2:$CD$173,MATCH('Selection Pane Data'!$B7,List!$E$2:$E$173,0),MATCH('Selection Pane Data'!BT$3,List!$E$2:$CD$2,0)),"")</f>
        <v/>
      </c>
      <c r="BU7" s="13" t="str">
        <f>IF(BU$4="Yes",INDEX(List!$E$2:$CD$173,MATCH('Selection Pane Data'!$B7,List!$E$2:$E$173,0),MATCH('Selection Pane Data'!BU$3,List!$E$2:$CD$2,0)),"")</f>
        <v/>
      </c>
      <c r="BV7" s="13" t="str">
        <f>IF(BV$4="Yes",INDEX(List!$E$2:$CD$173,MATCH('Selection Pane Data'!$B7,List!$E$2:$E$173,0),MATCH('Selection Pane Data'!BV$3,List!$E$2:$CD$2,0)),"")</f>
        <v/>
      </c>
      <c r="BW7" s="13" t="str">
        <f>IF(BW$4="Yes",INDEX(List!$E$2:$CD$173,MATCH('Selection Pane Data'!$B7,List!$E$2:$E$173,0),MATCH('Selection Pane Data'!BW$3,List!$E$2:$CD$2,0)),"")</f>
        <v/>
      </c>
      <c r="BX7" s="13" t="str">
        <f>IF(BX$4="Yes",INDEX(List!$E$2:$CD$173,MATCH('Selection Pane Data'!$B7,List!$E$2:$E$173,0),MATCH('Selection Pane Data'!BX$3,List!$E$2:$CD$2,0)),"")</f>
        <v/>
      </c>
      <c r="BY7" s="13" t="str">
        <f>IF(BY$4="Yes",INDEX(List!$E$2:$CD$173,MATCH('Selection Pane Data'!$B7,List!$E$2:$E$173,0),MATCH('Selection Pane Data'!BY$3,List!$E$2:$CD$2,0)),"")</f>
        <v/>
      </c>
      <c r="BZ7" s="13" t="str">
        <f>IF(BZ$4="Yes",INDEX(List!$E$2:$CD$173,MATCH('Selection Pane Data'!$B7,List!$E$2:$E$173,0),MATCH('Selection Pane Data'!BZ$3,List!$E$2:$CD$2,0)),"")</f>
        <v/>
      </c>
      <c r="CA7" s="13" t="str">
        <f>IF(CA$4="Yes",INDEX(List!$E$2:$CD$173,MATCH('Selection Pane Data'!$B7,List!$E$2:$E$173,0),MATCH('Selection Pane Data'!CA$3,List!$E$2:$CD$2,0)),"")</f>
        <v/>
      </c>
      <c r="CB7" s="13" t="str">
        <f>IF(CB$4="Yes",INDEX(List!$E$2:$CD$173,MATCH('Selection Pane Data'!$B7,List!$E$2:$E$173,0),MATCH('Selection Pane Data'!CB$3,List!$E$2:$CD$2,0)),"")</f>
        <v/>
      </c>
      <c r="CC7" s="13" t="str">
        <f>IF(CC$4="Yes",INDEX(List!$E$2:$CD$173,MATCH('Selection Pane Data'!$B7,List!$E$2:$E$173,0),MATCH('Selection Pane Data'!CC$3,List!$E$2:$CD$2,0)),"")</f>
        <v/>
      </c>
      <c r="CD7" s="13" t="str">
        <f>IF(CD$4="Yes",INDEX(List!$E$2:$CD$173,MATCH('Selection Pane Data'!$B7,List!$E$2:$E$173,0),MATCH('Selection Pane Data'!CD$3,List!$E$2:$CD$2,0)),"")</f>
        <v/>
      </c>
      <c r="CE7" s="13" t="str">
        <f>IF(CE$4="Yes",INDEX(List!$E$2:$CD$173,MATCH('Selection Pane Data'!$B7,List!$E$2:$E$173,0),MATCH('Selection Pane Data'!CE$3,List!$E$2:$CD$2,0)),"")</f>
        <v/>
      </c>
    </row>
    <row r="8" spans="2:83" x14ac:dyDescent="0.35">
      <c r="B8" s="21" t="s">
        <v>295</v>
      </c>
      <c r="C8" s="126" t="str">
        <f>VLOOKUP(B8,List!$E$2:$G$173,2,FALSE)</f>
        <v>AC.L1-3.1.22</v>
      </c>
      <c r="D8" s="31" t="str">
        <f>List!G6</f>
        <v>Shared Coverage</v>
      </c>
      <c r="E8" s="31" t="str">
        <f>IF(Placemat!$F$4="All Practices","All Practices",IF(VLOOKUP(B8,Table7[#All],6,FALSE)="No Mapping","New CMMC Practices","Practices with NIST 800-171 Mappings"))</f>
        <v>Practices with NIST 800-171 Mappings</v>
      </c>
      <c r="F8" t="str">
        <f>INDEX('CMMC Levels'!$A$1:$F$172,MATCH('Selection Pane Data'!$C8,'CMMC Levels'!$A$1:$A$172,0),MATCH(Placemat!$F$4,'CMMC Levels'!$A$1:$F$1,0))</f>
        <v>X</v>
      </c>
      <c r="G8" s="77" t="str">
        <f>IF((COUNTIF(List!H6:CE6,"P")+COUNTIF(List!H6:CE6,"S"))=0,"N",IF(COUNTIF(H8:CE8,"P"),"P",IF(COUNTIF(H8:CE8,"S"),"S","U")))</f>
        <v>U</v>
      </c>
      <c r="H8" s="13" t="str">
        <f>IF(H$4="Yes",INDEX(List!$E$2:$CD$173,MATCH('Selection Pane Data'!$B8,List!$E$2:$E$173,0),MATCH('Selection Pane Data'!H$3,List!$E$2:$CD$2,0)),"")</f>
        <v/>
      </c>
      <c r="I8" s="13" t="str">
        <f>IF(I$4="Yes",INDEX(List!$E$2:$CD$173,MATCH('Selection Pane Data'!$B8,List!$E$2:$E$173,0),MATCH('Selection Pane Data'!I$3,List!$E$2:$CD$2,0)),"")</f>
        <v/>
      </c>
      <c r="J8" s="13" t="str">
        <f>IF(J$4="Yes",INDEX(List!$E$2:$CD$173,MATCH('Selection Pane Data'!$B8,List!$E$2:$E$173,0),MATCH('Selection Pane Data'!J$3,List!$E$2:$CD$2,0)),"")</f>
        <v>N</v>
      </c>
      <c r="K8" s="13" t="str">
        <f>IF(K$4="Yes",INDEX(List!$E$2:$CD$173,MATCH('Selection Pane Data'!$B8,List!$E$2:$E$173,0),MATCH('Selection Pane Data'!K$3,List!$E$2:$CD$2,0)),"")</f>
        <v/>
      </c>
      <c r="L8" s="13" t="str">
        <f>IF(L$4="Yes",INDEX(List!$E$2:$CD$173,MATCH('Selection Pane Data'!$B8,List!$E$2:$E$173,0),MATCH('Selection Pane Data'!L$3,List!$E$2:$CD$2,0)),"")</f>
        <v/>
      </c>
      <c r="M8" s="13" t="str">
        <f>IF(M$4="Yes",INDEX(List!$E$2:$CD$173,MATCH('Selection Pane Data'!$B8,List!$E$2:$E$173,0),MATCH('Selection Pane Data'!M$3,List!$E$2:$CD$2,0)),"")</f>
        <v/>
      </c>
      <c r="N8" s="13" t="str">
        <f>IF(N$4="Yes",INDEX(List!$E$2:$CD$173,MATCH('Selection Pane Data'!$B8,List!$E$2:$E$173,0),MATCH('Selection Pane Data'!N$3,List!$E$2:$CD$2,0)),"")</f>
        <v/>
      </c>
      <c r="O8" s="13" t="str">
        <f>IF(O$4="Yes",INDEX(List!$E$2:$CD$173,MATCH('Selection Pane Data'!$B8,List!$E$2:$E$173,0),MATCH('Selection Pane Data'!O$3,List!$E$2:$CD$2,0)),"")</f>
        <v/>
      </c>
      <c r="P8" s="13" t="str">
        <f>IF(P$4="Yes",INDEX(List!$E$2:$CD$173,MATCH('Selection Pane Data'!$B8,List!$E$2:$E$173,0),MATCH('Selection Pane Data'!P$3,List!$E$2:$CD$2,0)),"")</f>
        <v/>
      </c>
      <c r="Q8" s="13" t="str">
        <f>IF(Q$4="Yes",INDEX(List!$E$2:$CD$173,MATCH('Selection Pane Data'!$B8,List!$E$2:$E$173,0),MATCH('Selection Pane Data'!Q$3,List!$E$2:$CD$2,0)),"")</f>
        <v/>
      </c>
      <c r="R8" s="13" t="str">
        <f>IF(R$4="Yes",INDEX(List!$E$2:$CD$173,MATCH('Selection Pane Data'!$B8,List!$E$2:$E$173,0),MATCH('Selection Pane Data'!R$3,List!$E$2:$CD$2,0)),"")</f>
        <v/>
      </c>
      <c r="S8" s="13" t="str">
        <f>IF(S$4="Yes",INDEX(List!$E$2:$CD$173,MATCH('Selection Pane Data'!$B8,List!$E$2:$E$173,0),MATCH('Selection Pane Data'!S$3,List!$E$2:$CD$2,0)),"")</f>
        <v/>
      </c>
      <c r="T8" s="13" t="str">
        <f>IF(T$4="Yes",INDEX(List!$E$2:$CD$173,MATCH('Selection Pane Data'!$B8,List!$E$2:$E$173,0),MATCH('Selection Pane Data'!T$3,List!$E$2:$CD$2,0)),"")</f>
        <v/>
      </c>
      <c r="U8" s="13" t="str">
        <f>IF(U$4="Yes",INDEX(List!$E$2:$CD$173,MATCH('Selection Pane Data'!$B8,List!$E$2:$E$173,0),MATCH('Selection Pane Data'!U$3,List!$E$2:$CD$2,0)),"")</f>
        <v/>
      </c>
      <c r="V8" s="13" t="str">
        <f>IF(V$4="Yes",INDEX(List!$E$2:$CD$173,MATCH('Selection Pane Data'!$B8,List!$E$2:$E$173,0),MATCH('Selection Pane Data'!V$3,List!$E$2:$CD$2,0)),"")</f>
        <v/>
      </c>
      <c r="W8" s="13" t="str">
        <f>IF(W$4="Yes",INDEX(List!$E$2:$CD$173,MATCH('Selection Pane Data'!$B8,List!$E$2:$E$173,0),MATCH('Selection Pane Data'!W$3,List!$E$2:$CD$2,0)),"")</f>
        <v/>
      </c>
      <c r="X8" s="13" t="str">
        <f>IF(X$4="Yes",INDEX(List!$E$2:$CD$173,MATCH('Selection Pane Data'!$B8,List!$E$2:$E$173,0),MATCH('Selection Pane Data'!X$3,List!$E$2:$CD$2,0)),"")</f>
        <v/>
      </c>
      <c r="Y8" s="13" t="str">
        <f>IF(Y$4="Yes",INDEX(List!$E$2:$CD$173,MATCH('Selection Pane Data'!$B8,List!$E$2:$E$173,0),MATCH('Selection Pane Data'!Y$3,List!$E$2:$CD$2,0)),"")</f>
        <v/>
      </c>
      <c r="Z8" s="13" t="str">
        <f>IF(Z$4="Yes",INDEX(List!$E$2:$CD$173,MATCH('Selection Pane Data'!$B8,List!$E$2:$E$173,0),MATCH('Selection Pane Data'!Z$3,List!$E$2:$CD$2,0)),"")</f>
        <v/>
      </c>
      <c r="AA8" s="13" t="str">
        <f>IF(AA$4="Yes",INDEX(List!$E$2:$CD$173,MATCH('Selection Pane Data'!$B8,List!$E$2:$E$173,0),MATCH('Selection Pane Data'!AA$3,List!$E$2:$CD$2,0)),"")</f>
        <v>N</v>
      </c>
      <c r="AB8" s="13" t="str">
        <f>IF(AB$4="Yes",INDEX(List!$E$2:$CD$173,MATCH('Selection Pane Data'!$B8,List!$E$2:$E$173,0),MATCH('Selection Pane Data'!AB$3,List!$E$2:$CD$2,0)),"")</f>
        <v/>
      </c>
      <c r="AC8" s="13" t="str">
        <f>IF(AC$4="Yes",INDEX(List!$E$2:$CD$173,MATCH('Selection Pane Data'!$B8,List!$E$2:$E$173,0),MATCH('Selection Pane Data'!AC$3,List!$E$2:$CD$2,0)),"")</f>
        <v/>
      </c>
      <c r="AD8" s="13" t="str">
        <f>IF(AD$4="Yes",INDEX(List!$E$2:$CD$173,MATCH('Selection Pane Data'!$B8,List!$E$2:$E$173,0),MATCH('Selection Pane Data'!AD$3,List!$E$2:$CD$2,0)),"")</f>
        <v/>
      </c>
      <c r="AE8" s="13" t="str">
        <f>IF(AE$4="Yes",INDEX(List!$E$2:$CD$173,MATCH('Selection Pane Data'!$B8,List!$E$2:$E$173,0),MATCH('Selection Pane Data'!AE$3,List!$E$2:$CD$2,0)),"")</f>
        <v/>
      </c>
      <c r="AF8" s="13" t="str">
        <f>IF(AF$4="Yes",INDEX(List!$E$2:$CD$173,MATCH('Selection Pane Data'!$B8,List!$E$2:$E$173,0),MATCH('Selection Pane Data'!AF$3,List!$E$2:$CD$2,0)),"")</f>
        <v/>
      </c>
      <c r="AG8" s="13" t="str">
        <f>IF(AG$4="Yes",INDEX(List!$E$2:$CD$173,MATCH('Selection Pane Data'!$B8,List!$E$2:$E$173,0),MATCH('Selection Pane Data'!AG$3,List!$E$2:$CD$2,0)),"")</f>
        <v/>
      </c>
      <c r="AH8" s="13" t="str">
        <f>IF(AH$4="Yes",INDEX(List!$E$2:$CD$173,MATCH('Selection Pane Data'!$B8,List!$E$2:$E$173,0),MATCH('Selection Pane Data'!AH$3,List!$E$2:$CD$2,0)),"")</f>
        <v/>
      </c>
      <c r="AI8" s="13" t="str">
        <f>IF(AI$4="Yes",INDEX(List!$E$2:$CD$173,MATCH('Selection Pane Data'!$B8,List!$E$2:$E$173,0),MATCH('Selection Pane Data'!AI$3,List!$E$2:$CD$2,0)),"")</f>
        <v/>
      </c>
      <c r="AJ8" s="13" t="str">
        <f>IF(AJ$4="Yes",INDEX(List!$E$2:$CD$173,MATCH('Selection Pane Data'!$B8,List!$E$2:$E$173,0),MATCH('Selection Pane Data'!AJ$3,List!$E$2:$CD$2,0)),"")</f>
        <v/>
      </c>
      <c r="AK8" s="13" t="str">
        <f>IF(AK$4="Yes",INDEX(List!$E$2:$CD$173,MATCH('Selection Pane Data'!$B8,List!$E$2:$E$173,0),MATCH('Selection Pane Data'!AK$3,List!$E$2:$CD$2,0)),"")</f>
        <v/>
      </c>
      <c r="AL8" s="13" t="str">
        <f>IF(AL$4="Yes",INDEX(List!$E$2:$CD$173,MATCH('Selection Pane Data'!$B8,List!$E$2:$E$173,0),MATCH('Selection Pane Data'!AL$3,List!$E$2:$CD$2,0)),"")</f>
        <v/>
      </c>
      <c r="AM8" s="13" t="str">
        <f>IF(AM$4="Yes",INDEX(List!$E$2:$CD$173,MATCH('Selection Pane Data'!$B8,List!$E$2:$E$173,0),MATCH('Selection Pane Data'!AM$3,List!$E$2:$CD$2,0)),"")</f>
        <v/>
      </c>
      <c r="AN8" s="13" t="str">
        <f>IF(AN$4="Yes",INDEX(List!$E$2:$CD$173,MATCH('Selection Pane Data'!$B8,List!$E$2:$E$173,0),MATCH('Selection Pane Data'!AN$3,List!$E$2:$CD$2,0)),"")</f>
        <v/>
      </c>
      <c r="AO8" s="13" t="str">
        <f>IF(AO$4="Yes",INDEX(List!$E$2:$CD$173,MATCH('Selection Pane Data'!$B8,List!$E$2:$E$173,0),MATCH('Selection Pane Data'!AO$3,List!$E$2:$CD$2,0)),"")</f>
        <v/>
      </c>
      <c r="AP8" s="13" t="str">
        <f>IF(AP$4="Yes",INDEX(List!$E$2:$CD$173,MATCH('Selection Pane Data'!$B8,List!$E$2:$E$173,0),MATCH('Selection Pane Data'!AP$3,List!$E$2:$CD$2,0)),"")</f>
        <v/>
      </c>
      <c r="AQ8" s="13" t="str">
        <f>IF(AQ$4="Yes",INDEX(List!$E$2:$CD$173,MATCH('Selection Pane Data'!$B8,List!$E$2:$E$173,0),MATCH('Selection Pane Data'!AQ$3,List!$E$2:$CD$2,0)),"")</f>
        <v/>
      </c>
      <c r="AR8" s="13" t="str">
        <f>IF(AR$4="Yes",INDEX(List!$E$2:$CD$173,MATCH('Selection Pane Data'!$B8,List!$E$2:$E$173,0),MATCH('Selection Pane Data'!AR$3,List!$E$2:$CD$2,0)),"")</f>
        <v/>
      </c>
      <c r="AS8" s="13" t="str">
        <f>IF(AS$4="Yes",INDEX(List!$E$2:$CD$173,MATCH('Selection Pane Data'!$B8,List!$E$2:$E$173,0),MATCH('Selection Pane Data'!AS$3,List!$E$2:$CD$2,0)),"")</f>
        <v/>
      </c>
      <c r="AT8" s="13" t="str">
        <f>IF(AT$4="Yes",INDEX(List!$E$2:$CD$173,MATCH('Selection Pane Data'!$B8,List!$E$2:$E$173,0),MATCH('Selection Pane Data'!AT$3,List!$E$2:$CD$2,0)),"")</f>
        <v/>
      </c>
      <c r="AU8" s="13" t="str">
        <f>IF(AU$4="Yes",INDEX(List!$E$2:$CD$173,MATCH('Selection Pane Data'!$B8,List!$E$2:$E$173,0),MATCH('Selection Pane Data'!AU$3,List!$E$2:$CD$2,0)),"")</f>
        <v/>
      </c>
      <c r="AV8" s="13" t="str">
        <f>IF(AV$4="Yes",INDEX(List!$E$2:$CD$173,MATCH('Selection Pane Data'!$B8,List!$E$2:$E$173,0),MATCH('Selection Pane Data'!AV$3,List!$E$2:$CD$2,0)),"")</f>
        <v/>
      </c>
      <c r="AW8" s="13" t="str">
        <f>IF(AW$4="Yes",INDEX(List!$E$2:$CD$173,MATCH('Selection Pane Data'!$B8,List!$E$2:$E$173,0),MATCH('Selection Pane Data'!AW$3,List!$E$2:$CD$2,0)),"")</f>
        <v/>
      </c>
      <c r="AX8" s="13" t="str">
        <f>IF(AX$4="Yes",INDEX(List!$E$2:$CD$173,MATCH('Selection Pane Data'!$B8,List!$E$2:$E$173,0),MATCH('Selection Pane Data'!AX$3,List!$E$2:$CD$2,0)),"")</f>
        <v/>
      </c>
      <c r="AY8" s="13" t="str">
        <f>IF(AY$4="Yes",INDEX(List!$E$2:$CD$173,MATCH('Selection Pane Data'!$B8,List!$E$2:$E$173,0),MATCH('Selection Pane Data'!AY$3,List!$E$2:$CD$2,0)),"")</f>
        <v/>
      </c>
      <c r="AZ8" s="13" t="str">
        <f>IF(AZ$4="Yes",INDEX(List!$E$2:$CD$173,MATCH('Selection Pane Data'!$B8,List!$E$2:$E$173,0),MATCH('Selection Pane Data'!AZ$3,List!$E$2:$CD$2,0)),"")</f>
        <v/>
      </c>
      <c r="BA8" s="13" t="str">
        <f>IF(BA$4="Yes",INDEX(List!$E$2:$CD$173,MATCH('Selection Pane Data'!$B8,List!$E$2:$E$173,0),MATCH('Selection Pane Data'!BA$3,List!$E$2:$CD$2,0)),"")</f>
        <v/>
      </c>
      <c r="BB8" s="13" t="str">
        <f>IF(BB$4="Yes",INDEX(List!$E$2:$CD$173,MATCH('Selection Pane Data'!$B8,List!$E$2:$E$173,0),MATCH('Selection Pane Data'!BB$3,List!$E$2:$CD$2,0)),"")</f>
        <v/>
      </c>
      <c r="BC8" s="13" t="str">
        <f>IF(BC$4="Yes",INDEX(List!$E$2:$CD$173,MATCH('Selection Pane Data'!$B8,List!$E$2:$E$173,0),MATCH('Selection Pane Data'!BC$3,List!$E$2:$CD$2,0)),"")</f>
        <v/>
      </c>
      <c r="BD8" s="13" t="str">
        <f>IF(BD$4="Yes",INDEX(List!$E$2:$CD$173,MATCH('Selection Pane Data'!$B8,List!$E$2:$E$173,0),MATCH('Selection Pane Data'!BD$3,List!$E$2:$CD$2,0)),"")</f>
        <v/>
      </c>
      <c r="BE8" s="13" t="str">
        <f>IF(BE$4="Yes",INDEX(List!$E$2:$CD$173,MATCH('Selection Pane Data'!$B8,List!$E$2:$E$173,0),MATCH('Selection Pane Data'!BE$3,List!$E$2:$CD$2,0)),"")</f>
        <v/>
      </c>
      <c r="BF8" s="13" t="str">
        <f>IF(BF$4="Yes",INDEX(List!$E$2:$CD$173,MATCH('Selection Pane Data'!$B8,List!$E$2:$E$173,0),MATCH('Selection Pane Data'!BF$3,List!$E$2:$CD$2,0)),"")</f>
        <v/>
      </c>
      <c r="BG8" s="13" t="str">
        <f>IF(BG$4="Yes",INDEX(List!$E$2:$CD$173,MATCH('Selection Pane Data'!$B8,List!$E$2:$E$173,0),MATCH('Selection Pane Data'!BG$3,List!$E$2:$CD$2,0)),"")</f>
        <v/>
      </c>
      <c r="BH8" s="13" t="str">
        <f>IF(BH$4="Yes",INDEX(List!$E$2:$CD$173,MATCH('Selection Pane Data'!$B8,List!$E$2:$E$173,0),MATCH('Selection Pane Data'!BH$3,List!$E$2:$CD$2,0)),"")</f>
        <v/>
      </c>
      <c r="BI8" s="13" t="str">
        <f>IF(BI$4="Yes",INDEX(List!$E$2:$CD$173,MATCH('Selection Pane Data'!$B8,List!$E$2:$E$173,0),MATCH('Selection Pane Data'!BI$3,List!$E$2:$CD$2,0)),"")</f>
        <v/>
      </c>
      <c r="BJ8" s="13" t="str">
        <f>IF(BJ$4="Yes",INDEX(List!$E$2:$CD$173,MATCH('Selection Pane Data'!$B8,List!$E$2:$E$173,0),MATCH('Selection Pane Data'!BJ$3,List!$E$2:$CD$2,0)),"")</f>
        <v/>
      </c>
      <c r="BK8" s="13" t="str">
        <f>IF(BK$4="Yes",INDEX(List!$E$2:$CD$173,MATCH('Selection Pane Data'!$B8,List!$E$2:$E$173,0),MATCH('Selection Pane Data'!BK$3,List!$E$2:$CD$2,0)),"")</f>
        <v/>
      </c>
      <c r="BL8" s="13" t="str">
        <f>IF(BL$4="Yes",INDEX(List!$E$2:$CD$173,MATCH('Selection Pane Data'!$B8,List!$E$2:$E$173,0),MATCH('Selection Pane Data'!BL$3,List!$E$2:$CD$2,0)),"")</f>
        <v/>
      </c>
      <c r="BM8" s="13" t="str">
        <f>IF(BM$4="Yes",INDEX(List!$E$2:$CD$173,MATCH('Selection Pane Data'!$B8,List!$E$2:$E$173,0),MATCH('Selection Pane Data'!BM$3,List!$E$2:$CD$2,0)),"")</f>
        <v/>
      </c>
      <c r="BN8" s="13" t="str">
        <f>IF(BN$4="Yes",INDEX(List!$E$2:$CD$173,MATCH('Selection Pane Data'!$B8,List!$E$2:$E$173,0),MATCH('Selection Pane Data'!BN$3,List!$E$2:$CD$2,0)),"")</f>
        <v/>
      </c>
      <c r="BO8" s="13" t="str">
        <f>IF(BO$4="Yes",INDEX(List!$E$2:$CD$173,MATCH('Selection Pane Data'!$B8,List!$E$2:$E$173,0),MATCH('Selection Pane Data'!BO$3,List!$E$2:$CD$2,0)),"")</f>
        <v/>
      </c>
      <c r="BP8" s="13" t="str">
        <f>IF(BP$4="Yes",INDEX(List!$E$2:$CD$173,MATCH('Selection Pane Data'!$B8,List!$E$2:$E$173,0),MATCH('Selection Pane Data'!BP$3,List!$E$2:$CD$2,0)),"")</f>
        <v/>
      </c>
      <c r="BQ8" s="13" t="str">
        <f>IF(BQ$4="Yes",INDEX(List!$E$2:$CD$173,MATCH('Selection Pane Data'!$B8,List!$E$2:$E$173,0),MATCH('Selection Pane Data'!BQ$3,List!$E$2:$CD$2,0)),"")</f>
        <v/>
      </c>
      <c r="BR8" s="13" t="str">
        <f>IF(BR$4="Yes",INDEX(List!$E$2:$CD$173,MATCH('Selection Pane Data'!$B8,List!$E$2:$E$173,0),MATCH('Selection Pane Data'!BR$3,List!$E$2:$CD$2,0)),"")</f>
        <v/>
      </c>
      <c r="BS8" s="13" t="str">
        <f>IF(BS$4="Yes",INDEX(List!$E$2:$CD$173,MATCH('Selection Pane Data'!$B8,List!$E$2:$E$173,0),MATCH('Selection Pane Data'!BS$3,List!$E$2:$CD$2,0)),"")</f>
        <v/>
      </c>
      <c r="BT8" s="13" t="str">
        <f>IF(BT$4="Yes",INDEX(List!$E$2:$CD$173,MATCH('Selection Pane Data'!$B8,List!$E$2:$E$173,0),MATCH('Selection Pane Data'!BT$3,List!$E$2:$CD$2,0)),"")</f>
        <v/>
      </c>
      <c r="BU8" s="13" t="str">
        <f>IF(BU$4="Yes",INDEX(List!$E$2:$CD$173,MATCH('Selection Pane Data'!$B8,List!$E$2:$E$173,0),MATCH('Selection Pane Data'!BU$3,List!$E$2:$CD$2,0)),"")</f>
        <v/>
      </c>
      <c r="BV8" s="13" t="str">
        <f>IF(BV$4="Yes",INDEX(List!$E$2:$CD$173,MATCH('Selection Pane Data'!$B8,List!$E$2:$E$173,0),MATCH('Selection Pane Data'!BV$3,List!$E$2:$CD$2,0)),"")</f>
        <v/>
      </c>
      <c r="BW8" s="13" t="str">
        <f>IF(BW$4="Yes",INDEX(List!$E$2:$CD$173,MATCH('Selection Pane Data'!$B8,List!$E$2:$E$173,0),MATCH('Selection Pane Data'!BW$3,List!$E$2:$CD$2,0)),"")</f>
        <v/>
      </c>
      <c r="BX8" s="13" t="str">
        <f>IF(BX$4="Yes",INDEX(List!$E$2:$CD$173,MATCH('Selection Pane Data'!$B8,List!$E$2:$E$173,0),MATCH('Selection Pane Data'!BX$3,List!$E$2:$CD$2,0)),"")</f>
        <v/>
      </c>
      <c r="BY8" s="13" t="str">
        <f>IF(BY$4="Yes",INDEX(List!$E$2:$CD$173,MATCH('Selection Pane Data'!$B8,List!$E$2:$E$173,0),MATCH('Selection Pane Data'!BY$3,List!$E$2:$CD$2,0)),"")</f>
        <v/>
      </c>
      <c r="BZ8" s="13" t="str">
        <f>IF(BZ$4="Yes",INDEX(List!$E$2:$CD$173,MATCH('Selection Pane Data'!$B8,List!$E$2:$E$173,0),MATCH('Selection Pane Data'!BZ$3,List!$E$2:$CD$2,0)),"")</f>
        <v/>
      </c>
      <c r="CA8" s="13" t="str">
        <f>IF(CA$4="Yes",INDEX(List!$E$2:$CD$173,MATCH('Selection Pane Data'!$B8,List!$E$2:$E$173,0),MATCH('Selection Pane Data'!CA$3,List!$E$2:$CD$2,0)),"")</f>
        <v/>
      </c>
      <c r="CB8" s="13" t="str">
        <f>IF(CB$4="Yes",INDEX(List!$E$2:$CD$173,MATCH('Selection Pane Data'!$B8,List!$E$2:$E$173,0),MATCH('Selection Pane Data'!CB$3,List!$E$2:$CD$2,0)),"")</f>
        <v/>
      </c>
      <c r="CC8" s="13" t="str">
        <f>IF(CC$4="Yes",INDEX(List!$E$2:$CD$173,MATCH('Selection Pane Data'!$B8,List!$E$2:$E$173,0),MATCH('Selection Pane Data'!CC$3,List!$E$2:$CD$2,0)),"")</f>
        <v/>
      </c>
      <c r="CD8" s="13" t="str">
        <f>IF(CD$4="Yes",INDEX(List!$E$2:$CD$173,MATCH('Selection Pane Data'!$B8,List!$E$2:$E$173,0),MATCH('Selection Pane Data'!CD$3,List!$E$2:$CD$2,0)),"")</f>
        <v/>
      </c>
      <c r="CE8" s="13" t="str">
        <f>IF(CE$4="Yes",INDEX(List!$E$2:$CD$173,MATCH('Selection Pane Data'!$B8,List!$E$2:$E$173,0),MATCH('Selection Pane Data'!CE$3,List!$E$2:$CD$2,0)),"")</f>
        <v/>
      </c>
    </row>
    <row r="9" spans="2:83" x14ac:dyDescent="0.35">
      <c r="B9" s="21" t="s">
        <v>296</v>
      </c>
      <c r="C9" s="126" t="str">
        <f>VLOOKUP(B9,List!$E$2:$G$173,2,FALSE)</f>
        <v>AC.L2-3.1.9</v>
      </c>
      <c r="D9" s="31" t="str">
        <f>List!G7</f>
        <v>Shared Coverage</v>
      </c>
      <c r="E9" s="31" t="str">
        <f>IF(Placemat!$F$4="All Practices","All Practices",IF(VLOOKUP(B9,Table7[#All],6,FALSE)="No Mapping","New CMMC Practices","Practices with NIST 800-171 Mappings"))</f>
        <v>Practices with NIST 800-171 Mappings</v>
      </c>
      <c r="F9" t="str">
        <f>INDEX('CMMC Levels'!$A$1:$F$172,MATCH('Selection Pane Data'!$C9,'CMMC Levels'!$A$1:$A$172,0),MATCH(Placemat!$F$4,'CMMC Levels'!$A$1:$F$1,0))</f>
        <v>X</v>
      </c>
      <c r="G9" s="77" t="str">
        <f>IF((COUNTIF(List!H7:CE7,"P")+COUNTIF(List!H7:CE7,"S"))=0,"N",IF(COUNTIF(H9:CE9,"P"),"P",IF(COUNTIF(H9:CE9,"S"),"S","U")))</f>
        <v>U</v>
      </c>
      <c r="H9" s="13" t="str">
        <f>IF(H$4="Yes",INDEX(List!$E$2:$CD$173,MATCH('Selection Pane Data'!$B9,List!$E$2:$E$173,0),MATCH('Selection Pane Data'!H$3,List!$E$2:$CD$2,0)),"")</f>
        <v/>
      </c>
      <c r="I9" s="13" t="str">
        <f>IF(I$4="Yes",INDEX(List!$E$2:$CD$173,MATCH('Selection Pane Data'!$B9,List!$E$2:$E$173,0),MATCH('Selection Pane Data'!I$3,List!$E$2:$CD$2,0)),"")</f>
        <v/>
      </c>
      <c r="J9" s="13" t="str">
        <f>IF(J$4="Yes",INDEX(List!$E$2:$CD$173,MATCH('Selection Pane Data'!$B9,List!$E$2:$E$173,0),MATCH('Selection Pane Data'!J$3,List!$E$2:$CD$2,0)),"")</f>
        <v>N</v>
      </c>
      <c r="K9" s="13" t="str">
        <f>IF(K$4="Yes",INDEX(List!$E$2:$CD$173,MATCH('Selection Pane Data'!$B9,List!$E$2:$E$173,0),MATCH('Selection Pane Data'!K$3,List!$E$2:$CD$2,0)),"")</f>
        <v/>
      </c>
      <c r="L9" s="13" t="str">
        <f>IF(L$4="Yes",INDEX(List!$E$2:$CD$173,MATCH('Selection Pane Data'!$B9,List!$E$2:$E$173,0),MATCH('Selection Pane Data'!L$3,List!$E$2:$CD$2,0)),"")</f>
        <v/>
      </c>
      <c r="M9" s="13" t="str">
        <f>IF(M$4="Yes",INDEX(List!$E$2:$CD$173,MATCH('Selection Pane Data'!$B9,List!$E$2:$E$173,0),MATCH('Selection Pane Data'!M$3,List!$E$2:$CD$2,0)),"")</f>
        <v/>
      </c>
      <c r="N9" s="13" t="str">
        <f>IF(N$4="Yes",INDEX(List!$E$2:$CD$173,MATCH('Selection Pane Data'!$B9,List!$E$2:$E$173,0),MATCH('Selection Pane Data'!N$3,List!$E$2:$CD$2,0)),"")</f>
        <v/>
      </c>
      <c r="O9" s="13" t="str">
        <f>IF(O$4="Yes",INDEX(List!$E$2:$CD$173,MATCH('Selection Pane Data'!$B9,List!$E$2:$E$173,0),MATCH('Selection Pane Data'!O$3,List!$E$2:$CD$2,0)),"")</f>
        <v/>
      </c>
      <c r="P9" s="13" t="str">
        <f>IF(P$4="Yes",INDEX(List!$E$2:$CD$173,MATCH('Selection Pane Data'!$B9,List!$E$2:$E$173,0),MATCH('Selection Pane Data'!P$3,List!$E$2:$CD$2,0)),"")</f>
        <v/>
      </c>
      <c r="Q9" s="13" t="str">
        <f>IF(Q$4="Yes",INDEX(List!$E$2:$CD$173,MATCH('Selection Pane Data'!$B9,List!$E$2:$E$173,0),MATCH('Selection Pane Data'!Q$3,List!$E$2:$CD$2,0)),"")</f>
        <v/>
      </c>
      <c r="R9" s="13" t="str">
        <f>IF(R$4="Yes",INDEX(List!$E$2:$CD$173,MATCH('Selection Pane Data'!$B9,List!$E$2:$E$173,0),MATCH('Selection Pane Data'!R$3,List!$E$2:$CD$2,0)),"")</f>
        <v/>
      </c>
      <c r="S9" s="13" t="str">
        <f>IF(S$4="Yes",INDEX(List!$E$2:$CD$173,MATCH('Selection Pane Data'!$B9,List!$E$2:$E$173,0),MATCH('Selection Pane Data'!S$3,List!$E$2:$CD$2,0)),"")</f>
        <v/>
      </c>
      <c r="T9" s="13" t="str">
        <f>IF(T$4="Yes",INDEX(List!$E$2:$CD$173,MATCH('Selection Pane Data'!$B9,List!$E$2:$E$173,0),MATCH('Selection Pane Data'!T$3,List!$E$2:$CD$2,0)),"")</f>
        <v/>
      </c>
      <c r="U9" s="13" t="str">
        <f>IF(U$4="Yes",INDEX(List!$E$2:$CD$173,MATCH('Selection Pane Data'!$B9,List!$E$2:$E$173,0),MATCH('Selection Pane Data'!U$3,List!$E$2:$CD$2,0)),"")</f>
        <v/>
      </c>
      <c r="V9" s="13" t="str">
        <f>IF(V$4="Yes",INDEX(List!$E$2:$CD$173,MATCH('Selection Pane Data'!$B9,List!$E$2:$E$173,0),MATCH('Selection Pane Data'!V$3,List!$E$2:$CD$2,0)),"")</f>
        <v/>
      </c>
      <c r="W9" s="13" t="str">
        <f>IF(W$4="Yes",INDEX(List!$E$2:$CD$173,MATCH('Selection Pane Data'!$B9,List!$E$2:$E$173,0),MATCH('Selection Pane Data'!W$3,List!$E$2:$CD$2,0)),"")</f>
        <v/>
      </c>
      <c r="X9" s="13" t="str">
        <f>IF(X$4="Yes",INDEX(List!$E$2:$CD$173,MATCH('Selection Pane Data'!$B9,List!$E$2:$E$173,0),MATCH('Selection Pane Data'!X$3,List!$E$2:$CD$2,0)),"")</f>
        <v/>
      </c>
      <c r="Y9" s="13" t="str">
        <f>IF(Y$4="Yes",INDEX(List!$E$2:$CD$173,MATCH('Selection Pane Data'!$B9,List!$E$2:$E$173,0),MATCH('Selection Pane Data'!Y$3,List!$E$2:$CD$2,0)),"")</f>
        <v/>
      </c>
      <c r="Z9" s="13" t="str">
        <f>IF(Z$4="Yes",INDEX(List!$E$2:$CD$173,MATCH('Selection Pane Data'!$B9,List!$E$2:$E$173,0),MATCH('Selection Pane Data'!Z$3,List!$E$2:$CD$2,0)),"")</f>
        <v/>
      </c>
      <c r="AA9" s="13" t="str">
        <f>IF(AA$4="Yes",INDEX(List!$E$2:$CD$173,MATCH('Selection Pane Data'!$B9,List!$E$2:$E$173,0),MATCH('Selection Pane Data'!AA$3,List!$E$2:$CD$2,0)),"")</f>
        <v>N</v>
      </c>
      <c r="AB9" s="13" t="str">
        <f>IF(AB$4="Yes",INDEX(List!$E$2:$CD$173,MATCH('Selection Pane Data'!$B9,List!$E$2:$E$173,0),MATCH('Selection Pane Data'!AB$3,List!$E$2:$CD$2,0)),"")</f>
        <v/>
      </c>
      <c r="AC9" s="13" t="str">
        <f>IF(AC$4="Yes",INDEX(List!$E$2:$CD$173,MATCH('Selection Pane Data'!$B9,List!$E$2:$E$173,0),MATCH('Selection Pane Data'!AC$3,List!$E$2:$CD$2,0)),"")</f>
        <v/>
      </c>
      <c r="AD9" s="13" t="str">
        <f>IF(AD$4="Yes",INDEX(List!$E$2:$CD$173,MATCH('Selection Pane Data'!$B9,List!$E$2:$E$173,0),MATCH('Selection Pane Data'!AD$3,List!$E$2:$CD$2,0)),"")</f>
        <v/>
      </c>
      <c r="AE9" s="13" t="str">
        <f>IF(AE$4="Yes",INDEX(List!$E$2:$CD$173,MATCH('Selection Pane Data'!$B9,List!$E$2:$E$173,0),MATCH('Selection Pane Data'!AE$3,List!$E$2:$CD$2,0)),"")</f>
        <v/>
      </c>
      <c r="AF9" s="13" t="str">
        <f>IF(AF$4="Yes",INDEX(List!$E$2:$CD$173,MATCH('Selection Pane Data'!$B9,List!$E$2:$E$173,0),MATCH('Selection Pane Data'!AF$3,List!$E$2:$CD$2,0)),"")</f>
        <v/>
      </c>
      <c r="AG9" s="13" t="str">
        <f>IF(AG$4="Yes",INDEX(List!$E$2:$CD$173,MATCH('Selection Pane Data'!$B9,List!$E$2:$E$173,0),MATCH('Selection Pane Data'!AG$3,List!$E$2:$CD$2,0)),"")</f>
        <v/>
      </c>
      <c r="AH9" s="13" t="str">
        <f>IF(AH$4="Yes",INDEX(List!$E$2:$CD$173,MATCH('Selection Pane Data'!$B9,List!$E$2:$E$173,0),MATCH('Selection Pane Data'!AH$3,List!$E$2:$CD$2,0)),"")</f>
        <v/>
      </c>
      <c r="AI9" s="13" t="str">
        <f>IF(AI$4="Yes",INDEX(List!$E$2:$CD$173,MATCH('Selection Pane Data'!$B9,List!$E$2:$E$173,0),MATCH('Selection Pane Data'!AI$3,List!$E$2:$CD$2,0)),"")</f>
        <v/>
      </c>
      <c r="AJ9" s="13" t="str">
        <f>IF(AJ$4="Yes",INDEX(List!$E$2:$CD$173,MATCH('Selection Pane Data'!$B9,List!$E$2:$E$173,0),MATCH('Selection Pane Data'!AJ$3,List!$E$2:$CD$2,0)),"")</f>
        <v/>
      </c>
      <c r="AK9" s="13" t="str">
        <f>IF(AK$4="Yes",INDEX(List!$E$2:$CD$173,MATCH('Selection Pane Data'!$B9,List!$E$2:$E$173,0),MATCH('Selection Pane Data'!AK$3,List!$E$2:$CD$2,0)),"")</f>
        <v/>
      </c>
      <c r="AL9" s="13" t="str">
        <f>IF(AL$4="Yes",INDEX(List!$E$2:$CD$173,MATCH('Selection Pane Data'!$B9,List!$E$2:$E$173,0),MATCH('Selection Pane Data'!AL$3,List!$E$2:$CD$2,0)),"")</f>
        <v/>
      </c>
      <c r="AM9" s="13" t="str">
        <f>IF(AM$4="Yes",INDEX(List!$E$2:$CD$173,MATCH('Selection Pane Data'!$B9,List!$E$2:$E$173,0),MATCH('Selection Pane Data'!AM$3,List!$E$2:$CD$2,0)),"")</f>
        <v/>
      </c>
      <c r="AN9" s="13" t="str">
        <f>IF(AN$4="Yes",INDEX(List!$E$2:$CD$173,MATCH('Selection Pane Data'!$B9,List!$E$2:$E$173,0),MATCH('Selection Pane Data'!AN$3,List!$E$2:$CD$2,0)),"")</f>
        <v/>
      </c>
      <c r="AO9" s="13" t="str">
        <f>IF(AO$4="Yes",INDEX(List!$E$2:$CD$173,MATCH('Selection Pane Data'!$B9,List!$E$2:$E$173,0),MATCH('Selection Pane Data'!AO$3,List!$E$2:$CD$2,0)),"")</f>
        <v/>
      </c>
      <c r="AP9" s="13" t="str">
        <f>IF(AP$4="Yes",INDEX(List!$E$2:$CD$173,MATCH('Selection Pane Data'!$B9,List!$E$2:$E$173,0),MATCH('Selection Pane Data'!AP$3,List!$E$2:$CD$2,0)),"")</f>
        <v/>
      </c>
      <c r="AQ9" s="13" t="str">
        <f>IF(AQ$4="Yes",INDEX(List!$E$2:$CD$173,MATCH('Selection Pane Data'!$B9,List!$E$2:$E$173,0),MATCH('Selection Pane Data'!AQ$3,List!$E$2:$CD$2,0)),"")</f>
        <v/>
      </c>
      <c r="AR9" s="13" t="str">
        <f>IF(AR$4="Yes",INDEX(List!$E$2:$CD$173,MATCH('Selection Pane Data'!$B9,List!$E$2:$E$173,0),MATCH('Selection Pane Data'!AR$3,List!$E$2:$CD$2,0)),"")</f>
        <v/>
      </c>
      <c r="AS9" s="13" t="str">
        <f>IF(AS$4="Yes",INDEX(List!$E$2:$CD$173,MATCH('Selection Pane Data'!$B9,List!$E$2:$E$173,0),MATCH('Selection Pane Data'!AS$3,List!$E$2:$CD$2,0)),"")</f>
        <v/>
      </c>
      <c r="AT9" s="13" t="str">
        <f>IF(AT$4="Yes",INDEX(List!$E$2:$CD$173,MATCH('Selection Pane Data'!$B9,List!$E$2:$E$173,0),MATCH('Selection Pane Data'!AT$3,List!$E$2:$CD$2,0)),"")</f>
        <v/>
      </c>
      <c r="AU9" s="13" t="str">
        <f>IF(AU$4="Yes",INDEX(List!$E$2:$CD$173,MATCH('Selection Pane Data'!$B9,List!$E$2:$E$173,0),MATCH('Selection Pane Data'!AU$3,List!$E$2:$CD$2,0)),"")</f>
        <v/>
      </c>
      <c r="AV9" s="13" t="str">
        <f>IF(AV$4="Yes",INDEX(List!$E$2:$CD$173,MATCH('Selection Pane Data'!$B9,List!$E$2:$E$173,0),MATCH('Selection Pane Data'!AV$3,List!$E$2:$CD$2,0)),"")</f>
        <v/>
      </c>
      <c r="AW9" s="13" t="str">
        <f>IF(AW$4="Yes",INDEX(List!$E$2:$CD$173,MATCH('Selection Pane Data'!$B9,List!$E$2:$E$173,0),MATCH('Selection Pane Data'!AW$3,List!$E$2:$CD$2,0)),"")</f>
        <v/>
      </c>
      <c r="AX9" s="13" t="str">
        <f>IF(AX$4="Yes",INDEX(List!$E$2:$CD$173,MATCH('Selection Pane Data'!$B9,List!$E$2:$E$173,0),MATCH('Selection Pane Data'!AX$3,List!$E$2:$CD$2,0)),"")</f>
        <v/>
      </c>
      <c r="AY9" s="13" t="str">
        <f>IF(AY$4="Yes",INDEX(List!$E$2:$CD$173,MATCH('Selection Pane Data'!$B9,List!$E$2:$E$173,0),MATCH('Selection Pane Data'!AY$3,List!$E$2:$CD$2,0)),"")</f>
        <v/>
      </c>
      <c r="AZ9" s="13" t="str">
        <f>IF(AZ$4="Yes",INDEX(List!$E$2:$CD$173,MATCH('Selection Pane Data'!$B9,List!$E$2:$E$173,0),MATCH('Selection Pane Data'!AZ$3,List!$E$2:$CD$2,0)),"")</f>
        <v/>
      </c>
      <c r="BA9" s="13" t="str">
        <f>IF(BA$4="Yes",INDEX(List!$E$2:$CD$173,MATCH('Selection Pane Data'!$B9,List!$E$2:$E$173,0),MATCH('Selection Pane Data'!BA$3,List!$E$2:$CD$2,0)),"")</f>
        <v/>
      </c>
      <c r="BB9" s="13" t="str">
        <f>IF(BB$4="Yes",INDEX(List!$E$2:$CD$173,MATCH('Selection Pane Data'!$B9,List!$E$2:$E$173,0),MATCH('Selection Pane Data'!BB$3,List!$E$2:$CD$2,0)),"")</f>
        <v/>
      </c>
      <c r="BC9" s="13" t="str">
        <f>IF(BC$4="Yes",INDEX(List!$E$2:$CD$173,MATCH('Selection Pane Data'!$B9,List!$E$2:$E$173,0),MATCH('Selection Pane Data'!BC$3,List!$E$2:$CD$2,0)),"")</f>
        <v/>
      </c>
      <c r="BD9" s="13" t="str">
        <f>IF(BD$4="Yes",INDEX(List!$E$2:$CD$173,MATCH('Selection Pane Data'!$B9,List!$E$2:$E$173,0),MATCH('Selection Pane Data'!BD$3,List!$E$2:$CD$2,0)),"")</f>
        <v/>
      </c>
      <c r="BE9" s="13" t="str">
        <f>IF(BE$4="Yes",INDEX(List!$E$2:$CD$173,MATCH('Selection Pane Data'!$B9,List!$E$2:$E$173,0),MATCH('Selection Pane Data'!BE$3,List!$E$2:$CD$2,0)),"")</f>
        <v/>
      </c>
      <c r="BF9" s="13" t="str">
        <f>IF(BF$4="Yes",INDEX(List!$E$2:$CD$173,MATCH('Selection Pane Data'!$B9,List!$E$2:$E$173,0),MATCH('Selection Pane Data'!BF$3,List!$E$2:$CD$2,0)),"")</f>
        <v/>
      </c>
      <c r="BG9" s="13" t="str">
        <f>IF(BG$4="Yes",INDEX(List!$E$2:$CD$173,MATCH('Selection Pane Data'!$B9,List!$E$2:$E$173,0),MATCH('Selection Pane Data'!BG$3,List!$E$2:$CD$2,0)),"")</f>
        <v/>
      </c>
      <c r="BH9" s="13" t="str">
        <f>IF(BH$4="Yes",INDEX(List!$E$2:$CD$173,MATCH('Selection Pane Data'!$B9,List!$E$2:$E$173,0),MATCH('Selection Pane Data'!BH$3,List!$E$2:$CD$2,0)),"")</f>
        <v/>
      </c>
      <c r="BI9" s="13" t="str">
        <f>IF(BI$4="Yes",INDEX(List!$E$2:$CD$173,MATCH('Selection Pane Data'!$B9,List!$E$2:$E$173,0),MATCH('Selection Pane Data'!BI$3,List!$E$2:$CD$2,0)),"")</f>
        <v/>
      </c>
      <c r="BJ9" s="13" t="str">
        <f>IF(BJ$4="Yes",INDEX(List!$E$2:$CD$173,MATCH('Selection Pane Data'!$B9,List!$E$2:$E$173,0),MATCH('Selection Pane Data'!BJ$3,List!$E$2:$CD$2,0)),"")</f>
        <v/>
      </c>
      <c r="BK9" s="13" t="str">
        <f>IF(BK$4="Yes",INDEX(List!$E$2:$CD$173,MATCH('Selection Pane Data'!$B9,List!$E$2:$E$173,0),MATCH('Selection Pane Data'!BK$3,List!$E$2:$CD$2,0)),"")</f>
        <v/>
      </c>
      <c r="BL9" s="13" t="str">
        <f>IF(BL$4="Yes",INDEX(List!$E$2:$CD$173,MATCH('Selection Pane Data'!$B9,List!$E$2:$E$173,0),MATCH('Selection Pane Data'!BL$3,List!$E$2:$CD$2,0)),"")</f>
        <v/>
      </c>
      <c r="BM9" s="13" t="str">
        <f>IF(BM$4="Yes",INDEX(List!$E$2:$CD$173,MATCH('Selection Pane Data'!$B9,List!$E$2:$E$173,0),MATCH('Selection Pane Data'!BM$3,List!$E$2:$CD$2,0)),"")</f>
        <v/>
      </c>
      <c r="BN9" s="13" t="str">
        <f>IF(BN$4="Yes",INDEX(List!$E$2:$CD$173,MATCH('Selection Pane Data'!$B9,List!$E$2:$E$173,0),MATCH('Selection Pane Data'!BN$3,List!$E$2:$CD$2,0)),"")</f>
        <v/>
      </c>
      <c r="BO9" s="13" t="str">
        <f>IF(BO$4="Yes",INDEX(List!$E$2:$CD$173,MATCH('Selection Pane Data'!$B9,List!$E$2:$E$173,0),MATCH('Selection Pane Data'!BO$3,List!$E$2:$CD$2,0)),"")</f>
        <v/>
      </c>
      <c r="BP9" s="13" t="str">
        <f>IF(BP$4="Yes",INDEX(List!$E$2:$CD$173,MATCH('Selection Pane Data'!$B9,List!$E$2:$E$173,0),MATCH('Selection Pane Data'!BP$3,List!$E$2:$CD$2,0)),"")</f>
        <v/>
      </c>
      <c r="BQ9" s="13" t="str">
        <f>IF(BQ$4="Yes",INDEX(List!$E$2:$CD$173,MATCH('Selection Pane Data'!$B9,List!$E$2:$E$173,0),MATCH('Selection Pane Data'!BQ$3,List!$E$2:$CD$2,0)),"")</f>
        <v/>
      </c>
      <c r="BR9" s="13" t="str">
        <f>IF(BR$4="Yes",INDEX(List!$E$2:$CD$173,MATCH('Selection Pane Data'!$B9,List!$E$2:$E$173,0),MATCH('Selection Pane Data'!BR$3,List!$E$2:$CD$2,0)),"")</f>
        <v/>
      </c>
      <c r="BS9" s="13" t="str">
        <f>IF(BS$4="Yes",INDEX(List!$E$2:$CD$173,MATCH('Selection Pane Data'!$B9,List!$E$2:$E$173,0),MATCH('Selection Pane Data'!BS$3,List!$E$2:$CD$2,0)),"")</f>
        <v/>
      </c>
      <c r="BT9" s="13" t="str">
        <f>IF(BT$4="Yes",INDEX(List!$E$2:$CD$173,MATCH('Selection Pane Data'!$B9,List!$E$2:$E$173,0),MATCH('Selection Pane Data'!BT$3,List!$E$2:$CD$2,0)),"")</f>
        <v/>
      </c>
      <c r="BU9" s="13" t="str">
        <f>IF(BU$4="Yes",INDEX(List!$E$2:$CD$173,MATCH('Selection Pane Data'!$B9,List!$E$2:$E$173,0),MATCH('Selection Pane Data'!BU$3,List!$E$2:$CD$2,0)),"")</f>
        <v/>
      </c>
      <c r="BV9" s="13" t="str">
        <f>IF(BV$4="Yes",INDEX(List!$E$2:$CD$173,MATCH('Selection Pane Data'!$B9,List!$E$2:$E$173,0),MATCH('Selection Pane Data'!BV$3,List!$E$2:$CD$2,0)),"")</f>
        <v/>
      </c>
      <c r="BW9" s="13" t="str">
        <f>IF(BW$4="Yes",INDEX(List!$E$2:$CD$173,MATCH('Selection Pane Data'!$B9,List!$E$2:$E$173,0),MATCH('Selection Pane Data'!BW$3,List!$E$2:$CD$2,0)),"")</f>
        <v/>
      </c>
      <c r="BX9" s="13" t="str">
        <f>IF(BX$4="Yes",INDEX(List!$E$2:$CD$173,MATCH('Selection Pane Data'!$B9,List!$E$2:$E$173,0),MATCH('Selection Pane Data'!BX$3,List!$E$2:$CD$2,0)),"")</f>
        <v/>
      </c>
      <c r="BY9" s="13" t="str">
        <f>IF(BY$4="Yes",INDEX(List!$E$2:$CD$173,MATCH('Selection Pane Data'!$B9,List!$E$2:$E$173,0),MATCH('Selection Pane Data'!BY$3,List!$E$2:$CD$2,0)),"")</f>
        <v/>
      </c>
      <c r="BZ9" s="13" t="str">
        <f>IF(BZ$4="Yes",INDEX(List!$E$2:$CD$173,MATCH('Selection Pane Data'!$B9,List!$E$2:$E$173,0),MATCH('Selection Pane Data'!BZ$3,List!$E$2:$CD$2,0)),"")</f>
        <v/>
      </c>
      <c r="CA9" s="13" t="str">
        <f>IF(CA$4="Yes",INDEX(List!$E$2:$CD$173,MATCH('Selection Pane Data'!$B9,List!$E$2:$E$173,0),MATCH('Selection Pane Data'!CA$3,List!$E$2:$CD$2,0)),"")</f>
        <v/>
      </c>
      <c r="CB9" s="13" t="str">
        <f>IF(CB$4="Yes",INDEX(List!$E$2:$CD$173,MATCH('Selection Pane Data'!$B9,List!$E$2:$E$173,0),MATCH('Selection Pane Data'!CB$3,List!$E$2:$CD$2,0)),"")</f>
        <v/>
      </c>
      <c r="CC9" s="13" t="str">
        <f>IF(CC$4="Yes",INDEX(List!$E$2:$CD$173,MATCH('Selection Pane Data'!$B9,List!$E$2:$E$173,0),MATCH('Selection Pane Data'!CC$3,List!$E$2:$CD$2,0)),"")</f>
        <v/>
      </c>
      <c r="CD9" s="13" t="str">
        <f>IF(CD$4="Yes",INDEX(List!$E$2:$CD$173,MATCH('Selection Pane Data'!$B9,List!$E$2:$E$173,0),MATCH('Selection Pane Data'!CD$3,List!$E$2:$CD$2,0)),"")</f>
        <v/>
      </c>
      <c r="CE9" s="13" t="str">
        <f>IF(CE$4="Yes",INDEX(List!$E$2:$CD$173,MATCH('Selection Pane Data'!$B9,List!$E$2:$E$173,0),MATCH('Selection Pane Data'!CE$3,List!$E$2:$CD$2,0)),"")</f>
        <v/>
      </c>
    </row>
    <row r="10" spans="2:83" x14ac:dyDescent="0.35">
      <c r="B10" s="21" t="s">
        <v>297</v>
      </c>
      <c r="C10" s="126" t="str">
        <f>VLOOKUP(B10,List!$E$2:$G$173,2,FALSE)</f>
        <v>AC.L2-3.1.21</v>
      </c>
      <c r="D10" s="31" t="str">
        <f>List!G8</f>
        <v>Customer Responsibility</v>
      </c>
      <c r="E10" s="31" t="str">
        <f>IF(Placemat!$F$4="All Practices","All Practices",IF(VLOOKUP(B10,Table7[#All],6,FALSE)="No Mapping","New CMMC Practices","Practices with NIST 800-171 Mappings"))</f>
        <v>Practices with NIST 800-171 Mappings</v>
      </c>
      <c r="F10" t="str">
        <f>INDEX('CMMC Levels'!$A$1:$F$172,MATCH('Selection Pane Data'!$C10,'CMMC Levels'!$A$1:$A$172,0),MATCH(Placemat!$F$4,'CMMC Levels'!$A$1:$F$1,0))</f>
        <v>X</v>
      </c>
      <c r="G10" s="77" t="str">
        <f>IF((COUNTIF(List!H8:CE8,"P")+COUNTIF(List!H8:CE8,"S"))=0,"N",IF(COUNTIF(H10:CE10,"P"),"P",IF(COUNTIF(H10:CE10,"S"),"S","U")))</f>
        <v>U</v>
      </c>
      <c r="H10" s="13" t="str">
        <f>IF(H$4="Yes",INDEX(List!$E$2:$CD$173,MATCH('Selection Pane Data'!$B10,List!$E$2:$E$173,0),MATCH('Selection Pane Data'!H$3,List!$E$2:$CD$2,0)),"")</f>
        <v/>
      </c>
      <c r="I10" s="13" t="str">
        <f>IF(I$4="Yes",INDEX(List!$E$2:$CD$173,MATCH('Selection Pane Data'!$B10,List!$E$2:$E$173,0),MATCH('Selection Pane Data'!I$3,List!$E$2:$CD$2,0)),"")</f>
        <v/>
      </c>
      <c r="J10" s="13" t="str">
        <f>IF(J$4="Yes",INDEX(List!$E$2:$CD$173,MATCH('Selection Pane Data'!$B10,List!$E$2:$E$173,0),MATCH('Selection Pane Data'!J$3,List!$E$2:$CD$2,0)),"")</f>
        <v>N</v>
      </c>
      <c r="K10" s="13" t="str">
        <f>IF(K$4="Yes",INDEX(List!$E$2:$CD$173,MATCH('Selection Pane Data'!$B10,List!$E$2:$E$173,0),MATCH('Selection Pane Data'!K$3,List!$E$2:$CD$2,0)),"")</f>
        <v/>
      </c>
      <c r="L10" s="13" t="str">
        <f>IF(L$4="Yes",INDEX(List!$E$2:$CD$173,MATCH('Selection Pane Data'!$B10,List!$E$2:$E$173,0),MATCH('Selection Pane Data'!L$3,List!$E$2:$CD$2,0)),"")</f>
        <v/>
      </c>
      <c r="M10" s="13" t="str">
        <f>IF(M$4="Yes",INDEX(List!$E$2:$CD$173,MATCH('Selection Pane Data'!$B10,List!$E$2:$E$173,0),MATCH('Selection Pane Data'!M$3,List!$E$2:$CD$2,0)),"")</f>
        <v/>
      </c>
      <c r="N10" s="13" t="str">
        <f>IF(N$4="Yes",INDEX(List!$E$2:$CD$173,MATCH('Selection Pane Data'!$B10,List!$E$2:$E$173,0),MATCH('Selection Pane Data'!N$3,List!$E$2:$CD$2,0)),"")</f>
        <v/>
      </c>
      <c r="O10" s="13" t="str">
        <f>IF(O$4="Yes",INDEX(List!$E$2:$CD$173,MATCH('Selection Pane Data'!$B10,List!$E$2:$E$173,0),MATCH('Selection Pane Data'!O$3,List!$E$2:$CD$2,0)),"")</f>
        <v/>
      </c>
      <c r="P10" s="13" t="str">
        <f>IF(P$4="Yes",INDEX(List!$E$2:$CD$173,MATCH('Selection Pane Data'!$B10,List!$E$2:$E$173,0),MATCH('Selection Pane Data'!P$3,List!$E$2:$CD$2,0)),"")</f>
        <v/>
      </c>
      <c r="Q10" s="13" t="str">
        <f>IF(Q$4="Yes",INDEX(List!$E$2:$CD$173,MATCH('Selection Pane Data'!$B10,List!$E$2:$E$173,0),MATCH('Selection Pane Data'!Q$3,List!$E$2:$CD$2,0)),"")</f>
        <v/>
      </c>
      <c r="R10" s="13" t="str">
        <f>IF(R$4="Yes",INDEX(List!$E$2:$CD$173,MATCH('Selection Pane Data'!$B10,List!$E$2:$E$173,0),MATCH('Selection Pane Data'!R$3,List!$E$2:$CD$2,0)),"")</f>
        <v/>
      </c>
      <c r="S10" s="13" t="str">
        <f>IF(S$4="Yes",INDEX(List!$E$2:$CD$173,MATCH('Selection Pane Data'!$B10,List!$E$2:$E$173,0),MATCH('Selection Pane Data'!S$3,List!$E$2:$CD$2,0)),"")</f>
        <v/>
      </c>
      <c r="T10" s="13" t="str">
        <f>IF(T$4="Yes",INDEX(List!$E$2:$CD$173,MATCH('Selection Pane Data'!$B10,List!$E$2:$E$173,0),MATCH('Selection Pane Data'!T$3,List!$E$2:$CD$2,0)),"")</f>
        <v/>
      </c>
      <c r="U10" s="13" t="str">
        <f>IF(U$4="Yes",INDEX(List!$E$2:$CD$173,MATCH('Selection Pane Data'!$B10,List!$E$2:$E$173,0),MATCH('Selection Pane Data'!U$3,List!$E$2:$CD$2,0)),"")</f>
        <v/>
      </c>
      <c r="V10" s="13" t="str">
        <f>IF(V$4="Yes",INDEX(List!$E$2:$CD$173,MATCH('Selection Pane Data'!$B10,List!$E$2:$E$173,0),MATCH('Selection Pane Data'!V$3,List!$E$2:$CD$2,0)),"")</f>
        <v/>
      </c>
      <c r="W10" s="13" t="str">
        <f>IF(W$4="Yes",INDEX(List!$E$2:$CD$173,MATCH('Selection Pane Data'!$B10,List!$E$2:$E$173,0),MATCH('Selection Pane Data'!W$3,List!$E$2:$CD$2,0)),"")</f>
        <v/>
      </c>
      <c r="X10" s="13" t="str">
        <f>IF(X$4="Yes",INDEX(List!$E$2:$CD$173,MATCH('Selection Pane Data'!$B10,List!$E$2:$E$173,0),MATCH('Selection Pane Data'!X$3,List!$E$2:$CD$2,0)),"")</f>
        <v/>
      </c>
      <c r="Y10" s="13" t="str">
        <f>IF(Y$4="Yes",INDEX(List!$E$2:$CD$173,MATCH('Selection Pane Data'!$B10,List!$E$2:$E$173,0),MATCH('Selection Pane Data'!Y$3,List!$E$2:$CD$2,0)),"")</f>
        <v/>
      </c>
      <c r="Z10" s="13" t="str">
        <f>IF(Z$4="Yes",INDEX(List!$E$2:$CD$173,MATCH('Selection Pane Data'!$B10,List!$E$2:$E$173,0),MATCH('Selection Pane Data'!Z$3,List!$E$2:$CD$2,0)),"")</f>
        <v/>
      </c>
      <c r="AA10" s="13" t="str">
        <f>IF(AA$4="Yes",INDEX(List!$E$2:$CD$173,MATCH('Selection Pane Data'!$B10,List!$E$2:$E$173,0),MATCH('Selection Pane Data'!AA$3,List!$E$2:$CD$2,0)),"")</f>
        <v>N</v>
      </c>
      <c r="AB10" s="13" t="str">
        <f>IF(AB$4="Yes",INDEX(List!$E$2:$CD$173,MATCH('Selection Pane Data'!$B10,List!$E$2:$E$173,0),MATCH('Selection Pane Data'!AB$3,List!$E$2:$CD$2,0)),"")</f>
        <v/>
      </c>
      <c r="AC10" s="13" t="str">
        <f>IF(AC$4="Yes",INDEX(List!$E$2:$CD$173,MATCH('Selection Pane Data'!$B10,List!$E$2:$E$173,0),MATCH('Selection Pane Data'!AC$3,List!$E$2:$CD$2,0)),"")</f>
        <v/>
      </c>
      <c r="AD10" s="13" t="str">
        <f>IF(AD$4="Yes",INDEX(List!$E$2:$CD$173,MATCH('Selection Pane Data'!$B10,List!$E$2:$E$173,0),MATCH('Selection Pane Data'!AD$3,List!$E$2:$CD$2,0)),"")</f>
        <v/>
      </c>
      <c r="AE10" s="13" t="str">
        <f>IF(AE$4="Yes",INDEX(List!$E$2:$CD$173,MATCH('Selection Pane Data'!$B10,List!$E$2:$E$173,0),MATCH('Selection Pane Data'!AE$3,List!$E$2:$CD$2,0)),"")</f>
        <v/>
      </c>
      <c r="AF10" s="13" t="str">
        <f>IF(AF$4="Yes",INDEX(List!$E$2:$CD$173,MATCH('Selection Pane Data'!$B10,List!$E$2:$E$173,0),MATCH('Selection Pane Data'!AF$3,List!$E$2:$CD$2,0)),"")</f>
        <v/>
      </c>
      <c r="AG10" s="13" t="str">
        <f>IF(AG$4="Yes",INDEX(List!$E$2:$CD$173,MATCH('Selection Pane Data'!$B10,List!$E$2:$E$173,0),MATCH('Selection Pane Data'!AG$3,List!$E$2:$CD$2,0)),"")</f>
        <v/>
      </c>
      <c r="AH10" s="13" t="str">
        <f>IF(AH$4="Yes",INDEX(List!$E$2:$CD$173,MATCH('Selection Pane Data'!$B10,List!$E$2:$E$173,0),MATCH('Selection Pane Data'!AH$3,List!$E$2:$CD$2,0)),"")</f>
        <v/>
      </c>
      <c r="AI10" s="13" t="str">
        <f>IF(AI$4="Yes",INDEX(List!$E$2:$CD$173,MATCH('Selection Pane Data'!$B10,List!$E$2:$E$173,0),MATCH('Selection Pane Data'!AI$3,List!$E$2:$CD$2,0)),"")</f>
        <v/>
      </c>
      <c r="AJ10" s="13" t="str">
        <f>IF(AJ$4="Yes",INDEX(List!$E$2:$CD$173,MATCH('Selection Pane Data'!$B10,List!$E$2:$E$173,0),MATCH('Selection Pane Data'!AJ$3,List!$E$2:$CD$2,0)),"")</f>
        <v/>
      </c>
      <c r="AK10" s="13" t="str">
        <f>IF(AK$4="Yes",INDEX(List!$E$2:$CD$173,MATCH('Selection Pane Data'!$B10,List!$E$2:$E$173,0),MATCH('Selection Pane Data'!AK$3,List!$E$2:$CD$2,0)),"")</f>
        <v/>
      </c>
      <c r="AL10" s="13" t="str">
        <f>IF(AL$4="Yes",INDEX(List!$E$2:$CD$173,MATCH('Selection Pane Data'!$B10,List!$E$2:$E$173,0),MATCH('Selection Pane Data'!AL$3,List!$E$2:$CD$2,0)),"")</f>
        <v/>
      </c>
      <c r="AM10" s="13" t="str">
        <f>IF(AM$4="Yes",INDEX(List!$E$2:$CD$173,MATCH('Selection Pane Data'!$B10,List!$E$2:$E$173,0),MATCH('Selection Pane Data'!AM$3,List!$E$2:$CD$2,0)),"")</f>
        <v/>
      </c>
      <c r="AN10" s="13" t="str">
        <f>IF(AN$4="Yes",INDEX(List!$E$2:$CD$173,MATCH('Selection Pane Data'!$B10,List!$E$2:$E$173,0),MATCH('Selection Pane Data'!AN$3,List!$E$2:$CD$2,0)),"")</f>
        <v/>
      </c>
      <c r="AO10" s="13" t="str">
        <f>IF(AO$4="Yes",INDEX(List!$E$2:$CD$173,MATCH('Selection Pane Data'!$B10,List!$E$2:$E$173,0),MATCH('Selection Pane Data'!AO$3,List!$E$2:$CD$2,0)),"")</f>
        <v/>
      </c>
      <c r="AP10" s="13" t="str">
        <f>IF(AP$4="Yes",INDEX(List!$E$2:$CD$173,MATCH('Selection Pane Data'!$B10,List!$E$2:$E$173,0),MATCH('Selection Pane Data'!AP$3,List!$E$2:$CD$2,0)),"")</f>
        <v/>
      </c>
      <c r="AQ10" s="13" t="str">
        <f>IF(AQ$4="Yes",INDEX(List!$E$2:$CD$173,MATCH('Selection Pane Data'!$B10,List!$E$2:$E$173,0),MATCH('Selection Pane Data'!AQ$3,List!$E$2:$CD$2,0)),"")</f>
        <v/>
      </c>
      <c r="AR10" s="13" t="str">
        <f>IF(AR$4="Yes",INDEX(List!$E$2:$CD$173,MATCH('Selection Pane Data'!$B10,List!$E$2:$E$173,0),MATCH('Selection Pane Data'!AR$3,List!$E$2:$CD$2,0)),"")</f>
        <v/>
      </c>
      <c r="AS10" s="13" t="str">
        <f>IF(AS$4="Yes",INDEX(List!$E$2:$CD$173,MATCH('Selection Pane Data'!$B10,List!$E$2:$E$173,0),MATCH('Selection Pane Data'!AS$3,List!$E$2:$CD$2,0)),"")</f>
        <v/>
      </c>
      <c r="AT10" s="13" t="str">
        <f>IF(AT$4="Yes",INDEX(List!$E$2:$CD$173,MATCH('Selection Pane Data'!$B10,List!$E$2:$E$173,0),MATCH('Selection Pane Data'!AT$3,List!$E$2:$CD$2,0)),"")</f>
        <v/>
      </c>
      <c r="AU10" s="13" t="str">
        <f>IF(AU$4="Yes",INDEX(List!$E$2:$CD$173,MATCH('Selection Pane Data'!$B10,List!$E$2:$E$173,0),MATCH('Selection Pane Data'!AU$3,List!$E$2:$CD$2,0)),"")</f>
        <v/>
      </c>
      <c r="AV10" s="13" t="str">
        <f>IF(AV$4="Yes",INDEX(List!$E$2:$CD$173,MATCH('Selection Pane Data'!$B10,List!$E$2:$E$173,0),MATCH('Selection Pane Data'!AV$3,List!$E$2:$CD$2,0)),"")</f>
        <v/>
      </c>
      <c r="AW10" s="13" t="str">
        <f>IF(AW$4="Yes",INDEX(List!$E$2:$CD$173,MATCH('Selection Pane Data'!$B10,List!$E$2:$E$173,0),MATCH('Selection Pane Data'!AW$3,List!$E$2:$CD$2,0)),"")</f>
        <v/>
      </c>
      <c r="AX10" s="13" t="str">
        <f>IF(AX$4="Yes",INDEX(List!$E$2:$CD$173,MATCH('Selection Pane Data'!$B10,List!$E$2:$E$173,0),MATCH('Selection Pane Data'!AX$3,List!$E$2:$CD$2,0)),"")</f>
        <v/>
      </c>
      <c r="AY10" s="13" t="str">
        <f>IF(AY$4="Yes",INDEX(List!$E$2:$CD$173,MATCH('Selection Pane Data'!$B10,List!$E$2:$E$173,0),MATCH('Selection Pane Data'!AY$3,List!$E$2:$CD$2,0)),"")</f>
        <v/>
      </c>
      <c r="AZ10" s="13" t="str">
        <f>IF(AZ$4="Yes",INDEX(List!$E$2:$CD$173,MATCH('Selection Pane Data'!$B10,List!$E$2:$E$173,0),MATCH('Selection Pane Data'!AZ$3,List!$E$2:$CD$2,0)),"")</f>
        <v/>
      </c>
      <c r="BA10" s="13" t="str">
        <f>IF(BA$4="Yes",INDEX(List!$E$2:$CD$173,MATCH('Selection Pane Data'!$B10,List!$E$2:$E$173,0),MATCH('Selection Pane Data'!BA$3,List!$E$2:$CD$2,0)),"")</f>
        <v/>
      </c>
      <c r="BB10" s="13" t="str">
        <f>IF(BB$4="Yes",INDEX(List!$E$2:$CD$173,MATCH('Selection Pane Data'!$B10,List!$E$2:$E$173,0),MATCH('Selection Pane Data'!BB$3,List!$E$2:$CD$2,0)),"")</f>
        <v/>
      </c>
      <c r="BC10" s="13" t="str">
        <f>IF(BC$4="Yes",INDEX(List!$E$2:$CD$173,MATCH('Selection Pane Data'!$B10,List!$E$2:$E$173,0),MATCH('Selection Pane Data'!BC$3,List!$E$2:$CD$2,0)),"")</f>
        <v/>
      </c>
      <c r="BD10" s="13" t="str">
        <f>IF(BD$4="Yes",INDEX(List!$E$2:$CD$173,MATCH('Selection Pane Data'!$B10,List!$E$2:$E$173,0),MATCH('Selection Pane Data'!BD$3,List!$E$2:$CD$2,0)),"")</f>
        <v/>
      </c>
      <c r="BE10" s="13" t="str">
        <f>IF(BE$4="Yes",INDEX(List!$E$2:$CD$173,MATCH('Selection Pane Data'!$B10,List!$E$2:$E$173,0),MATCH('Selection Pane Data'!BE$3,List!$E$2:$CD$2,0)),"")</f>
        <v/>
      </c>
      <c r="BF10" s="13" t="str">
        <f>IF(BF$4="Yes",INDEX(List!$E$2:$CD$173,MATCH('Selection Pane Data'!$B10,List!$E$2:$E$173,0),MATCH('Selection Pane Data'!BF$3,List!$E$2:$CD$2,0)),"")</f>
        <v/>
      </c>
      <c r="BG10" s="13" t="str">
        <f>IF(BG$4="Yes",INDEX(List!$E$2:$CD$173,MATCH('Selection Pane Data'!$B10,List!$E$2:$E$173,0),MATCH('Selection Pane Data'!BG$3,List!$E$2:$CD$2,0)),"")</f>
        <v/>
      </c>
      <c r="BH10" s="13" t="str">
        <f>IF(BH$4="Yes",INDEX(List!$E$2:$CD$173,MATCH('Selection Pane Data'!$B10,List!$E$2:$E$173,0),MATCH('Selection Pane Data'!BH$3,List!$E$2:$CD$2,0)),"")</f>
        <v/>
      </c>
      <c r="BI10" s="13" t="str">
        <f>IF(BI$4="Yes",INDEX(List!$E$2:$CD$173,MATCH('Selection Pane Data'!$B10,List!$E$2:$E$173,0),MATCH('Selection Pane Data'!BI$3,List!$E$2:$CD$2,0)),"")</f>
        <v/>
      </c>
      <c r="BJ10" s="13" t="str">
        <f>IF(BJ$4="Yes",INDEX(List!$E$2:$CD$173,MATCH('Selection Pane Data'!$B10,List!$E$2:$E$173,0),MATCH('Selection Pane Data'!BJ$3,List!$E$2:$CD$2,0)),"")</f>
        <v/>
      </c>
      <c r="BK10" s="13" t="str">
        <f>IF(BK$4="Yes",INDEX(List!$E$2:$CD$173,MATCH('Selection Pane Data'!$B10,List!$E$2:$E$173,0),MATCH('Selection Pane Data'!BK$3,List!$E$2:$CD$2,0)),"")</f>
        <v/>
      </c>
      <c r="BL10" s="13" t="str">
        <f>IF(BL$4="Yes",INDEX(List!$E$2:$CD$173,MATCH('Selection Pane Data'!$B10,List!$E$2:$E$173,0),MATCH('Selection Pane Data'!BL$3,List!$E$2:$CD$2,0)),"")</f>
        <v/>
      </c>
      <c r="BM10" s="13" t="str">
        <f>IF(BM$4="Yes",INDEX(List!$E$2:$CD$173,MATCH('Selection Pane Data'!$B10,List!$E$2:$E$173,0),MATCH('Selection Pane Data'!BM$3,List!$E$2:$CD$2,0)),"")</f>
        <v/>
      </c>
      <c r="BN10" s="13" t="str">
        <f>IF(BN$4="Yes",INDEX(List!$E$2:$CD$173,MATCH('Selection Pane Data'!$B10,List!$E$2:$E$173,0),MATCH('Selection Pane Data'!BN$3,List!$E$2:$CD$2,0)),"")</f>
        <v/>
      </c>
      <c r="BO10" s="13" t="str">
        <f>IF(BO$4="Yes",INDEX(List!$E$2:$CD$173,MATCH('Selection Pane Data'!$B10,List!$E$2:$E$173,0),MATCH('Selection Pane Data'!BO$3,List!$E$2:$CD$2,0)),"")</f>
        <v/>
      </c>
      <c r="BP10" s="13" t="str">
        <f>IF(BP$4="Yes",INDEX(List!$E$2:$CD$173,MATCH('Selection Pane Data'!$B10,List!$E$2:$E$173,0),MATCH('Selection Pane Data'!BP$3,List!$E$2:$CD$2,0)),"")</f>
        <v/>
      </c>
      <c r="BQ10" s="13" t="str">
        <f>IF(BQ$4="Yes",INDEX(List!$E$2:$CD$173,MATCH('Selection Pane Data'!$B10,List!$E$2:$E$173,0),MATCH('Selection Pane Data'!BQ$3,List!$E$2:$CD$2,0)),"")</f>
        <v/>
      </c>
      <c r="BR10" s="13" t="str">
        <f>IF(BR$4="Yes",INDEX(List!$E$2:$CD$173,MATCH('Selection Pane Data'!$B10,List!$E$2:$E$173,0),MATCH('Selection Pane Data'!BR$3,List!$E$2:$CD$2,0)),"")</f>
        <v/>
      </c>
      <c r="BS10" s="13" t="str">
        <f>IF(BS$4="Yes",INDEX(List!$E$2:$CD$173,MATCH('Selection Pane Data'!$B10,List!$E$2:$E$173,0),MATCH('Selection Pane Data'!BS$3,List!$E$2:$CD$2,0)),"")</f>
        <v/>
      </c>
      <c r="BT10" s="13" t="str">
        <f>IF(BT$4="Yes",INDEX(List!$E$2:$CD$173,MATCH('Selection Pane Data'!$B10,List!$E$2:$E$173,0),MATCH('Selection Pane Data'!BT$3,List!$E$2:$CD$2,0)),"")</f>
        <v/>
      </c>
      <c r="BU10" s="13" t="str">
        <f>IF(BU$4="Yes",INDEX(List!$E$2:$CD$173,MATCH('Selection Pane Data'!$B10,List!$E$2:$E$173,0),MATCH('Selection Pane Data'!BU$3,List!$E$2:$CD$2,0)),"")</f>
        <v/>
      </c>
      <c r="BV10" s="13" t="str">
        <f>IF(BV$4="Yes",INDEX(List!$E$2:$CD$173,MATCH('Selection Pane Data'!$B10,List!$E$2:$E$173,0),MATCH('Selection Pane Data'!BV$3,List!$E$2:$CD$2,0)),"")</f>
        <v/>
      </c>
      <c r="BW10" s="13" t="str">
        <f>IF(BW$4="Yes",INDEX(List!$E$2:$CD$173,MATCH('Selection Pane Data'!$B10,List!$E$2:$E$173,0),MATCH('Selection Pane Data'!BW$3,List!$E$2:$CD$2,0)),"")</f>
        <v/>
      </c>
      <c r="BX10" s="13" t="str">
        <f>IF(BX$4="Yes",INDEX(List!$E$2:$CD$173,MATCH('Selection Pane Data'!$B10,List!$E$2:$E$173,0),MATCH('Selection Pane Data'!BX$3,List!$E$2:$CD$2,0)),"")</f>
        <v/>
      </c>
      <c r="BY10" s="13" t="str">
        <f>IF(BY$4="Yes",INDEX(List!$E$2:$CD$173,MATCH('Selection Pane Data'!$B10,List!$E$2:$E$173,0),MATCH('Selection Pane Data'!BY$3,List!$E$2:$CD$2,0)),"")</f>
        <v/>
      </c>
      <c r="BZ10" s="13" t="str">
        <f>IF(BZ$4="Yes",INDEX(List!$E$2:$CD$173,MATCH('Selection Pane Data'!$B10,List!$E$2:$E$173,0),MATCH('Selection Pane Data'!BZ$3,List!$E$2:$CD$2,0)),"")</f>
        <v/>
      </c>
      <c r="CA10" s="13" t="str">
        <f>IF(CA$4="Yes",INDEX(List!$E$2:$CD$173,MATCH('Selection Pane Data'!$B10,List!$E$2:$E$173,0),MATCH('Selection Pane Data'!CA$3,List!$E$2:$CD$2,0)),"")</f>
        <v/>
      </c>
      <c r="CB10" s="13" t="str">
        <f>IF(CB$4="Yes",INDEX(List!$E$2:$CD$173,MATCH('Selection Pane Data'!$B10,List!$E$2:$E$173,0),MATCH('Selection Pane Data'!CB$3,List!$E$2:$CD$2,0)),"")</f>
        <v/>
      </c>
      <c r="CC10" s="13" t="str">
        <f>IF(CC$4="Yes",INDEX(List!$E$2:$CD$173,MATCH('Selection Pane Data'!$B10,List!$E$2:$E$173,0),MATCH('Selection Pane Data'!CC$3,List!$E$2:$CD$2,0)),"")</f>
        <v/>
      </c>
      <c r="CD10" s="13" t="str">
        <f>IF(CD$4="Yes",INDEX(List!$E$2:$CD$173,MATCH('Selection Pane Data'!$B10,List!$E$2:$E$173,0),MATCH('Selection Pane Data'!CD$3,List!$E$2:$CD$2,0)),"")</f>
        <v/>
      </c>
      <c r="CE10" s="13" t="str">
        <f>IF(CE$4="Yes",INDEX(List!$E$2:$CD$173,MATCH('Selection Pane Data'!$B10,List!$E$2:$E$173,0),MATCH('Selection Pane Data'!CE$3,List!$E$2:$CD$2,0)),"")</f>
        <v/>
      </c>
    </row>
    <row r="11" spans="2:83" x14ac:dyDescent="0.35">
      <c r="B11" s="21" t="s">
        <v>298</v>
      </c>
      <c r="C11" s="126" t="str">
        <f>VLOOKUP(B11,List!$E$2:$G$173,2,FALSE)</f>
        <v>AC.L2-3.1.5</v>
      </c>
      <c r="D11" s="31" t="str">
        <f>List!G9</f>
        <v>Shared Coverage</v>
      </c>
      <c r="E11" s="31" t="str">
        <f>IF(Placemat!$F$4="All Practices","All Practices",IF(VLOOKUP(B11,Table7[#All],6,FALSE)="No Mapping","New CMMC Practices","Practices with NIST 800-171 Mappings"))</f>
        <v>Practices with NIST 800-171 Mappings</v>
      </c>
      <c r="F11" t="str">
        <f>INDEX('CMMC Levels'!$A$1:$F$172,MATCH('Selection Pane Data'!$C11,'CMMC Levels'!$A$1:$A$172,0),MATCH(Placemat!$F$4,'CMMC Levels'!$A$1:$F$1,0))</f>
        <v>X</v>
      </c>
      <c r="G11" s="77" t="str">
        <f>IF((COUNTIF(List!H9:CE9,"P")+COUNTIF(List!H9:CE9,"S"))=0,"N",IF(COUNTIF(H11:CE11,"P"),"P",IF(COUNTIF(H11:CE11,"S"),"S","U")))</f>
        <v>U</v>
      </c>
      <c r="H11" s="13" t="str">
        <f>IF(H$4="Yes",INDEX(List!$E$2:$CD$173,MATCH('Selection Pane Data'!$B11,List!$E$2:$E$173,0),MATCH('Selection Pane Data'!H$3,List!$E$2:$CD$2,0)),"")</f>
        <v/>
      </c>
      <c r="I11" s="13" t="str">
        <f>IF(I$4="Yes",INDEX(List!$E$2:$CD$173,MATCH('Selection Pane Data'!$B11,List!$E$2:$E$173,0),MATCH('Selection Pane Data'!I$3,List!$E$2:$CD$2,0)),"")</f>
        <v/>
      </c>
      <c r="J11" s="13" t="str">
        <f>IF(J$4="Yes",INDEX(List!$E$2:$CD$173,MATCH('Selection Pane Data'!$B11,List!$E$2:$E$173,0),MATCH('Selection Pane Data'!J$3,List!$E$2:$CD$2,0)),"")</f>
        <v>N</v>
      </c>
      <c r="K11" s="13" t="str">
        <f>IF(K$4="Yes",INDEX(List!$E$2:$CD$173,MATCH('Selection Pane Data'!$B11,List!$E$2:$E$173,0),MATCH('Selection Pane Data'!K$3,List!$E$2:$CD$2,0)),"")</f>
        <v/>
      </c>
      <c r="L11" s="13" t="str">
        <f>IF(L$4="Yes",INDEX(List!$E$2:$CD$173,MATCH('Selection Pane Data'!$B11,List!$E$2:$E$173,0),MATCH('Selection Pane Data'!L$3,List!$E$2:$CD$2,0)),"")</f>
        <v/>
      </c>
      <c r="M11" s="13" t="str">
        <f>IF(M$4="Yes",INDEX(List!$E$2:$CD$173,MATCH('Selection Pane Data'!$B11,List!$E$2:$E$173,0),MATCH('Selection Pane Data'!M$3,List!$E$2:$CD$2,0)),"")</f>
        <v/>
      </c>
      <c r="N11" s="13" t="str">
        <f>IF(N$4="Yes",INDEX(List!$E$2:$CD$173,MATCH('Selection Pane Data'!$B11,List!$E$2:$E$173,0),MATCH('Selection Pane Data'!N$3,List!$E$2:$CD$2,0)),"")</f>
        <v/>
      </c>
      <c r="O11" s="13" t="str">
        <f>IF(O$4="Yes",INDEX(List!$E$2:$CD$173,MATCH('Selection Pane Data'!$B11,List!$E$2:$E$173,0),MATCH('Selection Pane Data'!O$3,List!$E$2:$CD$2,0)),"")</f>
        <v/>
      </c>
      <c r="P11" s="13" t="str">
        <f>IF(P$4="Yes",INDEX(List!$E$2:$CD$173,MATCH('Selection Pane Data'!$B11,List!$E$2:$E$173,0),MATCH('Selection Pane Data'!P$3,List!$E$2:$CD$2,0)),"")</f>
        <v/>
      </c>
      <c r="Q11" s="13" t="str">
        <f>IF(Q$4="Yes",INDEX(List!$E$2:$CD$173,MATCH('Selection Pane Data'!$B11,List!$E$2:$E$173,0),MATCH('Selection Pane Data'!Q$3,List!$E$2:$CD$2,0)),"")</f>
        <v/>
      </c>
      <c r="R11" s="13" t="str">
        <f>IF(R$4="Yes",INDEX(List!$E$2:$CD$173,MATCH('Selection Pane Data'!$B11,List!$E$2:$E$173,0),MATCH('Selection Pane Data'!R$3,List!$E$2:$CD$2,0)),"")</f>
        <v/>
      </c>
      <c r="S11" s="13" t="str">
        <f>IF(S$4="Yes",INDEX(List!$E$2:$CD$173,MATCH('Selection Pane Data'!$B11,List!$E$2:$E$173,0),MATCH('Selection Pane Data'!S$3,List!$E$2:$CD$2,0)),"")</f>
        <v/>
      </c>
      <c r="T11" s="13" t="str">
        <f>IF(T$4="Yes",INDEX(List!$E$2:$CD$173,MATCH('Selection Pane Data'!$B11,List!$E$2:$E$173,0),MATCH('Selection Pane Data'!T$3,List!$E$2:$CD$2,0)),"")</f>
        <v/>
      </c>
      <c r="U11" s="13" t="str">
        <f>IF(U$4="Yes",INDEX(List!$E$2:$CD$173,MATCH('Selection Pane Data'!$B11,List!$E$2:$E$173,0),MATCH('Selection Pane Data'!U$3,List!$E$2:$CD$2,0)),"")</f>
        <v/>
      </c>
      <c r="V11" s="13" t="str">
        <f>IF(V$4="Yes",INDEX(List!$E$2:$CD$173,MATCH('Selection Pane Data'!$B11,List!$E$2:$E$173,0),MATCH('Selection Pane Data'!V$3,List!$E$2:$CD$2,0)),"")</f>
        <v/>
      </c>
      <c r="W11" s="13" t="str">
        <f>IF(W$4="Yes",INDEX(List!$E$2:$CD$173,MATCH('Selection Pane Data'!$B11,List!$E$2:$E$173,0),MATCH('Selection Pane Data'!W$3,List!$E$2:$CD$2,0)),"")</f>
        <v/>
      </c>
      <c r="X11" s="13" t="str">
        <f>IF(X$4="Yes",INDEX(List!$E$2:$CD$173,MATCH('Selection Pane Data'!$B11,List!$E$2:$E$173,0),MATCH('Selection Pane Data'!X$3,List!$E$2:$CD$2,0)),"")</f>
        <v/>
      </c>
      <c r="Y11" s="13" t="str">
        <f>IF(Y$4="Yes",INDEX(List!$E$2:$CD$173,MATCH('Selection Pane Data'!$B11,List!$E$2:$E$173,0),MATCH('Selection Pane Data'!Y$3,List!$E$2:$CD$2,0)),"")</f>
        <v/>
      </c>
      <c r="Z11" s="13" t="str">
        <f>IF(Z$4="Yes",INDEX(List!$E$2:$CD$173,MATCH('Selection Pane Data'!$B11,List!$E$2:$E$173,0),MATCH('Selection Pane Data'!Z$3,List!$E$2:$CD$2,0)),"")</f>
        <v/>
      </c>
      <c r="AA11" s="13" t="str">
        <f>IF(AA$4="Yes",INDEX(List!$E$2:$CD$173,MATCH('Selection Pane Data'!$B11,List!$E$2:$E$173,0),MATCH('Selection Pane Data'!AA$3,List!$E$2:$CD$2,0)),"")</f>
        <v>N</v>
      </c>
      <c r="AB11" s="13" t="str">
        <f>IF(AB$4="Yes",INDEX(List!$E$2:$CD$173,MATCH('Selection Pane Data'!$B11,List!$E$2:$E$173,0),MATCH('Selection Pane Data'!AB$3,List!$E$2:$CD$2,0)),"")</f>
        <v/>
      </c>
      <c r="AC11" s="13" t="str">
        <f>IF(AC$4="Yes",INDEX(List!$E$2:$CD$173,MATCH('Selection Pane Data'!$B11,List!$E$2:$E$173,0),MATCH('Selection Pane Data'!AC$3,List!$E$2:$CD$2,0)),"")</f>
        <v/>
      </c>
      <c r="AD11" s="13" t="str">
        <f>IF(AD$4="Yes",INDEX(List!$E$2:$CD$173,MATCH('Selection Pane Data'!$B11,List!$E$2:$E$173,0),MATCH('Selection Pane Data'!AD$3,List!$E$2:$CD$2,0)),"")</f>
        <v/>
      </c>
      <c r="AE11" s="13" t="str">
        <f>IF(AE$4="Yes",INDEX(List!$E$2:$CD$173,MATCH('Selection Pane Data'!$B11,List!$E$2:$E$173,0),MATCH('Selection Pane Data'!AE$3,List!$E$2:$CD$2,0)),"")</f>
        <v/>
      </c>
      <c r="AF11" s="13" t="str">
        <f>IF(AF$4="Yes",INDEX(List!$E$2:$CD$173,MATCH('Selection Pane Data'!$B11,List!$E$2:$E$173,0),MATCH('Selection Pane Data'!AF$3,List!$E$2:$CD$2,0)),"")</f>
        <v/>
      </c>
      <c r="AG11" s="13" t="str">
        <f>IF(AG$4="Yes",INDEX(List!$E$2:$CD$173,MATCH('Selection Pane Data'!$B11,List!$E$2:$E$173,0),MATCH('Selection Pane Data'!AG$3,List!$E$2:$CD$2,0)),"")</f>
        <v/>
      </c>
      <c r="AH11" s="13" t="str">
        <f>IF(AH$4="Yes",INDEX(List!$E$2:$CD$173,MATCH('Selection Pane Data'!$B11,List!$E$2:$E$173,0),MATCH('Selection Pane Data'!AH$3,List!$E$2:$CD$2,0)),"")</f>
        <v/>
      </c>
      <c r="AI11" s="13" t="str">
        <f>IF(AI$4="Yes",INDEX(List!$E$2:$CD$173,MATCH('Selection Pane Data'!$B11,List!$E$2:$E$173,0),MATCH('Selection Pane Data'!AI$3,List!$E$2:$CD$2,0)),"")</f>
        <v/>
      </c>
      <c r="AJ11" s="13" t="str">
        <f>IF(AJ$4="Yes",INDEX(List!$E$2:$CD$173,MATCH('Selection Pane Data'!$B11,List!$E$2:$E$173,0),MATCH('Selection Pane Data'!AJ$3,List!$E$2:$CD$2,0)),"")</f>
        <v/>
      </c>
      <c r="AK11" s="13" t="str">
        <f>IF(AK$4="Yes",INDEX(List!$E$2:$CD$173,MATCH('Selection Pane Data'!$B11,List!$E$2:$E$173,0),MATCH('Selection Pane Data'!AK$3,List!$E$2:$CD$2,0)),"")</f>
        <v/>
      </c>
      <c r="AL11" s="13" t="str">
        <f>IF(AL$4="Yes",INDEX(List!$E$2:$CD$173,MATCH('Selection Pane Data'!$B11,List!$E$2:$E$173,0),MATCH('Selection Pane Data'!AL$3,List!$E$2:$CD$2,0)),"")</f>
        <v/>
      </c>
      <c r="AM11" s="13" t="str">
        <f>IF(AM$4="Yes",INDEX(List!$E$2:$CD$173,MATCH('Selection Pane Data'!$B11,List!$E$2:$E$173,0),MATCH('Selection Pane Data'!AM$3,List!$E$2:$CD$2,0)),"")</f>
        <v/>
      </c>
      <c r="AN11" s="13" t="str">
        <f>IF(AN$4="Yes",INDEX(List!$E$2:$CD$173,MATCH('Selection Pane Data'!$B11,List!$E$2:$E$173,0),MATCH('Selection Pane Data'!AN$3,List!$E$2:$CD$2,0)),"")</f>
        <v/>
      </c>
      <c r="AO11" s="13" t="str">
        <f>IF(AO$4="Yes",INDEX(List!$E$2:$CD$173,MATCH('Selection Pane Data'!$B11,List!$E$2:$E$173,0),MATCH('Selection Pane Data'!AO$3,List!$E$2:$CD$2,0)),"")</f>
        <v/>
      </c>
      <c r="AP11" s="13" t="str">
        <f>IF(AP$4="Yes",INDEX(List!$E$2:$CD$173,MATCH('Selection Pane Data'!$B11,List!$E$2:$E$173,0),MATCH('Selection Pane Data'!AP$3,List!$E$2:$CD$2,0)),"")</f>
        <v/>
      </c>
      <c r="AQ11" s="13" t="str">
        <f>IF(AQ$4="Yes",INDEX(List!$E$2:$CD$173,MATCH('Selection Pane Data'!$B11,List!$E$2:$E$173,0),MATCH('Selection Pane Data'!AQ$3,List!$E$2:$CD$2,0)),"")</f>
        <v/>
      </c>
      <c r="AR11" s="13" t="str">
        <f>IF(AR$4="Yes",INDEX(List!$E$2:$CD$173,MATCH('Selection Pane Data'!$B11,List!$E$2:$E$173,0),MATCH('Selection Pane Data'!AR$3,List!$E$2:$CD$2,0)),"")</f>
        <v/>
      </c>
      <c r="AS11" s="13" t="str">
        <f>IF(AS$4="Yes",INDEX(List!$E$2:$CD$173,MATCH('Selection Pane Data'!$B11,List!$E$2:$E$173,0),MATCH('Selection Pane Data'!AS$3,List!$E$2:$CD$2,0)),"")</f>
        <v/>
      </c>
      <c r="AT11" s="13" t="str">
        <f>IF(AT$4="Yes",INDEX(List!$E$2:$CD$173,MATCH('Selection Pane Data'!$B11,List!$E$2:$E$173,0),MATCH('Selection Pane Data'!AT$3,List!$E$2:$CD$2,0)),"")</f>
        <v/>
      </c>
      <c r="AU11" s="13" t="str">
        <f>IF(AU$4="Yes",INDEX(List!$E$2:$CD$173,MATCH('Selection Pane Data'!$B11,List!$E$2:$E$173,0),MATCH('Selection Pane Data'!AU$3,List!$E$2:$CD$2,0)),"")</f>
        <v/>
      </c>
      <c r="AV11" s="13" t="str">
        <f>IF(AV$4="Yes",INDEX(List!$E$2:$CD$173,MATCH('Selection Pane Data'!$B11,List!$E$2:$E$173,0),MATCH('Selection Pane Data'!AV$3,List!$E$2:$CD$2,0)),"")</f>
        <v/>
      </c>
      <c r="AW11" s="13" t="str">
        <f>IF(AW$4="Yes",INDEX(List!$E$2:$CD$173,MATCH('Selection Pane Data'!$B11,List!$E$2:$E$173,0),MATCH('Selection Pane Data'!AW$3,List!$E$2:$CD$2,0)),"")</f>
        <v/>
      </c>
      <c r="AX11" s="13" t="str">
        <f>IF(AX$4="Yes",INDEX(List!$E$2:$CD$173,MATCH('Selection Pane Data'!$B11,List!$E$2:$E$173,0),MATCH('Selection Pane Data'!AX$3,List!$E$2:$CD$2,0)),"")</f>
        <v/>
      </c>
      <c r="AY11" s="13" t="str">
        <f>IF(AY$4="Yes",INDEX(List!$E$2:$CD$173,MATCH('Selection Pane Data'!$B11,List!$E$2:$E$173,0),MATCH('Selection Pane Data'!AY$3,List!$E$2:$CD$2,0)),"")</f>
        <v/>
      </c>
      <c r="AZ11" s="13" t="str">
        <f>IF(AZ$4="Yes",INDEX(List!$E$2:$CD$173,MATCH('Selection Pane Data'!$B11,List!$E$2:$E$173,0),MATCH('Selection Pane Data'!AZ$3,List!$E$2:$CD$2,0)),"")</f>
        <v/>
      </c>
      <c r="BA11" s="13" t="str">
        <f>IF(BA$4="Yes",INDEX(List!$E$2:$CD$173,MATCH('Selection Pane Data'!$B11,List!$E$2:$E$173,0),MATCH('Selection Pane Data'!BA$3,List!$E$2:$CD$2,0)),"")</f>
        <v/>
      </c>
      <c r="BB11" s="13" t="str">
        <f>IF(BB$4="Yes",INDEX(List!$E$2:$CD$173,MATCH('Selection Pane Data'!$B11,List!$E$2:$E$173,0),MATCH('Selection Pane Data'!BB$3,List!$E$2:$CD$2,0)),"")</f>
        <v/>
      </c>
      <c r="BC11" s="13" t="str">
        <f>IF(BC$4="Yes",INDEX(List!$E$2:$CD$173,MATCH('Selection Pane Data'!$B11,List!$E$2:$E$173,0),MATCH('Selection Pane Data'!BC$3,List!$E$2:$CD$2,0)),"")</f>
        <v/>
      </c>
      <c r="BD11" s="13" t="str">
        <f>IF(BD$4="Yes",INDEX(List!$E$2:$CD$173,MATCH('Selection Pane Data'!$B11,List!$E$2:$E$173,0),MATCH('Selection Pane Data'!BD$3,List!$E$2:$CD$2,0)),"")</f>
        <v/>
      </c>
      <c r="BE11" s="13" t="str">
        <f>IF(BE$4="Yes",INDEX(List!$E$2:$CD$173,MATCH('Selection Pane Data'!$B11,List!$E$2:$E$173,0),MATCH('Selection Pane Data'!BE$3,List!$E$2:$CD$2,0)),"")</f>
        <v/>
      </c>
      <c r="BF11" s="13" t="str">
        <f>IF(BF$4="Yes",INDEX(List!$E$2:$CD$173,MATCH('Selection Pane Data'!$B11,List!$E$2:$E$173,0),MATCH('Selection Pane Data'!BF$3,List!$E$2:$CD$2,0)),"")</f>
        <v/>
      </c>
      <c r="BG11" s="13" t="str">
        <f>IF(BG$4="Yes",INDEX(List!$E$2:$CD$173,MATCH('Selection Pane Data'!$B11,List!$E$2:$E$173,0),MATCH('Selection Pane Data'!BG$3,List!$E$2:$CD$2,0)),"")</f>
        <v/>
      </c>
      <c r="BH11" s="13" t="str">
        <f>IF(BH$4="Yes",INDEX(List!$E$2:$CD$173,MATCH('Selection Pane Data'!$B11,List!$E$2:$E$173,0),MATCH('Selection Pane Data'!BH$3,List!$E$2:$CD$2,0)),"")</f>
        <v/>
      </c>
      <c r="BI11" s="13" t="str">
        <f>IF(BI$4="Yes",INDEX(List!$E$2:$CD$173,MATCH('Selection Pane Data'!$B11,List!$E$2:$E$173,0),MATCH('Selection Pane Data'!BI$3,List!$E$2:$CD$2,0)),"")</f>
        <v/>
      </c>
      <c r="BJ11" s="13" t="str">
        <f>IF(BJ$4="Yes",INDEX(List!$E$2:$CD$173,MATCH('Selection Pane Data'!$B11,List!$E$2:$E$173,0),MATCH('Selection Pane Data'!BJ$3,List!$E$2:$CD$2,0)),"")</f>
        <v/>
      </c>
      <c r="BK11" s="13" t="str">
        <f>IF(BK$4="Yes",INDEX(List!$E$2:$CD$173,MATCH('Selection Pane Data'!$B11,List!$E$2:$E$173,0),MATCH('Selection Pane Data'!BK$3,List!$E$2:$CD$2,0)),"")</f>
        <v/>
      </c>
      <c r="BL11" s="13" t="str">
        <f>IF(BL$4="Yes",INDEX(List!$E$2:$CD$173,MATCH('Selection Pane Data'!$B11,List!$E$2:$E$173,0),MATCH('Selection Pane Data'!BL$3,List!$E$2:$CD$2,0)),"")</f>
        <v/>
      </c>
      <c r="BM11" s="13" t="str">
        <f>IF(BM$4="Yes",INDEX(List!$E$2:$CD$173,MATCH('Selection Pane Data'!$B11,List!$E$2:$E$173,0),MATCH('Selection Pane Data'!BM$3,List!$E$2:$CD$2,0)),"")</f>
        <v/>
      </c>
      <c r="BN11" s="13" t="str">
        <f>IF(BN$4="Yes",INDEX(List!$E$2:$CD$173,MATCH('Selection Pane Data'!$B11,List!$E$2:$E$173,0),MATCH('Selection Pane Data'!BN$3,List!$E$2:$CD$2,0)),"")</f>
        <v/>
      </c>
      <c r="BO11" s="13" t="str">
        <f>IF(BO$4="Yes",INDEX(List!$E$2:$CD$173,MATCH('Selection Pane Data'!$B11,List!$E$2:$E$173,0),MATCH('Selection Pane Data'!BO$3,List!$E$2:$CD$2,0)),"")</f>
        <v/>
      </c>
      <c r="BP11" s="13" t="str">
        <f>IF(BP$4="Yes",INDEX(List!$E$2:$CD$173,MATCH('Selection Pane Data'!$B11,List!$E$2:$E$173,0),MATCH('Selection Pane Data'!BP$3,List!$E$2:$CD$2,0)),"")</f>
        <v/>
      </c>
      <c r="BQ11" s="13" t="str">
        <f>IF(BQ$4="Yes",INDEX(List!$E$2:$CD$173,MATCH('Selection Pane Data'!$B11,List!$E$2:$E$173,0),MATCH('Selection Pane Data'!BQ$3,List!$E$2:$CD$2,0)),"")</f>
        <v/>
      </c>
      <c r="BR11" s="13" t="str">
        <f>IF(BR$4="Yes",INDEX(List!$E$2:$CD$173,MATCH('Selection Pane Data'!$B11,List!$E$2:$E$173,0),MATCH('Selection Pane Data'!BR$3,List!$E$2:$CD$2,0)),"")</f>
        <v/>
      </c>
      <c r="BS11" s="13" t="str">
        <f>IF(BS$4="Yes",INDEX(List!$E$2:$CD$173,MATCH('Selection Pane Data'!$B11,List!$E$2:$E$173,0),MATCH('Selection Pane Data'!BS$3,List!$E$2:$CD$2,0)),"")</f>
        <v/>
      </c>
      <c r="BT11" s="13" t="str">
        <f>IF(BT$4="Yes",INDEX(List!$E$2:$CD$173,MATCH('Selection Pane Data'!$B11,List!$E$2:$E$173,0),MATCH('Selection Pane Data'!BT$3,List!$E$2:$CD$2,0)),"")</f>
        <v/>
      </c>
      <c r="BU11" s="13" t="str">
        <f>IF(BU$4="Yes",INDEX(List!$E$2:$CD$173,MATCH('Selection Pane Data'!$B11,List!$E$2:$E$173,0),MATCH('Selection Pane Data'!BU$3,List!$E$2:$CD$2,0)),"")</f>
        <v/>
      </c>
      <c r="BV11" s="13" t="str">
        <f>IF(BV$4="Yes",INDEX(List!$E$2:$CD$173,MATCH('Selection Pane Data'!$B11,List!$E$2:$E$173,0),MATCH('Selection Pane Data'!BV$3,List!$E$2:$CD$2,0)),"")</f>
        <v/>
      </c>
      <c r="BW11" s="13" t="str">
        <f>IF(BW$4="Yes",INDEX(List!$E$2:$CD$173,MATCH('Selection Pane Data'!$B11,List!$E$2:$E$173,0),MATCH('Selection Pane Data'!BW$3,List!$E$2:$CD$2,0)),"")</f>
        <v/>
      </c>
      <c r="BX11" s="13" t="str">
        <f>IF(BX$4="Yes",INDEX(List!$E$2:$CD$173,MATCH('Selection Pane Data'!$B11,List!$E$2:$E$173,0),MATCH('Selection Pane Data'!BX$3,List!$E$2:$CD$2,0)),"")</f>
        <v/>
      </c>
      <c r="BY11" s="13" t="str">
        <f>IF(BY$4="Yes",INDEX(List!$E$2:$CD$173,MATCH('Selection Pane Data'!$B11,List!$E$2:$E$173,0),MATCH('Selection Pane Data'!BY$3,List!$E$2:$CD$2,0)),"")</f>
        <v/>
      </c>
      <c r="BZ11" s="13" t="str">
        <f>IF(BZ$4="Yes",INDEX(List!$E$2:$CD$173,MATCH('Selection Pane Data'!$B11,List!$E$2:$E$173,0),MATCH('Selection Pane Data'!BZ$3,List!$E$2:$CD$2,0)),"")</f>
        <v/>
      </c>
      <c r="CA11" s="13" t="str">
        <f>IF(CA$4="Yes",INDEX(List!$E$2:$CD$173,MATCH('Selection Pane Data'!$B11,List!$E$2:$E$173,0),MATCH('Selection Pane Data'!CA$3,List!$E$2:$CD$2,0)),"")</f>
        <v/>
      </c>
      <c r="CB11" s="13" t="str">
        <f>IF(CB$4="Yes",INDEX(List!$E$2:$CD$173,MATCH('Selection Pane Data'!$B11,List!$E$2:$E$173,0),MATCH('Selection Pane Data'!CB$3,List!$E$2:$CD$2,0)),"")</f>
        <v/>
      </c>
      <c r="CC11" s="13" t="str">
        <f>IF(CC$4="Yes",INDEX(List!$E$2:$CD$173,MATCH('Selection Pane Data'!$B11,List!$E$2:$E$173,0),MATCH('Selection Pane Data'!CC$3,List!$E$2:$CD$2,0)),"")</f>
        <v/>
      </c>
      <c r="CD11" s="13" t="str">
        <f>IF(CD$4="Yes",INDEX(List!$E$2:$CD$173,MATCH('Selection Pane Data'!$B11,List!$E$2:$E$173,0),MATCH('Selection Pane Data'!CD$3,List!$E$2:$CD$2,0)),"")</f>
        <v/>
      </c>
      <c r="CE11" s="13" t="str">
        <f>IF(CE$4="Yes",INDEX(List!$E$2:$CD$173,MATCH('Selection Pane Data'!$B11,List!$E$2:$E$173,0),MATCH('Selection Pane Data'!CE$3,List!$E$2:$CD$2,0)),"")</f>
        <v/>
      </c>
    </row>
    <row r="12" spans="2:83" x14ac:dyDescent="0.35">
      <c r="B12" s="21" t="s">
        <v>299</v>
      </c>
      <c r="C12" s="126" t="str">
        <f>VLOOKUP(B12,List!$E$2:$G$173,2,FALSE)</f>
        <v>AC.L2-3.1.6</v>
      </c>
      <c r="D12" s="31" t="str">
        <f>List!G10</f>
        <v>Shared Coverage</v>
      </c>
      <c r="E12" s="31" t="str">
        <f>IF(Placemat!$F$4="All Practices","All Practices",IF(VLOOKUP(B12,Table7[#All],6,FALSE)="No Mapping","New CMMC Practices","Practices with NIST 800-171 Mappings"))</f>
        <v>Practices with NIST 800-171 Mappings</v>
      </c>
      <c r="F12" t="str">
        <f>INDEX('CMMC Levels'!$A$1:$F$172,MATCH('Selection Pane Data'!$C12,'CMMC Levels'!$A$1:$A$172,0),MATCH(Placemat!$F$4,'CMMC Levels'!$A$1:$F$1,0))</f>
        <v>X</v>
      </c>
      <c r="G12" s="77" t="str">
        <f>IF((COUNTIF(List!H10:CE10,"P")+COUNTIF(List!H10:CE10,"S"))=0,"N",IF(COUNTIF(H12:CE12,"P"),"P",IF(COUNTIF(H12:CE12,"S"),"S","U")))</f>
        <v>U</v>
      </c>
      <c r="H12" s="13" t="str">
        <f>IF(H$4="Yes",INDEX(List!$E$2:$CD$173,MATCH('Selection Pane Data'!$B12,List!$E$2:$E$173,0),MATCH('Selection Pane Data'!H$3,List!$E$2:$CD$2,0)),"")</f>
        <v/>
      </c>
      <c r="I12" s="13" t="str">
        <f>IF(I$4="Yes",INDEX(List!$E$2:$CD$173,MATCH('Selection Pane Data'!$B12,List!$E$2:$E$173,0),MATCH('Selection Pane Data'!I$3,List!$E$2:$CD$2,0)),"")</f>
        <v/>
      </c>
      <c r="J12" s="13" t="str">
        <f>IF(J$4="Yes",INDEX(List!$E$2:$CD$173,MATCH('Selection Pane Data'!$B12,List!$E$2:$E$173,0),MATCH('Selection Pane Data'!J$3,List!$E$2:$CD$2,0)),"")</f>
        <v>N</v>
      </c>
      <c r="K12" s="13" t="str">
        <f>IF(K$4="Yes",INDEX(List!$E$2:$CD$173,MATCH('Selection Pane Data'!$B12,List!$E$2:$E$173,0),MATCH('Selection Pane Data'!K$3,List!$E$2:$CD$2,0)),"")</f>
        <v/>
      </c>
      <c r="L12" s="13" t="str">
        <f>IF(L$4="Yes",INDEX(List!$E$2:$CD$173,MATCH('Selection Pane Data'!$B12,List!$E$2:$E$173,0),MATCH('Selection Pane Data'!L$3,List!$E$2:$CD$2,0)),"")</f>
        <v/>
      </c>
      <c r="M12" s="13" t="str">
        <f>IF(M$4="Yes",INDEX(List!$E$2:$CD$173,MATCH('Selection Pane Data'!$B12,List!$E$2:$E$173,0),MATCH('Selection Pane Data'!M$3,List!$E$2:$CD$2,0)),"")</f>
        <v/>
      </c>
      <c r="N12" s="13" t="str">
        <f>IF(N$4="Yes",INDEX(List!$E$2:$CD$173,MATCH('Selection Pane Data'!$B12,List!$E$2:$E$173,0),MATCH('Selection Pane Data'!N$3,List!$E$2:$CD$2,0)),"")</f>
        <v/>
      </c>
      <c r="O12" s="13" t="str">
        <f>IF(O$4="Yes",INDEX(List!$E$2:$CD$173,MATCH('Selection Pane Data'!$B12,List!$E$2:$E$173,0),MATCH('Selection Pane Data'!O$3,List!$E$2:$CD$2,0)),"")</f>
        <v/>
      </c>
      <c r="P12" s="13" t="str">
        <f>IF(P$4="Yes",INDEX(List!$E$2:$CD$173,MATCH('Selection Pane Data'!$B12,List!$E$2:$E$173,0),MATCH('Selection Pane Data'!P$3,List!$E$2:$CD$2,0)),"")</f>
        <v/>
      </c>
      <c r="Q12" s="13" t="str">
        <f>IF(Q$4="Yes",INDEX(List!$E$2:$CD$173,MATCH('Selection Pane Data'!$B12,List!$E$2:$E$173,0),MATCH('Selection Pane Data'!Q$3,List!$E$2:$CD$2,0)),"")</f>
        <v/>
      </c>
      <c r="R12" s="13" t="str">
        <f>IF(R$4="Yes",INDEX(List!$E$2:$CD$173,MATCH('Selection Pane Data'!$B12,List!$E$2:$E$173,0),MATCH('Selection Pane Data'!R$3,List!$E$2:$CD$2,0)),"")</f>
        <v/>
      </c>
      <c r="S12" s="13" t="str">
        <f>IF(S$4="Yes",INDEX(List!$E$2:$CD$173,MATCH('Selection Pane Data'!$B12,List!$E$2:$E$173,0),MATCH('Selection Pane Data'!S$3,List!$E$2:$CD$2,0)),"")</f>
        <v/>
      </c>
      <c r="T12" s="13" t="str">
        <f>IF(T$4="Yes",INDEX(List!$E$2:$CD$173,MATCH('Selection Pane Data'!$B12,List!$E$2:$E$173,0),MATCH('Selection Pane Data'!T$3,List!$E$2:$CD$2,0)),"")</f>
        <v/>
      </c>
      <c r="U12" s="13" t="str">
        <f>IF(U$4="Yes",INDEX(List!$E$2:$CD$173,MATCH('Selection Pane Data'!$B12,List!$E$2:$E$173,0),MATCH('Selection Pane Data'!U$3,List!$E$2:$CD$2,0)),"")</f>
        <v/>
      </c>
      <c r="V12" s="13" t="str">
        <f>IF(V$4="Yes",INDEX(List!$E$2:$CD$173,MATCH('Selection Pane Data'!$B12,List!$E$2:$E$173,0),MATCH('Selection Pane Data'!V$3,List!$E$2:$CD$2,0)),"")</f>
        <v/>
      </c>
      <c r="W12" s="13" t="str">
        <f>IF(W$4="Yes",INDEX(List!$E$2:$CD$173,MATCH('Selection Pane Data'!$B12,List!$E$2:$E$173,0),MATCH('Selection Pane Data'!W$3,List!$E$2:$CD$2,0)),"")</f>
        <v/>
      </c>
      <c r="X12" s="13" t="str">
        <f>IF(X$4="Yes",INDEX(List!$E$2:$CD$173,MATCH('Selection Pane Data'!$B12,List!$E$2:$E$173,0),MATCH('Selection Pane Data'!X$3,List!$E$2:$CD$2,0)),"")</f>
        <v/>
      </c>
      <c r="Y12" s="13" t="str">
        <f>IF(Y$4="Yes",INDEX(List!$E$2:$CD$173,MATCH('Selection Pane Data'!$B12,List!$E$2:$E$173,0),MATCH('Selection Pane Data'!Y$3,List!$E$2:$CD$2,0)),"")</f>
        <v/>
      </c>
      <c r="Z12" s="13" t="str">
        <f>IF(Z$4="Yes",INDEX(List!$E$2:$CD$173,MATCH('Selection Pane Data'!$B12,List!$E$2:$E$173,0),MATCH('Selection Pane Data'!Z$3,List!$E$2:$CD$2,0)),"")</f>
        <v/>
      </c>
      <c r="AA12" s="13" t="str">
        <f>IF(AA$4="Yes",INDEX(List!$E$2:$CD$173,MATCH('Selection Pane Data'!$B12,List!$E$2:$E$173,0),MATCH('Selection Pane Data'!AA$3,List!$E$2:$CD$2,0)),"")</f>
        <v>N</v>
      </c>
      <c r="AB12" s="13" t="str">
        <f>IF(AB$4="Yes",INDEX(List!$E$2:$CD$173,MATCH('Selection Pane Data'!$B12,List!$E$2:$E$173,0),MATCH('Selection Pane Data'!AB$3,List!$E$2:$CD$2,0)),"")</f>
        <v/>
      </c>
      <c r="AC12" s="13" t="str">
        <f>IF(AC$4="Yes",INDEX(List!$E$2:$CD$173,MATCH('Selection Pane Data'!$B12,List!$E$2:$E$173,0),MATCH('Selection Pane Data'!AC$3,List!$E$2:$CD$2,0)),"")</f>
        <v/>
      </c>
      <c r="AD12" s="13" t="str">
        <f>IF(AD$4="Yes",INDEX(List!$E$2:$CD$173,MATCH('Selection Pane Data'!$B12,List!$E$2:$E$173,0),MATCH('Selection Pane Data'!AD$3,List!$E$2:$CD$2,0)),"")</f>
        <v/>
      </c>
      <c r="AE12" s="13" t="str">
        <f>IF(AE$4="Yes",INDEX(List!$E$2:$CD$173,MATCH('Selection Pane Data'!$B12,List!$E$2:$E$173,0),MATCH('Selection Pane Data'!AE$3,List!$E$2:$CD$2,0)),"")</f>
        <v/>
      </c>
      <c r="AF12" s="13" t="str">
        <f>IF(AF$4="Yes",INDEX(List!$E$2:$CD$173,MATCH('Selection Pane Data'!$B12,List!$E$2:$E$173,0),MATCH('Selection Pane Data'!AF$3,List!$E$2:$CD$2,0)),"")</f>
        <v/>
      </c>
      <c r="AG12" s="13" t="str">
        <f>IF(AG$4="Yes",INDEX(List!$E$2:$CD$173,MATCH('Selection Pane Data'!$B12,List!$E$2:$E$173,0),MATCH('Selection Pane Data'!AG$3,List!$E$2:$CD$2,0)),"")</f>
        <v/>
      </c>
      <c r="AH12" s="13" t="str">
        <f>IF(AH$4="Yes",INDEX(List!$E$2:$CD$173,MATCH('Selection Pane Data'!$B12,List!$E$2:$E$173,0),MATCH('Selection Pane Data'!AH$3,List!$E$2:$CD$2,0)),"")</f>
        <v/>
      </c>
      <c r="AI12" s="13" t="str">
        <f>IF(AI$4="Yes",INDEX(List!$E$2:$CD$173,MATCH('Selection Pane Data'!$B12,List!$E$2:$E$173,0),MATCH('Selection Pane Data'!AI$3,List!$E$2:$CD$2,0)),"")</f>
        <v/>
      </c>
      <c r="AJ12" s="13" t="str">
        <f>IF(AJ$4="Yes",INDEX(List!$E$2:$CD$173,MATCH('Selection Pane Data'!$B12,List!$E$2:$E$173,0),MATCH('Selection Pane Data'!AJ$3,List!$E$2:$CD$2,0)),"")</f>
        <v/>
      </c>
      <c r="AK12" s="13" t="str">
        <f>IF(AK$4="Yes",INDEX(List!$E$2:$CD$173,MATCH('Selection Pane Data'!$B12,List!$E$2:$E$173,0),MATCH('Selection Pane Data'!AK$3,List!$E$2:$CD$2,0)),"")</f>
        <v/>
      </c>
      <c r="AL12" s="13" t="str">
        <f>IF(AL$4="Yes",INDEX(List!$E$2:$CD$173,MATCH('Selection Pane Data'!$B12,List!$E$2:$E$173,0),MATCH('Selection Pane Data'!AL$3,List!$E$2:$CD$2,0)),"")</f>
        <v/>
      </c>
      <c r="AM12" s="13" t="str">
        <f>IF(AM$4="Yes",INDEX(List!$E$2:$CD$173,MATCH('Selection Pane Data'!$B12,List!$E$2:$E$173,0),MATCH('Selection Pane Data'!AM$3,List!$E$2:$CD$2,0)),"")</f>
        <v/>
      </c>
      <c r="AN12" s="13" t="str">
        <f>IF(AN$4="Yes",INDEX(List!$E$2:$CD$173,MATCH('Selection Pane Data'!$B12,List!$E$2:$E$173,0),MATCH('Selection Pane Data'!AN$3,List!$E$2:$CD$2,0)),"")</f>
        <v/>
      </c>
      <c r="AO12" s="13" t="str">
        <f>IF(AO$4="Yes",INDEX(List!$E$2:$CD$173,MATCH('Selection Pane Data'!$B12,List!$E$2:$E$173,0),MATCH('Selection Pane Data'!AO$3,List!$E$2:$CD$2,0)),"")</f>
        <v/>
      </c>
      <c r="AP12" s="13" t="str">
        <f>IF(AP$4="Yes",INDEX(List!$E$2:$CD$173,MATCH('Selection Pane Data'!$B12,List!$E$2:$E$173,0),MATCH('Selection Pane Data'!AP$3,List!$E$2:$CD$2,0)),"")</f>
        <v/>
      </c>
      <c r="AQ12" s="13" t="str">
        <f>IF(AQ$4="Yes",INDEX(List!$E$2:$CD$173,MATCH('Selection Pane Data'!$B12,List!$E$2:$E$173,0),MATCH('Selection Pane Data'!AQ$3,List!$E$2:$CD$2,0)),"")</f>
        <v/>
      </c>
      <c r="AR12" s="13" t="str">
        <f>IF(AR$4="Yes",INDEX(List!$E$2:$CD$173,MATCH('Selection Pane Data'!$B12,List!$E$2:$E$173,0),MATCH('Selection Pane Data'!AR$3,List!$E$2:$CD$2,0)),"")</f>
        <v/>
      </c>
      <c r="AS12" s="13" t="str">
        <f>IF(AS$4="Yes",INDEX(List!$E$2:$CD$173,MATCH('Selection Pane Data'!$B12,List!$E$2:$E$173,0),MATCH('Selection Pane Data'!AS$3,List!$E$2:$CD$2,0)),"")</f>
        <v/>
      </c>
      <c r="AT12" s="13" t="str">
        <f>IF(AT$4="Yes",INDEX(List!$E$2:$CD$173,MATCH('Selection Pane Data'!$B12,List!$E$2:$E$173,0),MATCH('Selection Pane Data'!AT$3,List!$E$2:$CD$2,0)),"")</f>
        <v/>
      </c>
      <c r="AU12" s="13" t="str">
        <f>IF(AU$4="Yes",INDEX(List!$E$2:$CD$173,MATCH('Selection Pane Data'!$B12,List!$E$2:$E$173,0),MATCH('Selection Pane Data'!AU$3,List!$E$2:$CD$2,0)),"")</f>
        <v/>
      </c>
      <c r="AV12" s="13" t="str">
        <f>IF(AV$4="Yes",INDEX(List!$E$2:$CD$173,MATCH('Selection Pane Data'!$B12,List!$E$2:$E$173,0),MATCH('Selection Pane Data'!AV$3,List!$E$2:$CD$2,0)),"")</f>
        <v/>
      </c>
      <c r="AW12" s="13" t="str">
        <f>IF(AW$4="Yes",INDEX(List!$E$2:$CD$173,MATCH('Selection Pane Data'!$B12,List!$E$2:$E$173,0),MATCH('Selection Pane Data'!AW$3,List!$E$2:$CD$2,0)),"")</f>
        <v/>
      </c>
      <c r="AX12" s="13" t="str">
        <f>IF(AX$4="Yes",INDEX(List!$E$2:$CD$173,MATCH('Selection Pane Data'!$B12,List!$E$2:$E$173,0),MATCH('Selection Pane Data'!AX$3,List!$E$2:$CD$2,0)),"")</f>
        <v/>
      </c>
      <c r="AY12" s="13" t="str">
        <f>IF(AY$4="Yes",INDEX(List!$E$2:$CD$173,MATCH('Selection Pane Data'!$B12,List!$E$2:$E$173,0),MATCH('Selection Pane Data'!AY$3,List!$E$2:$CD$2,0)),"")</f>
        <v/>
      </c>
      <c r="AZ12" s="13" t="str">
        <f>IF(AZ$4="Yes",INDEX(List!$E$2:$CD$173,MATCH('Selection Pane Data'!$B12,List!$E$2:$E$173,0),MATCH('Selection Pane Data'!AZ$3,List!$E$2:$CD$2,0)),"")</f>
        <v/>
      </c>
      <c r="BA12" s="13" t="str">
        <f>IF(BA$4="Yes",INDEX(List!$E$2:$CD$173,MATCH('Selection Pane Data'!$B12,List!$E$2:$E$173,0),MATCH('Selection Pane Data'!BA$3,List!$E$2:$CD$2,0)),"")</f>
        <v/>
      </c>
      <c r="BB12" s="13" t="str">
        <f>IF(BB$4="Yes",INDEX(List!$E$2:$CD$173,MATCH('Selection Pane Data'!$B12,List!$E$2:$E$173,0),MATCH('Selection Pane Data'!BB$3,List!$E$2:$CD$2,0)),"")</f>
        <v/>
      </c>
      <c r="BC12" s="13" t="str">
        <f>IF(BC$4="Yes",INDEX(List!$E$2:$CD$173,MATCH('Selection Pane Data'!$B12,List!$E$2:$E$173,0),MATCH('Selection Pane Data'!BC$3,List!$E$2:$CD$2,0)),"")</f>
        <v/>
      </c>
      <c r="BD12" s="13" t="str">
        <f>IF(BD$4="Yes",INDEX(List!$E$2:$CD$173,MATCH('Selection Pane Data'!$B12,List!$E$2:$E$173,0),MATCH('Selection Pane Data'!BD$3,List!$E$2:$CD$2,0)),"")</f>
        <v/>
      </c>
      <c r="BE12" s="13" t="str">
        <f>IF(BE$4="Yes",INDEX(List!$E$2:$CD$173,MATCH('Selection Pane Data'!$B12,List!$E$2:$E$173,0),MATCH('Selection Pane Data'!BE$3,List!$E$2:$CD$2,0)),"")</f>
        <v/>
      </c>
      <c r="BF12" s="13" t="str">
        <f>IF(BF$4="Yes",INDEX(List!$E$2:$CD$173,MATCH('Selection Pane Data'!$B12,List!$E$2:$E$173,0),MATCH('Selection Pane Data'!BF$3,List!$E$2:$CD$2,0)),"")</f>
        <v/>
      </c>
      <c r="BG12" s="13" t="str">
        <f>IF(BG$4="Yes",INDEX(List!$E$2:$CD$173,MATCH('Selection Pane Data'!$B12,List!$E$2:$E$173,0),MATCH('Selection Pane Data'!BG$3,List!$E$2:$CD$2,0)),"")</f>
        <v/>
      </c>
      <c r="BH12" s="13" t="str">
        <f>IF(BH$4="Yes",INDEX(List!$E$2:$CD$173,MATCH('Selection Pane Data'!$B12,List!$E$2:$E$173,0),MATCH('Selection Pane Data'!BH$3,List!$E$2:$CD$2,0)),"")</f>
        <v/>
      </c>
      <c r="BI12" s="13" t="str">
        <f>IF(BI$4="Yes",INDEX(List!$E$2:$CD$173,MATCH('Selection Pane Data'!$B12,List!$E$2:$E$173,0),MATCH('Selection Pane Data'!BI$3,List!$E$2:$CD$2,0)),"")</f>
        <v/>
      </c>
      <c r="BJ12" s="13" t="str">
        <f>IF(BJ$4="Yes",INDEX(List!$E$2:$CD$173,MATCH('Selection Pane Data'!$B12,List!$E$2:$E$173,0),MATCH('Selection Pane Data'!BJ$3,List!$E$2:$CD$2,0)),"")</f>
        <v/>
      </c>
      <c r="BK12" s="13" t="str">
        <f>IF(BK$4="Yes",INDEX(List!$E$2:$CD$173,MATCH('Selection Pane Data'!$B12,List!$E$2:$E$173,0),MATCH('Selection Pane Data'!BK$3,List!$E$2:$CD$2,0)),"")</f>
        <v/>
      </c>
      <c r="BL12" s="13" t="str">
        <f>IF(BL$4="Yes",INDEX(List!$E$2:$CD$173,MATCH('Selection Pane Data'!$B12,List!$E$2:$E$173,0),MATCH('Selection Pane Data'!BL$3,List!$E$2:$CD$2,0)),"")</f>
        <v/>
      </c>
      <c r="BM12" s="13" t="str">
        <f>IF(BM$4="Yes",INDEX(List!$E$2:$CD$173,MATCH('Selection Pane Data'!$B12,List!$E$2:$E$173,0),MATCH('Selection Pane Data'!BM$3,List!$E$2:$CD$2,0)),"")</f>
        <v/>
      </c>
      <c r="BN12" s="13" t="str">
        <f>IF(BN$4="Yes",INDEX(List!$E$2:$CD$173,MATCH('Selection Pane Data'!$B12,List!$E$2:$E$173,0),MATCH('Selection Pane Data'!BN$3,List!$E$2:$CD$2,0)),"")</f>
        <v/>
      </c>
      <c r="BO12" s="13" t="str">
        <f>IF(BO$4="Yes",INDEX(List!$E$2:$CD$173,MATCH('Selection Pane Data'!$B12,List!$E$2:$E$173,0),MATCH('Selection Pane Data'!BO$3,List!$E$2:$CD$2,0)),"")</f>
        <v/>
      </c>
      <c r="BP12" s="13" t="str">
        <f>IF(BP$4="Yes",INDEX(List!$E$2:$CD$173,MATCH('Selection Pane Data'!$B12,List!$E$2:$E$173,0),MATCH('Selection Pane Data'!BP$3,List!$E$2:$CD$2,0)),"")</f>
        <v/>
      </c>
      <c r="BQ12" s="13" t="str">
        <f>IF(BQ$4="Yes",INDEX(List!$E$2:$CD$173,MATCH('Selection Pane Data'!$B12,List!$E$2:$E$173,0),MATCH('Selection Pane Data'!BQ$3,List!$E$2:$CD$2,0)),"")</f>
        <v/>
      </c>
      <c r="BR12" s="13" t="str">
        <f>IF(BR$4="Yes",INDEX(List!$E$2:$CD$173,MATCH('Selection Pane Data'!$B12,List!$E$2:$E$173,0),MATCH('Selection Pane Data'!BR$3,List!$E$2:$CD$2,0)),"")</f>
        <v/>
      </c>
      <c r="BS12" s="13" t="str">
        <f>IF(BS$4="Yes",INDEX(List!$E$2:$CD$173,MATCH('Selection Pane Data'!$B12,List!$E$2:$E$173,0),MATCH('Selection Pane Data'!BS$3,List!$E$2:$CD$2,0)),"")</f>
        <v/>
      </c>
      <c r="BT12" s="13" t="str">
        <f>IF(BT$4="Yes",INDEX(List!$E$2:$CD$173,MATCH('Selection Pane Data'!$B12,List!$E$2:$E$173,0),MATCH('Selection Pane Data'!BT$3,List!$E$2:$CD$2,0)),"")</f>
        <v/>
      </c>
      <c r="BU12" s="13" t="str">
        <f>IF(BU$4="Yes",INDEX(List!$E$2:$CD$173,MATCH('Selection Pane Data'!$B12,List!$E$2:$E$173,0),MATCH('Selection Pane Data'!BU$3,List!$E$2:$CD$2,0)),"")</f>
        <v/>
      </c>
      <c r="BV12" s="13" t="str">
        <f>IF(BV$4="Yes",INDEX(List!$E$2:$CD$173,MATCH('Selection Pane Data'!$B12,List!$E$2:$E$173,0),MATCH('Selection Pane Data'!BV$3,List!$E$2:$CD$2,0)),"")</f>
        <v/>
      </c>
      <c r="BW12" s="13" t="str">
        <f>IF(BW$4="Yes",INDEX(List!$E$2:$CD$173,MATCH('Selection Pane Data'!$B12,List!$E$2:$E$173,0),MATCH('Selection Pane Data'!BW$3,List!$E$2:$CD$2,0)),"")</f>
        <v/>
      </c>
      <c r="BX12" s="13" t="str">
        <f>IF(BX$4="Yes",INDEX(List!$E$2:$CD$173,MATCH('Selection Pane Data'!$B12,List!$E$2:$E$173,0),MATCH('Selection Pane Data'!BX$3,List!$E$2:$CD$2,0)),"")</f>
        <v/>
      </c>
      <c r="BY12" s="13" t="str">
        <f>IF(BY$4="Yes",INDEX(List!$E$2:$CD$173,MATCH('Selection Pane Data'!$B12,List!$E$2:$E$173,0),MATCH('Selection Pane Data'!BY$3,List!$E$2:$CD$2,0)),"")</f>
        <v/>
      </c>
      <c r="BZ12" s="13" t="str">
        <f>IF(BZ$4="Yes",INDEX(List!$E$2:$CD$173,MATCH('Selection Pane Data'!$B12,List!$E$2:$E$173,0),MATCH('Selection Pane Data'!BZ$3,List!$E$2:$CD$2,0)),"")</f>
        <v/>
      </c>
      <c r="CA12" s="13" t="str">
        <f>IF(CA$4="Yes",INDEX(List!$E$2:$CD$173,MATCH('Selection Pane Data'!$B12,List!$E$2:$E$173,0),MATCH('Selection Pane Data'!CA$3,List!$E$2:$CD$2,0)),"")</f>
        <v/>
      </c>
      <c r="CB12" s="13" t="str">
        <f>IF(CB$4="Yes",INDEX(List!$E$2:$CD$173,MATCH('Selection Pane Data'!$B12,List!$E$2:$E$173,0),MATCH('Selection Pane Data'!CB$3,List!$E$2:$CD$2,0)),"")</f>
        <v/>
      </c>
      <c r="CC12" s="13" t="str">
        <f>IF(CC$4="Yes",INDEX(List!$E$2:$CD$173,MATCH('Selection Pane Data'!$B12,List!$E$2:$E$173,0),MATCH('Selection Pane Data'!CC$3,List!$E$2:$CD$2,0)),"")</f>
        <v/>
      </c>
      <c r="CD12" s="13" t="str">
        <f>IF(CD$4="Yes",INDEX(List!$E$2:$CD$173,MATCH('Selection Pane Data'!$B12,List!$E$2:$E$173,0),MATCH('Selection Pane Data'!CD$3,List!$E$2:$CD$2,0)),"")</f>
        <v/>
      </c>
      <c r="CE12" s="13" t="str">
        <f>IF(CE$4="Yes",INDEX(List!$E$2:$CD$173,MATCH('Selection Pane Data'!$B12,List!$E$2:$E$173,0),MATCH('Selection Pane Data'!CE$3,List!$E$2:$CD$2,0)),"")</f>
        <v/>
      </c>
    </row>
    <row r="13" spans="2:83" x14ac:dyDescent="0.35">
      <c r="B13" s="21" t="s">
        <v>300</v>
      </c>
      <c r="C13" s="126" t="str">
        <f>VLOOKUP(B13,List!$E$2:$G$173,2,FALSE)</f>
        <v>AC.L2-3.1.8</v>
      </c>
      <c r="D13" s="31" t="str">
        <f>List!G11</f>
        <v>Shared Coverage</v>
      </c>
      <c r="E13" s="31" t="str">
        <f>IF(Placemat!$F$4="All Practices","All Practices",IF(VLOOKUP(B13,Table7[#All],6,FALSE)="No Mapping","New CMMC Practices","Practices with NIST 800-171 Mappings"))</f>
        <v>Practices with NIST 800-171 Mappings</v>
      </c>
      <c r="F13" t="str">
        <f>INDEX('CMMC Levels'!$A$1:$F$172,MATCH('Selection Pane Data'!$C13,'CMMC Levels'!$A$1:$A$172,0),MATCH(Placemat!$F$4,'CMMC Levels'!$A$1:$F$1,0))</f>
        <v>X</v>
      </c>
      <c r="G13" s="77" t="str">
        <f>IF((COUNTIF(List!H11:CE11,"P")+COUNTIF(List!H11:CE11,"S"))=0,"N",IF(COUNTIF(H13:CE13,"P"),"P",IF(COUNTIF(H13:CE13,"S"),"S","U")))</f>
        <v>U</v>
      </c>
      <c r="H13" s="13" t="str">
        <f>IF(H$4="Yes",INDEX(List!$E$2:$CD$173,MATCH('Selection Pane Data'!$B13,List!$E$2:$E$173,0),MATCH('Selection Pane Data'!H$3,List!$E$2:$CD$2,0)),"")</f>
        <v/>
      </c>
      <c r="I13" s="13" t="str">
        <f>IF(I$4="Yes",INDEX(List!$E$2:$CD$173,MATCH('Selection Pane Data'!$B13,List!$E$2:$E$173,0),MATCH('Selection Pane Data'!I$3,List!$E$2:$CD$2,0)),"")</f>
        <v/>
      </c>
      <c r="J13" s="13" t="str">
        <f>IF(J$4="Yes",INDEX(List!$E$2:$CD$173,MATCH('Selection Pane Data'!$B13,List!$E$2:$E$173,0),MATCH('Selection Pane Data'!J$3,List!$E$2:$CD$2,0)),"")</f>
        <v>N</v>
      </c>
      <c r="K13" s="13" t="str">
        <f>IF(K$4="Yes",INDEX(List!$E$2:$CD$173,MATCH('Selection Pane Data'!$B13,List!$E$2:$E$173,0),MATCH('Selection Pane Data'!K$3,List!$E$2:$CD$2,0)),"")</f>
        <v/>
      </c>
      <c r="L13" s="13" t="str">
        <f>IF(L$4="Yes",INDEX(List!$E$2:$CD$173,MATCH('Selection Pane Data'!$B13,List!$E$2:$E$173,0),MATCH('Selection Pane Data'!L$3,List!$E$2:$CD$2,0)),"")</f>
        <v/>
      </c>
      <c r="M13" s="13" t="str">
        <f>IF(M$4="Yes",INDEX(List!$E$2:$CD$173,MATCH('Selection Pane Data'!$B13,List!$E$2:$E$173,0),MATCH('Selection Pane Data'!M$3,List!$E$2:$CD$2,0)),"")</f>
        <v/>
      </c>
      <c r="N13" s="13" t="str">
        <f>IF(N$4="Yes",INDEX(List!$E$2:$CD$173,MATCH('Selection Pane Data'!$B13,List!$E$2:$E$173,0),MATCH('Selection Pane Data'!N$3,List!$E$2:$CD$2,0)),"")</f>
        <v/>
      </c>
      <c r="O13" s="13" t="str">
        <f>IF(O$4="Yes",INDEX(List!$E$2:$CD$173,MATCH('Selection Pane Data'!$B13,List!$E$2:$E$173,0),MATCH('Selection Pane Data'!O$3,List!$E$2:$CD$2,0)),"")</f>
        <v/>
      </c>
      <c r="P13" s="13" t="str">
        <f>IF(P$4="Yes",INDEX(List!$E$2:$CD$173,MATCH('Selection Pane Data'!$B13,List!$E$2:$E$173,0),MATCH('Selection Pane Data'!P$3,List!$E$2:$CD$2,0)),"")</f>
        <v/>
      </c>
      <c r="Q13" s="13" t="str">
        <f>IF(Q$4="Yes",INDEX(List!$E$2:$CD$173,MATCH('Selection Pane Data'!$B13,List!$E$2:$E$173,0),MATCH('Selection Pane Data'!Q$3,List!$E$2:$CD$2,0)),"")</f>
        <v/>
      </c>
      <c r="R13" s="13" t="str">
        <f>IF(R$4="Yes",INDEX(List!$E$2:$CD$173,MATCH('Selection Pane Data'!$B13,List!$E$2:$E$173,0),MATCH('Selection Pane Data'!R$3,List!$E$2:$CD$2,0)),"")</f>
        <v/>
      </c>
      <c r="S13" s="13" t="str">
        <f>IF(S$4="Yes",INDEX(List!$E$2:$CD$173,MATCH('Selection Pane Data'!$B13,List!$E$2:$E$173,0),MATCH('Selection Pane Data'!S$3,List!$E$2:$CD$2,0)),"")</f>
        <v/>
      </c>
      <c r="T13" s="13" t="str">
        <f>IF(T$4="Yes",INDEX(List!$E$2:$CD$173,MATCH('Selection Pane Data'!$B13,List!$E$2:$E$173,0),MATCH('Selection Pane Data'!T$3,List!$E$2:$CD$2,0)),"")</f>
        <v/>
      </c>
      <c r="U13" s="13" t="str">
        <f>IF(U$4="Yes",INDEX(List!$E$2:$CD$173,MATCH('Selection Pane Data'!$B13,List!$E$2:$E$173,0),MATCH('Selection Pane Data'!U$3,List!$E$2:$CD$2,0)),"")</f>
        <v/>
      </c>
      <c r="V13" s="13" t="str">
        <f>IF(V$4="Yes",INDEX(List!$E$2:$CD$173,MATCH('Selection Pane Data'!$B13,List!$E$2:$E$173,0),MATCH('Selection Pane Data'!V$3,List!$E$2:$CD$2,0)),"")</f>
        <v/>
      </c>
      <c r="W13" s="13" t="str">
        <f>IF(W$4="Yes",INDEX(List!$E$2:$CD$173,MATCH('Selection Pane Data'!$B13,List!$E$2:$E$173,0),MATCH('Selection Pane Data'!W$3,List!$E$2:$CD$2,0)),"")</f>
        <v/>
      </c>
      <c r="X13" s="13" t="str">
        <f>IF(X$4="Yes",INDEX(List!$E$2:$CD$173,MATCH('Selection Pane Data'!$B13,List!$E$2:$E$173,0),MATCH('Selection Pane Data'!X$3,List!$E$2:$CD$2,0)),"")</f>
        <v/>
      </c>
      <c r="Y13" s="13" t="str">
        <f>IF(Y$4="Yes",INDEX(List!$E$2:$CD$173,MATCH('Selection Pane Data'!$B13,List!$E$2:$E$173,0),MATCH('Selection Pane Data'!Y$3,List!$E$2:$CD$2,0)),"")</f>
        <v/>
      </c>
      <c r="Z13" s="13" t="str">
        <f>IF(Z$4="Yes",INDEX(List!$E$2:$CD$173,MATCH('Selection Pane Data'!$B13,List!$E$2:$E$173,0),MATCH('Selection Pane Data'!Z$3,List!$E$2:$CD$2,0)),"")</f>
        <v/>
      </c>
      <c r="AA13" s="13" t="str">
        <f>IF(AA$4="Yes",INDEX(List!$E$2:$CD$173,MATCH('Selection Pane Data'!$B13,List!$E$2:$E$173,0),MATCH('Selection Pane Data'!AA$3,List!$E$2:$CD$2,0)),"")</f>
        <v>N</v>
      </c>
      <c r="AB13" s="13" t="str">
        <f>IF(AB$4="Yes",INDEX(List!$E$2:$CD$173,MATCH('Selection Pane Data'!$B13,List!$E$2:$E$173,0),MATCH('Selection Pane Data'!AB$3,List!$E$2:$CD$2,0)),"")</f>
        <v/>
      </c>
      <c r="AC13" s="13" t="str">
        <f>IF(AC$4="Yes",INDEX(List!$E$2:$CD$173,MATCH('Selection Pane Data'!$B13,List!$E$2:$E$173,0),MATCH('Selection Pane Data'!AC$3,List!$E$2:$CD$2,0)),"")</f>
        <v/>
      </c>
      <c r="AD13" s="13" t="str">
        <f>IF(AD$4="Yes",INDEX(List!$E$2:$CD$173,MATCH('Selection Pane Data'!$B13,List!$E$2:$E$173,0),MATCH('Selection Pane Data'!AD$3,List!$E$2:$CD$2,0)),"")</f>
        <v/>
      </c>
      <c r="AE13" s="13" t="str">
        <f>IF(AE$4="Yes",INDEX(List!$E$2:$CD$173,MATCH('Selection Pane Data'!$B13,List!$E$2:$E$173,0),MATCH('Selection Pane Data'!AE$3,List!$E$2:$CD$2,0)),"")</f>
        <v/>
      </c>
      <c r="AF13" s="13" t="str">
        <f>IF(AF$4="Yes",INDEX(List!$E$2:$CD$173,MATCH('Selection Pane Data'!$B13,List!$E$2:$E$173,0),MATCH('Selection Pane Data'!AF$3,List!$E$2:$CD$2,0)),"")</f>
        <v/>
      </c>
      <c r="AG13" s="13" t="str">
        <f>IF(AG$4="Yes",INDEX(List!$E$2:$CD$173,MATCH('Selection Pane Data'!$B13,List!$E$2:$E$173,0),MATCH('Selection Pane Data'!AG$3,List!$E$2:$CD$2,0)),"")</f>
        <v/>
      </c>
      <c r="AH13" s="13" t="str">
        <f>IF(AH$4="Yes",INDEX(List!$E$2:$CD$173,MATCH('Selection Pane Data'!$B13,List!$E$2:$E$173,0),MATCH('Selection Pane Data'!AH$3,List!$E$2:$CD$2,0)),"")</f>
        <v/>
      </c>
      <c r="AI13" s="13" t="str">
        <f>IF(AI$4="Yes",INDEX(List!$E$2:$CD$173,MATCH('Selection Pane Data'!$B13,List!$E$2:$E$173,0),MATCH('Selection Pane Data'!AI$3,List!$E$2:$CD$2,0)),"")</f>
        <v/>
      </c>
      <c r="AJ13" s="13" t="str">
        <f>IF(AJ$4="Yes",INDEX(List!$E$2:$CD$173,MATCH('Selection Pane Data'!$B13,List!$E$2:$E$173,0),MATCH('Selection Pane Data'!AJ$3,List!$E$2:$CD$2,0)),"")</f>
        <v/>
      </c>
      <c r="AK13" s="13" t="str">
        <f>IF(AK$4="Yes",INDEX(List!$E$2:$CD$173,MATCH('Selection Pane Data'!$B13,List!$E$2:$E$173,0),MATCH('Selection Pane Data'!AK$3,List!$E$2:$CD$2,0)),"")</f>
        <v/>
      </c>
      <c r="AL13" s="13" t="str">
        <f>IF(AL$4="Yes",INDEX(List!$E$2:$CD$173,MATCH('Selection Pane Data'!$B13,List!$E$2:$E$173,0),MATCH('Selection Pane Data'!AL$3,List!$E$2:$CD$2,0)),"")</f>
        <v/>
      </c>
      <c r="AM13" s="13" t="str">
        <f>IF(AM$4="Yes",INDEX(List!$E$2:$CD$173,MATCH('Selection Pane Data'!$B13,List!$E$2:$E$173,0),MATCH('Selection Pane Data'!AM$3,List!$E$2:$CD$2,0)),"")</f>
        <v/>
      </c>
      <c r="AN13" s="13" t="str">
        <f>IF(AN$4="Yes",INDEX(List!$E$2:$CD$173,MATCH('Selection Pane Data'!$B13,List!$E$2:$E$173,0),MATCH('Selection Pane Data'!AN$3,List!$E$2:$CD$2,0)),"")</f>
        <v/>
      </c>
      <c r="AO13" s="13" t="str">
        <f>IF(AO$4="Yes",INDEX(List!$E$2:$CD$173,MATCH('Selection Pane Data'!$B13,List!$E$2:$E$173,0),MATCH('Selection Pane Data'!AO$3,List!$E$2:$CD$2,0)),"")</f>
        <v/>
      </c>
      <c r="AP13" s="13" t="str">
        <f>IF(AP$4="Yes",INDEX(List!$E$2:$CD$173,MATCH('Selection Pane Data'!$B13,List!$E$2:$E$173,0),MATCH('Selection Pane Data'!AP$3,List!$E$2:$CD$2,0)),"")</f>
        <v/>
      </c>
      <c r="AQ13" s="13" t="str">
        <f>IF(AQ$4="Yes",INDEX(List!$E$2:$CD$173,MATCH('Selection Pane Data'!$B13,List!$E$2:$E$173,0),MATCH('Selection Pane Data'!AQ$3,List!$E$2:$CD$2,0)),"")</f>
        <v/>
      </c>
      <c r="AR13" s="13" t="str">
        <f>IF(AR$4="Yes",INDEX(List!$E$2:$CD$173,MATCH('Selection Pane Data'!$B13,List!$E$2:$E$173,0),MATCH('Selection Pane Data'!AR$3,List!$E$2:$CD$2,0)),"")</f>
        <v/>
      </c>
      <c r="AS13" s="13" t="str">
        <f>IF(AS$4="Yes",INDEX(List!$E$2:$CD$173,MATCH('Selection Pane Data'!$B13,List!$E$2:$E$173,0),MATCH('Selection Pane Data'!AS$3,List!$E$2:$CD$2,0)),"")</f>
        <v/>
      </c>
      <c r="AT13" s="13" t="str">
        <f>IF(AT$4="Yes",INDEX(List!$E$2:$CD$173,MATCH('Selection Pane Data'!$B13,List!$E$2:$E$173,0),MATCH('Selection Pane Data'!AT$3,List!$E$2:$CD$2,0)),"")</f>
        <v/>
      </c>
      <c r="AU13" s="13" t="str">
        <f>IF(AU$4="Yes",INDEX(List!$E$2:$CD$173,MATCH('Selection Pane Data'!$B13,List!$E$2:$E$173,0),MATCH('Selection Pane Data'!AU$3,List!$E$2:$CD$2,0)),"")</f>
        <v/>
      </c>
      <c r="AV13" s="13" t="str">
        <f>IF(AV$4="Yes",INDEX(List!$E$2:$CD$173,MATCH('Selection Pane Data'!$B13,List!$E$2:$E$173,0),MATCH('Selection Pane Data'!AV$3,List!$E$2:$CD$2,0)),"")</f>
        <v/>
      </c>
      <c r="AW13" s="13" t="str">
        <f>IF(AW$4="Yes",INDEX(List!$E$2:$CD$173,MATCH('Selection Pane Data'!$B13,List!$E$2:$E$173,0),MATCH('Selection Pane Data'!AW$3,List!$E$2:$CD$2,0)),"")</f>
        <v/>
      </c>
      <c r="AX13" s="13" t="str">
        <f>IF(AX$4="Yes",INDEX(List!$E$2:$CD$173,MATCH('Selection Pane Data'!$B13,List!$E$2:$E$173,0),MATCH('Selection Pane Data'!AX$3,List!$E$2:$CD$2,0)),"")</f>
        <v/>
      </c>
      <c r="AY13" s="13" t="str">
        <f>IF(AY$4="Yes",INDEX(List!$E$2:$CD$173,MATCH('Selection Pane Data'!$B13,List!$E$2:$E$173,0),MATCH('Selection Pane Data'!AY$3,List!$E$2:$CD$2,0)),"")</f>
        <v/>
      </c>
      <c r="AZ13" s="13" t="str">
        <f>IF(AZ$4="Yes",INDEX(List!$E$2:$CD$173,MATCH('Selection Pane Data'!$B13,List!$E$2:$E$173,0),MATCH('Selection Pane Data'!AZ$3,List!$E$2:$CD$2,0)),"")</f>
        <v/>
      </c>
      <c r="BA13" s="13" t="str">
        <f>IF(BA$4="Yes",INDEX(List!$E$2:$CD$173,MATCH('Selection Pane Data'!$B13,List!$E$2:$E$173,0),MATCH('Selection Pane Data'!BA$3,List!$E$2:$CD$2,0)),"")</f>
        <v/>
      </c>
      <c r="BB13" s="13" t="str">
        <f>IF(BB$4="Yes",INDEX(List!$E$2:$CD$173,MATCH('Selection Pane Data'!$B13,List!$E$2:$E$173,0),MATCH('Selection Pane Data'!BB$3,List!$E$2:$CD$2,0)),"")</f>
        <v/>
      </c>
      <c r="BC13" s="13" t="str">
        <f>IF(BC$4="Yes",INDEX(List!$E$2:$CD$173,MATCH('Selection Pane Data'!$B13,List!$E$2:$E$173,0),MATCH('Selection Pane Data'!BC$3,List!$E$2:$CD$2,0)),"")</f>
        <v/>
      </c>
      <c r="BD13" s="13" t="str">
        <f>IF(BD$4="Yes",INDEX(List!$E$2:$CD$173,MATCH('Selection Pane Data'!$B13,List!$E$2:$E$173,0),MATCH('Selection Pane Data'!BD$3,List!$E$2:$CD$2,0)),"")</f>
        <v/>
      </c>
      <c r="BE13" s="13" t="str">
        <f>IF(BE$4="Yes",INDEX(List!$E$2:$CD$173,MATCH('Selection Pane Data'!$B13,List!$E$2:$E$173,0),MATCH('Selection Pane Data'!BE$3,List!$E$2:$CD$2,0)),"")</f>
        <v/>
      </c>
      <c r="BF13" s="13" t="str">
        <f>IF(BF$4="Yes",INDEX(List!$E$2:$CD$173,MATCH('Selection Pane Data'!$B13,List!$E$2:$E$173,0),MATCH('Selection Pane Data'!BF$3,List!$E$2:$CD$2,0)),"")</f>
        <v/>
      </c>
      <c r="BG13" s="13" t="str">
        <f>IF(BG$4="Yes",INDEX(List!$E$2:$CD$173,MATCH('Selection Pane Data'!$B13,List!$E$2:$E$173,0),MATCH('Selection Pane Data'!BG$3,List!$E$2:$CD$2,0)),"")</f>
        <v/>
      </c>
      <c r="BH13" s="13" t="str">
        <f>IF(BH$4="Yes",INDEX(List!$E$2:$CD$173,MATCH('Selection Pane Data'!$B13,List!$E$2:$E$173,0),MATCH('Selection Pane Data'!BH$3,List!$E$2:$CD$2,0)),"")</f>
        <v/>
      </c>
      <c r="BI13" s="13" t="str">
        <f>IF(BI$4="Yes",INDEX(List!$E$2:$CD$173,MATCH('Selection Pane Data'!$B13,List!$E$2:$E$173,0),MATCH('Selection Pane Data'!BI$3,List!$E$2:$CD$2,0)),"")</f>
        <v/>
      </c>
      <c r="BJ13" s="13" t="str">
        <f>IF(BJ$4="Yes",INDEX(List!$E$2:$CD$173,MATCH('Selection Pane Data'!$B13,List!$E$2:$E$173,0),MATCH('Selection Pane Data'!BJ$3,List!$E$2:$CD$2,0)),"")</f>
        <v/>
      </c>
      <c r="BK13" s="13" t="str">
        <f>IF(BK$4="Yes",INDEX(List!$E$2:$CD$173,MATCH('Selection Pane Data'!$B13,List!$E$2:$E$173,0),MATCH('Selection Pane Data'!BK$3,List!$E$2:$CD$2,0)),"")</f>
        <v/>
      </c>
      <c r="BL13" s="13" t="str">
        <f>IF(BL$4="Yes",INDEX(List!$E$2:$CD$173,MATCH('Selection Pane Data'!$B13,List!$E$2:$E$173,0),MATCH('Selection Pane Data'!BL$3,List!$E$2:$CD$2,0)),"")</f>
        <v/>
      </c>
      <c r="BM13" s="13" t="str">
        <f>IF(BM$4="Yes",INDEX(List!$E$2:$CD$173,MATCH('Selection Pane Data'!$B13,List!$E$2:$E$173,0),MATCH('Selection Pane Data'!BM$3,List!$E$2:$CD$2,0)),"")</f>
        <v/>
      </c>
      <c r="BN13" s="13" t="str">
        <f>IF(BN$4="Yes",INDEX(List!$E$2:$CD$173,MATCH('Selection Pane Data'!$B13,List!$E$2:$E$173,0),MATCH('Selection Pane Data'!BN$3,List!$E$2:$CD$2,0)),"")</f>
        <v/>
      </c>
      <c r="BO13" s="13" t="str">
        <f>IF(BO$4="Yes",INDEX(List!$E$2:$CD$173,MATCH('Selection Pane Data'!$B13,List!$E$2:$E$173,0),MATCH('Selection Pane Data'!BO$3,List!$E$2:$CD$2,0)),"")</f>
        <v/>
      </c>
      <c r="BP13" s="13" t="str">
        <f>IF(BP$4="Yes",INDEX(List!$E$2:$CD$173,MATCH('Selection Pane Data'!$B13,List!$E$2:$E$173,0),MATCH('Selection Pane Data'!BP$3,List!$E$2:$CD$2,0)),"")</f>
        <v/>
      </c>
      <c r="BQ13" s="13" t="str">
        <f>IF(BQ$4="Yes",INDEX(List!$E$2:$CD$173,MATCH('Selection Pane Data'!$B13,List!$E$2:$E$173,0),MATCH('Selection Pane Data'!BQ$3,List!$E$2:$CD$2,0)),"")</f>
        <v/>
      </c>
      <c r="BR13" s="13" t="str">
        <f>IF(BR$4="Yes",INDEX(List!$E$2:$CD$173,MATCH('Selection Pane Data'!$B13,List!$E$2:$E$173,0),MATCH('Selection Pane Data'!BR$3,List!$E$2:$CD$2,0)),"")</f>
        <v/>
      </c>
      <c r="BS13" s="13" t="str">
        <f>IF(BS$4="Yes",INDEX(List!$E$2:$CD$173,MATCH('Selection Pane Data'!$B13,List!$E$2:$E$173,0),MATCH('Selection Pane Data'!BS$3,List!$E$2:$CD$2,0)),"")</f>
        <v/>
      </c>
      <c r="BT13" s="13" t="str">
        <f>IF(BT$4="Yes",INDEX(List!$E$2:$CD$173,MATCH('Selection Pane Data'!$B13,List!$E$2:$E$173,0),MATCH('Selection Pane Data'!BT$3,List!$E$2:$CD$2,0)),"")</f>
        <v/>
      </c>
      <c r="BU13" s="13" t="str">
        <f>IF(BU$4="Yes",INDEX(List!$E$2:$CD$173,MATCH('Selection Pane Data'!$B13,List!$E$2:$E$173,0),MATCH('Selection Pane Data'!BU$3,List!$E$2:$CD$2,0)),"")</f>
        <v/>
      </c>
      <c r="BV13" s="13" t="str">
        <f>IF(BV$4="Yes",INDEX(List!$E$2:$CD$173,MATCH('Selection Pane Data'!$B13,List!$E$2:$E$173,0),MATCH('Selection Pane Data'!BV$3,List!$E$2:$CD$2,0)),"")</f>
        <v/>
      </c>
      <c r="BW13" s="13" t="str">
        <f>IF(BW$4="Yes",INDEX(List!$E$2:$CD$173,MATCH('Selection Pane Data'!$B13,List!$E$2:$E$173,0),MATCH('Selection Pane Data'!BW$3,List!$E$2:$CD$2,0)),"")</f>
        <v/>
      </c>
      <c r="BX13" s="13" t="str">
        <f>IF(BX$4="Yes",INDEX(List!$E$2:$CD$173,MATCH('Selection Pane Data'!$B13,List!$E$2:$E$173,0),MATCH('Selection Pane Data'!BX$3,List!$E$2:$CD$2,0)),"")</f>
        <v/>
      </c>
      <c r="BY13" s="13" t="str">
        <f>IF(BY$4="Yes",INDEX(List!$E$2:$CD$173,MATCH('Selection Pane Data'!$B13,List!$E$2:$E$173,0),MATCH('Selection Pane Data'!BY$3,List!$E$2:$CD$2,0)),"")</f>
        <v/>
      </c>
      <c r="BZ13" s="13" t="str">
        <f>IF(BZ$4="Yes",INDEX(List!$E$2:$CD$173,MATCH('Selection Pane Data'!$B13,List!$E$2:$E$173,0),MATCH('Selection Pane Data'!BZ$3,List!$E$2:$CD$2,0)),"")</f>
        <v/>
      </c>
      <c r="CA13" s="13" t="str">
        <f>IF(CA$4="Yes",INDEX(List!$E$2:$CD$173,MATCH('Selection Pane Data'!$B13,List!$E$2:$E$173,0),MATCH('Selection Pane Data'!CA$3,List!$E$2:$CD$2,0)),"")</f>
        <v/>
      </c>
      <c r="CB13" s="13" t="str">
        <f>IF(CB$4="Yes",INDEX(List!$E$2:$CD$173,MATCH('Selection Pane Data'!$B13,List!$E$2:$E$173,0),MATCH('Selection Pane Data'!CB$3,List!$E$2:$CD$2,0)),"")</f>
        <v/>
      </c>
      <c r="CC13" s="13" t="str">
        <f>IF(CC$4="Yes",INDEX(List!$E$2:$CD$173,MATCH('Selection Pane Data'!$B13,List!$E$2:$E$173,0),MATCH('Selection Pane Data'!CC$3,List!$E$2:$CD$2,0)),"")</f>
        <v/>
      </c>
      <c r="CD13" s="13" t="str">
        <f>IF(CD$4="Yes",INDEX(List!$E$2:$CD$173,MATCH('Selection Pane Data'!$B13,List!$E$2:$E$173,0),MATCH('Selection Pane Data'!CD$3,List!$E$2:$CD$2,0)),"")</f>
        <v/>
      </c>
      <c r="CE13" s="13" t="str">
        <f>IF(CE$4="Yes",INDEX(List!$E$2:$CD$173,MATCH('Selection Pane Data'!$B13,List!$E$2:$E$173,0),MATCH('Selection Pane Data'!CE$3,List!$E$2:$CD$2,0)),"")</f>
        <v/>
      </c>
    </row>
    <row r="14" spans="2:83" x14ac:dyDescent="0.35">
      <c r="B14" s="21" t="s">
        <v>301</v>
      </c>
      <c r="C14" s="126" t="str">
        <f>VLOOKUP(B14,List!$E$2:$G$173,2,FALSE)</f>
        <v>AC.L2-3.1.10</v>
      </c>
      <c r="D14" s="31" t="str">
        <f>List!G12</f>
        <v>Shared Coverage</v>
      </c>
      <c r="E14" s="31" t="str">
        <f>IF(Placemat!$F$4="All Practices","All Practices",IF(VLOOKUP(B14,Table7[#All],6,FALSE)="No Mapping","New CMMC Practices","Practices with NIST 800-171 Mappings"))</f>
        <v>Practices with NIST 800-171 Mappings</v>
      </c>
      <c r="F14" t="str">
        <f>INDEX('CMMC Levels'!$A$1:$F$172,MATCH('Selection Pane Data'!$C14,'CMMC Levels'!$A$1:$A$172,0),MATCH(Placemat!$F$4,'CMMC Levels'!$A$1:$F$1,0))</f>
        <v>X</v>
      </c>
      <c r="G14" s="77" t="str">
        <f>IF((COUNTIF(List!H12:CE12,"P")+COUNTIF(List!H12:CE12,"S"))=0,"N",IF(COUNTIF(H14:CE14,"P"),"P",IF(COUNTIF(H14:CE14,"S"),"S","U")))</f>
        <v>S</v>
      </c>
      <c r="H14" s="13" t="str">
        <f>IF(H$4="Yes",INDEX(List!$E$2:$CD$173,MATCH('Selection Pane Data'!$B14,List!$E$2:$E$173,0),MATCH('Selection Pane Data'!H$3,List!$E$2:$CD$2,0)),"")</f>
        <v/>
      </c>
      <c r="I14" s="13" t="str">
        <f>IF(I$4="Yes",INDEX(List!$E$2:$CD$173,MATCH('Selection Pane Data'!$B14,List!$E$2:$E$173,0),MATCH('Selection Pane Data'!I$3,List!$E$2:$CD$2,0)),"")</f>
        <v/>
      </c>
      <c r="J14" s="13" t="str">
        <f>IF(J$4="Yes",INDEX(List!$E$2:$CD$173,MATCH('Selection Pane Data'!$B14,List!$E$2:$E$173,0),MATCH('Selection Pane Data'!J$3,List!$E$2:$CD$2,0)),"")</f>
        <v>N</v>
      </c>
      <c r="K14" s="13" t="str">
        <f>IF(K$4="Yes",INDEX(List!$E$2:$CD$173,MATCH('Selection Pane Data'!$B14,List!$E$2:$E$173,0),MATCH('Selection Pane Data'!K$3,List!$E$2:$CD$2,0)),"")</f>
        <v/>
      </c>
      <c r="L14" s="13" t="str">
        <f>IF(L$4="Yes",INDEX(List!$E$2:$CD$173,MATCH('Selection Pane Data'!$B14,List!$E$2:$E$173,0),MATCH('Selection Pane Data'!L$3,List!$E$2:$CD$2,0)),"")</f>
        <v/>
      </c>
      <c r="M14" s="13" t="str">
        <f>IF(M$4="Yes",INDEX(List!$E$2:$CD$173,MATCH('Selection Pane Data'!$B14,List!$E$2:$E$173,0),MATCH('Selection Pane Data'!M$3,List!$E$2:$CD$2,0)),"")</f>
        <v/>
      </c>
      <c r="N14" s="13" t="str">
        <f>IF(N$4="Yes",INDEX(List!$E$2:$CD$173,MATCH('Selection Pane Data'!$B14,List!$E$2:$E$173,0),MATCH('Selection Pane Data'!N$3,List!$E$2:$CD$2,0)),"")</f>
        <v/>
      </c>
      <c r="O14" s="13" t="str">
        <f>IF(O$4="Yes",INDEX(List!$E$2:$CD$173,MATCH('Selection Pane Data'!$B14,List!$E$2:$E$173,0),MATCH('Selection Pane Data'!O$3,List!$E$2:$CD$2,0)),"")</f>
        <v/>
      </c>
      <c r="P14" s="13" t="str">
        <f>IF(P$4="Yes",INDEX(List!$E$2:$CD$173,MATCH('Selection Pane Data'!$B14,List!$E$2:$E$173,0),MATCH('Selection Pane Data'!P$3,List!$E$2:$CD$2,0)),"")</f>
        <v/>
      </c>
      <c r="Q14" s="13" t="str">
        <f>IF(Q$4="Yes",INDEX(List!$E$2:$CD$173,MATCH('Selection Pane Data'!$B14,List!$E$2:$E$173,0),MATCH('Selection Pane Data'!Q$3,List!$E$2:$CD$2,0)),"")</f>
        <v/>
      </c>
      <c r="R14" s="13" t="str">
        <f>IF(R$4="Yes",INDEX(List!$E$2:$CD$173,MATCH('Selection Pane Data'!$B14,List!$E$2:$E$173,0),MATCH('Selection Pane Data'!R$3,List!$E$2:$CD$2,0)),"")</f>
        <v/>
      </c>
      <c r="S14" s="13" t="str">
        <f>IF(S$4="Yes",INDEX(List!$E$2:$CD$173,MATCH('Selection Pane Data'!$B14,List!$E$2:$E$173,0),MATCH('Selection Pane Data'!S$3,List!$E$2:$CD$2,0)),"")</f>
        <v/>
      </c>
      <c r="T14" s="13" t="str">
        <f>IF(T$4="Yes",INDEX(List!$E$2:$CD$173,MATCH('Selection Pane Data'!$B14,List!$E$2:$E$173,0),MATCH('Selection Pane Data'!T$3,List!$E$2:$CD$2,0)),"")</f>
        <v/>
      </c>
      <c r="U14" s="13" t="str">
        <f>IF(U$4="Yes",INDEX(List!$E$2:$CD$173,MATCH('Selection Pane Data'!$B14,List!$E$2:$E$173,0),MATCH('Selection Pane Data'!U$3,List!$E$2:$CD$2,0)),"")</f>
        <v/>
      </c>
      <c r="V14" s="13" t="str">
        <f>IF(V$4="Yes",INDEX(List!$E$2:$CD$173,MATCH('Selection Pane Data'!$B14,List!$E$2:$E$173,0),MATCH('Selection Pane Data'!V$3,List!$E$2:$CD$2,0)),"")</f>
        <v/>
      </c>
      <c r="W14" s="13" t="str">
        <f>IF(W$4="Yes",INDEX(List!$E$2:$CD$173,MATCH('Selection Pane Data'!$B14,List!$E$2:$E$173,0),MATCH('Selection Pane Data'!W$3,List!$E$2:$CD$2,0)),"")</f>
        <v/>
      </c>
      <c r="X14" s="13" t="str">
        <f>IF(X$4="Yes",INDEX(List!$E$2:$CD$173,MATCH('Selection Pane Data'!$B14,List!$E$2:$E$173,0),MATCH('Selection Pane Data'!X$3,List!$E$2:$CD$2,0)),"")</f>
        <v/>
      </c>
      <c r="Y14" s="13" t="str">
        <f>IF(Y$4="Yes",INDEX(List!$E$2:$CD$173,MATCH('Selection Pane Data'!$B14,List!$E$2:$E$173,0),MATCH('Selection Pane Data'!Y$3,List!$E$2:$CD$2,0)),"")</f>
        <v/>
      </c>
      <c r="Z14" s="13" t="str">
        <f>IF(Z$4="Yes",INDEX(List!$E$2:$CD$173,MATCH('Selection Pane Data'!$B14,List!$E$2:$E$173,0),MATCH('Selection Pane Data'!Z$3,List!$E$2:$CD$2,0)),"")</f>
        <v/>
      </c>
      <c r="AA14" s="13" t="str">
        <f>IF(AA$4="Yes",INDEX(List!$E$2:$CD$173,MATCH('Selection Pane Data'!$B14,List!$E$2:$E$173,0),MATCH('Selection Pane Data'!AA$3,List!$E$2:$CD$2,0)),"")</f>
        <v>S</v>
      </c>
      <c r="AB14" s="13" t="str">
        <f>IF(AB$4="Yes",INDEX(List!$E$2:$CD$173,MATCH('Selection Pane Data'!$B14,List!$E$2:$E$173,0),MATCH('Selection Pane Data'!AB$3,List!$E$2:$CD$2,0)),"")</f>
        <v/>
      </c>
      <c r="AC14" s="13" t="str">
        <f>IF(AC$4="Yes",INDEX(List!$E$2:$CD$173,MATCH('Selection Pane Data'!$B14,List!$E$2:$E$173,0),MATCH('Selection Pane Data'!AC$3,List!$E$2:$CD$2,0)),"")</f>
        <v/>
      </c>
      <c r="AD14" s="13" t="str">
        <f>IF(AD$4="Yes",INDEX(List!$E$2:$CD$173,MATCH('Selection Pane Data'!$B14,List!$E$2:$E$173,0),MATCH('Selection Pane Data'!AD$3,List!$E$2:$CD$2,0)),"")</f>
        <v/>
      </c>
      <c r="AE14" s="13" t="str">
        <f>IF(AE$4="Yes",INDEX(List!$E$2:$CD$173,MATCH('Selection Pane Data'!$B14,List!$E$2:$E$173,0),MATCH('Selection Pane Data'!AE$3,List!$E$2:$CD$2,0)),"")</f>
        <v/>
      </c>
      <c r="AF14" s="13" t="str">
        <f>IF(AF$4="Yes",INDEX(List!$E$2:$CD$173,MATCH('Selection Pane Data'!$B14,List!$E$2:$E$173,0),MATCH('Selection Pane Data'!AF$3,List!$E$2:$CD$2,0)),"")</f>
        <v/>
      </c>
      <c r="AG14" s="13" t="str">
        <f>IF(AG$4="Yes",INDEX(List!$E$2:$CD$173,MATCH('Selection Pane Data'!$B14,List!$E$2:$E$173,0),MATCH('Selection Pane Data'!AG$3,List!$E$2:$CD$2,0)),"")</f>
        <v/>
      </c>
      <c r="AH14" s="13" t="str">
        <f>IF(AH$4="Yes",INDEX(List!$E$2:$CD$173,MATCH('Selection Pane Data'!$B14,List!$E$2:$E$173,0),MATCH('Selection Pane Data'!AH$3,List!$E$2:$CD$2,0)),"")</f>
        <v/>
      </c>
      <c r="AI14" s="13" t="str">
        <f>IF(AI$4="Yes",INDEX(List!$E$2:$CD$173,MATCH('Selection Pane Data'!$B14,List!$E$2:$E$173,0),MATCH('Selection Pane Data'!AI$3,List!$E$2:$CD$2,0)),"")</f>
        <v/>
      </c>
      <c r="AJ14" s="13" t="str">
        <f>IF(AJ$4="Yes",INDEX(List!$E$2:$CD$173,MATCH('Selection Pane Data'!$B14,List!$E$2:$E$173,0),MATCH('Selection Pane Data'!AJ$3,List!$E$2:$CD$2,0)),"")</f>
        <v/>
      </c>
      <c r="AK14" s="13" t="str">
        <f>IF(AK$4="Yes",INDEX(List!$E$2:$CD$173,MATCH('Selection Pane Data'!$B14,List!$E$2:$E$173,0),MATCH('Selection Pane Data'!AK$3,List!$E$2:$CD$2,0)),"")</f>
        <v/>
      </c>
      <c r="AL14" s="13" t="str">
        <f>IF(AL$4="Yes",INDEX(List!$E$2:$CD$173,MATCH('Selection Pane Data'!$B14,List!$E$2:$E$173,0),MATCH('Selection Pane Data'!AL$3,List!$E$2:$CD$2,0)),"")</f>
        <v/>
      </c>
      <c r="AM14" s="13" t="str">
        <f>IF(AM$4="Yes",INDEX(List!$E$2:$CD$173,MATCH('Selection Pane Data'!$B14,List!$E$2:$E$173,0),MATCH('Selection Pane Data'!AM$3,List!$E$2:$CD$2,0)),"")</f>
        <v/>
      </c>
      <c r="AN14" s="13" t="str">
        <f>IF(AN$4="Yes",INDEX(List!$E$2:$CD$173,MATCH('Selection Pane Data'!$B14,List!$E$2:$E$173,0),MATCH('Selection Pane Data'!AN$3,List!$E$2:$CD$2,0)),"")</f>
        <v/>
      </c>
      <c r="AO14" s="13" t="str">
        <f>IF(AO$4="Yes",INDEX(List!$E$2:$CD$173,MATCH('Selection Pane Data'!$B14,List!$E$2:$E$173,0),MATCH('Selection Pane Data'!AO$3,List!$E$2:$CD$2,0)),"")</f>
        <v/>
      </c>
      <c r="AP14" s="13" t="str">
        <f>IF(AP$4="Yes",INDEX(List!$E$2:$CD$173,MATCH('Selection Pane Data'!$B14,List!$E$2:$E$173,0),MATCH('Selection Pane Data'!AP$3,List!$E$2:$CD$2,0)),"")</f>
        <v/>
      </c>
      <c r="AQ14" s="13" t="str">
        <f>IF(AQ$4="Yes",INDEX(List!$E$2:$CD$173,MATCH('Selection Pane Data'!$B14,List!$E$2:$E$173,0),MATCH('Selection Pane Data'!AQ$3,List!$E$2:$CD$2,0)),"")</f>
        <v/>
      </c>
      <c r="AR14" s="13" t="str">
        <f>IF(AR$4="Yes",INDEX(List!$E$2:$CD$173,MATCH('Selection Pane Data'!$B14,List!$E$2:$E$173,0),MATCH('Selection Pane Data'!AR$3,List!$E$2:$CD$2,0)),"")</f>
        <v/>
      </c>
      <c r="AS14" s="13" t="str">
        <f>IF(AS$4="Yes",INDEX(List!$E$2:$CD$173,MATCH('Selection Pane Data'!$B14,List!$E$2:$E$173,0),MATCH('Selection Pane Data'!AS$3,List!$E$2:$CD$2,0)),"")</f>
        <v/>
      </c>
      <c r="AT14" s="13" t="str">
        <f>IF(AT$4="Yes",INDEX(List!$E$2:$CD$173,MATCH('Selection Pane Data'!$B14,List!$E$2:$E$173,0),MATCH('Selection Pane Data'!AT$3,List!$E$2:$CD$2,0)),"")</f>
        <v/>
      </c>
      <c r="AU14" s="13" t="str">
        <f>IF(AU$4="Yes",INDEX(List!$E$2:$CD$173,MATCH('Selection Pane Data'!$B14,List!$E$2:$E$173,0),MATCH('Selection Pane Data'!AU$3,List!$E$2:$CD$2,0)),"")</f>
        <v/>
      </c>
      <c r="AV14" s="13" t="str">
        <f>IF(AV$4="Yes",INDEX(List!$E$2:$CD$173,MATCH('Selection Pane Data'!$B14,List!$E$2:$E$173,0),MATCH('Selection Pane Data'!AV$3,List!$E$2:$CD$2,0)),"")</f>
        <v/>
      </c>
      <c r="AW14" s="13" t="str">
        <f>IF(AW$4="Yes",INDEX(List!$E$2:$CD$173,MATCH('Selection Pane Data'!$B14,List!$E$2:$E$173,0),MATCH('Selection Pane Data'!AW$3,List!$E$2:$CD$2,0)),"")</f>
        <v/>
      </c>
      <c r="AX14" s="13" t="str">
        <f>IF(AX$4="Yes",INDEX(List!$E$2:$CD$173,MATCH('Selection Pane Data'!$B14,List!$E$2:$E$173,0),MATCH('Selection Pane Data'!AX$3,List!$E$2:$CD$2,0)),"")</f>
        <v/>
      </c>
      <c r="AY14" s="13" t="str">
        <f>IF(AY$4="Yes",INDEX(List!$E$2:$CD$173,MATCH('Selection Pane Data'!$B14,List!$E$2:$E$173,0),MATCH('Selection Pane Data'!AY$3,List!$E$2:$CD$2,0)),"")</f>
        <v/>
      </c>
      <c r="AZ14" s="13" t="str">
        <f>IF(AZ$4="Yes",INDEX(List!$E$2:$CD$173,MATCH('Selection Pane Data'!$B14,List!$E$2:$E$173,0),MATCH('Selection Pane Data'!AZ$3,List!$E$2:$CD$2,0)),"")</f>
        <v/>
      </c>
      <c r="BA14" s="13" t="str">
        <f>IF(BA$4="Yes",INDEX(List!$E$2:$CD$173,MATCH('Selection Pane Data'!$B14,List!$E$2:$E$173,0),MATCH('Selection Pane Data'!BA$3,List!$E$2:$CD$2,0)),"")</f>
        <v/>
      </c>
      <c r="BB14" s="13" t="str">
        <f>IF(BB$4="Yes",INDEX(List!$E$2:$CD$173,MATCH('Selection Pane Data'!$B14,List!$E$2:$E$173,0),MATCH('Selection Pane Data'!BB$3,List!$E$2:$CD$2,0)),"")</f>
        <v/>
      </c>
      <c r="BC14" s="13" t="str">
        <f>IF(BC$4="Yes",INDEX(List!$E$2:$CD$173,MATCH('Selection Pane Data'!$B14,List!$E$2:$E$173,0),MATCH('Selection Pane Data'!BC$3,List!$E$2:$CD$2,0)),"")</f>
        <v/>
      </c>
      <c r="BD14" s="13" t="str">
        <f>IF(BD$4="Yes",INDEX(List!$E$2:$CD$173,MATCH('Selection Pane Data'!$B14,List!$E$2:$E$173,0),MATCH('Selection Pane Data'!BD$3,List!$E$2:$CD$2,0)),"")</f>
        <v/>
      </c>
      <c r="BE14" s="13" t="str">
        <f>IF(BE$4="Yes",INDEX(List!$E$2:$CD$173,MATCH('Selection Pane Data'!$B14,List!$E$2:$E$173,0),MATCH('Selection Pane Data'!BE$3,List!$E$2:$CD$2,0)),"")</f>
        <v/>
      </c>
      <c r="BF14" s="13" t="str">
        <f>IF(BF$4="Yes",INDEX(List!$E$2:$CD$173,MATCH('Selection Pane Data'!$B14,List!$E$2:$E$173,0),MATCH('Selection Pane Data'!BF$3,List!$E$2:$CD$2,0)),"")</f>
        <v/>
      </c>
      <c r="BG14" s="13" t="str">
        <f>IF(BG$4="Yes",INDEX(List!$E$2:$CD$173,MATCH('Selection Pane Data'!$B14,List!$E$2:$E$173,0),MATCH('Selection Pane Data'!BG$3,List!$E$2:$CD$2,0)),"")</f>
        <v/>
      </c>
      <c r="BH14" s="13" t="str">
        <f>IF(BH$4="Yes",INDEX(List!$E$2:$CD$173,MATCH('Selection Pane Data'!$B14,List!$E$2:$E$173,0),MATCH('Selection Pane Data'!BH$3,List!$E$2:$CD$2,0)),"")</f>
        <v/>
      </c>
      <c r="BI14" s="13" t="str">
        <f>IF(BI$4="Yes",INDEX(List!$E$2:$CD$173,MATCH('Selection Pane Data'!$B14,List!$E$2:$E$173,0),MATCH('Selection Pane Data'!BI$3,List!$E$2:$CD$2,0)),"")</f>
        <v/>
      </c>
      <c r="BJ14" s="13" t="str">
        <f>IF(BJ$4="Yes",INDEX(List!$E$2:$CD$173,MATCH('Selection Pane Data'!$B14,List!$E$2:$E$173,0),MATCH('Selection Pane Data'!BJ$3,List!$E$2:$CD$2,0)),"")</f>
        <v/>
      </c>
      <c r="BK14" s="13" t="str">
        <f>IF(BK$4="Yes",INDEX(List!$E$2:$CD$173,MATCH('Selection Pane Data'!$B14,List!$E$2:$E$173,0),MATCH('Selection Pane Data'!BK$3,List!$E$2:$CD$2,0)),"")</f>
        <v/>
      </c>
      <c r="BL14" s="13" t="str">
        <f>IF(BL$4="Yes",INDEX(List!$E$2:$CD$173,MATCH('Selection Pane Data'!$B14,List!$E$2:$E$173,0),MATCH('Selection Pane Data'!BL$3,List!$E$2:$CD$2,0)),"")</f>
        <v/>
      </c>
      <c r="BM14" s="13" t="str">
        <f>IF(BM$4="Yes",INDEX(List!$E$2:$CD$173,MATCH('Selection Pane Data'!$B14,List!$E$2:$E$173,0),MATCH('Selection Pane Data'!BM$3,List!$E$2:$CD$2,0)),"")</f>
        <v/>
      </c>
      <c r="BN14" s="13" t="str">
        <f>IF(BN$4="Yes",INDEX(List!$E$2:$CD$173,MATCH('Selection Pane Data'!$B14,List!$E$2:$E$173,0),MATCH('Selection Pane Data'!BN$3,List!$E$2:$CD$2,0)),"")</f>
        <v/>
      </c>
      <c r="BO14" s="13" t="str">
        <f>IF(BO$4="Yes",INDEX(List!$E$2:$CD$173,MATCH('Selection Pane Data'!$B14,List!$E$2:$E$173,0),MATCH('Selection Pane Data'!BO$3,List!$E$2:$CD$2,0)),"")</f>
        <v/>
      </c>
      <c r="BP14" s="13" t="str">
        <f>IF(BP$4="Yes",INDEX(List!$E$2:$CD$173,MATCH('Selection Pane Data'!$B14,List!$E$2:$E$173,0),MATCH('Selection Pane Data'!BP$3,List!$E$2:$CD$2,0)),"")</f>
        <v/>
      </c>
      <c r="BQ14" s="13" t="str">
        <f>IF(BQ$4="Yes",INDEX(List!$E$2:$CD$173,MATCH('Selection Pane Data'!$B14,List!$E$2:$E$173,0),MATCH('Selection Pane Data'!BQ$3,List!$E$2:$CD$2,0)),"")</f>
        <v/>
      </c>
      <c r="BR14" s="13" t="str">
        <f>IF(BR$4="Yes",INDEX(List!$E$2:$CD$173,MATCH('Selection Pane Data'!$B14,List!$E$2:$E$173,0),MATCH('Selection Pane Data'!BR$3,List!$E$2:$CD$2,0)),"")</f>
        <v/>
      </c>
      <c r="BS14" s="13" t="str">
        <f>IF(BS$4="Yes",INDEX(List!$E$2:$CD$173,MATCH('Selection Pane Data'!$B14,List!$E$2:$E$173,0),MATCH('Selection Pane Data'!BS$3,List!$E$2:$CD$2,0)),"")</f>
        <v/>
      </c>
      <c r="BT14" s="13" t="str">
        <f>IF(BT$4="Yes",INDEX(List!$E$2:$CD$173,MATCH('Selection Pane Data'!$B14,List!$E$2:$E$173,0),MATCH('Selection Pane Data'!BT$3,List!$E$2:$CD$2,0)),"")</f>
        <v/>
      </c>
      <c r="BU14" s="13" t="str">
        <f>IF(BU$4="Yes",INDEX(List!$E$2:$CD$173,MATCH('Selection Pane Data'!$B14,List!$E$2:$E$173,0),MATCH('Selection Pane Data'!BU$3,List!$E$2:$CD$2,0)),"")</f>
        <v/>
      </c>
      <c r="BV14" s="13" t="str">
        <f>IF(BV$4="Yes",INDEX(List!$E$2:$CD$173,MATCH('Selection Pane Data'!$B14,List!$E$2:$E$173,0),MATCH('Selection Pane Data'!BV$3,List!$E$2:$CD$2,0)),"")</f>
        <v/>
      </c>
      <c r="BW14" s="13" t="str">
        <f>IF(BW$4="Yes",INDEX(List!$E$2:$CD$173,MATCH('Selection Pane Data'!$B14,List!$E$2:$E$173,0),MATCH('Selection Pane Data'!BW$3,List!$E$2:$CD$2,0)),"")</f>
        <v/>
      </c>
      <c r="BX14" s="13" t="str">
        <f>IF(BX$4="Yes",INDEX(List!$E$2:$CD$173,MATCH('Selection Pane Data'!$B14,List!$E$2:$E$173,0),MATCH('Selection Pane Data'!BX$3,List!$E$2:$CD$2,0)),"")</f>
        <v/>
      </c>
      <c r="BY14" s="13" t="str">
        <f>IF(BY$4="Yes",INDEX(List!$E$2:$CD$173,MATCH('Selection Pane Data'!$B14,List!$E$2:$E$173,0),MATCH('Selection Pane Data'!BY$3,List!$E$2:$CD$2,0)),"")</f>
        <v/>
      </c>
      <c r="BZ14" s="13" t="str">
        <f>IF(BZ$4="Yes",INDEX(List!$E$2:$CD$173,MATCH('Selection Pane Data'!$B14,List!$E$2:$E$173,0),MATCH('Selection Pane Data'!BZ$3,List!$E$2:$CD$2,0)),"")</f>
        <v/>
      </c>
      <c r="CA14" s="13" t="str">
        <f>IF(CA$4="Yes",INDEX(List!$E$2:$CD$173,MATCH('Selection Pane Data'!$B14,List!$E$2:$E$173,0),MATCH('Selection Pane Data'!CA$3,List!$E$2:$CD$2,0)),"")</f>
        <v/>
      </c>
      <c r="CB14" s="13" t="str">
        <f>IF(CB$4="Yes",INDEX(List!$E$2:$CD$173,MATCH('Selection Pane Data'!$B14,List!$E$2:$E$173,0),MATCH('Selection Pane Data'!CB$3,List!$E$2:$CD$2,0)),"")</f>
        <v/>
      </c>
      <c r="CC14" s="13" t="str">
        <f>IF(CC$4="Yes",INDEX(List!$E$2:$CD$173,MATCH('Selection Pane Data'!$B14,List!$E$2:$E$173,0),MATCH('Selection Pane Data'!CC$3,List!$E$2:$CD$2,0)),"")</f>
        <v/>
      </c>
      <c r="CD14" s="13" t="str">
        <f>IF(CD$4="Yes",INDEX(List!$E$2:$CD$173,MATCH('Selection Pane Data'!$B14,List!$E$2:$E$173,0),MATCH('Selection Pane Data'!CD$3,List!$E$2:$CD$2,0)),"")</f>
        <v/>
      </c>
      <c r="CE14" s="13" t="str">
        <f>IF(CE$4="Yes",INDEX(List!$E$2:$CD$173,MATCH('Selection Pane Data'!$B14,List!$E$2:$E$173,0),MATCH('Selection Pane Data'!CE$3,List!$E$2:$CD$2,0)),"")</f>
        <v/>
      </c>
    </row>
    <row r="15" spans="2:83" x14ac:dyDescent="0.35">
      <c r="B15" s="21" t="s">
        <v>302</v>
      </c>
      <c r="C15" s="126" t="str">
        <f>VLOOKUP(B15,List!$E$2:$G$173,2,FALSE)</f>
        <v>AC.L2-3.1.16</v>
      </c>
      <c r="D15" s="31" t="str">
        <f>List!G13</f>
        <v>Customer Responsibility</v>
      </c>
      <c r="E15" s="31" t="str">
        <f>IF(Placemat!$F$4="All Practices","All Practices",IF(VLOOKUP(B15,Table7[#All],6,FALSE)="No Mapping","New CMMC Practices","Practices with NIST 800-171 Mappings"))</f>
        <v>Practices with NIST 800-171 Mappings</v>
      </c>
      <c r="F15" t="str">
        <f>INDEX('CMMC Levels'!$A$1:$F$172,MATCH('Selection Pane Data'!$C15,'CMMC Levels'!$A$1:$A$172,0),MATCH(Placemat!$F$4,'CMMC Levels'!$A$1:$F$1,0))</f>
        <v>X</v>
      </c>
      <c r="G15" s="77" t="str">
        <f>IF((COUNTIF(List!H13:CE13,"P")+COUNTIF(List!H13:CE13,"S"))=0,"N",IF(COUNTIF(H15:CE15,"P"),"P",IF(COUNTIF(H15:CE15,"S"),"S","U")))</f>
        <v>U</v>
      </c>
      <c r="H15" s="13" t="str">
        <f>IF(H$4="Yes",INDEX(List!$E$2:$CD$173,MATCH('Selection Pane Data'!$B15,List!$E$2:$E$173,0),MATCH('Selection Pane Data'!H$3,List!$E$2:$CD$2,0)),"")</f>
        <v/>
      </c>
      <c r="I15" s="13" t="str">
        <f>IF(I$4="Yes",INDEX(List!$E$2:$CD$173,MATCH('Selection Pane Data'!$B15,List!$E$2:$E$173,0),MATCH('Selection Pane Data'!I$3,List!$E$2:$CD$2,0)),"")</f>
        <v/>
      </c>
      <c r="J15" s="13" t="str">
        <f>IF(J$4="Yes",INDEX(List!$E$2:$CD$173,MATCH('Selection Pane Data'!$B15,List!$E$2:$E$173,0),MATCH('Selection Pane Data'!J$3,List!$E$2:$CD$2,0)),"")</f>
        <v>N</v>
      </c>
      <c r="K15" s="13" t="str">
        <f>IF(K$4="Yes",INDEX(List!$E$2:$CD$173,MATCH('Selection Pane Data'!$B15,List!$E$2:$E$173,0),MATCH('Selection Pane Data'!K$3,List!$E$2:$CD$2,0)),"")</f>
        <v/>
      </c>
      <c r="L15" s="13" t="str">
        <f>IF(L$4="Yes",INDEX(List!$E$2:$CD$173,MATCH('Selection Pane Data'!$B15,List!$E$2:$E$173,0),MATCH('Selection Pane Data'!L$3,List!$E$2:$CD$2,0)),"")</f>
        <v/>
      </c>
      <c r="M15" s="13" t="str">
        <f>IF(M$4="Yes",INDEX(List!$E$2:$CD$173,MATCH('Selection Pane Data'!$B15,List!$E$2:$E$173,0),MATCH('Selection Pane Data'!M$3,List!$E$2:$CD$2,0)),"")</f>
        <v/>
      </c>
      <c r="N15" s="13" t="str">
        <f>IF(N$4="Yes",INDEX(List!$E$2:$CD$173,MATCH('Selection Pane Data'!$B15,List!$E$2:$E$173,0),MATCH('Selection Pane Data'!N$3,List!$E$2:$CD$2,0)),"")</f>
        <v/>
      </c>
      <c r="O15" s="13" t="str">
        <f>IF(O$4="Yes",INDEX(List!$E$2:$CD$173,MATCH('Selection Pane Data'!$B15,List!$E$2:$E$173,0),MATCH('Selection Pane Data'!O$3,List!$E$2:$CD$2,0)),"")</f>
        <v/>
      </c>
      <c r="P15" s="13" t="str">
        <f>IF(P$4="Yes",INDEX(List!$E$2:$CD$173,MATCH('Selection Pane Data'!$B15,List!$E$2:$E$173,0),MATCH('Selection Pane Data'!P$3,List!$E$2:$CD$2,0)),"")</f>
        <v/>
      </c>
      <c r="Q15" s="13" t="str">
        <f>IF(Q$4="Yes",INDEX(List!$E$2:$CD$173,MATCH('Selection Pane Data'!$B15,List!$E$2:$E$173,0),MATCH('Selection Pane Data'!Q$3,List!$E$2:$CD$2,0)),"")</f>
        <v/>
      </c>
      <c r="R15" s="13" t="str">
        <f>IF(R$4="Yes",INDEX(List!$E$2:$CD$173,MATCH('Selection Pane Data'!$B15,List!$E$2:$E$173,0),MATCH('Selection Pane Data'!R$3,List!$E$2:$CD$2,0)),"")</f>
        <v/>
      </c>
      <c r="S15" s="13" t="str">
        <f>IF(S$4="Yes",INDEX(List!$E$2:$CD$173,MATCH('Selection Pane Data'!$B15,List!$E$2:$E$173,0),MATCH('Selection Pane Data'!S$3,List!$E$2:$CD$2,0)),"")</f>
        <v/>
      </c>
      <c r="T15" s="13" t="str">
        <f>IF(T$4="Yes",INDEX(List!$E$2:$CD$173,MATCH('Selection Pane Data'!$B15,List!$E$2:$E$173,0),MATCH('Selection Pane Data'!T$3,List!$E$2:$CD$2,0)),"")</f>
        <v/>
      </c>
      <c r="U15" s="13" t="str">
        <f>IF(U$4="Yes",INDEX(List!$E$2:$CD$173,MATCH('Selection Pane Data'!$B15,List!$E$2:$E$173,0),MATCH('Selection Pane Data'!U$3,List!$E$2:$CD$2,0)),"")</f>
        <v/>
      </c>
      <c r="V15" s="13" t="str">
        <f>IF(V$4="Yes",INDEX(List!$E$2:$CD$173,MATCH('Selection Pane Data'!$B15,List!$E$2:$E$173,0),MATCH('Selection Pane Data'!V$3,List!$E$2:$CD$2,0)),"")</f>
        <v/>
      </c>
      <c r="W15" s="13" t="str">
        <f>IF(W$4="Yes",INDEX(List!$E$2:$CD$173,MATCH('Selection Pane Data'!$B15,List!$E$2:$E$173,0),MATCH('Selection Pane Data'!W$3,List!$E$2:$CD$2,0)),"")</f>
        <v/>
      </c>
      <c r="X15" s="13" t="str">
        <f>IF(X$4="Yes",INDEX(List!$E$2:$CD$173,MATCH('Selection Pane Data'!$B15,List!$E$2:$E$173,0),MATCH('Selection Pane Data'!X$3,List!$E$2:$CD$2,0)),"")</f>
        <v/>
      </c>
      <c r="Y15" s="13" t="str">
        <f>IF(Y$4="Yes",INDEX(List!$E$2:$CD$173,MATCH('Selection Pane Data'!$B15,List!$E$2:$E$173,0),MATCH('Selection Pane Data'!Y$3,List!$E$2:$CD$2,0)),"")</f>
        <v/>
      </c>
      <c r="Z15" s="13" t="str">
        <f>IF(Z$4="Yes",INDEX(List!$E$2:$CD$173,MATCH('Selection Pane Data'!$B15,List!$E$2:$E$173,0),MATCH('Selection Pane Data'!Z$3,List!$E$2:$CD$2,0)),"")</f>
        <v/>
      </c>
      <c r="AA15" s="13" t="str">
        <f>IF(AA$4="Yes",INDEX(List!$E$2:$CD$173,MATCH('Selection Pane Data'!$B15,List!$E$2:$E$173,0),MATCH('Selection Pane Data'!AA$3,List!$E$2:$CD$2,0)),"")</f>
        <v>N</v>
      </c>
      <c r="AB15" s="13" t="str">
        <f>IF(AB$4="Yes",INDEX(List!$E$2:$CD$173,MATCH('Selection Pane Data'!$B15,List!$E$2:$E$173,0),MATCH('Selection Pane Data'!AB$3,List!$E$2:$CD$2,0)),"")</f>
        <v/>
      </c>
      <c r="AC15" s="13" t="str">
        <f>IF(AC$4="Yes",INDEX(List!$E$2:$CD$173,MATCH('Selection Pane Data'!$B15,List!$E$2:$E$173,0),MATCH('Selection Pane Data'!AC$3,List!$E$2:$CD$2,0)),"")</f>
        <v/>
      </c>
      <c r="AD15" s="13" t="str">
        <f>IF(AD$4="Yes",INDEX(List!$E$2:$CD$173,MATCH('Selection Pane Data'!$B15,List!$E$2:$E$173,0),MATCH('Selection Pane Data'!AD$3,List!$E$2:$CD$2,0)),"")</f>
        <v/>
      </c>
      <c r="AE15" s="13" t="str">
        <f>IF(AE$4="Yes",INDEX(List!$E$2:$CD$173,MATCH('Selection Pane Data'!$B15,List!$E$2:$E$173,0),MATCH('Selection Pane Data'!AE$3,List!$E$2:$CD$2,0)),"")</f>
        <v/>
      </c>
      <c r="AF15" s="13" t="str">
        <f>IF(AF$4="Yes",INDEX(List!$E$2:$CD$173,MATCH('Selection Pane Data'!$B15,List!$E$2:$E$173,0),MATCH('Selection Pane Data'!AF$3,List!$E$2:$CD$2,0)),"")</f>
        <v/>
      </c>
      <c r="AG15" s="13" t="str">
        <f>IF(AG$4="Yes",INDEX(List!$E$2:$CD$173,MATCH('Selection Pane Data'!$B15,List!$E$2:$E$173,0),MATCH('Selection Pane Data'!AG$3,List!$E$2:$CD$2,0)),"")</f>
        <v/>
      </c>
      <c r="AH15" s="13" t="str">
        <f>IF(AH$4="Yes",INDEX(List!$E$2:$CD$173,MATCH('Selection Pane Data'!$B15,List!$E$2:$E$173,0),MATCH('Selection Pane Data'!AH$3,List!$E$2:$CD$2,0)),"")</f>
        <v/>
      </c>
      <c r="AI15" s="13" t="str">
        <f>IF(AI$4="Yes",INDEX(List!$E$2:$CD$173,MATCH('Selection Pane Data'!$B15,List!$E$2:$E$173,0),MATCH('Selection Pane Data'!AI$3,List!$E$2:$CD$2,0)),"")</f>
        <v/>
      </c>
      <c r="AJ15" s="13" t="str">
        <f>IF(AJ$4="Yes",INDEX(List!$E$2:$CD$173,MATCH('Selection Pane Data'!$B15,List!$E$2:$E$173,0),MATCH('Selection Pane Data'!AJ$3,List!$E$2:$CD$2,0)),"")</f>
        <v/>
      </c>
      <c r="AK15" s="13" t="str">
        <f>IF(AK$4="Yes",INDEX(List!$E$2:$CD$173,MATCH('Selection Pane Data'!$B15,List!$E$2:$E$173,0),MATCH('Selection Pane Data'!AK$3,List!$E$2:$CD$2,0)),"")</f>
        <v/>
      </c>
      <c r="AL15" s="13" t="str">
        <f>IF(AL$4="Yes",INDEX(List!$E$2:$CD$173,MATCH('Selection Pane Data'!$B15,List!$E$2:$E$173,0),MATCH('Selection Pane Data'!AL$3,List!$E$2:$CD$2,0)),"")</f>
        <v/>
      </c>
      <c r="AM15" s="13" t="str">
        <f>IF(AM$4="Yes",INDEX(List!$E$2:$CD$173,MATCH('Selection Pane Data'!$B15,List!$E$2:$E$173,0),MATCH('Selection Pane Data'!AM$3,List!$E$2:$CD$2,0)),"")</f>
        <v/>
      </c>
      <c r="AN15" s="13" t="str">
        <f>IF(AN$4="Yes",INDEX(List!$E$2:$CD$173,MATCH('Selection Pane Data'!$B15,List!$E$2:$E$173,0),MATCH('Selection Pane Data'!AN$3,List!$E$2:$CD$2,0)),"")</f>
        <v/>
      </c>
      <c r="AO15" s="13" t="str">
        <f>IF(AO$4="Yes",INDEX(List!$E$2:$CD$173,MATCH('Selection Pane Data'!$B15,List!$E$2:$E$173,0),MATCH('Selection Pane Data'!AO$3,List!$E$2:$CD$2,0)),"")</f>
        <v/>
      </c>
      <c r="AP15" s="13" t="str">
        <f>IF(AP$4="Yes",INDEX(List!$E$2:$CD$173,MATCH('Selection Pane Data'!$B15,List!$E$2:$E$173,0),MATCH('Selection Pane Data'!AP$3,List!$E$2:$CD$2,0)),"")</f>
        <v/>
      </c>
      <c r="AQ15" s="13" t="str">
        <f>IF(AQ$4="Yes",INDEX(List!$E$2:$CD$173,MATCH('Selection Pane Data'!$B15,List!$E$2:$E$173,0),MATCH('Selection Pane Data'!AQ$3,List!$E$2:$CD$2,0)),"")</f>
        <v/>
      </c>
      <c r="AR15" s="13" t="str">
        <f>IF(AR$4="Yes",INDEX(List!$E$2:$CD$173,MATCH('Selection Pane Data'!$B15,List!$E$2:$E$173,0),MATCH('Selection Pane Data'!AR$3,List!$E$2:$CD$2,0)),"")</f>
        <v/>
      </c>
      <c r="AS15" s="13" t="str">
        <f>IF(AS$4="Yes",INDEX(List!$E$2:$CD$173,MATCH('Selection Pane Data'!$B15,List!$E$2:$E$173,0),MATCH('Selection Pane Data'!AS$3,List!$E$2:$CD$2,0)),"")</f>
        <v/>
      </c>
      <c r="AT15" s="13" t="str">
        <f>IF(AT$4="Yes",INDEX(List!$E$2:$CD$173,MATCH('Selection Pane Data'!$B15,List!$E$2:$E$173,0),MATCH('Selection Pane Data'!AT$3,List!$E$2:$CD$2,0)),"")</f>
        <v/>
      </c>
      <c r="AU15" s="13" t="str">
        <f>IF(AU$4="Yes",INDEX(List!$E$2:$CD$173,MATCH('Selection Pane Data'!$B15,List!$E$2:$E$173,0),MATCH('Selection Pane Data'!AU$3,List!$E$2:$CD$2,0)),"")</f>
        <v/>
      </c>
      <c r="AV15" s="13" t="str">
        <f>IF(AV$4="Yes",INDEX(List!$E$2:$CD$173,MATCH('Selection Pane Data'!$B15,List!$E$2:$E$173,0),MATCH('Selection Pane Data'!AV$3,List!$E$2:$CD$2,0)),"")</f>
        <v/>
      </c>
      <c r="AW15" s="13" t="str">
        <f>IF(AW$4="Yes",INDEX(List!$E$2:$CD$173,MATCH('Selection Pane Data'!$B15,List!$E$2:$E$173,0),MATCH('Selection Pane Data'!AW$3,List!$E$2:$CD$2,0)),"")</f>
        <v/>
      </c>
      <c r="AX15" s="13" t="str">
        <f>IF(AX$4="Yes",INDEX(List!$E$2:$CD$173,MATCH('Selection Pane Data'!$B15,List!$E$2:$E$173,0),MATCH('Selection Pane Data'!AX$3,List!$E$2:$CD$2,0)),"")</f>
        <v/>
      </c>
      <c r="AY15" s="13" t="str">
        <f>IF(AY$4="Yes",INDEX(List!$E$2:$CD$173,MATCH('Selection Pane Data'!$B15,List!$E$2:$E$173,0),MATCH('Selection Pane Data'!AY$3,List!$E$2:$CD$2,0)),"")</f>
        <v/>
      </c>
      <c r="AZ15" s="13" t="str">
        <f>IF(AZ$4="Yes",INDEX(List!$E$2:$CD$173,MATCH('Selection Pane Data'!$B15,List!$E$2:$E$173,0),MATCH('Selection Pane Data'!AZ$3,List!$E$2:$CD$2,0)),"")</f>
        <v/>
      </c>
      <c r="BA15" s="13" t="str">
        <f>IF(BA$4="Yes",INDEX(List!$E$2:$CD$173,MATCH('Selection Pane Data'!$B15,List!$E$2:$E$173,0),MATCH('Selection Pane Data'!BA$3,List!$E$2:$CD$2,0)),"")</f>
        <v/>
      </c>
      <c r="BB15" s="13" t="str">
        <f>IF(BB$4="Yes",INDEX(List!$E$2:$CD$173,MATCH('Selection Pane Data'!$B15,List!$E$2:$E$173,0),MATCH('Selection Pane Data'!BB$3,List!$E$2:$CD$2,0)),"")</f>
        <v/>
      </c>
      <c r="BC15" s="13" t="str">
        <f>IF(BC$4="Yes",INDEX(List!$E$2:$CD$173,MATCH('Selection Pane Data'!$B15,List!$E$2:$E$173,0),MATCH('Selection Pane Data'!BC$3,List!$E$2:$CD$2,0)),"")</f>
        <v/>
      </c>
      <c r="BD15" s="13" t="str">
        <f>IF(BD$4="Yes",INDEX(List!$E$2:$CD$173,MATCH('Selection Pane Data'!$B15,List!$E$2:$E$173,0),MATCH('Selection Pane Data'!BD$3,List!$E$2:$CD$2,0)),"")</f>
        <v/>
      </c>
      <c r="BE15" s="13" t="str">
        <f>IF(BE$4="Yes",INDEX(List!$E$2:$CD$173,MATCH('Selection Pane Data'!$B15,List!$E$2:$E$173,0),MATCH('Selection Pane Data'!BE$3,List!$E$2:$CD$2,0)),"")</f>
        <v/>
      </c>
      <c r="BF15" s="13" t="str">
        <f>IF(BF$4="Yes",INDEX(List!$E$2:$CD$173,MATCH('Selection Pane Data'!$B15,List!$E$2:$E$173,0),MATCH('Selection Pane Data'!BF$3,List!$E$2:$CD$2,0)),"")</f>
        <v/>
      </c>
      <c r="BG15" s="13" t="str">
        <f>IF(BG$4="Yes",INDEX(List!$E$2:$CD$173,MATCH('Selection Pane Data'!$B15,List!$E$2:$E$173,0),MATCH('Selection Pane Data'!BG$3,List!$E$2:$CD$2,0)),"")</f>
        <v/>
      </c>
      <c r="BH15" s="13" t="str">
        <f>IF(BH$4="Yes",INDEX(List!$E$2:$CD$173,MATCH('Selection Pane Data'!$B15,List!$E$2:$E$173,0),MATCH('Selection Pane Data'!BH$3,List!$E$2:$CD$2,0)),"")</f>
        <v/>
      </c>
      <c r="BI15" s="13" t="str">
        <f>IF(BI$4="Yes",INDEX(List!$E$2:$CD$173,MATCH('Selection Pane Data'!$B15,List!$E$2:$E$173,0),MATCH('Selection Pane Data'!BI$3,List!$E$2:$CD$2,0)),"")</f>
        <v/>
      </c>
      <c r="BJ15" s="13" t="str">
        <f>IF(BJ$4="Yes",INDEX(List!$E$2:$CD$173,MATCH('Selection Pane Data'!$B15,List!$E$2:$E$173,0),MATCH('Selection Pane Data'!BJ$3,List!$E$2:$CD$2,0)),"")</f>
        <v/>
      </c>
      <c r="BK15" s="13" t="str">
        <f>IF(BK$4="Yes",INDEX(List!$E$2:$CD$173,MATCH('Selection Pane Data'!$B15,List!$E$2:$E$173,0),MATCH('Selection Pane Data'!BK$3,List!$E$2:$CD$2,0)),"")</f>
        <v/>
      </c>
      <c r="BL15" s="13" t="str">
        <f>IF(BL$4="Yes",INDEX(List!$E$2:$CD$173,MATCH('Selection Pane Data'!$B15,List!$E$2:$E$173,0),MATCH('Selection Pane Data'!BL$3,List!$E$2:$CD$2,0)),"")</f>
        <v/>
      </c>
      <c r="BM15" s="13" t="str">
        <f>IF(BM$4="Yes",INDEX(List!$E$2:$CD$173,MATCH('Selection Pane Data'!$B15,List!$E$2:$E$173,0),MATCH('Selection Pane Data'!BM$3,List!$E$2:$CD$2,0)),"")</f>
        <v/>
      </c>
      <c r="BN15" s="13" t="str">
        <f>IF(BN$4="Yes",INDEX(List!$E$2:$CD$173,MATCH('Selection Pane Data'!$B15,List!$E$2:$E$173,0),MATCH('Selection Pane Data'!BN$3,List!$E$2:$CD$2,0)),"")</f>
        <v/>
      </c>
      <c r="BO15" s="13" t="str">
        <f>IF(BO$4="Yes",INDEX(List!$E$2:$CD$173,MATCH('Selection Pane Data'!$B15,List!$E$2:$E$173,0),MATCH('Selection Pane Data'!BO$3,List!$E$2:$CD$2,0)),"")</f>
        <v/>
      </c>
      <c r="BP15" s="13" t="str">
        <f>IF(BP$4="Yes",INDEX(List!$E$2:$CD$173,MATCH('Selection Pane Data'!$B15,List!$E$2:$E$173,0),MATCH('Selection Pane Data'!BP$3,List!$E$2:$CD$2,0)),"")</f>
        <v/>
      </c>
      <c r="BQ15" s="13" t="str">
        <f>IF(BQ$4="Yes",INDEX(List!$E$2:$CD$173,MATCH('Selection Pane Data'!$B15,List!$E$2:$E$173,0),MATCH('Selection Pane Data'!BQ$3,List!$E$2:$CD$2,0)),"")</f>
        <v/>
      </c>
      <c r="BR15" s="13" t="str">
        <f>IF(BR$4="Yes",INDEX(List!$E$2:$CD$173,MATCH('Selection Pane Data'!$B15,List!$E$2:$E$173,0),MATCH('Selection Pane Data'!BR$3,List!$E$2:$CD$2,0)),"")</f>
        <v/>
      </c>
      <c r="BS15" s="13" t="str">
        <f>IF(BS$4="Yes",INDEX(List!$E$2:$CD$173,MATCH('Selection Pane Data'!$B15,List!$E$2:$E$173,0),MATCH('Selection Pane Data'!BS$3,List!$E$2:$CD$2,0)),"")</f>
        <v/>
      </c>
      <c r="BT15" s="13" t="str">
        <f>IF(BT$4="Yes",INDEX(List!$E$2:$CD$173,MATCH('Selection Pane Data'!$B15,List!$E$2:$E$173,0),MATCH('Selection Pane Data'!BT$3,List!$E$2:$CD$2,0)),"")</f>
        <v/>
      </c>
      <c r="BU15" s="13" t="str">
        <f>IF(BU$4="Yes",INDEX(List!$E$2:$CD$173,MATCH('Selection Pane Data'!$B15,List!$E$2:$E$173,0),MATCH('Selection Pane Data'!BU$3,List!$E$2:$CD$2,0)),"")</f>
        <v/>
      </c>
      <c r="BV15" s="13" t="str">
        <f>IF(BV$4="Yes",INDEX(List!$E$2:$CD$173,MATCH('Selection Pane Data'!$B15,List!$E$2:$E$173,0),MATCH('Selection Pane Data'!BV$3,List!$E$2:$CD$2,0)),"")</f>
        <v/>
      </c>
      <c r="BW15" s="13" t="str">
        <f>IF(BW$4="Yes",INDEX(List!$E$2:$CD$173,MATCH('Selection Pane Data'!$B15,List!$E$2:$E$173,0),MATCH('Selection Pane Data'!BW$3,List!$E$2:$CD$2,0)),"")</f>
        <v/>
      </c>
      <c r="BX15" s="13" t="str">
        <f>IF(BX$4="Yes",INDEX(List!$E$2:$CD$173,MATCH('Selection Pane Data'!$B15,List!$E$2:$E$173,0),MATCH('Selection Pane Data'!BX$3,List!$E$2:$CD$2,0)),"")</f>
        <v/>
      </c>
      <c r="BY15" s="13" t="str">
        <f>IF(BY$4="Yes",INDEX(List!$E$2:$CD$173,MATCH('Selection Pane Data'!$B15,List!$E$2:$E$173,0),MATCH('Selection Pane Data'!BY$3,List!$E$2:$CD$2,0)),"")</f>
        <v/>
      </c>
      <c r="BZ15" s="13" t="str">
        <f>IF(BZ$4="Yes",INDEX(List!$E$2:$CD$173,MATCH('Selection Pane Data'!$B15,List!$E$2:$E$173,0),MATCH('Selection Pane Data'!BZ$3,List!$E$2:$CD$2,0)),"")</f>
        <v/>
      </c>
      <c r="CA15" s="13" t="str">
        <f>IF(CA$4="Yes",INDEX(List!$E$2:$CD$173,MATCH('Selection Pane Data'!$B15,List!$E$2:$E$173,0),MATCH('Selection Pane Data'!CA$3,List!$E$2:$CD$2,0)),"")</f>
        <v/>
      </c>
      <c r="CB15" s="13" t="str">
        <f>IF(CB$4="Yes",INDEX(List!$E$2:$CD$173,MATCH('Selection Pane Data'!$B15,List!$E$2:$E$173,0),MATCH('Selection Pane Data'!CB$3,List!$E$2:$CD$2,0)),"")</f>
        <v/>
      </c>
      <c r="CC15" s="13" t="str">
        <f>IF(CC$4="Yes",INDEX(List!$E$2:$CD$173,MATCH('Selection Pane Data'!$B15,List!$E$2:$E$173,0),MATCH('Selection Pane Data'!CC$3,List!$E$2:$CD$2,0)),"")</f>
        <v/>
      </c>
      <c r="CD15" s="13" t="str">
        <f>IF(CD$4="Yes",INDEX(List!$E$2:$CD$173,MATCH('Selection Pane Data'!$B15,List!$E$2:$E$173,0),MATCH('Selection Pane Data'!CD$3,List!$E$2:$CD$2,0)),"")</f>
        <v/>
      </c>
      <c r="CE15" s="13" t="str">
        <f>IF(CE$4="Yes",INDEX(List!$E$2:$CD$173,MATCH('Selection Pane Data'!$B15,List!$E$2:$E$173,0),MATCH('Selection Pane Data'!CE$3,List!$E$2:$CD$2,0)),"")</f>
        <v/>
      </c>
    </row>
    <row r="16" spans="2:83" x14ac:dyDescent="0.35">
      <c r="B16" s="21" t="s">
        <v>303</v>
      </c>
      <c r="C16" s="126" t="str">
        <f>VLOOKUP(B16,List!$E$2:$G$173,2,FALSE)</f>
        <v>AC.L2-3.1.12</v>
      </c>
      <c r="D16" s="31" t="str">
        <f>List!G14</f>
        <v>Shared Coverage</v>
      </c>
      <c r="E16" s="31" t="str">
        <f>IF(Placemat!$F$4="All Practices","All Practices",IF(VLOOKUP(B16,Table7[#All],6,FALSE)="No Mapping","New CMMC Practices","Practices with NIST 800-171 Mappings"))</f>
        <v>Practices with NIST 800-171 Mappings</v>
      </c>
      <c r="F16" t="str">
        <f>INDEX('CMMC Levels'!$A$1:$F$172,MATCH('Selection Pane Data'!$C16,'CMMC Levels'!$A$1:$A$172,0),MATCH(Placemat!$F$4,'CMMC Levels'!$A$1:$F$1,0))</f>
        <v>X</v>
      </c>
      <c r="G16" s="77" t="str">
        <f>IF((COUNTIF(List!H14:CE14,"P")+COUNTIF(List!H14:CE14,"S"))=0,"N",IF(COUNTIF(H16:CE16,"P"),"P",IF(COUNTIF(H16:CE16,"S"),"S","U")))</f>
        <v>S</v>
      </c>
      <c r="H16" s="13" t="str">
        <f>IF(H$4="Yes",INDEX(List!$E$2:$CD$173,MATCH('Selection Pane Data'!$B16,List!$E$2:$E$173,0),MATCH('Selection Pane Data'!H$3,List!$E$2:$CD$2,0)),"")</f>
        <v/>
      </c>
      <c r="I16" s="13" t="str">
        <f>IF(I$4="Yes",INDEX(List!$E$2:$CD$173,MATCH('Selection Pane Data'!$B16,List!$E$2:$E$173,0),MATCH('Selection Pane Data'!I$3,List!$E$2:$CD$2,0)),"")</f>
        <v/>
      </c>
      <c r="J16" s="13" t="str">
        <f>IF(J$4="Yes",INDEX(List!$E$2:$CD$173,MATCH('Selection Pane Data'!$B16,List!$E$2:$E$173,0),MATCH('Selection Pane Data'!J$3,List!$E$2:$CD$2,0)),"")</f>
        <v>N</v>
      </c>
      <c r="K16" s="13" t="str">
        <f>IF(K$4="Yes",INDEX(List!$E$2:$CD$173,MATCH('Selection Pane Data'!$B16,List!$E$2:$E$173,0),MATCH('Selection Pane Data'!K$3,List!$E$2:$CD$2,0)),"")</f>
        <v/>
      </c>
      <c r="L16" s="13" t="str">
        <f>IF(L$4="Yes",INDEX(List!$E$2:$CD$173,MATCH('Selection Pane Data'!$B16,List!$E$2:$E$173,0),MATCH('Selection Pane Data'!L$3,List!$E$2:$CD$2,0)),"")</f>
        <v/>
      </c>
      <c r="M16" s="13" t="str">
        <f>IF(M$4="Yes",INDEX(List!$E$2:$CD$173,MATCH('Selection Pane Data'!$B16,List!$E$2:$E$173,0),MATCH('Selection Pane Data'!M$3,List!$E$2:$CD$2,0)),"")</f>
        <v/>
      </c>
      <c r="N16" s="13" t="str">
        <f>IF(N$4="Yes",INDEX(List!$E$2:$CD$173,MATCH('Selection Pane Data'!$B16,List!$E$2:$E$173,0),MATCH('Selection Pane Data'!N$3,List!$E$2:$CD$2,0)),"")</f>
        <v/>
      </c>
      <c r="O16" s="13" t="str">
        <f>IF(O$4="Yes",INDEX(List!$E$2:$CD$173,MATCH('Selection Pane Data'!$B16,List!$E$2:$E$173,0),MATCH('Selection Pane Data'!O$3,List!$E$2:$CD$2,0)),"")</f>
        <v/>
      </c>
      <c r="P16" s="13" t="str">
        <f>IF(P$4="Yes",INDEX(List!$E$2:$CD$173,MATCH('Selection Pane Data'!$B16,List!$E$2:$E$173,0),MATCH('Selection Pane Data'!P$3,List!$E$2:$CD$2,0)),"")</f>
        <v/>
      </c>
      <c r="Q16" s="13" t="str">
        <f>IF(Q$4="Yes",INDEX(List!$E$2:$CD$173,MATCH('Selection Pane Data'!$B16,List!$E$2:$E$173,0),MATCH('Selection Pane Data'!Q$3,List!$E$2:$CD$2,0)),"")</f>
        <v/>
      </c>
      <c r="R16" s="13" t="str">
        <f>IF(R$4="Yes",INDEX(List!$E$2:$CD$173,MATCH('Selection Pane Data'!$B16,List!$E$2:$E$173,0),MATCH('Selection Pane Data'!R$3,List!$E$2:$CD$2,0)),"")</f>
        <v/>
      </c>
      <c r="S16" s="13" t="str">
        <f>IF(S$4="Yes",INDEX(List!$E$2:$CD$173,MATCH('Selection Pane Data'!$B16,List!$E$2:$E$173,0),MATCH('Selection Pane Data'!S$3,List!$E$2:$CD$2,0)),"")</f>
        <v/>
      </c>
      <c r="T16" s="13" t="str">
        <f>IF(T$4="Yes",INDEX(List!$E$2:$CD$173,MATCH('Selection Pane Data'!$B16,List!$E$2:$E$173,0),MATCH('Selection Pane Data'!T$3,List!$E$2:$CD$2,0)),"")</f>
        <v/>
      </c>
      <c r="U16" s="13" t="str">
        <f>IF(U$4="Yes",INDEX(List!$E$2:$CD$173,MATCH('Selection Pane Data'!$B16,List!$E$2:$E$173,0),MATCH('Selection Pane Data'!U$3,List!$E$2:$CD$2,0)),"")</f>
        <v/>
      </c>
      <c r="V16" s="13" t="str">
        <f>IF(V$4="Yes",INDEX(List!$E$2:$CD$173,MATCH('Selection Pane Data'!$B16,List!$E$2:$E$173,0),MATCH('Selection Pane Data'!V$3,List!$E$2:$CD$2,0)),"")</f>
        <v/>
      </c>
      <c r="W16" s="13" t="str">
        <f>IF(W$4="Yes",INDEX(List!$E$2:$CD$173,MATCH('Selection Pane Data'!$B16,List!$E$2:$E$173,0),MATCH('Selection Pane Data'!W$3,List!$E$2:$CD$2,0)),"")</f>
        <v/>
      </c>
      <c r="X16" s="13" t="str">
        <f>IF(X$4="Yes",INDEX(List!$E$2:$CD$173,MATCH('Selection Pane Data'!$B16,List!$E$2:$E$173,0),MATCH('Selection Pane Data'!X$3,List!$E$2:$CD$2,0)),"")</f>
        <v/>
      </c>
      <c r="Y16" s="13" t="str">
        <f>IF(Y$4="Yes",INDEX(List!$E$2:$CD$173,MATCH('Selection Pane Data'!$B16,List!$E$2:$E$173,0),MATCH('Selection Pane Data'!Y$3,List!$E$2:$CD$2,0)),"")</f>
        <v/>
      </c>
      <c r="Z16" s="13" t="str">
        <f>IF(Z$4="Yes",INDEX(List!$E$2:$CD$173,MATCH('Selection Pane Data'!$B16,List!$E$2:$E$173,0),MATCH('Selection Pane Data'!Z$3,List!$E$2:$CD$2,0)),"")</f>
        <v/>
      </c>
      <c r="AA16" s="13" t="str">
        <f>IF(AA$4="Yes",INDEX(List!$E$2:$CD$173,MATCH('Selection Pane Data'!$B16,List!$E$2:$E$173,0),MATCH('Selection Pane Data'!AA$3,List!$E$2:$CD$2,0)),"")</f>
        <v>S</v>
      </c>
      <c r="AB16" s="13" t="str">
        <f>IF(AB$4="Yes",INDEX(List!$E$2:$CD$173,MATCH('Selection Pane Data'!$B16,List!$E$2:$E$173,0),MATCH('Selection Pane Data'!AB$3,List!$E$2:$CD$2,0)),"")</f>
        <v/>
      </c>
      <c r="AC16" s="13" t="str">
        <f>IF(AC$4="Yes",INDEX(List!$E$2:$CD$173,MATCH('Selection Pane Data'!$B16,List!$E$2:$E$173,0),MATCH('Selection Pane Data'!AC$3,List!$E$2:$CD$2,0)),"")</f>
        <v/>
      </c>
      <c r="AD16" s="13" t="str">
        <f>IF(AD$4="Yes",INDEX(List!$E$2:$CD$173,MATCH('Selection Pane Data'!$B16,List!$E$2:$E$173,0),MATCH('Selection Pane Data'!AD$3,List!$E$2:$CD$2,0)),"")</f>
        <v/>
      </c>
      <c r="AE16" s="13" t="str">
        <f>IF(AE$4="Yes",INDEX(List!$E$2:$CD$173,MATCH('Selection Pane Data'!$B16,List!$E$2:$E$173,0),MATCH('Selection Pane Data'!AE$3,List!$E$2:$CD$2,0)),"")</f>
        <v/>
      </c>
      <c r="AF16" s="13" t="str">
        <f>IF(AF$4="Yes",INDEX(List!$E$2:$CD$173,MATCH('Selection Pane Data'!$B16,List!$E$2:$E$173,0),MATCH('Selection Pane Data'!AF$3,List!$E$2:$CD$2,0)),"")</f>
        <v/>
      </c>
      <c r="AG16" s="13" t="str">
        <f>IF(AG$4="Yes",INDEX(List!$E$2:$CD$173,MATCH('Selection Pane Data'!$B16,List!$E$2:$E$173,0),MATCH('Selection Pane Data'!AG$3,List!$E$2:$CD$2,0)),"")</f>
        <v/>
      </c>
      <c r="AH16" s="13" t="str">
        <f>IF(AH$4="Yes",INDEX(List!$E$2:$CD$173,MATCH('Selection Pane Data'!$B16,List!$E$2:$E$173,0),MATCH('Selection Pane Data'!AH$3,List!$E$2:$CD$2,0)),"")</f>
        <v/>
      </c>
      <c r="AI16" s="13" t="str">
        <f>IF(AI$4="Yes",INDEX(List!$E$2:$CD$173,MATCH('Selection Pane Data'!$B16,List!$E$2:$E$173,0),MATCH('Selection Pane Data'!AI$3,List!$E$2:$CD$2,0)),"")</f>
        <v/>
      </c>
      <c r="AJ16" s="13" t="str">
        <f>IF(AJ$4="Yes",INDEX(List!$E$2:$CD$173,MATCH('Selection Pane Data'!$B16,List!$E$2:$E$173,0),MATCH('Selection Pane Data'!AJ$3,List!$E$2:$CD$2,0)),"")</f>
        <v/>
      </c>
      <c r="AK16" s="13" t="str">
        <f>IF(AK$4="Yes",INDEX(List!$E$2:$CD$173,MATCH('Selection Pane Data'!$B16,List!$E$2:$E$173,0),MATCH('Selection Pane Data'!AK$3,List!$E$2:$CD$2,0)),"")</f>
        <v/>
      </c>
      <c r="AL16" s="13" t="str">
        <f>IF(AL$4="Yes",INDEX(List!$E$2:$CD$173,MATCH('Selection Pane Data'!$B16,List!$E$2:$E$173,0),MATCH('Selection Pane Data'!AL$3,List!$E$2:$CD$2,0)),"")</f>
        <v/>
      </c>
      <c r="AM16" s="13" t="str">
        <f>IF(AM$4="Yes",INDEX(List!$E$2:$CD$173,MATCH('Selection Pane Data'!$B16,List!$E$2:$E$173,0),MATCH('Selection Pane Data'!AM$3,List!$E$2:$CD$2,0)),"")</f>
        <v/>
      </c>
      <c r="AN16" s="13" t="str">
        <f>IF(AN$4="Yes",INDEX(List!$E$2:$CD$173,MATCH('Selection Pane Data'!$B16,List!$E$2:$E$173,0),MATCH('Selection Pane Data'!AN$3,List!$E$2:$CD$2,0)),"")</f>
        <v/>
      </c>
      <c r="AO16" s="13" t="str">
        <f>IF(AO$4="Yes",INDEX(List!$E$2:$CD$173,MATCH('Selection Pane Data'!$B16,List!$E$2:$E$173,0),MATCH('Selection Pane Data'!AO$3,List!$E$2:$CD$2,0)),"")</f>
        <v/>
      </c>
      <c r="AP16" s="13" t="str">
        <f>IF(AP$4="Yes",INDEX(List!$E$2:$CD$173,MATCH('Selection Pane Data'!$B16,List!$E$2:$E$173,0),MATCH('Selection Pane Data'!AP$3,List!$E$2:$CD$2,0)),"")</f>
        <v/>
      </c>
      <c r="AQ16" s="13" t="str">
        <f>IF(AQ$4="Yes",INDEX(List!$E$2:$CD$173,MATCH('Selection Pane Data'!$B16,List!$E$2:$E$173,0),MATCH('Selection Pane Data'!AQ$3,List!$E$2:$CD$2,0)),"")</f>
        <v/>
      </c>
      <c r="AR16" s="13" t="str">
        <f>IF(AR$4="Yes",INDEX(List!$E$2:$CD$173,MATCH('Selection Pane Data'!$B16,List!$E$2:$E$173,0),MATCH('Selection Pane Data'!AR$3,List!$E$2:$CD$2,0)),"")</f>
        <v/>
      </c>
      <c r="AS16" s="13" t="str">
        <f>IF(AS$4="Yes",INDEX(List!$E$2:$CD$173,MATCH('Selection Pane Data'!$B16,List!$E$2:$E$173,0),MATCH('Selection Pane Data'!AS$3,List!$E$2:$CD$2,0)),"")</f>
        <v/>
      </c>
      <c r="AT16" s="13" t="str">
        <f>IF(AT$4="Yes",INDEX(List!$E$2:$CD$173,MATCH('Selection Pane Data'!$B16,List!$E$2:$E$173,0),MATCH('Selection Pane Data'!AT$3,List!$E$2:$CD$2,0)),"")</f>
        <v/>
      </c>
      <c r="AU16" s="13" t="str">
        <f>IF(AU$4="Yes",INDEX(List!$E$2:$CD$173,MATCH('Selection Pane Data'!$B16,List!$E$2:$E$173,0),MATCH('Selection Pane Data'!AU$3,List!$E$2:$CD$2,0)),"")</f>
        <v/>
      </c>
      <c r="AV16" s="13" t="str">
        <f>IF(AV$4="Yes",INDEX(List!$E$2:$CD$173,MATCH('Selection Pane Data'!$B16,List!$E$2:$E$173,0),MATCH('Selection Pane Data'!AV$3,List!$E$2:$CD$2,0)),"")</f>
        <v/>
      </c>
      <c r="AW16" s="13" t="str">
        <f>IF(AW$4="Yes",INDEX(List!$E$2:$CD$173,MATCH('Selection Pane Data'!$B16,List!$E$2:$E$173,0),MATCH('Selection Pane Data'!AW$3,List!$E$2:$CD$2,0)),"")</f>
        <v/>
      </c>
      <c r="AX16" s="13" t="str">
        <f>IF(AX$4="Yes",INDEX(List!$E$2:$CD$173,MATCH('Selection Pane Data'!$B16,List!$E$2:$E$173,0),MATCH('Selection Pane Data'!AX$3,List!$E$2:$CD$2,0)),"")</f>
        <v/>
      </c>
      <c r="AY16" s="13" t="str">
        <f>IF(AY$4="Yes",INDEX(List!$E$2:$CD$173,MATCH('Selection Pane Data'!$B16,List!$E$2:$E$173,0),MATCH('Selection Pane Data'!AY$3,List!$E$2:$CD$2,0)),"")</f>
        <v/>
      </c>
      <c r="AZ16" s="13" t="str">
        <f>IF(AZ$4="Yes",INDEX(List!$E$2:$CD$173,MATCH('Selection Pane Data'!$B16,List!$E$2:$E$173,0),MATCH('Selection Pane Data'!AZ$3,List!$E$2:$CD$2,0)),"")</f>
        <v/>
      </c>
      <c r="BA16" s="13" t="str">
        <f>IF(BA$4="Yes",INDEX(List!$E$2:$CD$173,MATCH('Selection Pane Data'!$B16,List!$E$2:$E$173,0),MATCH('Selection Pane Data'!BA$3,List!$E$2:$CD$2,0)),"")</f>
        <v/>
      </c>
      <c r="BB16" s="13" t="str">
        <f>IF(BB$4="Yes",INDEX(List!$E$2:$CD$173,MATCH('Selection Pane Data'!$B16,List!$E$2:$E$173,0),MATCH('Selection Pane Data'!BB$3,List!$E$2:$CD$2,0)),"")</f>
        <v/>
      </c>
      <c r="BC16" s="13" t="str">
        <f>IF(BC$4="Yes",INDEX(List!$E$2:$CD$173,MATCH('Selection Pane Data'!$B16,List!$E$2:$E$173,0),MATCH('Selection Pane Data'!BC$3,List!$E$2:$CD$2,0)),"")</f>
        <v/>
      </c>
      <c r="BD16" s="13" t="str">
        <f>IF(BD$4="Yes",INDEX(List!$E$2:$CD$173,MATCH('Selection Pane Data'!$B16,List!$E$2:$E$173,0),MATCH('Selection Pane Data'!BD$3,List!$E$2:$CD$2,0)),"")</f>
        <v/>
      </c>
      <c r="BE16" s="13" t="str">
        <f>IF(BE$4="Yes",INDEX(List!$E$2:$CD$173,MATCH('Selection Pane Data'!$B16,List!$E$2:$E$173,0),MATCH('Selection Pane Data'!BE$3,List!$E$2:$CD$2,0)),"")</f>
        <v/>
      </c>
      <c r="BF16" s="13" t="str">
        <f>IF(BF$4="Yes",INDEX(List!$E$2:$CD$173,MATCH('Selection Pane Data'!$B16,List!$E$2:$E$173,0),MATCH('Selection Pane Data'!BF$3,List!$E$2:$CD$2,0)),"")</f>
        <v/>
      </c>
      <c r="BG16" s="13" t="str">
        <f>IF(BG$4="Yes",INDEX(List!$E$2:$CD$173,MATCH('Selection Pane Data'!$B16,List!$E$2:$E$173,0),MATCH('Selection Pane Data'!BG$3,List!$E$2:$CD$2,0)),"")</f>
        <v/>
      </c>
      <c r="BH16" s="13" t="str">
        <f>IF(BH$4="Yes",INDEX(List!$E$2:$CD$173,MATCH('Selection Pane Data'!$B16,List!$E$2:$E$173,0),MATCH('Selection Pane Data'!BH$3,List!$E$2:$CD$2,0)),"")</f>
        <v/>
      </c>
      <c r="BI16" s="13" t="str">
        <f>IF(BI$4="Yes",INDEX(List!$E$2:$CD$173,MATCH('Selection Pane Data'!$B16,List!$E$2:$E$173,0),MATCH('Selection Pane Data'!BI$3,List!$E$2:$CD$2,0)),"")</f>
        <v/>
      </c>
      <c r="BJ16" s="13" t="str">
        <f>IF(BJ$4="Yes",INDEX(List!$E$2:$CD$173,MATCH('Selection Pane Data'!$B16,List!$E$2:$E$173,0),MATCH('Selection Pane Data'!BJ$3,List!$E$2:$CD$2,0)),"")</f>
        <v/>
      </c>
      <c r="BK16" s="13" t="str">
        <f>IF(BK$4="Yes",INDEX(List!$E$2:$CD$173,MATCH('Selection Pane Data'!$B16,List!$E$2:$E$173,0),MATCH('Selection Pane Data'!BK$3,List!$E$2:$CD$2,0)),"")</f>
        <v/>
      </c>
      <c r="BL16" s="13" t="str">
        <f>IF(BL$4="Yes",INDEX(List!$E$2:$CD$173,MATCH('Selection Pane Data'!$B16,List!$E$2:$E$173,0),MATCH('Selection Pane Data'!BL$3,List!$E$2:$CD$2,0)),"")</f>
        <v/>
      </c>
      <c r="BM16" s="13" t="str">
        <f>IF(BM$4="Yes",INDEX(List!$E$2:$CD$173,MATCH('Selection Pane Data'!$B16,List!$E$2:$E$173,0),MATCH('Selection Pane Data'!BM$3,List!$E$2:$CD$2,0)),"")</f>
        <v/>
      </c>
      <c r="BN16" s="13" t="str">
        <f>IF(BN$4="Yes",INDEX(List!$E$2:$CD$173,MATCH('Selection Pane Data'!$B16,List!$E$2:$E$173,0),MATCH('Selection Pane Data'!BN$3,List!$E$2:$CD$2,0)),"")</f>
        <v/>
      </c>
      <c r="BO16" s="13" t="str">
        <f>IF(BO$4="Yes",INDEX(List!$E$2:$CD$173,MATCH('Selection Pane Data'!$B16,List!$E$2:$E$173,0),MATCH('Selection Pane Data'!BO$3,List!$E$2:$CD$2,0)),"")</f>
        <v/>
      </c>
      <c r="BP16" s="13" t="str">
        <f>IF(BP$4="Yes",INDEX(List!$E$2:$CD$173,MATCH('Selection Pane Data'!$B16,List!$E$2:$E$173,0),MATCH('Selection Pane Data'!BP$3,List!$E$2:$CD$2,0)),"")</f>
        <v/>
      </c>
      <c r="BQ16" s="13" t="str">
        <f>IF(BQ$4="Yes",INDEX(List!$E$2:$CD$173,MATCH('Selection Pane Data'!$B16,List!$E$2:$E$173,0),MATCH('Selection Pane Data'!BQ$3,List!$E$2:$CD$2,0)),"")</f>
        <v/>
      </c>
      <c r="BR16" s="13" t="str">
        <f>IF(BR$4="Yes",INDEX(List!$E$2:$CD$173,MATCH('Selection Pane Data'!$B16,List!$E$2:$E$173,0),MATCH('Selection Pane Data'!BR$3,List!$E$2:$CD$2,0)),"")</f>
        <v/>
      </c>
      <c r="BS16" s="13" t="str">
        <f>IF(BS$4="Yes",INDEX(List!$E$2:$CD$173,MATCH('Selection Pane Data'!$B16,List!$E$2:$E$173,0),MATCH('Selection Pane Data'!BS$3,List!$E$2:$CD$2,0)),"")</f>
        <v/>
      </c>
      <c r="BT16" s="13" t="str">
        <f>IF(BT$4="Yes",INDEX(List!$E$2:$CD$173,MATCH('Selection Pane Data'!$B16,List!$E$2:$E$173,0),MATCH('Selection Pane Data'!BT$3,List!$E$2:$CD$2,0)),"")</f>
        <v/>
      </c>
      <c r="BU16" s="13" t="str">
        <f>IF(BU$4="Yes",INDEX(List!$E$2:$CD$173,MATCH('Selection Pane Data'!$B16,List!$E$2:$E$173,0),MATCH('Selection Pane Data'!BU$3,List!$E$2:$CD$2,0)),"")</f>
        <v/>
      </c>
      <c r="BV16" s="13" t="str">
        <f>IF(BV$4="Yes",INDEX(List!$E$2:$CD$173,MATCH('Selection Pane Data'!$B16,List!$E$2:$E$173,0),MATCH('Selection Pane Data'!BV$3,List!$E$2:$CD$2,0)),"")</f>
        <v/>
      </c>
      <c r="BW16" s="13" t="str">
        <f>IF(BW$4="Yes",INDEX(List!$E$2:$CD$173,MATCH('Selection Pane Data'!$B16,List!$E$2:$E$173,0),MATCH('Selection Pane Data'!BW$3,List!$E$2:$CD$2,0)),"")</f>
        <v/>
      </c>
      <c r="BX16" s="13" t="str">
        <f>IF(BX$4="Yes",INDEX(List!$E$2:$CD$173,MATCH('Selection Pane Data'!$B16,List!$E$2:$E$173,0),MATCH('Selection Pane Data'!BX$3,List!$E$2:$CD$2,0)),"")</f>
        <v/>
      </c>
      <c r="BY16" s="13" t="str">
        <f>IF(BY$4="Yes",INDEX(List!$E$2:$CD$173,MATCH('Selection Pane Data'!$B16,List!$E$2:$E$173,0),MATCH('Selection Pane Data'!BY$3,List!$E$2:$CD$2,0)),"")</f>
        <v/>
      </c>
      <c r="BZ16" s="13" t="str">
        <f>IF(BZ$4="Yes",INDEX(List!$E$2:$CD$173,MATCH('Selection Pane Data'!$B16,List!$E$2:$E$173,0),MATCH('Selection Pane Data'!BZ$3,List!$E$2:$CD$2,0)),"")</f>
        <v/>
      </c>
      <c r="CA16" s="13" t="str">
        <f>IF(CA$4="Yes",INDEX(List!$E$2:$CD$173,MATCH('Selection Pane Data'!$B16,List!$E$2:$E$173,0),MATCH('Selection Pane Data'!CA$3,List!$E$2:$CD$2,0)),"")</f>
        <v/>
      </c>
      <c r="CB16" s="13" t="str">
        <f>IF(CB$4="Yes",INDEX(List!$E$2:$CD$173,MATCH('Selection Pane Data'!$B16,List!$E$2:$E$173,0),MATCH('Selection Pane Data'!CB$3,List!$E$2:$CD$2,0)),"")</f>
        <v/>
      </c>
      <c r="CC16" s="13" t="str">
        <f>IF(CC$4="Yes",INDEX(List!$E$2:$CD$173,MATCH('Selection Pane Data'!$B16,List!$E$2:$E$173,0),MATCH('Selection Pane Data'!CC$3,List!$E$2:$CD$2,0)),"")</f>
        <v/>
      </c>
      <c r="CD16" s="13" t="str">
        <f>IF(CD$4="Yes",INDEX(List!$E$2:$CD$173,MATCH('Selection Pane Data'!$B16,List!$E$2:$E$173,0),MATCH('Selection Pane Data'!CD$3,List!$E$2:$CD$2,0)),"")</f>
        <v/>
      </c>
      <c r="CE16" s="13" t="str">
        <f>IF(CE$4="Yes",INDEX(List!$E$2:$CD$173,MATCH('Selection Pane Data'!$B16,List!$E$2:$E$173,0),MATCH('Selection Pane Data'!CE$3,List!$E$2:$CD$2,0)),"")</f>
        <v/>
      </c>
    </row>
    <row r="17" spans="2:83" x14ac:dyDescent="0.35">
      <c r="B17" s="21" t="s">
        <v>304</v>
      </c>
      <c r="C17" s="126" t="str">
        <f>VLOOKUP(B17,List!$E$2:$G$173,2,FALSE)</f>
        <v>AC.L2-3.1.14</v>
      </c>
      <c r="D17" s="31" t="str">
        <f>List!G15</f>
        <v>Shared Coverage</v>
      </c>
      <c r="E17" s="31" t="str">
        <f>IF(Placemat!$F$4="All Practices","All Practices",IF(VLOOKUP(B17,Table7[#All],6,FALSE)="No Mapping","New CMMC Practices","Practices with NIST 800-171 Mappings"))</f>
        <v>Practices with NIST 800-171 Mappings</v>
      </c>
      <c r="F17" t="str">
        <f>INDEX('CMMC Levels'!$A$1:$F$172,MATCH('Selection Pane Data'!$C17,'CMMC Levels'!$A$1:$A$172,0),MATCH(Placemat!$F$4,'CMMC Levels'!$A$1:$F$1,0))</f>
        <v>X</v>
      </c>
      <c r="G17" s="77" t="str">
        <f>IF((COUNTIF(List!H15:CE15,"P")+COUNTIF(List!H15:CE15,"S"))=0,"N",IF(COUNTIF(H17:CE17,"P"),"P",IF(COUNTIF(H17:CE17,"S"),"S","U")))</f>
        <v>U</v>
      </c>
      <c r="H17" s="13" t="str">
        <f>IF(H$4="Yes",INDEX(List!$E$2:$CD$173,MATCH('Selection Pane Data'!$B17,List!$E$2:$E$173,0),MATCH('Selection Pane Data'!H$3,List!$E$2:$CD$2,0)),"")</f>
        <v/>
      </c>
      <c r="I17" s="13" t="str">
        <f>IF(I$4="Yes",INDEX(List!$E$2:$CD$173,MATCH('Selection Pane Data'!$B17,List!$E$2:$E$173,0),MATCH('Selection Pane Data'!I$3,List!$E$2:$CD$2,0)),"")</f>
        <v/>
      </c>
      <c r="J17" s="13" t="str">
        <f>IF(J$4="Yes",INDEX(List!$E$2:$CD$173,MATCH('Selection Pane Data'!$B17,List!$E$2:$E$173,0),MATCH('Selection Pane Data'!J$3,List!$E$2:$CD$2,0)),"")</f>
        <v>N</v>
      </c>
      <c r="K17" s="13" t="str">
        <f>IF(K$4="Yes",INDEX(List!$E$2:$CD$173,MATCH('Selection Pane Data'!$B17,List!$E$2:$E$173,0),MATCH('Selection Pane Data'!K$3,List!$E$2:$CD$2,0)),"")</f>
        <v/>
      </c>
      <c r="L17" s="13" t="str">
        <f>IF(L$4="Yes",INDEX(List!$E$2:$CD$173,MATCH('Selection Pane Data'!$B17,List!$E$2:$E$173,0),MATCH('Selection Pane Data'!L$3,List!$E$2:$CD$2,0)),"")</f>
        <v/>
      </c>
      <c r="M17" s="13" t="str">
        <f>IF(M$4="Yes",INDEX(List!$E$2:$CD$173,MATCH('Selection Pane Data'!$B17,List!$E$2:$E$173,0),MATCH('Selection Pane Data'!M$3,List!$E$2:$CD$2,0)),"")</f>
        <v/>
      </c>
      <c r="N17" s="13" t="str">
        <f>IF(N$4="Yes",INDEX(List!$E$2:$CD$173,MATCH('Selection Pane Data'!$B17,List!$E$2:$E$173,0),MATCH('Selection Pane Data'!N$3,List!$E$2:$CD$2,0)),"")</f>
        <v/>
      </c>
      <c r="O17" s="13" t="str">
        <f>IF(O$4="Yes",INDEX(List!$E$2:$CD$173,MATCH('Selection Pane Data'!$B17,List!$E$2:$E$173,0),MATCH('Selection Pane Data'!O$3,List!$E$2:$CD$2,0)),"")</f>
        <v/>
      </c>
      <c r="P17" s="13" t="str">
        <f>IF(P$4="Yes",INDEX(List!$E$2:$CD$173,MATCH('Selection Pane Data'!$B17,List!$E$2:$E$173,0),MATCH('Selection Pane Data'!P$3,List!$E$2:$CD$2,0)),"")</f>
        <v/>
      </c>
      <c r="Q17" s="13" t="str">
        <f>IF(Q$4="Yes",INDEX(List!$E$2:$CD$173,MATCH('Selection Pane Data'!$B17,List!$E$2:$E$173,0),MATCH('Selection Pane Data'!Q$3,List!$E$2:$CD$2,0)),"")</f>
        <v/>
      </c>
      <c r="R17" s="13" t="str">
        <f>IF(R$4="Yes",INDEX(List!$E$2:$CD$173,MATCH('Selection Pane Data'!$B17,List!$E$2:$E$173,0),MATCH('Selection Pane Data'!R$3,List!$E$2:$CD$2,0)),"")</f>
        <v/>
      </c>
      <c r="S17" s="13" t="str">
        <f>IF(S$4="Yes",INDEX(List!$E$2:$CD$173,MATCH('Selection Pane Data'!$B17,List!$E$2:$E$173,0),MATCH('Selection Pane Data'!S$3,List!$E$2:$CD$2,0)),"")</f>
        <v/>
      </c>
      <c r="T17" s="13" t="str">
        <f>IF(T$4="Yes",INDEX(List!$E$2:$CD$173,MATCH('Selection Pane Data'!$B17,List!$E$2:$E$173,0),MATCH('Selection Pane Data'!T$3,List!$E$2:$CD$2,0)),"")</f>
        <v/>
      </c>
      <c r="U17" s="13" t="str">
        <f>IF(U$4="Yes",INDEX(List!$E$2:$CD$173,MATCH('Selection Pane Data'!$B17,List!$E$2:$E$173,0),MATCH('Selection Pane Data'!U$3,List!$E$2:$CD$2,0)),"")</f>
        <v/>
      </c>
      <c r="V17" s="13" t="str">
        <f>IF(V$4="Yes",INDEX(List!$E$2:$CD$173,MATCH('Selection Pane Data'!$B17,List!$E$2:$E$173,0),MATCH('Selection Pane Data'!V$3,List!$E$2:$CD$2,0)),"")</f>
        <v/>
      </c>
      <c r="W17" s="13" t="str">
        <f>IF(W$4="Yes",INDEX(List!$E$2:$CD$173,MATCH('Selection Pane Data'!$B17,List!$E$2:$E$173,0),MATCH('Selection Pane Data'!W$3,List!$E$2:$CD$2,0)),"")</f>
        <v/>
      </c>
      <c r="X17" s="13" t="str">
        <f>IF(X$4="Yes",INDEX(List!$E$2:$CD$173,MATCH('Selection Pane Data'!$B17,List!$E$2:$E$173,0),MATCH('Selection Pane Data'!X$3,List!$E$2:$CD$2,0)),"")</f>
        <v/>
      </c>
      <c r="Y17" s="13" t="str">
        <f>IF(Y$4="Yes",INDEX(List!$E$2:$CD$173,MATCH('Selection Pane Data'!$B17,List!$E$2:$E$173,0),MATCH('Selection Pane Data'!Y$3,List!$E$2:$CD$2,0)),"")</f>
        <v/>
      </c>
      <c r="Z17" s="13" t="str">
        <f>IF(Z$4="Yes",INDEX(List!$E$2:$CD$173,MATCH('Selection Pane Data'!$B17,List!$E$2:$E$173,0),MATCH('Selection Pane Data'!Z$3,List!$E$2:$CD$2,0)),"")</f>
        <v/>
      </c>
      <c r="AA17" s="13" t="str">
        <f>IF(AA$4="Yes",INDEX(List!$E$2:$CD$173,MATCH('Selection Pane Data'!$B17,List!$E$2:$E$173,0),MATCH('Selection Pane Data'!AA$3,List!$E$2:$CD$2,0)),"")</f>
        <v>N</v>
      </c>
      <c r="AB17" s="13" t="str">
        <f>IF(AB$4="Yes",INDEX(List!$E$2:$CD$173,MATCH('Selection Pane Data'!$B17,List!$E$2:$E$173,0),MATCH('Selection Pane Data'!AB$3,List!$E$2:$CD$2,0)),"")</f>
        <v/>
      </c>
      <c r="AC17" s="13" t="str">
        <f>IF(AC$4="Yes",INDEX(List!$E$2:$CD$173,MATCH('Selection Pane Data'!$B17,List!$E$2:$E$173,0),MATCH('Selection Pane Data'!AC$3,List!$E$2:$CD$2,0)),"")</f>
        <v/>
      </c>
      <c r="AD17" s="13" t="str">
        <f>IF(AD$4="Yes",INDEX(List!$E$2:$CD$173,MATCH('Selection Pane Data'!$B17,List!$E$2:$E$173,0),MATCH('Selection Pane Data'!AD$3,List!$E$2:$CD$2,0)),"")</f>
        <v/>
      </c>
      <c r="AE17" s="13" t="str">
        <f>IF(AE$4="Yes",INDEX(List!$E$2:$CD$173,MATCH('Selection Pane Data'!$B17,List!$E$2:$E$173,0),MATCH('Selection Pane Data'!AE$3,List!$E$2:$CD$2,0)),"")</f>
        <v/>
      </c>
      <c r="AF17" s="13" t="str">
        <f>IF(AF$4="Yes",INDEX(List!$E$2:$CD$173,MATCH('Selection Pane Data'!$B17,List!$E$2:$E$173,0),MATCH('Selection Pane Data'!AF$3,List!$E$2:$CD$2,0)),"")</f>
        <v/>
      </c>
      <c r="AG17" s="13" t="str">
        <f>IF(AG$4="Yes",INDEX(List!$E$2:$CD$173,MATCH('Selection Pane Data'!$B17,List!$E$2:$E$173,0),MATCH('Selection Pane Data'!AG$3,List!$E$2:$CD$2,0)),"")</f>
        <v/>
      </c>
      <c r="AH17" s="13" t="str">
        <f>IF(AH$4="Yes",INDEX(List!$E$2:$CD$173,MATCH('Selection Pane Data'!$B17,List!$E$2:$E$173,0),MATCH('Selection Pane Data'!AH$3,List!$E$2:$CD$2,0)),"")</f>
        <v/>
      </c>
      <c r="AI17" s="13" t="str">
        <f>IF(AI$4="Yes",INDEX(List!$E$2:$CD$173,MATCH('Selection Pane Data'!$B17,List!$E$2:$E$173,0),MATCH('Selection Pane Data'!AI$3,List!$E$2:$CD$2,0)),"")</f>
        <v/>
      </c>
      <c r="AJ17" s="13" t="str">
        <f>IF(AJ$4="Yes",INDEX(List!$E$2:$CD$173,MATCH('Selection Pane Data'!$B17,List!$E$2:$E$173,0),MATCH('Selection Pane Data'!AJ$3,List!$E$2:$CD$2,0)),"")</f>
        <v/>
      </c>
      <c r="AK17" s="13" t="str">
        <f>IF(AK$4="Yes",INDEX(List!$E$2:$CD$173,MATCH('Selection Pane Data'!$B17,List!$E$2:$E$173,0),MATCH('Selection Pane Data'!AK$3,List!$E$2:$CD$2,0)),"")</f>
        <v/>
      </c>
      <c r="AL17" s="13" t="str">
        <f>IF(AL$4="Yes",INDEX(List!$E$2:$CD$173,MATCH('Selection Pane Data'!$B17,List!$E$2:$E$173,0),MATCH('Selection Pane Data'!AL$3,List!$E$2:$CD$2,0)),"")</f>
        <v/>
      </c>
      <c r="AM17" s="13" t="str">
        <f>IF(AM$4="Yes",INDEX(List!$E$2:$CD$173,MATCH('Selection Pane Data'!$B17,List!$E$2:$E$173,0),MATCH('Selection Pane Data'!AM$3,List!$E$2:$CD$2,0)),"")</f>
        <v/>
      </c>
      <c r="AN17" s="13" t="str">
        <f>IF(AN$4="Yes",INDEX(List!$E$2:$CD$173,MATCH('Selection Pane Data'!$B17,List!$E$2:$E$173,0),MATCH('Selection Pane Data'!AN$3,List!$E$2:$CD$2,0)),"")</f>
        <v/>
      </c>
      <c r="AO17" s="13" t="str">
        <f>IF(AO$4="Yes",INDEX(List!$E$2:$CD$173,MATCH('Selection Pane Data'!$B17,List!$E$2:$E$173,0),MATCH('Selection Pane Data'!AO$3,List!$E$2:$CD$2,0)),"")</f>
        <v/>
      </c>
      <c r="AP17" s="13" t="str">
        <f>IF(AP$4="Yes",INDEX(List!$E$2:$CD$173,MATCH('Selection Pane Data'!$B17,List!$E$2:$E$173,0),MATCH('Selection Pane Data'!AP$3,List!$E$2:$CD$2,0)),"")</f>
        <v/>
      </c>
      <c r="AQ17" s="13" t="str">
        <f>IF(AQ$4="Yes",INDEX(List!$E$2:$CD$173,MATCH('Selection Pane Data'!$B17,List!$E$2:$E$173,0),MATCH('Selection Pane Data'!AQ$3,List!$E$2:$CD$2,0)),"")</f>
        <v/>
      </c>
      <c r="AR17" s="13" t="str">
        <f>IF(AR$4="Yes",INDEX(List!$E$2:$CD$173,MATCH('Selection Pane Data'!$B17,List!$E$2:$E$173,0),MATCH('Selection Pane Data'!AR$3,List!$E$2:$CD$2,0)),"")</f>
        <v/>
      </c>
      <c r="AS17" s="13" t="str">
        <f>IF(AS$4="Yes",INDEX(List!$E$2:$CD$173,MATCH('Selection Pane Data'!$B17,List!$E$2:$E$173,0),MATCH('Selection Pane Data'!AS$3,List!$E$2:$CD$2,0)),"")</f>
        <v/>
      </c>
      <c r="AT17" s="13" t="str">
        <f>IF(AT$4="Yes",INDEX(List!$E$2:$CD$173,MATCH('Selection Pane Data'!$B17,List!$E$2:$E$173,0),MATCH('Selection Pane Data'!AT$3,List!$E$2:$CD$2,0)),"")</f>
        <v/>
      </c>
      <c r="AU17" s="13" t="str">
        <f>IF(AU$4="Yes",INDEX(List!$E$2:$CD$173,MATCH('Selection Pane Data'!$B17,List!$E$2:$E$173,0),MATCH('Selection Pane Data'!AU$3,List!$E$2:$CD$2,0)),"")</f>
        <v/>
      </c>
      <c r="AV17" s="13" t="str">
        <f>IF(AV$4="Yes",INDEX(List!$E$2:$CD$173,MATCH('Selection Pane Data'!$B17,List!$E$2:$E$173,0),MATCH('Selection Pane Data'!AV$3,List!$E$2:$CD$2,0)),"")</f>
        <v/>
      </c>
      <c r="AW17" s="13" t="str">
        <f>IF(AW$4="Yes",INDEX(List!$E$2:$CD$173,MATCH('Selection Pane Data'!$B17,List!$E$2:$E$173,0),MATCH('Selection Pane Data'!AW$3,List!$E$2:$CD$2,0)),"")</f>
        <v/>
      </c>
      <c r="AX17" s="13" t="str">
        <f>IF(AX$4="Yes",INDEX(List!$E$2:$CD$173,MATCH('Selection Pane Data'!$B17,List!$E$2:$E$173,0),MATCH('Selection Pane Data'!AX$3,List!$E$2:$CD$2,0)),"")</f>
        <v/>
      </c>
      <c r="AY17" s="13" t="str">
        <f>IF(AY$4="Yes",INDEX(List!$E$2:$CD$173,MATCH('Selection Pane Data'!$B17,List!$E$2:$E$173,0),MATCH('Selection Pane Data'!AY$3,List!$E$2:$CD$2,0)),"")</f>
        <v/>
      </c>
      <c r="AZ17" s="13" t="str">
        <f>IF(AZ$4="Yes",INDEX(List!$E$2:$CD$173,MATCH('Selection Pane Data'!$B17,List!$E$2:$E$173,0),MATCH('Selection Pane Data'!AZ$3,List!$E$2:$CD$2,0)),"")</f>
        <v/>
      </c>
      <c r="BA17" s="13" t="str">
        <f>IF(BA$4="Yes",INDEX(List!$E$2:$CD$173,MATCH('Selection Pane Data'!$B17,List!$E$2:$E$173,0),MATCH('Selection Pane Data'!BA$3,List!$E$2:$CD$2,0)),"")</f>
        <v/>
      </c>
      <c r="BB17" s="13" t="str">
        <f>IF(BB$4="Yes",INDEX(List!$E$2:$CD$173,MATCH('Selection Pane Data'!$B17,List!$E$2:$E$173,0),MATCH('Selection Pane Data'!BB$3,List!$E$2:$CD$2,0)),"")</f>
        <v/>
      </c>
      <c r="BC17" s="13" t="str">
        <f>IF(BC$4="Yes",INDEX(List!$E$2:$CD$173,MATCH('Selection Pane Data'!$B17,List!$E$2:$E$173,0),MATCH('Selection Pane Data'!BC$3,List!$E$2:$CD$2,0)),"")</f>
        <v/>
      </c>
      <c r="BD17" s="13" t="str">
        <f>IF(BD$4="Yes",INDEX(List!$E$2:$CD$173,MATCH('Selection Pane Data'!$B17,List!$E$2:$E$173,0),MATCH('Selection Pane Data'!BD$3,List!$E$2:$CD$2,0)),"")</f>
        <v/>
      </c>
      <c r="BE17" s="13" t="str">
        <f>IF(BE$4="Yes",INDEX(List!$E$2:$CD$173,MATCH('Selection Pane Data'!$B17,List!$E$2:$E$173,0),MATCH('Selection Pane Data'!BE$3,List!$E$2:$CD$2,0)),"")</f>
        <v/>
      </c>
      <c r="BF17" s="13" t="str">
        <f>IF(BF$4="Yes",INDEX(List!$E$2:$CD$173,MATCH('Selection Pane Data'!$B17,List!$E$2:$E$173,0),MATCH('Selection Pane Data'!BF$3,List!$E$2:$CD$2,0)),"")</f>
        <v/>
      </c>
      <c r="BG17" s="13" t="str">
        <f>IF(BG$4="Yes",INDEX(List!$E$2:$CD$173,MATCH('Selection Pane Data'!$B17,List!$E$2:$E$173,0),MATCH('Selection Pane Data'!BG$3,List!$E$2:$CD$2,0)),"")</f>
        <v/>
      </c>
      <c r="BH17" s="13" t="str">
        <f>IF(BH$4="Yes",INDEX(List!$E$2:$CD$173,MATCH('Selection Pane Data'!$B17,List!$E$2:$E$173,0),MATCH('Selection Pane Data'!BH$3,List!$E$2:$CD$2,0)),"")</f>
        <v/>
      </c>
      <c r="BI17" s="13" t="str">
        <f>IF(BI$4="Yes",INDEX(List!$E$2:$CD$173,MATCH('Selection Pane Data'!$B17,List!$E$2:$E$173,0),MATCH('Selection Pane Data'!BI$3,List!$E$2:$CD$2,0)),"")</f>
        <v/>
      </c>
      <c r="BJ17" s="13" t="str">
        <f>IF(BJ$4="Yes",INDEX(List!$E$2:$CD$173,MATCH('Selection Pane Data'!$B17,List!$E$2:$E$173,0),MATCH('Selection Pane Data'!BJ$3,List!$E$2:$CD$2,0)),"")</f>
        <v/>
      </c>
      <c r="BK17" s="13" t="str">
        <f>IF(BK$4="Yes",INDEX(List!$E$2:$CD$173,MATCH('Selection Pane Data'!$B17,List!$E$2:$E$173,0),MATCH('Selection Pane Data'!BK$3,List!$E$2:$CD$2,0)),"")</f>
        <v/>
      </c>
      <c r="BL17" s="13" t="str">
        <f>IF(BL$4="Yes",INDEX(List!$E$2:$CD$173,MATCH('Selection Pane Data'!$B17,List!$E$2:$E$173,0),MATCH('Selection Pane Data'!BL$3,List!$E$2:$CD$2,0)),"")</f>
        <v/>
      </c>
      <c r="BM17" s="13" t="str">
        <f>IF(BM$4="Yes",INDEX(List!$E$2:$CD$173,MATCH('Selection Pane Data'!$B17,List!$E$2:$E$173,0),MATCH('Selection Pane Data'!BM$3,List!$E$2:$CD$2,0)),"")</f>
        <v/>
      </c>
      <c r="BN17" s="13" t="str">
        <f>IF(BN$4="Yes",INDEX(List!$E$2:$CD$173,MATCH('Selection Pane Data'!$B17,List!$E$2:$E$173,0),MATCH('Selection Pane Data'!BN$3,List!$E$2:$CD$2,0)),"")</f>
        <v/>
      </c>
      <c r="BO17" s="13" t="str">
        <f>IF(BO$4="Yes",INDEX(List!$E$2:$CD$173,MATCH('Selection Pane Data'!$B17,List!$E$2:$E$173,0),MATCH('Selection Pane Data'!BO$3,List!$E$2:$CD$2,0)),"")</f>
        <v/>
      </c>
      <c r="BP17" s="13" t="str">
        <f>IF(BP$4="Yes",INDEX(List!$E$2:$CD$173,MATCH('Selection Pane Data'!$B17,List!$E$2:$E$173,0),MATCH('Selection Pane Data'!BP$3,List!$E$2:$CD$2,0)),"")</f>
        <v/>
      </c>
      <c r="BQ17" s="13" t="str">
        <f>IF(BQ$4="Yes",INDEX(List!$E$2:$CD$173,MATCH('Selection Pane Data'!$B17,List!$E$2:$E$173,0),MATCH('Selection Pane Data'!BQ$3,List!$E$2:$CD$2,0)),"")</f>
        <v/>
      </c>
      <c r="BR17" s="13" t="str">
        <f>IF(BR$4="Yes",INDEX(List!$E$2:$CD$173,MATCH('Selection Pane Data'!$B17,List!$E$2:$E$173,0),MATCH('Selection Pane Data'!BR$3,List!$E$2:$CD$2,0)),"")</f>
        <v/>
      </c>
      <c r="BS17" s="13" t="str">
        <f>IF(BS$4="Yes",INDEX(List!$E$2:$CD$173,MATCH('Selection Pane Data'!$B17,List!$E$2:$E$173,0),MATCH('Selection Pane Data'!BS$3,List!$E$2:$CD$2,0)),"")</f>
        <v/>
      </c>
      <c r="BT17" s="13" t="str">
        <f>IF(BT$4="Yes",INDEX(List!$E$2:$CD$173,MATCH('Selection Pane Data'!$B17,List!$E$2:$E$173,0),MATCH('Selection Pane Data'!BT$3,List!$E$2:$CD$2,0)),"")</f>
        <v/>
      </c>
      <c r="BU17" s="13" t="str">
        <f>IF(BU$4="Yes",INDEX(List!$E$2:$CD$173,MATCH('Selection Pane Data'!$B17,List!$E$2:$E$173,0),MATCH('Selection Pane Data'!BU$3,List!$E$2:$CD$2,0)),"")</f>
        <v/>
      </c>
      <c r="BV17" s="13" t="str">
        <f>IF(BV$4="Yes",INDEX(List!$E$2:$CD$173,MATCH('Selection Pane Data'!$B17,List!$E$2:$E$173,0),MATCH('Selection Pane Data'!BV$3,List!$E$2:$CD$2,0)),"")</f>
        <v/>
      </c>
      <c r="BW17" s="13" t="str">
        <f>IF(BW$4="Yes",INDEX(List!$E$2:$CD$173,MATCH('Selection Pane Data'!$B17,List!$E$2:$E$173,0),MATCH('Selection Pane Data'!BW$3,List!$E$2:$CD$2,0)),"")</f>
        <v/>
      </c>
      <c r="BX17" s="13" t="str">
        <f>IF(BX$4="Yes",INDEX(List!$E$2:$CD$173,MATCH('Selection Pane Data'!$B17,List!$E$2:$E$173,0),MATCH('Selection Pane Data'!BX$3,List!$E$2:$CD$2,0)),"")</f>
        <v/>
      </c>
      <c r="BY17" s="13" t="str">
        <f>IF(BY$4="Yes",INDEX(List!$E$2:$CD$173,MATCH('Selection Pane Data'!$B17,List!$E$2:$E$173,0),MATCH('Selection Pane Data'!BY$3,List!$E$2:$CD$2,0)),"")</f>
        <v/>
      </c>
      <c r="BZ17" s="13" t="str">
        <f>IF(BZ$4="Yes",INDEX(List!$E$2:$CD$173,MATCH('Selection Pane Data'!$B17,List!$E$2:$E$173,0),MATCH('Selection Pane Data'!BZ$3,List!$E$2:$CD$2,0)),"")</f>
        <v/>
      </c>
      <c r="CA17" s="13" t="str">
        <f>IF(CA$4="Yes",INDEX(List!$E$2:$CD$173,MATCH('Selection Pane Data'!$B17,List!$E$2:$E$173,0),MATCH('Selection Pane Data'!CA$3,List!$E$2:$CD$2,0)),"")</f>
        <v/>
      </c>
      <c r="CB17" s="13" t="str">
        <f>IF(CB$4="Yes",INDEX(List!$E$2:$CD$173,MATCH('Selection Pane Data'!$B17,List!$E$2:$E$173,0),MATCH('Selection Pane Data'!CB$3,List!$E$2:$CD$2,0)),"")</f>
        <v/>
      </c>
      <c r="CC17" s="13" t="str">
        <f>IF(CC$4="Yes",INDEX(List!$E$2:$CD$173,MATCH('Selection Pane Data'!$B17,List!$E$2:$E$173,0),MATCH('Selection Pane Data'!CC$3,List!$E$2:$CD$2,0)),"")</f>
        <v/>
      </c>
      <c r="CD17" s="13" t="str">
        <f>IF(CD$4="Yes",INDEX(List!$E$2:$CD$173,MATCH('Selection Pane Data'!$B17,List!$E$2:$E$173,0),MATCH('Selection Pane Data'!CD$3,List!$E$2:$CD$2,0)),"")</f>
        <v/>
      </c>
      <c r="CE17" s="13" t="str">
        <f>IF(CE$4="Yes",INDEX(List!$E$2:$CD$173,MATCH('Selection Pane Data'!$B17,List!$E$2:$E$173,0),MATCH('Selection Pane Data'!CE$3,List!$E$2:$CD$2,0)),"")</f>
        <v/>
      </c>
    </row>
    <row r="18" spans="2:83" x14ac:dyDescent="0.35">
      <c r="B18" s="21" t="s">
        <v>305</v>
      </c>
      <c r="C18" s="126" t="str">
        <f>VLOOKUP(B18,List!$E$2:$G$173,2,FALSE)</f>
        <v>AC.L2-3.1.3</v>
      </c>
      <c r="D18" s="31" t="str">
        <f>List!G16</f>
        <v>Shared Coverage</v>
      </c>
      <c r="E18" s="31" t="str">
        <f>IF(Placemat!$F$4="All Practices","All Practices",IF(VLOOKUP(B18,Table7[#All],6,FALSE)="No Mapping","New CMMC Practices","Practices with NIST 800-171 Mappings"))</f>
        <v>Practices with NIST 800-171 Mappings</v>
      </c>
      <c r="F18" t="str">
        <f>INDEX('CMMC Levels'!$A$1:$F$172,MATCH('Selection Pane Data'!$C18,'CMMC Levels'!$A$1:$A$172,0),MATCH(Placemat!$F$4,'CMMC Levels'!$A$1:$F$1,0))</f>
        <v>X</v>
      </c>
      <c r="G18" s="77" t="str">
        <f>IF((COUNTIF(List!H16:CE16,"P")+COUNTIF(List!H16:CE16,"S"))=0,"N",IF(COUNTIF(H18:CE18,"P"),"P",IF(COUNTIF(H18:CE18,"S"),"S","U")))</f>
        <v>U</v>
      </c>
      <c r="H18" s="13" t="str">
        <f>IF(H$4="Yes",INDEX(List!$E$2:$CD$173,MATCH('Selection Pane Data'!$B18,List!$E$2:$E$173,0),MATCH('Selection Pane Data'!H$3,List!$E$2:$CD$2,0)),"")</f>
        <v/>
      </c>
      <c r="I18" s="13" t="str">
        <f>IF(I$4="Yes",INDEX(List!$E$2:$CD$173,MATCH('Selection Pane Data'!$B18,List!$E$2:$E$173,0),MATCH('Selection Pane Data'!I$3,List!$E$2:$CD$2,0)),"")</f>
        <v/>
      </c>
      <c r="J18" s="13" t="str">
        <f>IF(J$4="Yes",INDEX(List!$E$2:$CD$173,MATCH('Selection Pane Data'!$B18,List!$E$2:$E$173,0),MATCH('Selection Pane Data'!J$3,List!$E$2:$CD$2,0)),"")</f>
        <v>N</v>
      </c>
      <c r="K18" s="13" t="str">
        <f>IF(K$4="Yes",INDEX(List!$E$2:$CD$173,MATCH('Selection Pane Data'!$B18,List!$E$2:$E$173,0),MATCH('Selection Pane Data'!K$3,List!$E$2:$CD$2,0)),"")</f>
        <v/>
      </c>
      <c r="L18" s="13" t="str">
        <f>IF(L$4="Yes",INDEX(List!$E$2:$CD$173,MATCH('Selection Pane Data'!$B18,List!$E$2:$E$173,0),MATCH('Selection Pane Data'!L$3,List!$E$2:$CD$2,0)),"")</f>
        <v/>
      </c>
      <c r="M18" s="13" t="str">
        <f>IF(M$4="Yes",INDEX(List!$E$2:$CD$173,MATCH('Selection Pane Data'!$B18,List!$E$2:$E$173,0),MATCH('Selection Pane Data'!M$3,List!$E$2:$CD$2,0)),"")</f>
        <v/>
      </c>
      <c r="N18" s="13" t="str">
        <f>IF(N$4="Yes",INDEX(List!$E$2:$CD$173,MATCH('Selection Pane Data'!$B18,List!$E$2:$E$173,0),MATCH('Selection Pane Data'!N$3,List!$E$2:$CD$2,0)),"")</f>
        <v/>
      </c>
      <c r="O18" s="13" t="str">
        <f>IF(O$4="Yes",INDEX(List!$E$2:$CD$173,MATCH('Selection Pane Data'!$B18,List!$E$2:$E$173,0),MATCH('Selection Pane Data'!O$3,List!$E$2:$CD$2,0)),"")</f>
        <v/>
      </c>
      <c r="P18" s="13" t="str">
        <f>IF(P$4="Yes",INDEX(List!$E$2:$CD$173,MATCH('Selection Pane Data'!$B18,List!$E$2:$E$173,0),MATCH('Selection Pane Data'!P$3,List!$E$2:$CD$2,0)),"")</f>
        <v/>
      </c>
      <c r="Q18" s="13" t="str">
        <f>IF(Q$4="Yes",INDEX(List!$E$2:$CD$173,MATCH('Selection Pane Data'!$B18,List!$E$2:$E$173,0),MATCH('Selection Pane Data'!Q$3,List!$E$2:$CD$2,0)),"")</f>
        <v/>
      </c>
      <c r="R18" s="13" t="str">
        <f>IF(R$4="Yes",INDEX(List!$E$2:$CD$173,MATCH('Selection Pane Data'!$B18,List!$E$2:$E$173,0),MATCH('Selection Pane Data'!R$3,List!$E$2:$CD$2,0)),"")</f>
        <v/>
      </c>
      <c r="S18" s="13" t="str">
        <f>IF(S$4="Yes",INDEX(List!$E$2:$CD$173,MATCH('Selection Pane Data'!$B18,List!$E$2:$E$173,0),MATCH('Selection Pane Data'!S$3,List!$E$2:$CD$2,0)),"")</f>
        <v/>
      </c>
      <c r="T18" s="13" t="str">
        <f>IF(T$4="Yes",INDEX(List!$E$2:$CD$173,MATCH('Selection Pane Data'!$B18,List!$E$2:$E$173,0),MATCH('Selection Pane Data'!T$3,List!$E$2:$CD$2,0)),"")</f>
        <v/>
      </c>
      <c r="U18" s="13" t="str">
        <f>IF(U$4="Yes",INDEX(List!$E$2:$CD$173,MATCH('Selection Pane Data'!$B18,List!$E$2:$E$173,0),MATCH('Selection Pane Data'!U$3,List!$E$2:$CD$2,0)),"")</f>
        <v/>
      </c>
      <c r="V18" s="13" t="str">
        <f>IF(V$4="Yes",INDEX(List!$E$2:$CD$173,MATCH('Selection Pane Data'!$B18,List!$E$2:$E$173,0),MATCH('Selection Pane Data'!V$3,List!$E$2:$CD$2,0)),"")</f>
        <v/>
      </c>
      <c r="W18" s="13" t="str">
        <f>IF(W$4="Yes",INDEX(List!$E$2:$CD$173,MATCH('Selection Pane Data'!$B18,List!$E$2:$E$173,0),MATCH('Selection Pane Data'!W$3,List!$E$2:$CD$2,0)),"")</f>
        <v/>
      </c>
      <c r="X18" s="13" t="str">
        <f>IF(X$4="Yes",INDEX(List!$E$2:$CD$173,MATCH('Selection Pane Data'!$B18,List!$E$2:$E$173,0),MATCH('Selection Pane Data'!X$3,List!$E$2:$CD$2,0)),"")</f>
        <v/>
      </c>
      <c r="Y18" s="13" t="str">
        <f>IF(Y$4="Yes",INDEX(List!$E$2:$CD$173,MATCH('Selection Pane Data'!$B18,List!$E$2:$E$173,0),MATCH('Selection Pane Data'!Y$3,List!$E$2:$CD$2,0)),"")</f>
        <v/>
      </c>
      <c r="Z18" s="13" t="str">
        <f>IF(Z$4="Yes",INDEX(List!$E$2:$CD$173,MATCH('Selection Pane Data'!$B18,List!$E$2:$E$173,0),MATCH('Selection Pane Data'!Z$3,List!$E$2:$CD$2,0)),"")</f>
        <v/>
      </c>
      <c r="AA18" s="13" t="str">
        <f>IF(AA$4="Yes",INDEX(List!$E$2:$CD$173,MATCH('Selection Pane Data'!$B18,List!$E$2:$E$173,0),MATCH('Selection Pane Data'!AA$3,List!$E$2:$CD$2,0)),"")</f>
        <v>N</v>
      </c>
      <c r="AB18" s="13" t="str">
        <f>IF(AB$4="Yes",INDEX(List!$E$2:$CD$173,MATCH('Selection Pane Data'!$B18,List!$E$2:$E$173,0),MATCH('Selection Pane Data'!AB$3,List!$E$2:$CD$2,0)),"")</f>
        <v/>
      </c>
      <c r="AC18" s="13" t="str">
        <f>IF(AC$4="Yes",INDEX(List!$E$2:$CD$173,MATCH('Selection Pane Data'!$B18,List!$E$2:$E$173,0),MATCH('Selection Pane Data'!AC$3,List!$E$2:$CD$2,0)),"")</f>
        <v/>
      </c>
      <c r="AD18" s="13" t="str">
        <f>IF(AD$4="Yes",INDEX(List!$E$2:$CD$173,MATCH('Selection Pane Data'!$B18,List!$E$2:$E$173,0),MATCH('Selection Pane Data'!AD$3,List!$E$2:$CD$2,0)),"")</f>
        <v/>
      </c>
      <c r="AE18" s="13" t="str">
        <f>IF(AE$4="Yes",INDEX(List!$E$2:$CD$173,MATCH('Selection Pane Data'!$B18,List!$E$2:$E$173,0),MATCH('Selection Pane Data'!AE$3,List!$E$2:$CD$2,0)),"")</f>
        <v/>
      </c>
      <c r="AF18" s="13" t="str">
        <f>IF(AF$4="Yes",INDEX(List!$E$2:$CD$173,MATCH('Selection Pane Data'!$B18,List!$E$2:$E$173,0),MATCH('Selection Pane Data'!AF$3,List!$E$2:$CD$2,0)),"")</f>
        <v/>
      </c>
      <c r="AG18" s="13" t="str">
        <f>IF(AG$4="Yes",INDEX(List!$E$2:$CD$173,MATCH('Selection Pane Data'!$B18,List!$E$2:$E$173,0),MATCH('Selection Pane Data'!AG$3,List!$E$2:$CD$2,0)),"")</f>
        <v/>
      </c>
      <c r="AH18" s="13" t="str">
        <f>IF(AH$4="Yes",INDEX(List!$E$2:$CD$173,MATCH('Selection Pane Data'!$B18,List!$E$2:$E$173,0),MATCH('Selection Pane Data'!AH$3,List!$E$2:$CD$2,0)),"")</f>
        <v/>
      </c>
      <c r="AI18" s="13" t="str">
        <f>IF(AI$4="Yes",INDEX(List!$E$2:$CD$173,MATCH('Selection Pane Data'!$B18,List!$E$2:$E$173,0),MATCH('Selection Pane Data'!AI$3,List!$E$2:$CD$2,0)),"")</f>
        <v/>
      </c>
      <c r="AJ18" s="13" t="str">
        <f>IF(AJ$4="Yes",INDEX(List!$E$2:$CD$173,MATCH('Selection Pane Data'!$B18,List!$E$2:$E$173,0),MATCH('Selection Pane Data'!AJ$3,List!$E$2:$CD$2,0)),"")</f>
        <v/>
      </c>
      <c r="AK18" s="13" t="str">
        <f>IF(AK$4="Yes",INDEX(List!$E$2:$CD$173,MATCH('Selection Pane Data'!$B18,List!$E$2:$E$173,0),MATCH('Selection Pane Data'!AK$3,List!$E$2:$CD$2,0)),"")</f>
        <v/>
      </c>
      <c r="AL18" s="13" t="str">
        <f>IF(AL$4="Yes",INDEX(List!$E$2:$CD$173,MATCH('Selection Pane Data'!$B18,List!$E$2:$E$173,0),MATCH('Selection Pane Data'!AL$3,List!$E$2:$CD$2,0)),"")</f>
        <v/>
      </c>
      <c r="AM18" s="13" t="str">
        <f>IF(AM$4="Yes",INDEX(List!$E$2:$CD$173,MATCH('Selection Pane Data'!$B18,List!$E$2:$E$173,0),MATCH('Selection Pane Data'!AM$3,List!$E$2:$CD$2,0)),"")</f>
        <v/>
      </c>
      <c r="AN18" s="13" t="str">
        <f>IF(AN$4="Yes",INDEX(List!$E$2:$CD$173,MATCH('Selection Pane Data'!$B18,List!$E$2:$E$173,0),MATCH('Selection Pane Data'!AN$3,List!$E$2:$CD$2,0)),"")</f>
        <v/>
      </c>
      <c r="AO18" s="13" t="str">
        <f>IF(AO$4="Yes",INDEX(List!$E$2:$CD$173,MATCH('Selection Pane Data'!$B18,List!$E$2:$E$173,0),MATCH('Selection Pane Data'!AO$3,List!$E$2:$CD$2,0)),"")</f>
        <v/>
      </c>
      <c r="AP18" s="13" t="str">
        <f>IF(AP$4="Yes",INDEX(List!$E$2:$CD$173,MATCH('Selection Pane Data'!$B18,List!$E$2:$E$173,0),MATCH('Selection Pane Data'!AP$3,List!$E$2:$CD$2,0)),"")</f>
        <v/>
      </c>
      <c r="AQ18" s="13" t="str">
        <f>IF(AQ$4="Yes",INDEX(List!$E$2:$CD$173,MATCH('Selection Pane Data'!$B18,List!$E$2:$E$173,0),MATCH('Selection Pane Data'!AQ$3,List!$E$2:$CD$2,0)),"")</f>
        <v/>
      </c>
      <c r="AR18" s="13" t="str">
        <f>IF(AR$4="Yes",INDEX(List!$E$2:$CD$173,MATCH('Selection Pane Data'!$B18,List!$E$2:$E$173,0),MATCH('Selection Pane Data'!AR$3,List!$E$2:$CD$2,0)),"")</f>
        <v/>
      </c>
      <c r="AS18" s="13" t="str">
        <f>IF(AS$4="Yes",INDEX(List!$E$2:$CD$173,MATCH('Selection Pane Data'!$B18,List!$E$2:$E$173,0),MATCH('Selection Pane Data'!AS$3,List!$E$2:$CD$2,0)),"")</f>
        <v/>
      </c>
      <c r="AT18" s="13" t="str">
        <f>IF(AT$4="Yes",INDEX(List!$E$2:$CD$173,MATCH('Selection Pane Data'!$B18,List!$E$2:$E$173,0),MATCH('Selection Pane Data'!AT$3,List!$E$2:$CD$2,0)),"")</f>
        <v/>
      </c>
      <c r="AU18" s="13" t="str">
        <f>IF(AU$4="Yes",INDEX(List!$E$2:$CD$173,MATCH('Selection Pane Data'!$B18,List!$E$2:$E$173,0),MATCH('Selection Pane Data'!AU$3,List!$E$2:$CD$2,0)),"")</f>
        <v/>
      </c>
      <c r="AV18" s="13" t="str">
        <f>IF(AV$4="Yes",INDEX(List!$E$2:$CD$173,MATCH('Selection Pane Data'!$B18,List!$E$2:$E$173,0),MATCH('Selection Pane Data'!AV$3,List!$E$2:$CD$2,0)),"")</f>
        <v/>
      </c>
      <c r="AW18" s="13" t="str">
        <f>IF(AW$4="Yes",INDEX(List!$E$2:$CD$173,MATCH('Selection Pane Data'!$B18,List!$E$2:$E$173,0),MATCH('Selection Pane Data'!AW$3,List!$E$2:$CD$2,0)),"")</f>
        <v/>
      </c>
      <c r="AX18" s="13" t="str">
        <f>IF(AX$4="Yes",INDEX(List!$E$2:$CD$173,MATCH('Selection Pane Data'!$B18,List!$E$2:$E$173,0),MATCH('Selection Pane Data'!AX$3,List!$E$2:$CD$2,0)),"")</f>
        <v/>
      </c>
      <c r="AY18" s="13" t="str">
        <f>IF(AY$4="Yes",INDEX(List!$E$2:$CD$173,MATCH('Selection Pane Data'!$B18,List!$E$2:$E$173,0),MATCH('Selection Pane Data'!AY$3,List!$E$2:$CD$2,0)),"")</f>
        <v/>
      </c>
      <c r="AZ18" s="13" t="str">
        <f>IF(AZ$4="Yes",INDEX(List!$E$2:$CD$173,MATCH('Selection Pane Data'!$B18,List!$E$2:$E$173,0),MATCH('Selection Pane Data'!AZ$3,List!$E$2:$CD$2,0)),"")</f>
        <v/>
      </c>
      <c r="BA18" s="13" t="str">
        <f>IF(BA$4="Yes",INDEX(List!$E$2:$CD$173,MATCH('Selection Pane Data'!$B18,List!$E$2:$E$173,0),MATCH('Selection Pane Data'!BA$3,List!$E$2:$CD$2,0)),"")</f>
        <v/>
      </c>
      <c r="BB18" s="13" t="str">
        <f>IF(BB$4="Yes",INDEX(List!$E$2:$CD$173,MATCH('Selection Pane Data'!$B18,List!$E$2:$E$173,0),MATCH('Selection Pane Data'!BB$3,List!$E$2:$CD$2,0)),"")</f>
        <v/>
      </c>
      <c r="BC18" s="13" t="str">
        <f>IF(BC$4="Yes",INDEX(List!$E$2:$CD$173,MATCH('Selection Pane Data'!$B18,List!$E$2:$E$173,0),MATCH('Selection Pane Data'!BC$3,List!$E$2:$CD$2,0)),"")</f>
        <v/>
      </c>
      <c r="BD18" s="13" t="str">
        <f>IF(BD$4="Yes",INDEX(List!$E$2:$CD$173,MATCH('Selection Pane Data'!$B18,List!$E$2:$E$173,0),MATCH('Selection Pane Data'!BD$3,List!$E$2:$CD$2,0)),"")</f>
        <v/>
      </c>
      <c r="BE18" s="13" t="str">
        <f>IF(BE$4="Yes",INDEX(List!$E$2:$CD$173,MATCH('Selection Pane Data'!$B18,List!$E$2:$E$173,0),MATCH('Selection Pane Data'!BE$3,List!$E$2:$CD$2,0)),"")</f>
        <v/>
      </c>
      <c r="BF18" s="13" t="str">
        <f>IF(BF$4="Yes",INDEX(List!$E$2:$CD$173,MATCH('Selection Pane Data'!$B18,List!$E$2:$E$173,0),MATCH('Selection Pane Data'!BF$3,List!$E$2:$CD$2,0)),"")</f>
        <v/>
      </c>
      <c r="BG18" s="13" t="str">
        <f>IF(BG$4="Yes",INDEX(List!$E$2:$CD$173,MATCH('Selection Pane Data'!$B18,List!$E$2:$E$173,0),MATCH('Selection Pane Data'!BG$3,List!$E$2:$CD$2,0)),"")</f>
        <v/>
      </c>
      <c r="BH18" s="13" t="str">
        <f>IF(BH$4="Yes",INDEX(List!$E$2:$CD$173,MATCH('Selection Pane Data'!$B18,List!$E$2:$E$173,0),MATCH('Selection Pane Data'!BH$3,List!$E$2:$CD$2,0)),"")</f>
        <v/>
      </c>
      <c r="BI18" s="13" t="str">
        <f>IF(BI$4="Yes",INDEX(List!$E$2:$CD$173,MATCH('Selection Pane Data'!$B18,List!$E$2:$E$173,0),MATCH('Selection Pane Data'!BI$3,List!$E$2:$CD$2,0)),"")</f>
        <v/>
      </c>
      <c r="BJ18" s="13" t="str">
        <f>IF(BJ$4="Yes",INDEX(List!$E$2:$CD$173,MATCH('Selection Pane Data'!$B18,List!$E$2:$E$173,0),MATCH('Selection Pane Data'!BJ$3,List!$E$2:$CD$2,0)),"")</f>
        <v/>
      </c>
      <c r="BK18" s="13" t="str">
        <f>IF(BK$4="Yes",INDEX(List!$E$2:$CD$173,MATCH('Selection Pane Data'!$B18,List!$E$2:$E$173,0),MATCH('Selection Pane Data'!BK$3,List!$E$2:$CD$2,0)),"")</f>
        <v/>
      </c>
      <c r="BL18" s="13" t="str">
        <f>IF(BL$4="Yes",INDEX(List!$E$2:$CD$173,MATCH('Selection Pane Data'!$B18,List!$E$2:$E$173,0),MATCH('Selection Pane Data'!BL$3,List!$E$2:$CD$2,0)),"")</f>
        <v/>
      </c>
      <c r="BM18" s="13" t="str">
        <f>IF(BM$4="Yes",INDEX(List!$E$2:$CD$173,MATCH('Selection Pane Data'!$B18,List!$E$2:$E$173,0),MATCH('Selection Pane Data'!BM$3,List!$E$2:$CD$2,0)),"")</f>
        <v/>
      </c>
      <c r="BN18" s="13" t="str">
        <f>IF(BN$4="Yes",INDEX(List!$E$2:$CD$173,MATCH('Selection Pane Data'!$B18,List!$E$2:$E$173,0),MATCH('Selection Pane Data'!BN$3,List!$E$2:$CD$2,0)),"")</f>
        <v/>
      </c>
      <c r="BO18" s="13" t="str">
        <f>IF(BO$4="Yes",INDEX(List!$E$2:$CD$173,MATCH('Selection Pane Data'!$B18,List!$E$2:$E$173,0),MATCH('Selection Pane Data'!BO$3,List!$E$2:$CD$2,0)),"")</f>
        <v/>
      </c>
      <c r="BP18" s="13" t="str">
        <f>IF(BP$4="Yes",INDEX(List!$E$2:$CD$173,MATCH('Selection Pane Data'!$B18,List!$E$2:$E$173,0),MATCH('Selection Pane Data'!BP$3,List!$E$2:$CD$2,0)),"")</f>
        <v/>
      </c>
      <c r="BQ18" s="13" t="str">
        <f>IF(BQ$4="Yes",INDEX(List!$E$2:$CD$173,MATCH('Selection Pane Data'!$B18,List!$E$2:$E$173,0),MATCH('Selection Pane Data'!BQ$3,List!$E$2:$CD$2,0)),"")</f>
        <v/>
      </c>
      <c r="BR18" s="13" t="str">
        <f>IF(BR$4="Yes",INDEX(List!$E$2:$CD$173,MATCH('Selection Pane Data'!$B18,List!$E$2:$E$173,0),MATCH('Selection Pane Data'!BR$3,List!$E$2:$CD$2,0)),"")</f>
        <v/>
      </c>
      <c r="BS18" s="13" t="str">
        <f>IF(BS$4="Yes",INDEX(List!$E$2:$CD$173,MATCH('Selection Pane Data'!$B18,List!$E$2:$E$173,0),MATCH('Selection Pane Data'!BS$3,List!$E$2:$CD$2,0)),"")</f>
        <v/>
      </c>
      <c r="BT18" s="13" t="str">
        <f>IF(BT$4="Yes",INDEX(List!$E$2:$CD$173,MATCH('Selection Pane Data'!$B18,List!$E$2:$E$173,0),MATCH('Selection Pane Data'!BT$3,List!$E$2:$CD$2,0)),"")</f>
        <v/>
      </c>
      <c r="BU18" s="13" t="str">
        <f>IF(BU$4="Yes",INDEX(List!$E$2:$CD$173,MATCH('Selection Pane Data'!$B18,List!$E$2:$E$173,0),MATCH('Selection Pane Data'!BU$3,List!$E$2:$CD$2,0)),"")</f>
        <v/>
      </c>
      <c r="BV18" s="13" t="str">
        <f>IF(BV$4="Yes",INDEX(List!$E$2:$CD$173,MATCH('Selection Pane Data'!$B18,List!$E$2:$E$173,0),MATCH('Selection Pane Data'!BV$3,List!$E$2:$CD$2,0)),"")</f>
        <v/>
      </c>
      <c r="BW18" s="13" t="str">
        <f>IF(BW$4="Yes",INDEX(List!$E$2:$CD$173,MATCH('Selection Pane Data'!$B18,List!$E$2:$E$173,0),MATCH('Selection Pane Data'!BW$3,List!$E$2:$CD$2,0)),"")</f>
        <v/>
      </c>
      <c r="BX18" s="13" t="str">
        <f>IF(BX$4="Yes",INDEX(List!$E$2:$CD$173,MATCH('Selection Pane Data'!$B18,List!$E$2:$E$173,0),MATCH('Selection Pane Data'!BX$3,List!$E$2:$CD$2,0)),"")</f>
        <v/>
      </c>
      <c r="BY18" s="13" t="str">
        <f>IF(BY$4="Yes",INDEX(List!$E$2:$CD$173,MATCH('Selection Pane Data'!$B18,List!$E$2:$E$173,0),MATCH('Selection Pane Data'!BY$3,List!$E$2:$CD$2,0)),"")</f>
        <v/>
      </c>
      <c r="BZ18" s="13" t="str">
        <f>IF(BZ$4="Yes",INDEX(List!$E$2:$CD$173,MATCH('Selection Pane Data'!$B18,List!$E$2:$E$173,0),MATCH('Selection Pane Data'!BZ$3,List!$E$2:$CD$2,0)),"")</f>
        <v/>
      </c>
      <c r="CA18" s="13" t="str">
        <f>IF(CA$4="Yes",INDEX(List!$E$2:$CD$173,MATCH('Selection Pane Data'!$B18,List!$E$2:$E$173,0),MATCH('Selection Pane Data'!CA$3,List!$E$2:$CD$2,0)),"")</f>
        <v/>
      </c>
      <c r="CB18" s="13" t="str">
        <f>IF(CB$4="Yes",INDEX(List!$E$2:$CD$173,MATCH('Selection Pane Data'!$B18,List!$E$2:$E$173,0),MATCH('Selection Pane Data'!CB$3,List!$E$2:$CD$2,0)),"")</f>
        <v/>
      </c>
      <c r="CC18" s="13" t="str">
        <f>IF(CC$4="Yes",INDEX(List!$E$2:$CD$173,MATCH('Selection Pane Data'!$B18,List!$E$2:$E$173,0),MATCH('Selection Pane Data'!CC$3,List!$E$2:$CD$2,0)),"")</f>
        <v/>
      </c>
      <c r="CD18" s="13" t="str">
        <f>IF(CD$4="Yes",INDEX(List!$E$2:$CD$173,MATCH('Selection Pane Data'!$B18,List!$E$2:$E$173,0),MATCH('Selection Pane Data'!CD$3,List!$E$2:$CD$2,0)),"")</f>
        <v/>
      </c>
      <c r="CE18" s="13" t="str">
        <f>IF(CE$4="Yes",INDEX(List!$E$2:$CD$173,MATCH('Selection Pane Data'!$B18,List!$E$2:$E$173,0),MATCH('Selection Pane Data'!CE$3,List!$E$2:$CD$2,0)),"")</f>
        <v/>
      </c>
    </row>
    <row r="19" spans="2:83" x14ac:dyDescent="0.35">
      <c r="B19" s="21" t="s">
        <v>306</v>
      </c>
      <c r="C19" s="126" t="str">
        <f>VLOOKUP(B19,List!$E$2:$G$173,2,FALSE)</f>
        <v>AC.L2-3.1.17</v>
      </c>
      <c r="D19" s="31" t="str">
        <f>List!G17</f>
        <v>Customer Responsibility</v>
      </c>
      <c r="E19" s="31" t="str">
        <f>IF(Placemat!$F$4="All Practices","All Practices",IF(VLOOKUP(B19,Table7[#All],6,FALSE)="No Mapping","New CMMC Practices","Practices with NIST 800-171 Mappings"))</f>
        <v>Practices with NIST 800-171 Mappings</v>
      </c>
      <c r="F19" t="str">
        <f>INDEX('CMMC Levels'!$A$1:$F$172,MATCH('Selection Pane Data'!$C19,'CMMC Levels'!$A$1:$A$172,0),MATCH(Placemat!$F$4,'CMMC Levels'!$A$1:$F$1,0))</f>
        <v>X</v>
      </c>
      <c r="G19" s="77" t="str">
        <f>IF((COUNTIF(List!H17:CE17,"P")+COUNTIF(List!H17:CE17,"S"))=0,"N",IF(COUNTIF(H19:CE19,"P"),"P",IF(COUNTIF(H19:CE19,"S"),"S","U")))</f>
        <v>U</v>
      </c>
      <c r="H19" s="13" t="str">
        <f>IF(H$4="Yes",INDEX(List!$E$2:$CD$173,MATCH('Selection Pane Data'!$B19,List!$E$2:$E$173,0),MATCH('Selection Pane Data'!H$3,List!$E$2:$CD$2,0)),"")</f>
        <v/>
      </c>
      <c r="I19" s="13" t="str">
        <f>IF(I$4="Yes",INDEX(List!$E$2:$CD$173,MATCH('Selection Pane Data'!$B19,List!$E$2:$E$173,0),MATCH('Selection Pane Data'!I$3,List!$E$2:$CD$2,0)),"")</f>
        <v/>
      </c>
      <c r="J19" s="13" t="str">
        <f>IF(J$4="Yes",INDEX(List!$E$2:$CD$173,MATCH('Selection Pane Data'!$B19,List!$E$2:$E$173,0),MATCH('Selection Pane Data'!J$3,List!$E$2:$CD$2,0)),"")</f>
        <v>N</v>
      </c>
      <c r="K19" s="13" t="str">
        <f>IF(K$4="Yes",INDEX(List!$E$2:$CD$173,MATCH('Selection Pane Data'!$B19,List!$E$2:$E$173,0),MATCH('Selection Pane Data'!K$3,List!$E$2:$CD$2,0)),"")</f>
        <v/>
      </c>
      <c r="L19" s="13" t="str">
        <f>IF(L$4="Yes",INDEX(List!$E$2:$CD$173,MATCH('Selection Pane Data'!$B19,List!$E$2:$E$173,0),MATCH('Selection Pane Data'!L$3,List!$E$2:$CD$2,0)),"")</f>
        <v/>
      </c>
      <c r="M19" s="13" t="str">
        <f>IF(M$4="Yes",INDEX(List!$E$2:$CD$173,MATCH('Selection Pane Data'!$B19,List!$E$2:$E$173,0),MATCH('Selection Pane Data'!M$3,List!$E$2:$CD$2,0)),"")</f>
        <v/>
      </c>
      <c r="N19" s="13" t="str">
        <f>IF(N$4="Yes",INDEX(List!$E$2:$CD$173,MATCH('Selection Pane Data'!$B19,List!$E$2:$E$173,0),MATCH('Selection Pane Data'!N$3,List!$E$2:$CD$2,0)),"")</f>
        <v/>
      </c>
      <c r="O19" s="13" t="str">
        <f>IF(O$4="Yes",INDEX(List!$E$2:$CD$173,MATCH('Selection Pane Data'!$B19,List!$E$2:$E$173,0),MATCH('Selection Pane Data'!O$3,List!$E$2:$CD$2,0)),"")</f>
        <v/>
      </c>
      <c r="P19" s="13" t="str">
        <f>IF(P$4="Yes",INDEX(List!$E$2:$CD$173,MATCH('Selection Pane Data'!$B19,List!$E$2:$E$173,0),MATCH('Selection Pane Data'!P$3,List!$E$2:$CD$2,0)),"")</f>
        <v/>
      </c>
      <c r="Q19" s="13" t="str">
        <f>IF(Q$4="Yes",INDEX(List!$E$2:$CD$173,MATCH('Selection Pane Data'!$B19,List!$E$2:$E$173,0),MATCH('Selection Pane Data'!Q$3,List!$E$2:$CD$2,0)),"")</f>
        <v/>
      </c>
      <c r="R19" s="13" t="str">
        <f>IF(R$4="Yes",INDEX(List!$E$2:$CD$173,MATCH('Selection Pane Data'!$B19,List!$E$2:$E$173,0),MATCH('Selection Pane Data'!R$3,List!$E$2:$CD$2,0)),"")</f>
        <v/>
      </c>
      <c r="S19" s="13" t="str">
        <f>IF(S$4="Yes",INDEX(List!$E$2:$CD$173,MATCH('Selection Pane Data'!$B19,List!$E$2:$E$173,0),MATCH('Selection Pane Data'!S$3,List!$E$2:$CD$2,0)),"")</f>
        <v/>
      </c>
      <c r="T19" s="13" t="str">
        <f>IF(T$4="Yes",INDEX(List!$E$2:$CD$173,MATCH('Selection Pane Data'!$B19,List!$E$2:$E$173,0),MATCH('Selection Pane Data'!T$3,List!$E$2:$CD$2,0)),"")</f>
        <v/>
      </c>
      <c r="U19" s="13" t="str">
        <f>IF(U$4="Yes",INDEX(List!$E$2:$CD$173,MATCH('Selection Pane Data'!$B19,List!$E$2:$E$173,0),MATCH('Selection Pane Data'!U$3,List!$E$2:$CD$2,0)),"")</f>
        <v/>
      </c>
      <c r="V19" s="13" t="str">
        <f>IF(V$4="Yes",INDEX(List!$E$2:$CD$173,MATCH('Selection Pane Data'!$B19,List!$E$2:$E$173,0),MATCH('Selection Pane Data'!V$3,List!$E$2:$CD$2,0)),"")</f>
        <v/>
      </c>
      <c r="W19" s="13" t="str">
        <f>IF(W$4="Yes",INDEX(List!$E$2:$CD$173,MATCH('Selection Pane Data'!$B19,List!$E$2:$E$173,0),MATCH('Selection Pane Data'!W$3,List!$E$2:$CD$2,0)),"")</f>
        <v/>
      </c>
      <c r="X19" s="13" t="str">
        <f>IF(X$4="Yes",INDEX(List!$E$2:$CD$173,MATCH('Selection Pane Data'!$B19,List!$E$2:$E$173,0),MATCH('Selection Pane Data'!X$3,List!$E$2:$CD$2,0)),"")</f>
        <v/>
      </c>
      <c r="Y19" s="13" t="str">
        <f>IF(Y$4="Yes",INDEX(List!$E$2:$CD$173,MATCH('Selection Pane Data'!$B19,List!$E$2:$E$173,0),MATCH('Selection Pane Data'!Y$3,List!$E$2:$CD$2,0)),"")</f>
        <v/>
      </c>
      <c r="Z19" s="13" t="str">
        <f>IF(Z$4="Yes",INDEX(List!$E$2:$CD$173,MATCH('Selection Pane Data'!$B19,List!$E$2:$E$173,0),MATCH('Selection Pane Data'!Z$3,List!$E$2:$CD$2,0)),"")</f>
        <v/>
      </c>
      <c r="AA19" s="13" t="str">
        <f>IF(AA$4="Yes",INDEX(List!$E$2:$CD$173,MATCH('Selection Pane Data'!$B19,List!$E$2:$E$173,0),MATCH('Selection Pane Data'!AA$3,List!$E$2:$CD$2,0)),"")</f>
        <v>N</v>
      </c>
      <c r="AB19" s="13" t="str">
        <f>IF(AB$4="Yes",INDEX(List!$E$2:$CD$173,MATCH('Selection Pane Data'!$B19,List!$E$2:$E$173,0),MATCH('Selection Pane Data'!AB$3,List!$E$2:$CD$2,0)),"")</f>
        <v/>
      </c>
      <c r="AC19" s="13" t="str">
        <f>IF(AC$4="Yes",INDEX(List!$E$2:$CD$173,MATCH('Selection Pane Data'!$B19,List!$E$2:$E$173,0),MATCH('Selection Pane Data'!AC$3,List!$E$2:$CD$2,0)),"")</f>
        <v/>
      </c>
      <c r="AD19" s="13" t="str">
        <f>IF(AD$4="Yes",INDEX(List!$E$2:$CD$173,MATCH('Selection Pane Data'!$B19,List!$E$2:$E$173,0),MATCH('Selection Pane Data'!AD$3,List!$E$2:$CD$2,0)),"")</f>
        <v/>
      </c>
      <c r="AE19" s="13" t="str">
        <f>IF(AE$4="Yes",INDEX(List!$E$2:$CD$173,MATCH('Selection Pane Data'!$B19,List!$E$2:$E$173,0),MATCH('Selection Pane Data'!AE$3,List!$E$2:$CD$2,0)),"")</f>
        <v/>
      </c>
      <c r="AF19" s="13" t="str">
        <f>IF(AF$4="Yes",INDEX(List!$E$2:$CD$173,MATCH('Selection Pane Data'!$B19,List!$E$2:$E$173,0),MATCH('Selection Pane Data'!AF$3,List!$E$2:$CD$2,0)),"")</f>
        <v/>
      </c>
      <c r="AG19" s="13" t="str">
        <f>IF(AG$4="Yes",INDEX(List!$E$2:$CD$173,MATCH('Selection Pane Data'!$B19,List!$E$2:$E$173,0),MATCH('Selection Pane Data'!AG$3,List!$E$2:$CD$2,0)),"")</f>
        <v/>
      </c>
      <c r="AH19" s="13" t="str">
        <f>IF(AH$4="Yes",INDEX(List!$E$2:$CD$173,MATCH('Selection Pane Data'!$B19,List!$E$2:$E$173,0),MATCH('Selection Pane Data'!AH$3,List!$E$2:$CD$2,0)),"")</f>
        <v/>
      </c>
      <c r="AI19" s="13" t="str">
        <f>IF(AI$4="Yes",INDEX(List!$E$2:$CD$173,MATCH('Selection Pane Data'!$B19,List!$E$2:$E$173,0),MATCH('Selection Pane Data'!AI$3,List!$E$2:$CD$2,0)),"")</f>
        <v/>
      </c>
      <c r="AJ19" s="13" t="str">
        <f>IF(AJ$4="Yes",INDEX(List!$E$2:$CD$173,MATCH('Selection Pane Data'!$B19,List!$E$2:$E$173,0),MATCH('Selection Pane Data'!AJ$3,List!$E$2:$CD$2,0)),"")</f>
        <v/>
      </c>
      <c r="AK19" s="13" t="str">
        <f>IF(AK$4="Yes",INDEX(List!$E$2:$CD$173,MATCH('Selection Pane Data'!$B19,List!$E$2:$E$173,0),MATCH('Selection Pane Data'!AK$3,List!$E$2:$CD$2,0)),"")</f>
        <v/>
      </c>
      <c r="AL19" s="13" t="str">
        <f>IF(AL$4="Yes",INDEX(List!$E$2:$CD$173,MATCH('Selection Pane Data'!$B19,List!$E$2:$E$173,0),MATCH('Selection Pane Data'!AL$3,List!$E$2:$CD$2,0)),"")</f>
        <v/>
      </c>
      <c r="AM19" s="13" t="str">
        <f>IF(AM$4="Yes",INDEX(List!$E$2:$CD$173,MATCH('Selection Pane Data'!$B19,List!$E$2:$E$173,0),MATCH('Selection Pane Data'!AM$3,List!$E$2:$CD$2,0)),"")</f>
        <v/>
      </c>
      <c r="AN19" s="13" t="str">
        <f>IF(AN$4="Yes",INDEX(List!$E$2:$CD$173,MATCH('Selection Pane Data'!$B19,List!$E$2:$E$173,0),MATCH('Selection Pane Data'!AN$3,List!$E$2:$CD$2,0)),"")</f>
        <v/>
      </c>
      <c r="AO19" s="13" t="str">
        <f>IF(AO$4="Yes",INDEX(List!$E$2:$CD$173,MATCH('Selection Pane Data'!$B19,List!$E$2:$E$173,0),MATCH('Selection Pane Data'!AO$3,List!$E$2:$CD$2,0)),"")</f>
        <v/>
      </c>
      <c r="AP19" s="13" t="str">
        <f>IF(AP$4="Yes",INDEX(List!$E$2:$CD$173,MATCH('Selection Pane Data'!$B19,List!$E$2:$E$173,0),MATCH('Selection Pane Data'!AP$3,List!$E$2:$CD$2,0)),"")</f>
        <v/>
      </c>
      <c r="AQ19" s="13" t="str">
        <f>IF(AQ$4="Yes",INDEX(List!$E$2:$CD$173,MATCH('Selection Pane Data'!$B19,List!$E$2:$E$173,0),MATCH('Selection Pane Data'!AQ$3,List!$E$2:$CD$2,0)),"")</f>
        <v/>
      </c>
      <c r="AR19" s="13" t="str">
        <f>IF(AR$4="Yes",INDEX(List!$E$2:$CD$173,MATCH('Selection Pane Data'!$B19,List!$E$2:$E$173,0),MATCH('Selection Pane Data'!AR$3,List!$E$2:$CD$2,0)),"")</f>
        <v/>
      </c>
      <c r="AS19" s="13" t="str">
        <f>IF(AS$4="Yes",INDEX(List!$E$2:$CD$173,MATCH('Selection Pane Data'!$B19,List!$E$2:$E$173,0),MATCH('Selection Pane Data'!AS$3,List!$E$2:$CD$2,0)),"")</f>
        <v/>
      </c>
      <c r="AT19" s="13" t="str">
        <f>IF(AT$4="Yes",INDEX(List!$E$2:$CD$173,MATCH('Selection Pane Data'!$B19,List!$E$2:$E$173,0),MATCH('Selection Pane Data'!AT$3,List!$E$2:$CD$2,0)),"")</f>
        <v/>
      </c>
      <c r="AU19" s="13" t="str">
        <f>IF(AU$4="Yes",INDEX(List!$E$2:$CD$173,MATCH('Selection Pane Data'!$B19,List!$E$2:$E$173,0),MATCH('Selection Pane Data'!AU$3,List!$E$2:$CD$2,0)),"")</f>
        <v/>
      </c>
      <c r="AV19" s="13" t="str">
        <f>IF(AV$4="Yes",INDEX(List!$E$2:$CD$173,MATCH('Selection Pane Data'!$B19,List!$E$2:$E$173,0),MATCH('Selection Pane Data'!AV$3,List!$E$2:$CD$2,0)),"")</f>
        <v/>
      </c>
      <c r="AW19" s="13" t="str">
        <f>IF(AW$4="Yes",INDEX(List!$E$2:$CD$173,MATCH('Selection Pane Data'!$B19,List!$E$2:$E$173,0),MATCH('Selection Pane Data'!AW$3,List!$E$2:$CD$2,0)),"")</f>
        <v/>
      </c>
      <c r="AX19" s="13" t="str">
        <f>IF(AX$4="Yes",INDEX(List!$E$2:$CD$173,MATCH('Selection Pane Data'!$B19,List!$E$2:$E$173,0),MATCH('Selection Pane Data'!AX$3,List!$E$2:$CD$2,0)),"")</f>
        <v/>
      </c>
      <c r="AY19" s="13" t="str">
        <f>IF(AY$4="Yes",INDEX(List!$E$2:$CD$173,MATCH('Selection Pane Data'!$B19,List!$E$2:$E$173,0),MATCH('Selection Pane Data'!AY$3,List!$E$2:$CD$2,0)),"")</f>
        <v/>
      </c>
      <c r="AZ19" s="13" t="str">
        <f>IF(AZ$4="Yes",INDEX(List!$E$2:$CD$173,MATCH('Selection Pane Data'!$B19,List!$E$2:$E$173,0),MATCH('Selection Pane Data'!AZ$3,List!$E$2:$CD$2,0)),"")</f>
        <v/>
      </c>
      <c r="BA19" s="13" t="str">
        <f>IF(BA$4="Yes",INDEX(List!$E$2:$CD$173,MATCH('Selection Pane Data'!$B19,List!$E$2:$E$173,0),MATCH('Selection Pane Data'!BA$3,List!$E$2:$CD$2,0)),"")</f>
        <v/>
      </c>
      <c r="BB19" s="13" t="str">
        <f>IF(BB$4="Yes",INDEX(List!$E$2:$CD$173,MATCH('Selection Pane Data'!$B19,List!$E$2:$E$173,0),MATCH('Selection Pane Data'!BB$3,List!$E$2:$CD$2,0)),"")</f>
        <v/>
      </c>
      <c r="BC19" s="13" t="str">
        <f>IF(BC$4="Yes",INDEX(List!$E$2:$CD$173,MATCH('Selection Pane Data'!$B19,List!$E$2:$E$173,0),MATCH('Selection Pane Data'!BC$3,List!$E$2:$CD$2,0)),"")</f>
        <v/>
      </c>
      <c r="BD19" s="13" t="str">
        <f>IF(BD$4="Yes",INDEX(List!$E$2:$CD$173,MATCH('Selection Pane Data'!$B19,List!$E$2:$E$173,0),MATCH('Selection Pane Data'!BD$3,List!$E$2:$CD$2,0)),"")</f>
        <v/>
      </c>
      <c r="BE19" s="13" t="str">
        <f>IF(BE$4="Yes",INDEX(List!$E$2:$CD$173,MATCH('Selection Pane Data'!$B19,List!$E$2:$E$173,0),MATCH('Selection Pane Data'!BE$3,List!$E$2:$CD$2,0)),"")</f>
        <v/>
      </c>
      <c r="BF19" s="13" t="str">
        <f>IF(BF$4="Yes",INDEX(List!$E$2:$CD$173,MATCH('Selection Pane Data'!$B19,List!$E$2:$E$173,0),MATCH('Selection Pane Data'!BF$3,List!$E$2:$CD$2,0)),"")</f>
        <v/>
      </c>
      <c r="BG19" s="13" t="str">
        <f>IF(BG$4="Yes",INDEX(List!$E$2:$CD$173,MATCH('Selection Pane Data'!$B19,List!$E$2:$E$173,0),MATCH('Selection Pane Data'!BG$3,List!$E$2:$CD$2,0)),"")</f>
        <v/>
      </c>
      <c r="BH19" s="13" t="str">
        <f>IF(BH$4="Yes",INDEX(List!$E$2:$CD$173,MATCH('Selection Pane Data'!$B19,List!$E$2:$E$173,0),MATCH('Selection Pane Data'!BH$3,List!$E$2:$CD$2,0)),"")</f>
        <v/>
      </c>
      <c r="BI19" s="13" t="str">
        <f>IF(BI$4="Yes",INDEX(List!$E$2:$CD$173,MATCH('Selection Pane Data'!$B19,List!$E$2:$E$173,0),MATCH('Selection Pane Data'!BI$3,List!$E$2:$CD$2,0)),"")</f>
        <v/>
      </c>
      <c r="BJ19" s="13" t="str">
        <f>IF(BJ$4="Yes",INDEX(List!$E$2:$CD$173,MATCH('Selection Pane Data'!$B19,List!$E$2:$E$173,0),MATCH('Selection Pane Data'!BJ$3,List!$E$2:$CD$2,0)),"")</f>
        <v/>
      </c>
      <c r="BK19" s="13" t="str">
        <f>IF(BK$4="Yes",INDEX(List!$E$2:$CD$173,MATCH('Selection Pane Data'!$B19,List!$E$2:$E$173,0),MATCH('Selection Pane Data'!BK$3,List!$E$2:$CD$2,0)),"")</f>
        <v/>
      </c>
      <c r="BL19" s="13" t="str">
        <f>IF(BL$4="Yes",INDEX(List!$E$2:$CD$173,MATCH('Selection Pane Data'!$B19,List!$E$2:$E$173,0),MATCH('Selection Pane Data'!BL$3,List!$E$2:$CD$2,0)),"")</f>
        <v/>
      </c>
      <c r="BM19" s="13" t="str">
        <f>IF(BM$4="Yes",INDEX(List!$E$2:$CD$173,MATCH('Selection Pane Data'!$B19,List!$E$2:$E$173,0),MATCH('Selection Pane Data'!BM$3,List!$E$2:$CD$2,0)),"")</f>
        <v/>
      </c>
      <c r="BN19" s="13" t="str">
        <f>IF(BN$4="Yes",INDEX(List!$E$2:$CD$173,MATCH('Selection Pane Data'!$B19,List!$E$2:$E$173,0),MATCH('Selection Pane Data'!BN$3,List!$E$2:$CD$2,0)),"")</f>
        <v/>
      </c>
      <c r="BO19" s="13" t="str">
        <f>IF(BO$4="Yes",INDEX(List!$E$2:$CD$173,MATCH('Selection Pane Data'!$B19,List!$E$2:$E$173,0),MATCH('Selection Pane Data'!BO$3,List!$E$2:$CD$2,0)),"")</f>
        <v/>
      </c>
      <c r="BP19" s="13" t="str">
        <f>IF(BP$4="Yes",INDEX(List!$E$2:$CD$173,MATCH('Selection Pane Data'!$B19,List!$E$2:$E$173,0),MATCH('Selection Pane Data'!BP$3,List!$E$2:$CD$2,0)),"")</f>
        <v/>
      </c>
      <c r="BQ19" s="13" t="str">
        <f>IF(BQ$4="Yes",INDEX(List!$E$2:$CD$173,MATCH('Selection Pane Data'!$B19,List!$E$2:$E$173,0),MATCH('Selection Pane Data'!BQ$3,List!$E$2:$CD$2,0)),"")</f>
        <v/>
      </c>
      <c r="BR19" s="13" t="str">
        <f>IF(BR$4="Yes",INDEX(List!$E$2:$CD$173,MATCH('Selection Pane Data'!$B19,List!$E$2:$E$173,0),MATCH('Selection Pane Data'!BR$3,List!$E$2:$CD$2,0)),"")</f>
        <v/>
      </c>
      <c r="BS19" s="13" t="str">
        <f>IF(BS$4="Yes",INDEX(List!$E$2:$CD$173,MATCH('Selection Pane Data'!$B19,List!$E$2:$E$173,0),MATCH('Selection Pane Data'!BS$3,List!$E$2:$CD$2,0)),"")</f>
        <v/>
      </c>
      <c r="BT19" s="13" t="str">
        <f>IF(BT$4="Yes",INDEX(List!$E$2:$CD$173,MATCH('Selection Pane Data'!$B19,List!$E$2:$E$173,0),MATCH('Selection Pane Data'!BT$3,List!$E$2:$CD$2,0)),"")</f>
        <v/>
      </c>
      <c r="BU19" s="13" t="str">
        <f>IF(BU$4="Yes",INDEX(List!$E$2:$CD$173,MATCH('Selection Pane Data'!$B19,List!$E$2:$E$173,0),MATCH('Selection Pane Data'!BU$3,List!$E$2:$CD$2,0)),"")</f>
        <v/>
      </c>
      <c r="BV19" s="13" t="str">
        <f>IF(BV$4="Yes",INDEX(List!$E$2:$CD$173,MATCH('Selection Pane Data'!$B19,List!$E$2:$E$173,0),MATCH('Selection Pane Data'!BV$3,List!$E$2:$CD$2,0)),"")</f>
        <v/>
      </c>
      <c r="BW19" s="13" t="str">
        <f>IF(BW$4="Yes",INDEX(List!$E$2:$CD$173,MATCH('Selection Pane Data'!$B19,List!$E$2:$E$173,0),MATCH('Selection Pane Data'!BW$3,List!$E$2:$CD$2,0)),"")</f>
        <v/>
      </c>
      <c r="BX19" s="13" t="str">
        <f>IF(BX$4="Yes",INDEX(List!$E$2:$CD$173,MATCH('Selection Pane Data'!$B19,List!$E$2:$E$173,0),MATCH('Selection Pane Data'!BX$3,List!$E$2:$CD$2,0)),"")</f>
        <v/>
      </c>
      <c r="BY19" s="13" t="str">
        <f>IF(BY$4="Yes",INDEX(List!$E$2:$CD$173,MATCH('Selection Pane Data'!$B19,List!$E$2:$E$173,0),MATCH('Selection Pane Data'!BY$3,List!$E$2:$CD$2,0)),"")</f>
        <v/>
      </c>
      <c r="BZ19" s="13" t="str">
        <f>IF(BZ$4="Yes",INDEX(List!$E$2:$CD$173,MATCH('Selection Pane Data'!$B19,List!$E$2:$E$173,0),MATCH('Selection Pane Data'!BZ$3,List!$E$2:$CD$2,0)),"")</f>
        <v/>
      </c>
      <c r="CA19" s="13" t="str">
        <f>IF(CA$4="Yes",INDEX(List!$E$2:$CD$173,MATCH('Selection Pane Data'!$B19,List!$E$2:$E$173,0),MATCH('Selection Pane Data'!CA$3,List!$E$2:$CD$2,0)),"")</f>
        <v/>
      </c>
      <c r="CB19" s="13" t="str">
        <f>IF(CB$4="Yes",INDEX(List!$E$2:$CD$173,MATCH('Selection Pane Data'!$B19,List!$E$2:$E$173,0),MATCH('Selection Pane Data'!CB$3,List!$E$2:$CD$2,0)),"")</f>
        <v/>
      </c>
      <c r="CC19" s="13" t="str">
        <f>IF(CC$4="Yes",INDEX(List!$E$2:$CD$173,MATCH('Selection Pane Data'!$B19,List!$E$2:$E$173,0),MATCH('Selection Pane Data'!CC$3,List!$E$2:$CD$2,0)),"")</f>
        <v/>
      </c>
      <c r="CD19" s="13" t="str">
        <f>IF(CD$4="Yes",INDEX(List!$E$2:$CD$173,MATCH('Selection Pane Data'!$B19,List!$E$2:$E$173,0),MATCH('Selection Pane Data'!CD$3,List!$E$2:$CD$2,0)),"")</f>
        <v/>
      </c>
      <c r="CE19" s="13" t="str">
        <f>IF(CE$4="Yes",INDEX(List!$E$2:$CD$173,MATCH('Selection Pane Data'!$B19,List!$E$2:$E$173,0),MATCH('Selection Pane Data'!CE$3,List!$E$2:$CD$2,0)),"")</f>
        <v/>
      </c>
    </row>
    <row r="20" spans="2:83" x14ac:dyDescent="0.35">
      <c r="B20" s="21" t="s">
        <v>307</v>
      </c>
      <c r="C20" s="126" t="str">
        <f>VLOOKUP(B20,List!$E$2:$G$173,2,FALSE)</f>
        <v>AC.L2-3.1.13</v>
      </c>
      <c r="D20" s="31" t="str">
        <f>List!G18</f>
        <v>Shared Coverage</v>
      </c>
      <c r="E20" s="31" t="str">
        <f>IF(Placemat!$F$4="All Practices","All Practices",IF(VLOOKUP(B20,Table7[#All],6,FALSE)="No Mapping","New CMMC Practices","Practices with NIST 800-171 Mappings"))</f>
        <v>Practices with NIST 800-171 Mappings</v>
      </c>
      <c r="F20" t="str">
        <f>INDEX('CMMC Levels'!$A$1:$F$172,MATCH('Selection Pane Data'!$C20,'CMMC Levels'!$A$1:$A$172,0),MATCH(Placemat!$F$4,'CMMC Levels'!$A$1:$F$1,0))</f>
        <v>X</v>
      </c>
      <c r="G20" s="77" t="str">
        <f>IF((COUNTIF(List!H18:CE18,"P")+COUNTIF(List!H18:CE18,"S"))=0,"N",IF(COUNTIF(H20:CE20,"P"),"P",IF(COUNTIF(H20:CE20,"S"),"S","U")))</f>
        <v>P</v>
      </c>
      <c r="H20" s="13" t="str">
        <f>IF(H$4="Yes",INDEX(List!$E$2:$CD$173,MATCH('Selection Pane Data'!$B20,List!$E$2:$E$173,0),MATCH('Selection Pane Data'!H$3,List!$E$2:$CD$2,0)),"")</f>
        <v/>
      </c>
      <c r="I20" s="13" t="str">
        <f>IF(I$4="Yes",INDEX(List!$E$2:$CD$173,MATCH('Selection Pane Data'!$B20,List!$E$2:$E$173,0),MATCH('Selection Pane Data'!I$3,List!$E$2:$CD$2,0)),"")</f>
        <v/>
      </c>
      <c r="J20" s="13" t="str">
        <f>IF(J$4="Yes",INDEX(List!$E$2:$CD$173,MATCH('Selection Pane Data'!$B20,List!$E$2:$E$173,0),MATCH('Selection Pane Data'!J$3,List!$E$2:$CD$2,0)),"")</f>
        <v>N</v>
      </c>
      <c r="K20" s="13" t="str">
        <f>IF(K$4="Yes",INDEX(List!$E$2:$CD$173,MATCH('Selection Pane Data'!$B20,List!$E$2:$E$173,0),MATCH('Selection Pane Data'!K$3,List!$E$2:$CD$2,0)),"")</f>
        <v/>
      </c>
      <c r="L20" s="13" t="str">
        <f>IF(L$4="Yes",INDEX(List!$E$2:$CD$173,MATCH('Selection Pane Data'!$B20,List!$E$2:$E$173,0),MATCH('Selection Pane Data'!L$3,List!$E$2:$CD$2,0)),"")</f>
        <v/>
      </c>
      <c r="M20" s="13" t="str">
        <f>IF(M$4="Yes",INDEX(List!$E$2:$CD$173,MATCH('Selection Pane Data'!$B20,List!$E$2:$E$173,0),MATCH('Selection Pane Data'!M$3,List!$E$2:$CD$2,0)),"")</f>
        <v/>
      </c>
      <c r="N20" s="13" t="str">
        <f>IF(N$4="Yes",INDEX(List!$E$2:$CD$173,MATCH('Selection Pane Data'!$B20,List!$E$2:$E$173,0),MATCH('Selection Pane Data'!N$3,List!$E$2:$CD$2,0)),"")</f>
        <v/>
      </c>
      <c r="O20" s="13" t="str">
        <f>IF(O$4="Yes",INDEX(List!$E$2:$CD$173,MATCH('Selection Pane Data'!$B20,List!$E$2:$E$173,0),MATCH('Selection Pane Data'!O$3,List!$E$2:$CD$2,0)),"")</f>
        <v/>
      </c>
      <c r="P20" s="13" t="str">
        <f>IF(P$4="Yes",INDEX(List!$E$2:$CD$173,MATCH('Selection Pane Data'!$B20,List!$E$2:$E$173,0),MATCH('Selection Pane Data'!P$3,List!$E$2:$CD$2,0)),"")</f>
        <v/>
      </c>
      <c r="Q20" s="13" t="str">
        <f>IF(Q$4="Yes",INDEX(List!$E$2:$CD$173,MATCH('Selection Pane Data'!$B20,List!$E$2:$E$173,0),MATCH('Selection Pane Data'!Q$3,List!$E$2:$CD$2,0)),"")</f>
        <v/>
      </c>
      <c r="R20" s="13" t="str">
        <f>IF(R$4="Yes",INDEX(List!$E$2:$CD$173,MATCH('Selection Pane Data'!$B20,List!$E$2:$E$173,0),MATCH('Selection Pane Data'!R$3,List!$E$2:$CD$2,0)),"")</f>
        <v/>
      </c>
      <c r="S20" s="13" t="str">
        <f>IF(S$4="Yes",INDEX(List!$E$2:$CD$173,MATCH('Selection Pane Data'!$B20,List!$E$2:$E$173,0),MATCH('Selection Pane Data'!S$3,List!$E$2:$CD$2,0)),"")</f>
        <v/>
      </c>
      <c r="T20" s="13" t="str">
        <f>IF(T$4="Yes",INDEX(List!$E$2:$CD$173,MATCH('Selection Pane Data'!$B20,List!$E$2:$E$173,0),MATCH('Selection Pane Data'!T$3,List!$E$2:$CD$2,0)),"")</f>
        <v/>
      </c>
      <c r="U20" s="13" t="str">
        <f>IF(U$4="Yes",INDEX(List!$E$2:$CD$173,MATCH('Selection Pane Data'!$B20,List!$E$2:$E$173,0),MATCH('Selection Pane Data'!U$3,List!$E$2:$CD$2,0)),"")</f>
        <v/>
      </c>
      <c r="V20" s="13" t="str">
        <f>IF(V$4="Yes",INDEX(List!$E$2:$CD$173,MATCH('Selection Pane Data'!$B20,List!$E$2:$E$173,0),MATCH('Selection Pane Data'!V$3,List!$E$2:$CD$2,0)),"")</f>
        <v/>
      </c>
      <c r="W20" s="13" t="str">
        <f>IF(W$4="Yes",INDEX(List!$E$2:$CD$173,MATCH('Selection Pane Data'!$B20,List!$E$2:$E$173,0),MATCH('Selection Pane Data'!W$3,List!$E$2:$CD$2,0)),"")</f>
        <v/>
      </c>
      <c r="X20" s="13" t="str">
        <f>IF(X$4="Yes",INDEX(List!$E$2:$CD$173,MATCH('Selection Pane Data'!$B20,List!$E$2:$E$173,0),MATCH('Selection Pane Data'!X$3,List!$E$2:$CD$2,0)),"")</f>
        <v/>
      </c>
      <c r="Y20" s="13" t="str">
        <f>IF(Y$4="Yes",INDEX(List!$E$2:$CD$173,MATCH('Selection Pane Data'!$B20,List!$E$2:$E$173,0),MATCH('Selection Pane Data'!Y$3,List!$E$2:$CD$2,0)),"")</f>
        <v/>
      </c>
      <c r="Z20" s="13" t="str">
        <f>IF(Z$4="Yes",INDEX(List!$E$2:$CD$173,MATCH('Selection Pane Data'!$B20,List!$E$2:$E$173,0),MATCH('Selection Pane Data'!Z$3,List!$E$2:$CD$2,0)),"")</f>
        <v/>
      </c>
      <c r="AA20" s="13" t="str">
        <f>IF(AA$4="Yes",INDEX(List!$E$2:$CD$173,MATCH('Selection Pane Data'!$B20,List!$E$2:$E$173,0),MATCH('Selection Pane Data'!AA$3,List!$E$2:$CD$2,0)),"")</f>
        <v>P</v>
      </c>
      <c r="AB20" s="13" t="str">
        <f>IF(AB$4="Yes",INDEX(List!$E$2:$CD$173,MATCH('Selection Pane Data'!$B20,List!$E$2:$E$173,0),MATCH('Selection Pane Data'!AB$3,List!$E$2:$CD$2,0)),"")</f>
        <v/>
      </c>
      <c r="AC20" s="13" t="str">
        <f>IF(AC$4="Yes",INDEX(List!$E$2:$CD$173,MATCH('Selection Pane Data'!$B20,List!$E$2:$E$173,0),MATCH('Selection Pane Data'!AC$3,List!$E$2:$CD$2,0)),"")</f>
        <v/>
      </c>
      <c r="AD20" s="13" t="str">
        <f>IF(AD$4="Yes",INDEX(List!$E$2:$CD$173,MATCH('Selection Pane Data'!$B20,List!$E$2:$E$173,0),MATCH('Selection Pane Data'!AD$3,List!$E$2:$CD$2,0)),"")</f>
        <v/>
      </c>
      <c r="AE20" s="13" t="str">
        <f>IF(AE$4="Yes",INDEX(List!$E$2:$CD$173,MATCH('Selection Pane Data'!$B20,List!$E$2:$E$173,0),MATCH('Selection Pane Data'!AE$3,List!$E$2:$CD$2,0)),"")</f>
        <v/>
      </c>
      <c r="AF20" s="13" t="str">
        <f>IF(AF$4="Yes",INDEX(List!$E$2:$CD$173,MATCH('Selection Pane Data'!$B20,List!$E$2:$E$173,0),MATCH('Selection Pane Data'!AF$3,List!$E$2:$CD$2,0)),"")</f>
        <v/>
      </c>
      <c r="AG20" s="13" t="str">
        <f>IF(AG$4="Yes",INDEX(List!$E$2:$CD$173,MATCH('Selection Pane Data'!$B20,List!$E$2:$E$173,0),MATCH('Selection Pane Data'!AG$3,List!$E$2:$CD$2,0)),"")</f>
        <v/>
      </c>
      <c r="AH20" s="13" t="str">
        <f>IF(AH$4="Yes",INDEX(List!$E$2:$CD$173,MATCH('Selection Pane Data'!$B20,List!$E$2:$E$173,0),MATCH('Selection Pane Data'!AH$3,List!$E$2:$CD$2,0)),"")</f>
        <v/>
      </c>
      <c r="AI20" s="13" t="str">
        <f>IF(AI$4="Yes",INDEX(List!$E$2:$CD$173,MATCH('Selection Pane Data'!$B20,List!$E$2:$E$173,0),MATCH('Selection Pane Data'!AI$3,List!$E$2:$CD$2,0)),"")</f>
        <v/>
      </c>
      <c r="AJ20" s="13" t="str">
        <f>IF(AJ$4="Yes",INDEX(List!$E$2:$CD$173,MATCH('Selection Pane Data'!$B20,List!$E$2:$E$173,0),MATCH('Selection Pane Data'!AJ$3,List!$E$2:$CD$2,0)),"")</f>
        <v/>
      </c>
      <c r="AK20" s="13" t="str">
        <f>IF(AK$4="Yes",INDEX(List!$E$2:$CD$173,MATCH('Selection Pane Data'!$B20,List!$E$2:$E$173,0),MATCH('Selection Pane Data'!AK$3,List!$E$2:$CD$2,0)),"")</f>
        <v/>
      </c>
      <c r="AL20" s="13" t="str">
        <f>IF(AL$4="Yes",INDEX(List!$E$2:$CD$173,MATCH('Selection Pane Data'!$B20,List!$E$2:$E$173,0),MATCH('Selection Pane Data'!AL$3,List!$E$2:$CD$2,0)),"")</f>
        <v/>
      </c>
      <c r="AM20" s="13" t="str">
        <f>IF(AM$4="Yes",INDEX(List!$E$2:$CD$173,MATCH('Selection Pane Data'!$B20,List!$E$2:$E$173,0),MATCH('Selection Pane Data'!AM$3,List!$E$2:$CD$2,0)),"")</f>
        <v/>
      </c>
      <c r="AN20" s="13" t="str">
        <f>IF(AN$4="Yes",INDEX(List!$E$2:$CD$173,MATCH('Selection Pane Data'!$B20,List!$E$2:$E$173,0),MATCH('Selection Pane Data'!AN$3,List!$E$2:$CD$2,0)),"")</f>
        <v/>
      </c>
      <c r="AO20" s="13" t="str">
        <f>IF(AO$4="Yes",INDEX(List!$E$2:$CD$173,MATCH('Selection Pane Data'!$B20,List!$E$2:$E$173,0),MATCH('Selection Pane Data'!AO$3,List!$E$2:$CD$2,0)),"")</f>
        <v/>
      </c>
      <c r="AP20" s="13" t="str">
        <f>IF(AP$4="Yes",INDEX(List!$E$2:$CD$173,MATCH('Selection Pane Data'!$B20,List!$E$2:$E$173,0),MATCH('Selection Pane Data'!AP$3,List!$E$2:$CD$2,0)),"")</f>
        <v/>
      </c>
      <c r="AQ20" s="13" t="str">
        <f>IF(AQ$4="Yes",INDEX(List!$E$2:$CD$173,MATCH('Selection Pane Data'!$B20,List!$E$2:$E$173,0),MATCH('Selection Pane Data'!AQ$3,List!$E$2:$CD$2,0)),"")</f>
        <v/>
      </c>
      <c r="AR20" s="13" t="str">
        <f>IF(AR$4="Yes",INDEX(List!$E$2:$CD$173,MATCH('Selection Pane Data'!$B20,List!$E$2:$E$173,0),MATCH('Selection Pane Data'!AR$3,List!$E$2:$CD$2,0)),"")</f>
        <v/>
      </c>
      <c r="AS20" s="13" t="str">
        <f>IF(AS$4="Yes",INDEX(List!$E$2:$CD$173,MATCH('Selection Pane Data'!$B20,List!$E$2:$E$173,0),MATCH('Selection Pane Data'!AS$3,List!$E$2:$CD$2,0)),"")</f>
        <v/>
      </c>
      <c r="AT20" s="13" t="str">
        <f>IF(AT$4="Yes",INDEX(List!$E$2:$CD$173,MATCH('Selection Pane Data'!$B20,List!$E$2:$E$173,0),MATCH('Selection Pane Data'!AT$3,List!$E$2:$CD$2,0)),"")</f>
        <v/>
      </c>
      <c r="AU20" s="13" t="str">
        <f>IF(AU$4="Yes",INDEX(List!$E$2:$CD$173,MATCH('Selection Pane Data'!$B20,List!$E$2:$E$173,0),MATCH('Selection Pane Data'!AU$3,List!$E$2:$CD$2,0)),"")</f>
        <v/>
      </c>
      <c r="AV20" s="13" t="str">
        <f>IF(AV$4="Yes",INDEX(List!$E$2:$CD$173,MATCH('Selection Pane Data'!$B20,List!$E$2:$E$173,0),MATCH('Selection Pane Data'!AV$3,List!$E$2:$CD$2,0)),"")</f>
        <v/>
      </c>
      <c r="AW20" s="13" t="str">
        <f>IF(AW$4="Yes",INDEX(List!$E$2:$CD$173,MATCH('Selection Pane Data'!$B20,List!$E$2:$E$173,0),MATCH('Selection Pane Data'!AW$3,List!$E$2:$CD$2,0)),"")</f>
        <v/>
      </c>
      <c r="AX20" s="13" t="str">
        <f>IF(AX$4="Yes",INDEX(List!$E$2:$CD$173,MATCH('Selection Pane Data'!$B20,List!$E$2:$E$173,0),MATCH('Selection Pane Data'!AX$3,List!$E$2:$CD$2,0)),"")</f>
        <v/>
      </c>
      <c r="AY20" s="13" t="str">
        <f>IF(AY$4="Yes",INDEX(List!$E$2:$CD$173,MATCH('Selection Pane Data'!$B20,List!$E$2:$E$173,0),MATCH('Selection Pane Data'!AY$3,List!$E$2:$CD$2,0)),"")</f>
        <v/>
      </c>
      <c r="AZ20" s="13" t="str">
        <f>IF(AZ$4="Yes",INDEX(List!$E$2:$CD$173,MATCH('Selection Pane Data'!$B20,List!$E$2:$E$173,0),MATCH('Selection Pane Data'!AZ$3,List!$E$2:$CD$2,0)),"")</f>
        <v/>
      </c>
      <c r="BA20" s="13" t="str">
        <f>IF(BA$4="Yes",INDEX(List!$E$2:$CD$173,MATCH('Selection Pane Data'!$B20,List!$E$2:$E$173,0),MATCH('Selection Pane Data'!BA$3,List!$E$2:$CD$2,0)),"")</f>
        <v/>
      </c>
      <c r="BB20" s="13" t="str">
        <f>IF(BB$4="Yes",INDEX(List!$E$2:$CD$173,MATCH('Selection Pane Data'!$B20,List!$E$2:$E$173,0),MATCH('Selection Pane Data'!BB$3,List!$E$2:$CD$2,0)),"")</f>
        <v/>
      </c>
      <c r="BC20" s="13" t="str">
        <f>IF(BC$4="Yes",INDEX(List!$E$2:$CD$173,MATCH('Selection Pane Data'!$B20,List!$E$2:$E$173,0),MATCH('Selection Pane Data'!BC$3,List!$E$2:$CD$2,0)),"")</f>
        <v/>
      </c>
      <c r="BD20" s="13" t="str">
        <f>IF(BD$4="Yes",INDEX(List!$E$2:$CD$173,MATCH('Selection Pane Data'!$B20,List!$E$2:$E$173,0),MATCH('Selection Pane Data'!BD$3,List!$E$2:$CD$2,0)),"")</f>
        <v/>
      </c>
      <c r="BE20" s="13" t="str">
        <f>IF(BE$4="Yes",INDEX(List!$E$2:$CD$173,MATCH('Selection Pane Data'!$B20,List!$E$2:$E$173,0),MATCH('Selection Pane Data'!BE$3,List!$E$2:$CD$2,0)),"")</f>
        <v/>
      </c>
      <c r="BF20" s="13" t="str">
        <f>IF(BF$4="Yes",INDEX(List!$E$2:$CD$173,MATCH('Selection Pane Data'!$B20,List!$E$2:$E$173,0),MATCH('Selection Pane Data'!BF$3,List!$E$2:$CD$2,0)),"")</f>
        <v/>
      </c>
      <c r="BG20" s="13" t="str">
        <f>IF(BG$4="Yes",INDEX(List!$E$2:$CD$173,MATCH('Selection Pane Data'!$B20,List!$E$2:$E$173,0),MATCH('Selection Pane Data'!BG$3,List!$E$2:$CD$2,0)),"")</f>
        <v/>
      </c>
      <c r="BH20" s="13" t="str">
        <f>IF(BH$4="Yes",INDEX(List!$E$2:$CD$173,MATCH('Selection Pane Data'!$B20,List!$E$2:$E$173,0),MATCH('Selection Pane Data'!BH$3,List!$E$2:$CD$2,0)),"")</f>
        <v/>
      </c>
      <c r="BI20" s="13" t="str">
        <f>IF(BI$4="Yes",INDEX(List!$E$2:$CD$173,MATCH('Selection Pane Data'!$B20,List!$E$2:$E$173,0),MATCH('Selection Pane Data'!BI$3,List!$E$2:$CD$2,0)),"")</f>
        <v/>
      </c>
      <c r="BJ20" s="13" t="str">
        <f>IF(BJ$4="Yes",INDEX(List!$E$2:$CD$173,MATCH('Selection Pane Data'!$B20,List!$E$2:$E$173,0),MATCH('Selection Pane Data'!BJ$3,List!$E$2:$CD$2,0)),"")</f>
        <v/>
      </c>
      <c r="BK20" s="13" t="str">
        <f>IF(BK$4="Yes",INDEX(List!$E$2:$CD$173,MATCH('Selection Pane Data'!$B20,List!$E$2:$E$173,0),MATCH('Selection Pane Data'!BK$3,List!$E$2:$CD$2,0)),"")</f>
        <v/>
      </c>
      <c r="BL20" s="13" t="str">
        <f>IF(BL$4="Yes",INDEX(List!$E$2:$CD$173,MATCH('Selection Pane Data'!$B20,List!$E$2:$E$173,0),MATCH('Selection Pane Data'!BL$3,List!$E$2:$CD$2,0)),"")</f>
        <v/>
      </c>
      <c r="BM20" s="13" t="str">
        <f>IF(BM$4="Yes",INDEX(List!$E$2:$CD$173,MATCH('Selection Pane Data'!$B20,List!$E$2:$E$173,0),MATCH('Selection Pane Data'!BM$3,List!$E$2:$CD$2,0)),"")</f>
        <v/>
      </c>
      <c r="BN20" s="13" t="str">
        <f>IF(BN$4="Yes",INDEX(List!$E$2:$CD$173,MATCH('Selection Pane Data'!$B20,List!$E$2:$E$173,0),MATCH('Selection Pane Data'!BN$3,List!$E$2:$CD$2,0)),"")</f>
        <v/>
      </c>
      <c r="BO20" s="13" t="str">
        <f>IF(BO$4="Yes",INDEX(List!$E$2:$CD$173,MATCH('Selection Pane Data'!$B20,List!$E$2:$E$173,0),MATCH('Selection Pane Data'!BO$3,List!$E$2:$CD$2,0)),"")</f>
        <v/>
      </c>
      <c r="BP20" s="13" t="str">
        <f>IF(BP$4="Yes",INDEX(List!$E$2:$CD$173,MATCH('Selection Pane Data'!$B20,List!$E$2:$E$173,0),MATCH('Selection Pane Data'!BP$3,List!$E$2:$CD$2,0)),"")</f>
        <v/>
      </c>
      <c r="BQ20" s="13" t="str">
        <f>IF(BQ$4="Yes",INDEX(List!$E$2:$CD$173,MATCH('Selection Pane Data'!$B20,List!$E$2:$E$173,0),MATCH('Selection Pane Data'!BQ$3,List!$E$2:$CD$2,0)),"")</f>
        <v/>
      </c>
      <c r="BR20" s="13" t="str">
        <f>IF(BR$4="Yes",INDEX(List!$E$2:$CD$173,MATCH('Selection Pane Data'!$B20,List!$E$2:$E$173,0),MATCH('Selection Pane Data'!BR$3,List!$E$2:$CD$2,0)),"")</f>
        <v/>
      </c>
      <c r="BS20" s="13" t="str">
        <f>IF(BS$4="Yes",INDEX(List!$E$2:$CD$173,MATCH('Selection Pane Data'!$B20,List!$E$2:$E$173,0),MATCH('Selection Pane Data'!BS$3,List!$E$2:$CD$2,0)),"")</f>
        <v/>
      </c>
      <c r="BT20" s="13" t="str">
        <f>IF(BT$4="Yes",INDEX(List!$E$2:$CD$173,MATCH('Selection Pane Data'!$B20,List!$E$2:$E$173,0),MATCH('Selection Pane Data'!BT$3,List!$E$2:$CD$2,0)),"")</f>
        <v/>
      </c>
      <c r="BU20" s="13" t="str">
        <f>IF(BU$4="Yes",INDEX(List!$E$2:$CD$173,MATCH('Selection Pane Data'!$B20,List!$E$2:$E$173,0),MATCH('Selection Pane Data'!BU$3,List!$E$2:$CD$2,0)),"")</f>
        <v/>
      </c>
      <c r="BV20" s="13" t="str">
        <f>IF(BV$4="Yes",INDEX(List!$E$2:$CD$173,MATCH('Selection Pane Data'!$B20,List!$E$2:$E$173,0),MATCH('Selection Pane Data'!BV$3,List!$E$2:$CD$2,0)),"")</f>
        <v/>
      </c>
      <c r="BW20" s="13" t="str">
        <f>IF(BW$4="Yes",INDEX(List!$E$2:$CD$173,MATCH('Selection Pane Data'!$B20,List!$E$2:$E$173,0),MATCH('Selection Pane Data'!BW$3,List!$E$2:$CD$2,0)),"")</f>
        <v/>
      </c>
      <c r="BX20" s="13" t="str">
        <f>IF(BX$4="Yes",INDEX(List!$E$2:$CD$173,MATCH('Selection Pane Data'!$B20,List!$E$2:$E$173,0),MATCH('Selection Pane Data'!BX$3,List!$E$2:$CD$2,0)),"")</f>
        <v/>
      </c>
      <c r="BY20" s="13" t="str">
        <f>IF(BY$4="Yes",INDEX(List!$E$2:$CD$173,MATCH('Selection Pane Data'!$B20,List!$E$2:$E$173,0),MATCH('Selection Pane Data'!BY$3,List!$E$2:$CD$2,0)),"")</f>
        <v/>
      </c>
      <c r="BZ20" s="13" t="str">
        <f>IF(BZ$4="Yes",INDEX(List!$E$2:$CD$173,MATCH('Selection Pane Data'!$B20,List!$E$2:$E$173,0),MATCH('Selection Pane Data'!BZ$3,List!$E$2:$CD$2,0)),"")</f>
        <v/>
      </c>
      <c r="CA20" s="13" t="str">
        <f>IF(CA$4="Yes",INDEX(List!$E$2:$CD$173,MATCH('Selection Pane Data'!$B20,List!$E$2:$E$173,0),MATCH('Selection Pane Data'!CA$3,List!$E$2:$CD$2,0)),"")</f>
        <v/>
      </c>
      <c r="CB20" s="13" t="str">
        <f>IF(CB$4="Yes",INDEX(List!$E$2:$CD$173,MATCH('Selection Pane Data'!$B20,List!$E$2:$E$173,0),MATCH('Selection Pane Data'!CB$3,List!$E$2:$CD$2,0)),"")</f>
        <v/>
      </c>
      <c r="CC20" s="13" t="str">
        <f>IF(CC$4="Yes",INDEX(List!$E$2:$CD$173,MATCH('Selection Pane Data'!$B20,List!$E$2:$E$173,0),MATCH('Selection Pane Data'!CC$3,List!$E$2:$CD$2,0)),"")</f>
        <v/>
      </c>
      <c r="CD20" s="13" t="str">
        <f>IF(CD$4="Yes",INDEX(List!$E$2:$CD$173,MATCH('Selection Pane Data'!$B20,List!$E$2:$E$173,0),MATCH('Selection Pane Data'!CD$3,List!$E$2:$CD$2,0)),"")</f>
        <v/>
      </c>
      <c r="CE20" s="13" t="str">
        <f>IF(CE$4="Yes",INDEX(List!$E$2:$CD$173,MATCH('Selection Pane Data'!$B20,List!$E$2:$E$173,0),MATCH('Selection Pane Data'!CE$3,List!$E$2:$CD$2,0)),"")</f>
        <v/>
      </c>
    </row>
    <row r="21" spans="2:83" x14ac:dyDescent="0.35">
      <c r="B21" s="21" t="s">
        <v>308</v>
      </c>
      <c r="C21" s="126" t="str">
        <f>VLOOKUP(B21,List!$E$2:$G$173,2,FALSE)</f>
        <v>AC.L2-3.1.4</v>
      </c>
      <c r="D21" s="31" t="str">
        <f>List!G19</f>
        <v>Customer Responsibility</v>
      </c>
      <c r="E21" s="31" t="str">
        <f>IF(Placemat!$F$4="All Practices","All Practices",IF(VLOOKUP(B21,Table7[#All],6,FALSE)="No Mapping","New CMMC Practices","Practices with NIST 800-171 Mappings"))</f>
        <v>Practices with NIST 800-171 Mappings</v>
      </c>
      <c r="F21" t="str">
        <f>INDEX('CMMC Levels'!$A$1:$F$172,MATCH('Selection Pane Data'!$C21,'CMMC Levels'!$A$1:$A$172,0),MATCH(Placemat!$F$4,'CMMC Levels'!$A$1:$F$1,0))</f>
        <v>X</v>
      </c>
      <c r="G21" s="77" t="str">
        <f>IF((COUNTIF(List!H19:CE19,"P")+COUNTIF(List!H19:CE19,"S"))=0,"N",IF(COUNTIF(H21:CE21,"P"),"P",IF(COUNTIF(H21:CE21,"S"),"S","U")))</f>
        <v>U</v>
      </c>
      <c r="H21" s="13" t="str">
        <f>IF(H$4="Yes",INDEX(List!$E$2:$CD$173,MATCH('Selection Pane Data'!$B21,List!$E$2:$E$173,0),MATCH('Selection Pane Data'!H$3,List!$E$2:$CD$2,0)),"")</f>
        <v/>
      </c>
      <c r="I21" s="13" t="str">
        <f>IF(I$4="Yes",INDEX(List!$E$2:$CD$173,MATCH('Selection Pane Data'!$B21,List!$E$2:$E$173,0),MATCH('Selection Pane Data'!I$3,List!$E$2:$CD$2,0)),"")</f>
        <v/>
      </c>
      <c r="J21" s="13" t="str">
        <f>IF(J$4="Yes",INDEX(List!$E$2:$CD$173,MATCH('Selection Pane Data'!$B21,List!$E$2:$E$173,0),MATCH('Selection Pane Data'!J$3,List!$E$2:$CD$2,0)),"")</f>
        <v>N</v>
      </c>
      <c r="K21" s="13" t="str">
        <f>IF(K$4="Yes",INDEX(List!$E$2:$CD$173,MATCH('Selection Pane Data'!$B21,List!$E$2:$E$173,0),MATCH('Selection Pane Data'!K$3,List!$E$2:$CD$2,0)),"")</f>
        <v/>
      </c>
      <c r="L21" s="13" t="str">
        <f>IF(L$4="Yes",INDEX(List!$E$2:$CD$173,MATCH('Selection Pane Data'!$B21,List!$E$2:$E$173,0),MATCH('Selection Pane Data'!L$3,List!$E$2:$CD$2,0)),"")</f>
        <v/>
      </c>
      <c r="M21" s="13" t="str">
        <f>IF(M$4="Yes",INDEX(List!$E$2:$CD$173,MATCH('Selection Pane Data'!$B21,List!$E$2:$E$173,0),MATCH('Selection Pane Data'!M$3,List!$E$2:$CD$2,0)),"")</f>
        <v/>
      </c>
      <c r="N21" s="13" t="str">
        <f>IF(N$4="Yes",INDEX(List!$E$2:$CD$173,MATCH('Selection Pane Data'!$B21,List!$E$2:$E$173,0),MATCH('Selection Pane Data'!N$3,List!$E$2:$CD$2,0)),"")</f>
        <v/>
      </c>
      <c r="O21" s="13" t="str">
        <f>IF(O$4="Yes",INDEX(List!$E$2:$CD$173,MATCH('Selection Pane Data'!$B21,List!$E$2:$E$173,0),MATCH('Selection Pane Data'!O$3,List!$E$2:$CD$2,0)),"")</f>
        <v/>
      </c>
      <c r="P21" s="13" t="str">
        <f>IF(P$4="Yes",INDEX(List!$E$2:$CD$173,MATCH('Selection Pane Data'!$B21,List!$E$2:$E$173,0),MATCH('Selection Pane Data'!P$3,List!$E$2:$CD$2,0)),"")</f>
        <v/>
      </c>
      <c r="Q21" s="13" t="str">
        <f>IF(Q$4="Yes",INDEX(List!$E$2:$CD$173,MATCH('Selection Pane Data'!$B21,List!$E$2:$E$173,0),MATCH('Selection Pane Data'!Q$3,List!$E$2:$CD$2,0)),"")</f>
        <v/>
      </c>
      <c r="R21" s="13" t="str">
        <f>IF(R$4="Yes",INDEX(List!$E$2:$CD$173,MATCH('Selection Pane Data'!$B21,List!$E$2:$E$173,0),MATCH('Selection Pane Data'!R$3,List!$E$2:$CD$2,0)),"")</f>
        <v/>
      </c>
      <c r="S21" s="13" t="str">
        <f>IF(S$4="Yes",INDEX(List!$E$2:$CD$173,MATCH('Selection Pane Data'!$B21,List!$E$2:$E$173,0),MATCH('Selection Pane Data'!S$3,List!$E$2:$CD$2,0)),"")</f>
        <v/>
      </c>
      <c r="T21" s="13" t="str">
        <f>IF(T$4="Yes",INDEX(List!$E$2:$CD$173,MATCH('Selection Pane Data'!$B21,List!$E$2:$E$173,0),MATCH('Selection Pane Data'!T$3,List!$E$2:$CD$2,0)),"")</f>
        <v/>
      </c>
      <c r="U21" s="13" t="str">
        <f>IF(U$4="Yes",INDEX(List!$E$2:$CD$173,MATCH('Selection Pane Data'!$B21,List!$E$2:$E$173,0),MATCH('Selection Pane Data'!U$3,List!$E$2:$CD$2,0)),"")</f>
        <v/>
      </c>
      <c r="V21" s="13" t="str">
        <f>IF(V$4="Yes",INDEX(List!$E$2:$CD$173,MATCH('Selection Pane Data'!$B21,List!$E$2:$E$173,0),MATCH('Selection Pane Data'!V$3,List!$E$2:$CD$2,0)),"")</f>
        <v/>
      </c>
      <c r="W21" s="13" t="str">
        <f>IF(W$4="Yes",INDEX(List!$E$2:$CD$173,MATCH('Selection Pane Data'!$B21,List!$E$2:$E$173,0),MATCH('Selection Pane Data'!W$3,List!$E$2:$CD$2,0)),"")</f>
        <v/>
      </c>
      <c r="X21" s="13" t="str">
        <f>IF(X$4="Yes",INDEX(List!$E$2:$CD$173,MATCH('Selection Pane Data'!$B21,List!$E$2:$E$173,0),MATCH('Selection Pane Data'!X$3,List!$E$2:$CD$2,0)),"")</f>
        <v/>
      </c>
      <c r="Y21" s="13" t="str">
        <f>IF(Y$4="Yes",INDEX(List!$E$2:$CD$173,MATCH('Selection Pane Data'!$B21,List!$E$2:$E$173,0),MATCH('Selection Pane Data'!Y$3,List!$E$2:$CD$2,0)),"")</f>
        <v/>
      </c>
      <c r="Z21" s="13" t="str">
        <f>IF(Z$4="Yes",INDEX(List!$E$2:$CD$173,MATCH('Selection Pane Data'!$B21,List!$E$2:$E$173,0),MATCH('Selection Pane Data'!Z$3,List!$E$2:$CD$2,0)),"")</f>
        <v/>
      </c>
      <c r="AA21" s="13" t="str">
        <f>IF(AA$4="Yes",INDEX(List!$E$2:$CD$173,MATCH('Selection Pane Data'!$B21,List!$E$2:$E$173,0),MATCH('Selection Pane Data'!AA$3,List!$E$2:$CD$2,0)),"")</f>
        <v>N</v>
      </c>
      <c r="AB21" s="13" t="str">
        <f>IF(AB$4="Yes",INDEX(List!$E$2:$CD$173,MATCH('Selection Pane Data'!$B21,List!$E$2:$E$173,0),MATCH('Selection Pane Data'!AB$3,List!$E$2:$CD$2,0)),"")</f>
        <v/>
      </c>
      <c r="AC21" s="13" t="str">
        <f>IF(AC$4="Yes",INDEX(List!$E$2:$CD$173,MATCH('Selection Pane Data'!$B21,List!$E$2:$E$173,0),MATCH('Selection Pane Data'!AC$3,List!$E$2:$CD$2,0)),"")</f>
        <v/>
      </c>
      <c r="AD21" s="13" t="str">
        <f>IF(AD$4="Yes",INDEX(List!$E$2:$CD$173,MATCH('Selection Pane Data'!$B21,List!$E$2:$E$173,0),MATCH('Selection Pane Data'!AD$3,List!$E$2:$CD$2,0)),"")</f>
        <v/>
      </c>
      <c r="AE21" s="13" t="str">
        <f>IF(AE$4="Yes",INDEX(List!$E$2:$CD$173,MATCH('Selection Pane Data'!$B21,List!$E$2:$E$173,0),MATCH('Selection Pane Data'!AE$3,List!$E$2:$CD$2,0)),"")</f>
        <v/>
      </c>
      <c r="AF21" s="13" t="str">
        <f>IF(AF$4="Yes",INDEX(List!$E$2:$CD$173,MATCH('Selection Pane Data'!$B21,List!$E$2:$E$173,0),MATCH('Selection Pane Data'!AF$3,List!$E$2:$CD$2,0)),"")</f>
        <v/>
      </c>
      <c r="AG21" s="13" t="str">
        <f>IF(AG$4="Yes",INDEX(List!$E$2:$CD$173,MATCH('Selection Pane Data'!$B21,List!$E$2:$E$173,0),MATCH('Selection Pane Data'!AG$3,List!$E$2:$CD$2,0)),"")</f>
        <v/>
      </c>
      <c r="AH21" s="13" t="str">
        <f>IF(AH$4="Yes",INDEX(List!$E$2:$CD$173,MATCH('Selection Pane Data'!$B21,List!$E$2:$E$173,0),MATCH('Selection Pane Data'!AH$3,List!$E$2:$CD$2,0)),"")</f>
        <v/>
      </c>
      <c r="AI21" s="13" t="str">
        <f>IF(AI$4="Yes",INDEX(List!$E$2:$CD$173,MATCH('Selection Pane Data'!$B21,List!$E$2:$E$173,0),MATCH('Selection Pane Data'!AI$3,List!$E$2:$CD$2,0)),"")</f>
        <v/>
      </c>
      <c r="AJ21" s="13" t="str">
        <f>IF(AJ$4="Yes",INDEX(List!$E$2:$CD$173,MATCH('Selection Pane Data'!$B21,List!$E$2:$E$173,0),MATCH('Selection Pane Data'!AJ$3,List!$E$2:$CD$2,0)),"")</f>
        <v/>
      </c>
      <c r="AK21" s="13" t="str">
        <f>IF(AK$4="Yes",INDEX(List!$E$2:$CD$173,MATCH('Selection Pane Data'!$B21,List!$E$2:$E$173,0),MATCH('Selection Pane Data'!AK$3,List!$E$2:$CD$2,0)),"")</f>
        <v/>
      </c>
      <c r="AL21" s="13" t="str">
        <f>IF(AL$4="Yes",INDEX(List!$E$2:$CD$173,MATCH('Selection Pane Data'!$B21,List!$E$2:$E$173,0),MATCH('Selection Pane Data'!AL$3,List!$E$2:$CD$2,0)),"")</f>
        <v/>
      </c>
      <c r="AM21" s="13" t="str">
        <f>IF(AM$4="Yes",INDEX(List!$E$2:$CD$173,MATCH('Selection Pane Data'!$B21,List!$E$2:$E$173,0),MATCH('Selection Pane Data'!AM$3,List!$E$2:$CD$2,0)),"")</f>
        <v/>
      </c>
      <c r="AN21" s="13" t="str">
        <f>IF(AN$4="Yes",INDEX(List!$E$2:$CD$173,MATCH('Selection Pane Data'!$B21,List!$E$2:$E$173,0),MATCH('Selection Pane Data'!AN$3,List!$E$2:$CD$2,0)),"")</f>
        <v/>
      </c>
      <c r="AO21" s="13" t="str">
        <f>IF(AO$4="Yes",INDEX(List!$E$2:$CD$173,MATCH('Selection Pane Data'!$B21,List!$E$2:$E$173,0),MATCH('Selection Pane Data'!AO$3,List!$E$2:$CD$2,0)),"")</f>
        <v/>
      </c>
      <c r="AP21" s="13" t="str">
        <f>IF(AP$4="Yes",INDEX(List!$E$2:$CD$173,MATCH('Selection Pane Data'!$B21,List!$E$2:$E$173,0),MATCH('Selection Pane Data'!AP$3,List!$E$2:$CD$2,0)),"")</f>
        <v/>
      </c>
      <c r="AQ21" s="13" t="str">
        <f>IF(AQ$4="Yes",INDEX(List!$E$2:$CD$173,MATCH('Selection Pane Data'!$B21,List!$E$2:$E$173,0),MATCH('Selection Pane Data'!AQ$3,List!$E$2:$CD$2,0)),"")</f>
        <v/>
      </c>
      <c r="AR21" s="13" t="str">
        <f>IF(AR$4="Yes",INDEX(List!$E$2:$CD$173,MATCH('Selection Pane Data'!$B21,List!$E$2:$E$173,0),MATCH('Selection Pane Data'!AR$3,List!$E$2:$CD$2,0)),"")</f>
        <v/>
      </c>
      <c r="AS21" s="13" t="str">
        <f>IF(AS$4="Yes",INDEX(List!$E$2:$CD$173,MATCH('Selection Pane Data'!$B21,List!$E$2:$E$173,0),MATCH('Selection Pane Data'!AS$3,List!$E$2:$CD$2,0)),"")</f>
        <v/>
      </c>
      <c r="AT21" s="13" t="str">
        <f>IF(AT$4="Yes",INDEX(List!$E$2:$CD$173,MATCH('Selection Pane Data'!$B21,List!$E$2:$E$173,0),MATCH('Selection Pane Data'!AT$3,List!$E$2:$CD$2,0)),"")</f>
        <v/>
      </c>
      <c r="AU21" s="13" t="str">
        <f>IF(AU$4="Yes",INDEX(List!$E$2:$CD$173,MATCH('Selection Pane Data'!$B21,List!$E$2:$E$173,0),MATCH('Selection Pane Data'!AU$3,List!$E$2:$CD$2,0)),"")</f>
        <v/>
      </c>
      <c r="AV21" s="13" t="str">
        <f>IF(AV$4="Yes",INDEX(List!$E$2:$CD$173,MATCH('Selection Pane Data'!$B21,List!$E$2:$E$173,0),MATCH('Selection Pane Data'!AV$3,List!$E$2:$CD$2,0)),"")</f>
        <v/>
      </c>
      <c r="AW21" s="13" t="str">
        <f>IF(AW$4="Yes",INDEX(List!$E$2:$CD$173,MATCH('Selection Pane Data'!$B21,List!$E$2:$E$173,0),MATCH('Selection Pane Data'!AW$3,List!$E$2:$CD$2,0)),"")</f>
        <v/>
      </c>
      <c r="AX21" s="13" t="str">
        <f>IF(AX$4="Yes",INDEX(List!$E$2:$CD$173,MATCH('Selection Pane Data'!$B21,List!$E$2:$E$173,0),MATCH('Selection Pane Data'!AX$3,List!$E$2:$CD$2,0)),"")</f>
        <v/>
      </c>
      <c r="AY21" s="13" t="str">
        <f>IF(AY$4="Yes",INDEX(List!$E$2:$CD$173,MATCH('Selection Pane Data'!$B21,List!$E$2:$E$173,0),MATCH('Selection Pane Data'!AY$3,List!$E$2:$CD$2,0)),"")</f>
        <v/>
      </c>
      <c r="AZ21" s="13" t="str">
        <f>IF(AZ$4="Yes",INDEX(List!$E$2:$CD$173,MATCH('Selection Pane Data'!$B21,List!$E$2:$E$173,0),MATCH('Selection Pane Data'!AZ$3,List!$E$2:$CD$2,0)),"")</f>
        <v/>
      </c>
      <c r="BA21" s="13" t="str">
        <f>IF(BA$4="Yes",INDEX(List!$E$2:$CD$173,MATCH('Selection Pane Data'!$B21,List!$E$2:$E$173,0),MATCH('Selection Pane Data'!BA$3,List!$E$2:$CD$2,0)),"")</f>
        <v/>
      </c>
      <c r="BB21" s="13" t="str">
        <f>IF(BB$4="Yes",INDEX(List!$E$2:$CD$173,MATCH('Selection Pane Data'!$B21,List!$E$2:$E$173,0),MATCH('Selection Pane Data'!BB$3,List!$E$2:$CD$2,0)),"")</f>
        <v/>
      </c>
      <c r="BC21" s="13" t="str">
        <f>IF(BC$4="Yes",INDEX(List!$E$2:$CD$173,MATCH('Selection Pane Data'!$B21,List!$E$2:$E$173,0),MATCH('Selection Pane Data'!BC$3,List!$E$2:$CD$2,0)),"")</f>
        <v/>
      </c>
      <c r="BD21" s="13" t="str">
        <f>IF(BD$4="Yes",INDEX(List!$E$2:$CD$173,MATCH('Selection Pane Data'!$B21,List!$E$2:$E$173,0),MATCH('Selection Pane Data'!BD$3,List!$E$2:$CD$2,0)),"")</f>
        <v/>
      </c>
      <c r="BE21" s="13" t="str">
        <f>IF(BE$4="Yes",INDEX(List!$E$2:$CD$173,MATCH('Selection Pane Data'!$B21,List!$E$2:$E$173,0),MATCH('Selection Pane Data'!BE$3,List!$E$2:$CD$2,0)),"")</f>
        <v/>
      </c>
      <c r="BF21" s="13" t="str">
        <f>IF(BF$4="Yes",INDEX(List!$E$2:$CD$173,MATCH('Selection Pane Data'!$B21,List!$E$2:$E$173,0),MATCH('Selection Pane Data'!BF$3,List!$E$2:$CD$2,0)),"")</f>
        <v/>
      </c>
      <c r="BG21" s="13" t="str">
        <f>IF(BG$4="Yes",INDEX(List!$E$2:$CD$173,MATCH('Selection Pane Data'!$B21,List!$E$2:$E$173,0),MATCH('Selection Pane Data'!BG$3,List!$E$2:$CD$2,0)),"")</f>
        <v/>
      </c>
      <c r="BH21" s="13" t="str">
        <f>IF(BH$4="Yes",INDEX(List!$E$2:$CD$173,MATCH('Selection Pane Data'!$B21,List!$E$2:$E$173,0),MATCH('Selection Pane Data'!BH$3,List!$E$2:$CD$2,0)),"")</f>
        <v/>
      </c>
      <c r="BI21" s="13" t="str">
        <f>IF(BI$4="Yes",INDEX(List!$E$2:$CD$173,MATCH('Selection Pane Data'!$B21,List!$E$2:$E$173,0),MATCH('Selection Pane Data'!BI$3,List!$E$2:$CD$2,0)),"")</f>
        <v/>
      </c>
      <c r="BJ21" s="13" t="str">
        <f>IF(BJ$4="Yes",INDEX(List!$E$2:$CD$173,MATCH('Selection Pane Data'!$B21,List!$E$2:$E$173,0),MATCH('Selection Pane Data'!BJ$3,List!$E$2:$CD$2,0)),"")</f>
        <v/>
      </c>
      <c r="BK21" s="13" t="str">
        <f>IF(BK$4="Yes",INDEX(List!$E$2:$CD$173,MATCH('Selection Pane Data'!$B21,List!$E$2:$E$173,0),MATCH('Selection Pane Data'!BK$3,List!$E$2:$CD$2,0)),"")</f>
        <v/>
      </c>
      <c r="BL21" s="13" t="str">
        <f>IF(BL$4="Yes",INDEX(List!$E$2:$CD$173,MATCH('Selection Pane Data'!$B21,List!$E$2:$E$173,0),MATCH('Selection Pane Data'!BL$3,List!$E$2:$CD$2,0)),"")</f>
        <v/>
      </c>
      <c r="BM21" s="13" t="str">
        <f>IF(BM$4="Yes",INDEX(List!$E$2:$CD$173,MATCH('Selection Pane Data'!$B21,List!$E$2:$E$173,0),MATCH('Selection Pane Data'!BM$3,List!$E$2:$CD$2,0)),"")</f>
        <v/>
      </c>
      <c r="BN21" s="13" t="str">
        <f>IF(BN$4="Yes",INDEX(List!$E$2:$CD$173,MATCH('Selection Pane Data'!$B21,List!$E$2:$E$173,0),MATCH('Selection Pane Data'!BN$3,List!$E$2:$CD$2,0)),"")</f>
        <v/>
      </c>
      <c r="BO21" s="13" t="str">
        <f>IF(BO$4="Yes",INDEX(List!$E$2:$CD$173,MATCH('Selection Pane Data'!$B21,List!$E$2:$E$173,0),MATCH('Selection Pane Data'!BO$3,List!$E$2:$CD$2,0)),"")</f>
        <v/>
      </c>
      <c r="BP21" s="13" t="str">
        <f>IF(BP$4="Yes",INDEX(List!$E$2:$CD$173,MATCH('Selection Pane Data'!$B21,List!$E$2:$E$173,0),MATCH('Selection Pane Data'!BP$3,List!$E$2:$CD$2,0)),"")</f>
        <v/>
      </c>
      <c r="BQ21" s="13" t="str">
        <f>IF(BQ$4="Yes",INDEX(List!$E$2:$CD$173,MATCH('Selection Pane Data'!$B21,List!$E$2:$E$173,0),MATCH('Selection Pane Data'!BQ$3,List!$E$2:$CD$2,0)),"")</f>
        <v/>
      </c>
      <c r="BR21" s="13" t="str">
        <f>IF(BR$4="Yes",INDEX(List!$E$2:$CD$173,MATCH('Selection Pane Data'!$B21,List!$E$2:$E$173,0),MATCH('Selection Pane Data'!BR$3,List!$E$2:$CD$2,0)),"")</f>
        <v/>
      </c>
      <c r="BS21" s="13" t="str">
        <f>IF(BS$4="Yes",INDEX(List!$E$2:$CD$173,MATCH('Selection Pane Data'!$B21,List!$E$2:$E$173,0),MATCH('Selection Pane Data'!BS$3,List!$E$2:$CD$2,0)),"")</f>
        <v/>
      </c>
      <c r="BT21" s="13" t="str">
        <f>IF(BT$4="Yes",INDEX(List!$E$2:$CD$173,MATCH('Selection Pane Data'!$B21,List!$E$2:$E$173,0),MATCH('Selection Pane Data'!BT$3,List!$E$2:$CD$2,0)),"")</f>
        <v/>
      </c>
      <c r="BU21" s="13" t="str">
        <f>IF(BU$4="Yes",INDEX(List!$E$2:$CD$173,MATCH('Selection Pane Data'!$B21,List!$E$2:$E$173,0),MATCH('Selection Pane Data'!BU$3,List!$E$2:$CD$2,0)),"")</f>
        <v/>
      </c>
      <c r="BV21" s="13" t="str">
        <f>IF(BV$4="Yes",INDEX(List!$E$2:$CD$173,MATCH('Selection Pane Data'!$B21,List!$E$2:$E$173,0),MATCH('Selection Pane Data'!BV$3,List!$E$2:$CD$2,0)),"")</f>
        <v/>
      </c>
      <c r="BW21" s="13" t="str">
        <f>IF(BW$4="Yes",INDEX(List!$E$2:$CD$173,MATCH('Selection Pane Data'!$B21,List!$E$2:$E$173,0),MATCH('Selection Pane Data'!BW$3,List!$E$2:$CD$2,0)),"")</f>
        <v/>
      </c>
      <c r="BX21" s="13" t="str">
        <f>IF(BX$4="Yes",INDEX(List!$E$2:$CD$173,MATCH('Selection Pane Data'!$B21,List!$E$2:$E$173,0),MATCH('Selection Pane Data'!BX$3,List!$E$2:$CD$2,0)),"")</f>
        <v/>
      </c>
      <c r="BY21" s="13" t="str">
        <f>IF(BY$4="Yes",INDEX(List!$E$2:$CD$173,MATCH('Selection Pane Data'!$B21,List!$E$2:$E$173,0),MATCH('Selection Pane Data'!BY$3,List!$E$2:$CD$2,0)),"")</f>
        <v/>
      </c>
      <c r="BZ21" s="13" t="str">
        <f>IF(BZ$4="Yes",INDEX(List!$E$2:$CD$173,MATCH('Selection Pane Data'!$B21,List!$E$2:$E$173,0),MATCH('Selection Pane Data'!BZ$3,List!$E$2:$CD$2,0)),"")</f>
        <v/>
      </c>
      <c r="CA21" s="13" t="str">
        <f>IF(CA$4="Yes",INDEX(List!$E$2:$CD$173,MATCH('Selection Pane Data'!$B21,List!$E$2:$E$173,0),MATCH('Selection Pane Data'!CA$3,List!$E$2:$CD$2,0)),"")</f>
        <v/>
      </c>
      <c r="CB21" s="13" t="str">
        <f>IF(CB$4="Yes",INDEX(List!$E$2:$CD$173,MATCH('Selection Pane Data'!$B21,List!$E$2:$E$173,0),MATCH('Selection Pane Data'!CB$3,List!$E$2:$CD$2,0)),"")</f>
        <v/>
      </c>
      <c r="CC21" s="13" t="str">
        <f>IF(CC$4="Yes",INDEX(List!$E$2:$CD$173,MATCH('Selection Pane Data'!$B21,List!$E$2:$E$173,0),MATCH('Selection Pane Data'!CC$3,List!$E$2:$CD$2,0)),"")</f>
        <v/>
      </c>
      <c r="CD21" s="13" t="str">
        <f>IF(CD$4="Yes",INDEX(List!$E$2:$CD$173,MATCH('Selection Pane Data'!$B21,List!$E$2:$E$173,0),MATCH('Selection Pane Data'!CD$3,List!$E$2:$CD$2,0)),"")</f>
        <v/>
      </c>
      <c r="CE21" s="13" t="str">
        <f>IF(CE$4="Yes",INDEX(List!$E$2:$CD$173,MATCH('Selection Pane Data'!$B21,List!$E$2:$E$173,0),MATCH('Selection Pane Data'!CE$3,List!$E$2:$CD$2,0)),"")</f>
        <v/>
      </c>
    </row>
    <row r="22" spans="2:83" x14ac:dyDescent="0.35">
      <c r="B22" s="21" t="s">
        <v>309</v>
      </c>
      <c r="C22" s="126" t="str">
        <f>VLOOKUP(B22,List!$E$2:$G$173,2,FALSE)</f>
        <v>AC.L2-3.1.7</v>
      </c>
      <c r="D22" s="31" t="str">
        <f>List!G20</f>
        <v>Shared Coverage</v>
      </c>
      <c r="E22" s="31" t="str">
        <f>IF(Placemat!$F$4="All Practices","All Practices",IF(VLOOKUP(B22,Table7[#All],6,FALSE)="No Mapping","New CMMC Practices","Practices with NIST 800-171 Mappings"))</f>
        <v>Practices with NIST 800-171 Mappings</v>
      </c>
      <c r="F22" t="str">
        <f>INDEX('CMMC Levels'!$A$1:$F$172,MATCH('Selection Pane Data'!$C22,'CMMC Levels'!$A$1:$A$172,0),MATCH(Placemat!$F$4,'CMMC Levels'!$A$1:$F$1,0))</f>
        <v>X</v>
      </c>
      <c r="G22" s="77" t="str">
        <f>IF((COUNTIF(List!H20:CE20,"P")+COUNTIF(List!H20:CE20,"S"))=0,"N",IF(COUNTIF(H22:CE22,"P"),"P",IF(COUNTIF(H22:CE22,"S"),"S","U")))</f>
        <v>U</v>
      </c>
      <c r="H22" s="13" t="str">
        <f>IF(H$4="Yes",INDEX(List!$E$2:$CD$173,MATCH('Selection Pane Data'!$B22,List!$E$2:$E$173,0),MATCH('Selection Pane Data'!H$3,List!$E$2:$CD$2,0)),"")</f>
        <v/>
      </c>
      <c r="I22" s="13" t="str">
        <f>IF(I$4="Yes",INDEX(List!$E$2:$CD$173,MATCH('Selection Pane Data'!$B22,List!$E$2:$E$173,0),MATCH('Selection Pane Data'!I$3,List!$E$2:$CD$2,0)),"")</f>
        <v/>
      </c>
      <c r="J22" s="13" t="str">
        <f>IF(J$4="Yes",INDEX(List!$E$2:$CD$173,MATCH('Selection Pane Data'!$B22,List!$E$2:$E$173,0),MATCH('Selection Pane Data'!J$3,List!$E$2:$CD$2,0)),"")</f>
        <v>N</v>
      </c>
      <c r="K22" s="13" t="str">
        <f>IF(K$4="Yes",INDEX(List!$E$2:$CD$173,MATCH('Selection Pane Data'!$B22,List!$E$2:$E$173,0),MATCH('Selection Pane Data'!K$3,List!$E$2:$CD$2,0)),"")</f>
        <v/>
      </c>
      <c r="L22" s="13" t="str">
        <f>IF(L$4="Yes",INDEX(List!$E$2:$CD$173,MATCH('Selection Pane Data'!$B22,List!$E$2:$E$173,0),MATCH('Selection Pane Data'!L$3,List!$E$2:$CD$2,0)),"")</f>
        <v/>
      </c>
      <c r="M22" s="13" t="str">
        <f>IF(M$4="Yes",INDEX(List!$E$2:$CD$173,MATCH('Selection Pane Data'!$B22,List!$E$2:$E$173,0),MATCH('Selection Pane Data'!M$3,List!$E$2:$CD$2,0)),"")</f>
        <v/>
      </c>
      <c r="N22" s="13" t="str">
        <f>IF(N$4="Yes",INDEX(List!$E$2:$CD$173,MATCH('Selection Pane Data'!$B22,List!$E$2:$E$173,0),MATCH('Selection Pane Data'!N$3,List!$E$2:$CD$2,0)),"")</f>
        <v/>
      </c>
      <c r="O22" s="13" t="str">
        <f>IF(O$4="Yes",INDEX(List!$E$2:$CD$173,MATCH('Selection Pane Data'!$B22,List!$E$2:$E$173,0),MATCH('Selection Pane Data'!O$3,List!$E$2:$CD$2,0)),"")</f>
        <v/>
      </c>
      <c r="P22" s="13" t="str">
        <f>IF(P$4="Yes",INDEX(List!$E$2:$CD$173,MATCH('Selection Pane Data'!$B22,List!$E$2:$E$173,0),MATCH('Selection Pane Data'!P$3,List!$E$2:$CD$2,0)),"")</f>
        <v/>
      </c>
      <c r="Q22" s="13" t="str">
        <f>IF(Q$4="Yes",INDEX(List!$E$2:$CD$173,MATCH('Selection Pane Data'!$B22,List!$E$2:$E$173,0),MATCH('Selection Pane Data'!Q$3,List!$E$2:$CD$2,0)),"")</f>
        <v/>
      </c>
      <c r="R22" s="13" t="str">
        <f>IF(R$4="Yes",INDEX(List!$E$2:$CD$173,MATCH('Selection Pane Data'!$B22,List!$E$2:$E$173,0),MATCH('Selection Pane Data'!R$3,List!$E$2:$CD$2,0)),"")</f>
        <v/>
      </c>
      <c r="S22" s="13" t="str">
        <f>IF(S$4="Yes",INDEX(List!$E$2:$CD$173,MATCH('Selection Pane Data'!$B22,List!$E$2:$E$173,0),MATCH('Selection Pane Data'!S$3,List!$E$2:$CD$2,0)),"")</f>
        <v/>
      </c>
      <c r="T22" s="13" t="str">
        <f>IF(T$4="Yes",INDEX(List!$E$2:$CD$173,MATCH('Selection Pane Data'!$B22,List!$E$2:$E$173,0),MATCH('Selection Pane Data'!T$3,List!$E$2:$CD$2,0)),"")</f>
        <v/>
      </c>
      <c r="U22" s="13" t="str">
        <f>IF(U$4="Yes",INDEX(List!$E$2:$CD$173,MATCH('Selection Pane Data'!$B22,List!$E$2:$E$173,0),MATCH('Selection Pane Data'!U$3,List!$E$2:$CD$2,0)),"")</f>
        <v/>
      </c>
      <c r="V22" s="13" t="str">
        <f>IF(V$4="Yes",INDEX(List!$E$2:$CD$173,MATCH('Selection Pane Data'!$B22,List!$E$2:$E$173,0),MATCH('Selection Pane Data'!V$3,List!$E$2:$CD$2,0)),"")</f>
        <v/>
      </c>
      <c r="W22" s="13" t="str">
        <f>IF(W$4="Yes",INDEX(List!$E$2:$CD$173,MATCH('Selection Pane Data'!$B22,List!$E$2:$E$173,0),MATCH('Selection Pane Data'!W$3,List!$E$2:$CD$2,0)),"")</f>
        <v/>
      </c>
      <c r="X22" s="13" t="str">
        <f>IF(X$4="Yes",INDEX(List!$E$2:$CD$173,MATCH('Selection Pane Data'!$B22,List!$E$2:$E$173,0),MATCH('Selection Pane Data'!X$3,List!$E$2:$CD$2,0)),"")</f>
        <v/>
      </c>
      <c r="Y22" s="13" t="str">
        <f>IF(Y$4="Yes",INDEX(List!$E$2:$CD$173,MATCH('Selection Pane Data'!$B22,List!$E$2:$E$173,0),MATCH('Selection Pane Data'!Y$3,List!$E$2:$CD$2,0)),"")</f>
        <v/>
      </c>
      <c r="Z22" s="13" t="str">
        <f>IF(Z$4="Yes",INDEX(List!$E$2:$CD$173,MATCH('Selection Pane Data'!$B22,List!$E$2:$E$173,0),MATCH('Selection Pane Data'!Z$3,List!$E$2:$CD$2,0)),"")</f>
        <v/>
      </c>
      <c r="AA22" s="13" t="str">
        <f>IF(AA$4="Yes",INDEX(List!$E$2:$CD$173,MATCH('Selection Pane Data'!$B22,List!$E$2:$E$173,0),MATCH('Selection Pane Data'!AA$3,List!$E$2:$CD$2,0)),"")</f>
        <v>N</v>
      </c>
      <c r="AB22" s="13" t="str">
        <f>IF(AB$4="Yes",INDEX(List!$E$2:$CD$173,MATCH('Selection Pane Data'!$B22,List!$E$2:$E$173,0),MATCH('Selection Pane Data'!AB$3,List!$E$2:$CD$2,0)),"")</f>
        <v/>
      </c>
      <c r="AC22" s="13" t="str">
        <f>IF(AC$4="Yes",INDEX(List!$E$2:$CD$173,MATCH('Selection Pane Data'!$B22,List!$E$2:$E$173,0),MATCH('Selection Pane Data'!AC$3,List!$E$2:$CD$2,0)),"")</f>
        <v/>
      </c>
      <c r="AD22" s="13" t="str">
        <f>IF(AD$4="Yes",INDEX(List!$E$2:$CD$173,MATCH('Selection Pane Data'!$B22,List!$E$2:$E$173,0),MATCH('Selection Pane Data'!AD$3,List!$E$2:$CD$2,0)),"")</f>
        <v/>
      </c>
      <c r="AE22" s="13" t="str">
        <f>IF(AE$4="Yes",INDEX(List!$E$2:$CD$173,MATCH('Selection Pane Data'!$B22,List!$E$2:$E$173,0),MATCH('Selection Pane Data'!AE$3,List!$E$2:$CD$2,0)),"")</f>
        <v/>
      </c>
      <c r="AF22" s="13" t="str">
        <f>IF(AF$4="Yes",INDEX(List!$E$2:$CD$173,MATCH('Selection Pane Data'!$B22,List!$E$2:$E$173,0),MATCH('Selection Pane Data'!AF$3,List!$E$2:$CD$2,0)),"")</f>
        <v/>
      </c>
      <c r="AG22" s="13" t="str">
        <f>IF(AG$4="Yes",INDEX(List!$E$2:$CD$173,MATCH('Selection Pane Data'!$B22,List!$E$2:$E$173,0),MATCH('Selection Pane Data'!AG$3,List!$E$2:$CD$2,0)),"")</f>
        <v/>
      </c>
      <c r="AH22" s="13" t="str">
        <f>IF(AH$4="Yes",INDEX(List!$E$2:$CD$173,MATCH('Selection Pane Data'!$B22,List!$E$2:$E$173,0),MATCH('Selection Pane Data'!AH$3,List!$E$2:$CD$2,0)),"")</f>
        <v/>
      </c>
      <c r="AI22" s="13" t="str">
        <f>IF(AI$4="Yes",INDEX(List!$E$2:$CD$173,MATCH('Selection Pane Data'!$B22,List!$E$2:$E$173,0),MATCH('Selection Pane Data'!AI$3,List!$E$2:$CD$2,0)),"")</f>
        <v/>
      </c>
      <c r="AJ22" s="13" t="str">
        <f>IF(AJ$4="Yes",INDEX(List!$E$2:$CD$173,MATCH('Selection Pane Data'!$B22,List!$E$2:$E$173,0),MATCH('Selection Pane Data'!AJ$3,List!$E$2:$CD$2,0)),"")</f>
        <v/>
      </c>
      <c r="AK22" s="13" t="str">
        <f>IF(AK$4="Yes",INDEX(List!$E$2:$CD$173,MATCH('Selection Pane Data'!$B22,List!$E$2:$E$173,0),MATCH('Selection Pane Data'!AK$3,List!$E$2:$CD$2,0)),"")</f>
        <v/>
      </c>
      <c r="AL22" s="13" t="str">
        <f>IF(AL$4="Yes",INDEX(List!$E$2:$CD$173,MATCH('Selection Pane Data'!$B22,List!$E$2:$E$173,0),MATCH('Selection Pane Data'!AL$3,List!$E$2:$CD$2,0)),"")</f>
        <v/>
      </c>
      <c r="AM22" s="13" t="str">
        <f>IF(AM$4="Yes",INDEX(List!$E$2:$CD$173,MATCH('Selection Pane Data'!$B22,List!$E$2:$E$173,0),MATCH('Selection Pane Data'!AM$3,List!$E$2:$CD$2,0)),"")</f>
        <v/>
      </c>
      <c r="AN22" s="13" t="str">
        <f>IF(AN$4="Yes",INDEX(List!$E$2:$CD$173,MATCH('Selection Pane Data'!$B22,List!$E$2:$E$173,0),MATCH('Selection Pane Data'!AN$3,List!$E$2:$CD$2,0)),"")</f>
        <v/>
      </c>
      <c r="AO22" s="13" t="str">
        <f>IF(AO$4="Yes",INDEX(List!$E$2:$CD$173,MATCH('Selection Pane Data'!$B22,List!$E$2:$E$173,0),MATCH('Selection Pane Data'!AO$3,List!$E$2:$CD$2,0)),"")</f>
        <v/>
      </c>
      <c r="AP22" s="13" t="str">
        <f>IF(AP$4="Yes",INDEX(List!$E$2:$CD$173,MATCH('Selection Pane Data'!$B22,List!$E$2:$E$173,0),MATCH('Selection Pane Data'!AP$3,List!$E$2:$CD$2,0)),"")</f>
        <v/>
      </c>
      <c r="AQ22" s="13" t="str">
        <f>IF(AQ$4="Yes",INDEX(List!$E$2:$CD$173,MATCH('Selection Pane Data'!$B22,List!$E$2:$E$173,0),MATCH('Selection Pane Data'!AQ$3,List!$E$2:$CD$2,0)),"")</f>
        <v/>
      </c>
      <c r="AR22" s="13" t="str">
        <f>IF(AR$4="Yes",INDEX(List!$E$2:$CD$173,MATCH('Selection Pane Data'!$B22,List!$E$2:$E$173,0),MATCH('Selection Pane Data'!AR$3,List!$E$2:$CD$2,0)),"")</f>
        <v/>
      </c>
      <c r="AS22" s="13" t="str">
        <f>IF(AS$4="Yes",INDEX(List!$E$2:$CD$173,MATCH('Selection Pane Data'!$B22,List!$E$2:$E$173,0),MATCH('Selection Pane Data'!AS$3,List!$E$2:$CD$2,0)),"")</f>
        <v/>
      </c>
      <c r="AT22" s="13" t="str">
        <f>IF(AT$4="Yes",INDEX(List!$E$2:$CD$173,MATCH('Selection Pane Data'!$B22,List!$E$2:$E$173,0),MATCH('Selection Pane Data'!AT$3,List!$E$2:$CD$2,0)),"")</f>
        <v/>
      </c>
      <c r="AU22" s="13" t="str">
        <f>IF(AU$4="Yes",INDEX(List!$E$2:$CD$173,MATCH('Selection Pane Data'!$B22,List!$E$2:$E$173,0),MATCH('Selection Pane Data'!AU$3,List!$E$2:$CD$2,0)),"")</f>
        <v/>
      </c>
      <c r="AV22" s="13" t="str">
        <f>IF(AV$4="Yes",INDEX(List!$E$2:$CD$173,MATCH('Selection Pane Data'!$B22,List!$E$2:$E$173,0),MATCH('Selection Pane Data'!AV$3,List!$E$2:$CD$2,0)),"")</f>
        <v/>
      </c>
      <c r="AW22" s="13" t="str">
        <f>IF(AW$4="Yes",INDEX(List!$E$2:$CD$173,MATCH('Selection Pane Data'!$B22,List!$E$2:$E$173,0),MATCH('Selection Pane Data'!AW$3,List!$E$2:$CD$2,0)),"")</f>
        <v/>
      </c>
      <c r="AX22" s="13" t="str">
        <f>IF(AX$4="Yes",INDEX(List!$E$2:$CD$173,MATCH('Selection Pane Data'!$B22,List!$E$2:$E$173,0),MATCH('Selection Pane Data'!AX$3,List!$E$2:$CD$2,0)),"")</f>
        <v/>
      </c>
      <c r="AY22" s="13" t="str">
        <f>IF(AY$4="Yes",INDEX(List!$E$2:$CD$173,MATCH('Selection Pane Data'!$B22,List!$E$2:$E$173,0),MATCH('Selection Pane Data'!AY$3,List!$E$2:$CD$2,0)),"")</f>
        <v/>
      </c>
      <c r="AZ22" s="13" t="str">
        <f>IF(AZ$4="Yes",INDEX(List!$E$2:$CD$173,MATCH('Selection Pane Data'!$B22,List!$E$2:$E$173,0),MATCH('Selection Pane Data'!AZ$3,List!$E$2:$CD$2,0)),"")</f>
        <v/>
      </c>
      <c r="BA22" s="13" t="str">
        <f>IF(BA$4="Yes",INDEX(List!$E$2:$CD$173,MATCH('Selection Pane Data'!$B22,List!$E$2:$E$173,0),MATCH('Selection Pane Data'!BA$3,List!$E$2:$CD$2,0)),"")</f>
        <v/>
      </c>
      <c r="BB22" s="13" t="str">
        <f>IF(BB$4="Yes",INDEX(List!$E$2:$CD$173,MATCH('Selection Pane Data'!$B22,List!$E$2:$E$173,0),MATCH('Selection Pane Data'!BB$3,List!$E$2:$CD$2,0)),"")</f>
        <v/>
      </c>
      <c r="BC22" s="13" t="str">
        <f>IF(BC$4="Yes",INDEX(List!$E$2:$CD$173,MATCH('Selection Pane Data'!$B22,List!$E$2:$E$173,0),MATCH('Selection Pane Data'!BC$3,List!$E$2:$CD$2,0)),"")</f>
        <v/>
      </c>
      <c r="BD22" s="13" t="str">
        <f>IF(BD$4="Yes",INDEX(List!$E$2:$CD$173,MATCH('Selection Pane Data'!$B22,List!$E$2:$E$173,0),MATCH('Selection Pane Data'!BD$3,List!$E$2:$CD$2,0)),"")</f>
        <v/>
      </c>
      <c r="BE22" s="13" t="str">
        <f>IF(BE$4="Yes",INDEX(List!$E$2:$CD$173,MATCH('Selection Pane Data'!$B22,List!$E$2:$E$173,0),MATCH('Selection Pane Data'!BE$3,List!$E$2:$CD$2,0)),"")</f>
        <v/>
      </c>
      <c r="BF22" s="13" t="str">
        <f>IF(BF$4="Yes",INDEX(List!$E$2:$CD$173,MATCH('Selection Pane Data'!$B22,List!$E$2:$E$173,0),MATCH('Selection Pane Data'!BF$3,List!$E$2:$CD$2,0)),"")</f>
        <v/>
      </c>
      <c r="BG22" s="13" t="str">
        <f>IF(BG$4="Yes",INDEX(List!$E$2:$CD$173,MATCH('Selection Pane Data'!$B22,List!$E$2:$E$173,0),MATCH('Selection Pane Data'!BG$3,List!$E$2:$CD$2,0)),"")</f>
        <v/>
      </c>
      <c r="BH22" s="13" t="str">
        <f>IF(BH$4="Yes",INDEX(List!$E$2:$CD$173,MATCH('Selection Pane Data'!$B22,List!$E$2:$E$173,0),MATCH('Selection Pane Data'!BH$3,List!$E$2:$CD$2,0)),"")</f>
        <v/>
      </c>
      <c r="BI22" s="13" t="str">
        <f>IF(BI$4="Yes",INDEX(List!$E$2:$CD$173,MATCH('Selection Pane Data'!$B22,List!$E$2:$E$173,0),MATCH('Selection Pane Data'!BI$3,List!$E$2:$CD$2,0)),"")</f>
        <v/>
      </c>
      <c r="BJ22" s="13" t="str">
        <f>IF(BJ$4="Yes",INDEX(List!$E$2:$CD$173,MATCH('Selection Pane Data'!$B22,List!$E$2:$E$173,0),MATCH('Selection Pane Data'!BJ$3,List!$E$2:$CD$2,0)),"")</f>
        <v/>
      </c>
      <c r="BK22" s="13" t="str">
        <f>IF(BK$4="Yes",INDEX(List!$E$2:$CD$173,MATCH('Selection Pane Data'!$B22,List!$E$2:$E$173,0),MATCH('Selection Pane Data'!BK$3,List!$E$2:$CD$2,0)),"")</f>
        <v/>
      </c>
      <c r="BL22" s="13" t="str">
        <f>IF(BL$4="Yes",INDEX(List!$E$2:$CD$173,MATCH('Selection Pane Data'!$B22,List!$E$2:$E$173,0),MATCH('Selection Pane Data'!BL$3,List!$E$2:$CD$2,0)),"")</f>
        <v/>
      </c>
      <c r="BM22" s="13" t="str">
        <f>IF(BM$4="Yes",INDEX(List!$E$2:$CD$173,MATCH('Selection Pane Data'!$B22,List!$E$2:$E$173,0),MATCH('Selection Pane Data'!BM$3,List!$E$2:$CD$2,0)),"")</f>
        <v/>
      </c>
      <c r="BN22" s="13" t="str">
        <f>IF(BN$4="Yes",INDEX(List!$E$2:$CD$173,MATCH('Selection Pane Data'!$B22,List!$E$2:$E$173,0),MATCH('Selection Pane Data'!BN$3,List!$E$2:$CD$2,0)),"")</f>
        <v/>
      </c>
      <c r="BO22" s="13" t="str">
        <f>IF(BO$4="Yes",INDEX(List!$E$2:$CD$173,MATCH('Selection Pane Data'!$B22,List!$E$2:$E$173,0),MATCH('Selection Pane Data'!BO$3,List!$E$2:$CD$2,0)),"")</f>
        <v/>
      </c>
      <c r="BP22" s="13" t="str">
        <f>IF(BP$4="Yes",INDEX(List!$E$2:$CD$173,MATCH('Selection Pane Data'!$B22,List!$E$2:$E$173,0),MATCH('Selection Pane Data'!BP$3,List!$E$2:$CD$2,0)),"")</f>
        <v/>
      </c>
      <c r="BQ22" s="13" t="str">
        <f>IF(BQ$4="Yes",INDEX(List!$E$2:$CD$173,MATCH('Selection Pane Data'!$B22,List!$E$2:$E$173,0),MATCH('Selection Pane Data'!BQ$3,List!$E$2:$CD$2,0)),"")</f>
        <v/>
      </c>
      <c r="BR22" s="13" t="str">
        <f>IF(BR$4="Yes",INDEX(List!$E$2:$CD$173,MATCH('Selection Pane Data'!$B22,List!$E$2:$E$173,0),MATCH('Selection Pane Data'!BR$3,List!$E$2:$CD$2,0)),"")</f>
        <v/>
      </c>
      <c r="BS22" s="13" t="str">
        <f>IF(BS$4="Yes",INDEX(List!$E$2:$CD$173,MATCH('Selection Pane Data'!$B22,List!$E$2:$E$173,0),MATCH('Selection Pane Data'!BS$3,List!$E$2:$CD$2,0)),"")</f>
        <v/>
      </c>
      <c r="BT22" s="13" t="str">
        <f>IF(BT$4="Yes",INDEX(List!$E$2:$CD$173,MATCH('Selection Pane Data'!$B22,List!$E$2:$E$173,0),MATCH('Selection Pane Data'!BT$3,List!$E$2:$CD$2,0)),"")</f>
        <v/>
      </c>
      <c r="BU22" s="13" t="str">
        <f>IF(BU$4="Yes",INDEX(List!$E$2:$CD$173,MATCH('Selection Pane Data'!$B22,List!$E$2:$E$173,0),MATCH('Selection Pane Data'!BU$3,List!$E$2:$CD$2,0)),"")</f>
        <v/>
      </c>
      <c r="BV22" s="13" t="str">
        <f>IF(BV$4="Yes",INDEX(List!$E$2:$CD$173,MATCH('Selection Pane Data'!$B22,List!$E$2:$E$173,0),MATCH('Selection Pane Data'!BV$3,List!$E$2:$CD$2,0)),"")</f>
        <v/>
      </c>
      <c r="BW22" s="13" t="str">
        <f>IF(BW$4="Yes",INDEX(List!$E$2:$CD$173,MATCH('Selection Pane Data'!$B22,List!$E$2:$E$173,0),MATCH('Selection Pane Data'!BW$3,List!$E$2:$CD$2,0)),"")</f>
        <v/>
      </c>
      <c r="BX22" s="13" t="str">
        <f>IF(BX$4="Yes",INDEX(List!$E$2:$CD$173,MATCH('Selection Pane Data'!$B22,List!$E$2:$E$173,0),MATCH('Selection Pane Data'!BX$3,List!$E$2:$CD$2,0)),"")</f>
        <v/>
      </c>
      <c r="BY22" s="13" t="str">
        <f>IF(BY$4="Yes",INDEX(List!$E$2:$CD$173,MATCH('Selection Pane Data'!$B22,List!$E$2:$E$173,0),MATCH('Selection Pane Data'!BY$3,List!$E$2:$CD$2,0)),"")</f>
        <v/>
      </c>
      <c r="BZ22" s="13" t="str">
        <f>IF(BZ$4="Yes",INDEX(List!$E$2:$CD$173,MATCH('Selection Pane Data'!$B22,List!$E$2:$E$173,0),MATCH('Selection Pane Data'!BZ$3,List!$E$2:$CD$2,0)),"")</f>
        <v/>
      </c>
      <c r="CA22" s="13" t="str">
        <f>IF(CA$4="Yes",INDEX(List!$E$2:$CD$173,MATCH('Selection Pane Data'!$B22,List!$E$2:$E$173,0),MATCH('Selection Pane Data'!CA$3,List!$E$2:$CD$2,0)),"")</f>
        <v/>
      </c>
      <c r="CB22" s="13" t="str">
        <f>IF(CB$4="Yes",INDEX(List!$E$2:$CD$173,MATCH('Selection Pane Data'!$B22,List!$E$2:$E$173,0),MATCH('Selection Pane Data'!CB$3,List!$E$2:$CD$2,0)),"")</f>
        <v/>
      </c>
      <c r="CC22" s="13" t="str">
        <f>IF(CC$4="Yes",INDEX(List!$E$2:$CD$173,MATCH('Selection Pane Data'!$B22,List!$E$2:$E$173,0),MATCH('Selection Pane Data'!CC$3,List!$E$2:$CD$2,0)),"")</f>
        <v/>
      </c>
      <c r="CD22" s="13" t="str">
        <f>IF(CD$4="Yes",INDEX(List!$E$2:$CD$173,MATCH('Selection Pane Data'!$B22,List!$E$2:$E$173,0),MATCH('Selection Pane Data'!CD$3,List!$E$2:$CD$2,0)),"")</f>
        <v/>
      </c>
      <c r="CE22" s="13" t="str">
        <f>IF(CE$4="Yes",INDEX(List!$E$2:$CD$173,MATCH('Selection Pane Data'!$B22,List!$E$2:$E$173,0),MATCH('Selection Pane Data'!CE$3,List!$E$2:$CD$2,0)),"")</f>
        <v/>
      </c>
    </row>
    <row r="23" spans="2:83" x14ac:dyDescent="0.35">
      <c r="B23" s="21" t="s">
        <v>310</v>
      </c>
      <c r="C23" s="126" t="str">
        <f>VLOOKUP(B23,List!$E$2:$G$173,2,FALSE)</f>
        <v>AC.L2-3.1.11</v>
      </c>
      <c r="D23" s="31" t="str">
        <f>List!G21</f>
        <v>Shared Coverage</v>
      </c>
      <c r="E23" s="31" t="str">
        <f>IF(Placemat!$F$4="All Practices","All Practices",IF(VLOOKUP(B23,Table7[#All],6,FALSE)="No Mapping","New CMMC Practices","Practices with NIST 800-171 Mappings"))</f>
        <v>Practices with NIST 800-171 Mappings</v>
      </c>
      <c r="F23" t="str">
        <f>INDEX('CMMC Levels'!$A$1:$F$172,MATCH('Selection Pane Data'!$C23,'CMMC Levels'!$A$1:$A$172,0),MATCH(Placemat!$F$4,'CMMC Levels'!$A$1:$F$1,0))</f>
        <v>X</v>
      </c>
      <c r="G23" s="77" t="str">
        <f>IF((COUNTIF(List!H21:CE21,"P")+COUNTIF(List!H21:CE21,"S"))=0,"N",IF(COUNTIF(H23:CE23,"P"),"P",IF(COUNTIF(H23:CE23,"S"),"S","U")))</f>
        <v>P</v>
      </c>
      <c r="H23" s="13" t="str">
        <f>IF(H$4="Yes",INDEX(List!$E$2:$CD$173,MATCH('Selection Pane Data'!$B23,List!$E$2:$E$173,0),MATCH('Selection Pane Data'!H$3,List!$E$2:$CD$2,0)),"")</f>
        <v/>
      </c>
      <c r="I23" s="13" t="str">
        <f>IF(I$4="Yes",INDEX(List!$E$2:$CD$173,MATCH('Selection Pane Data'!$B23,List!$E$2:$E$173,0),MATCH('Selection Pane Data'!I$3,List!$E$2:$CD$2,0)),"")</f>
        <v/>
      </c>
      <c r="J23" s="13" t="str">
        <f>IF(J$4="Yes",INDEX(List!$E$2:$CD$173,MATCH('Selection Pane Data'!$B23,List!$E$2:$E$173,0),MATCH('Selection Pane Data'!J$3,List!$E$2:$CD$2,0)),"")</f>
        <v>N</v>
      </c>
      <c r="K23" s="13" t="str">
        <f>IF(K$4="Yes",INDEX(List!$E$2:$CD$173,MATCH('Selection Pane Data'!$B23,List!$E$2:$E$173,0),MATCH('Selection Pane Data'!K$3,List!$E$2:$CD$2,0)),"")</f>
        <v/>
      </c>
      <c r="L23" s="13" t="str">
        <f>IF(L$4="Yes",INDEX(List!$E$2:$CD$173,MATCH('Selection Pane Data'!$B23,List!$E$2:$E$173,0),MATCH('Selection Pane Data'!L$3,List!$E$2:$CD$2,0)),"")</f>
        <v/>
      </c>
      <c r="M23" s="13" t="str">
        <f>IF(M$4="Yes",INDEX(List!$E$2:$CD$173,MATCH('Selection Pane Data'!$B23,List!$E$2:$E$173,0),MATCH('Selection Pane Data'!M$3,List!$E$2:$CD$2,0)),"")</f>
        <v/>
      </c>
      <c r="N23" s="13" t="str">
        <f>IF(N$4="Yes",INDEX(List!$E$2:$CD$173,MATCH('Selection Pane Data'!$B23,List!$E$2:$E$173,0),MATCH('Selection Pane Data'!N$3,List!$E$2:$CD$2,0)),"")</f>
        <v/>
      </c>
      <c r="O23" s="13" t="str">
        <f>IF(O$4="Yes",INDEX(List!$E$2:$CD$173,MATCH('Selection Pane Data'!$B23,List!$E$2:$E$173,0),MATCH('Selection Pane Data'!O$3,List!$E$2:$CD$2,0)),"")</f>
        <v/>
      </c>
      <c r="P23" s="13" t="str">
        <f>IF(P$4="Yes",INDEX(List!$E$2:$CD$173,MATCH('Selection Pane Data'!$B23,List!$E$2:$E$173,0),MATCH('Selection Pane Data'!P$3,List!$E$2:$CD$2,0)),"")</f>
        <v/>
      </c>
      <c r="Q23" s="13" t="str">
        <f>IF(Q$4="Yes",INDEX(List!$E$2:$CD$173,MATCH('Selection Pane Data'!$B23,List!$E$2:$E$173,0),MATCH('Selection Pane Data'!Q$3,List!$E$2:$CD$2,0)),"")</f>
        <v/>
      </c>
      <c r="R23" s="13" t="str">
        <f>IF(R$4="Yes",INDEX(List!$E$2:$CD$173,MATCH('Selection Pane Data'!$B23,List!$E$2:$E$173,0),MATCH('Selection Pane Data'!R$3,List!$E$2:$CD$2,0)),"")</f>
        <v/>
      </c>
      <c r="S23" s="13" t="str">
        <f>IF(S$4="Yes",INDEX(List!$E$2:$CD$173,MATCH('Selection Pane Data'!$B23,List!$E$2:$E$173,0),MATCH('Selection Pane Data'!S$3,List!$E$2:$CD$2,0)),"")</f>
        <v/>
      </c>
      <c r="T23" s="13" t="str">
        <f>IF(T$4="Yes",INDEX(List!$E$2:$CD$173,MATCH('Selection Pane Data'!$B23,List!$E$2:$E$173,0),MATCH('Selection Pane Data'!T$3,List!$E$2:$CD$2,0)),"")</f>
        <v/>
      </c>
      <c r="U23" s="13" t="str">
        <f>IF(U$4="Yes",INDEX(List!$E$2:$CD$173,MATCH('Selection Pane Data'!$B23,List!$E$2:$E$173,0),MATCH('Selection Pane Data'!U$3,List!$E$2:$CD$2,0)),"")</f>
        <v/>
      </c>
      <c r="V23" s="13" t="str">
        <f>IF(V$4="Yes",INDEX(List!$E$2:$CD$173,MATCH('Selection Pane Data'!$B23,List!$E$2:$E$173,0),MATCH('Selection Pane Data'!V$3,List!$E$2:$CD$2,0)),"")</f>
        <v/>
      </c>
      <c r="W23" s="13" t="str">
        <f>IF(W$4="Yes",INDEX(List!$E$2:$CD$173,MATCH('Selection Pane Data'!$B23,List!$E$2:$E$173,0),MATCH('Selection Pane Data'!W$3,List!$E$2:$CD$2,0)),"")</f>
        <v/>
      </c>
      <c r="X23" s="13" t="str">
        <f>IF(X$4="Yes",INDEX(List!$E$2:$CD$173,MATCH('Selection Pane Data'!$B23,List!$E$2:$E$173,0),MATCH('Selection Pane Data'!X$3,List!$E$2:$CD$2,0)),"")</f>
        <v/>
      </c>
      <c r="Y23" s="13" t="str">
        <f>IF(Y$4="Yes",INDEX(List!$E$2:$CD$173,MATCH('Selection Pane Data'!$B23,List!$E$2:$E$173,0),MATCH('Selection Pane Data'!Y$3,List!$E$2:$CD$2,0)),"")</f>
        <v/>
      </c>
      <c r="Z23" s="13" t="str">
        <f>IF(Z$4="Yes",INDEX(List!$E$2:$CD$173,MATCH('Selection Pane Data'!$B23,List!$E$2:$E$173,0),MATCH('Selection Pane Data'!Z$3,List!$E$2:$CD$2,0)),"")</f>
        <v/>
      </c>
      <c r="AA23" s="13" t="str">
        <f>IF(AA$4="Yes",INDEX(List!$E$2:$CD$173,MATCH('Selection Pane Data'!$B23,List!$E$2:$E$173,0),MATCH('Selection Pane Data'!AA$3,List!$E$2:$CD$2,0)),"")</f>
        <v>P</v>
      </c>
      <c r="AB23" s="13" t="str">
        <f>IF(AB$4="Yes",INDEX(List!$E$2:$CD$173,MATCH('Selection Pane Data'!$B23,List!$E$2:$E$173,0),MATCH('Selection Pane Data'!AB$3,List!$E$2:$CD$2,0)),"")</f>
        <v/>
      </c>
      <c r="AC23" s="13" t="str">
        <f>IF(AC$4="Yes",INDEX(List!$E$2:$CD$173,MATCH('Selection Pane Data'!$B23,List!$E$2:$E$173,0),MATCH('Selection Pane Data'!AC$3,List!$E$2:$CD$2,0)),"")</f>
        <v/>
      </c>
      <c r="AD23" s="13" t="str">
        <f>IF(AD$4="Yes",INDEX(List!$E$2:$CD$173,MATCH('Selection Pane Data'!$B23,List!$E$2:$E$173,0),MATCH('Selection Pane Data'!AD$3,List!$E$2:$CD$2,0)),"")</f>
        <v/>
      </c>
      <c r="AE23" s="13" t="str">
        <f>IF(AE$4="Yes",INDEX(List!$E$2:$CD$173,MATCH('Selection Pane Data'!$B23,List!$E$2:$E$173,0),MATCH('Selection Pane Data'!AE$3,List!$E$2:$CD$2,0)),"")</f>
        <v/>
      </c>
      <c r="AF23" s="13" t="str">
        <f>IF(AF$4="Yes",INDEX(List!$E$2:$CD$173,MATCH('Selection Pane Data'!$B23,List!$E$2:$E$173,0),MATCH('Selection Pane Data'!AF$3,List!$E$2:$CD$2,0)),"")</f>
        <v/>
      </c>
      <c r="AG23" s="13" t="str">
        <f>IF(AG$4="Yes",INDEX(List!$E$2:$CD$173,MATCH('Selection Pane Data'!$B23,List!$E$2:$E$173,0),MATCH('Selection Pane Data'!AG$3,List!$E$2:$CD$2,0)),"")</f>
        <v/>
      </c>
      <c r="AH23" s="13" t="str">
        <f>IF(AH$4="Yes",INDEX(List!$E$2:$CD$173,MATCH('Selection Pane Data'!$B23,List!$E$2:$E$173,0),MATCH('Selection Pane Data'!AH$3,List!$E$2:$CD$2,0)),"")</f>
        <v/>
      </c>
      <c r="AI23" s="13" t="str">
        <f>IF(AI$4="Yes",INDEX(List!$E$2:$CD$173,MATCH('Selection Pane Data'!$B23,List!$E$2:$E$173,0),MATCH('Selection Pane Data'!AI$3,List!$E$2:$CD$2,0)),"")</f>
        <v/>
      </c>
      <c r="AJ23" s="13" t="str">
        <f>IF(AJ$4="Yes",INDEX(List!$E$2:$CD$173,MATCH('Selection Pane Data'!$B23,List!$E$2:$E$173,0),MATCH('Selection Pane Data'!AJ$3,List!$E$2:$CD$2,0)),"")</f>
        <v/>
      </c>
      <c r="AK23" s="13" t="str">
        <f>IF(AK$4="Yes",INDEX(List!$E$2:$CD$173,MATCH('Selection Pane Data'!$B23,List!$E$2:$E$173,0),MATCH('Selection Pane Data'!AK$3,List!$E$2:$CD$2,0)),"")</f>
        <v/>
      </c>
      <c r="AL23" s="13" t="str">
        <f>IF(AL$4="Yes",INDEX(List!$E$2:$CD$173,MATCH('Selection Pane Data'!$B23,List!$E$2:$E$173,0),MATCH('Selection Pane Data'!AL$3,List!$E$2:$CD$2,0)),"")</f>
        <v/>
      </c>
      <c r="AM23" s="13" t="str">
        <f>IF(AM$4="Yes",INDEX(List!$E$2:$CD$173,MATCH('Selection Pane Data'!$B23,List!$E$2:$E$173,0),MATCH('Selection Pane Data'!AM$3,List!$E$2:$CD$2,0)),"")</f>
        <v/>
      </c>
      <c r="AN23" s="13" t="str">
        <f>IF(AN$4="Yes",INDEX(List!$E$2:$CD$173,MATCH('Selection Pane Data'!$B23,List!$E$2:$E$173,0),MATCH('Selection Pane Data'!AN$3,List!$E$2:$CD$2,0)),"")</f>
        <v/>
      </c>
      <c r="AO23" s="13" t="str">
        <f>IF(AO$4="Yes",INDEX(List!$E$2:$CD$173,MATCH('Selection Pane Data'!$B23,List!$E$2:$E$173,0),MATCH('Selection Pane Data'!AO$3,List!$E$2:$CD$2,0)),"")</f>
        <v/>
      </c>
      <c r="AP23" s="13" t="str">
        <f>IF(AP$4="Yes",INDEX(List!$E$2:$CD$173,MATCH('Selection Pane Data'!$B23,List!$E$2:$E$173,0),MATCH('Selection Pane Data'!AP$3,List!$E$2:$CD$2,0)),"")</f>
        <v/>
      </c>
      <c r="AQ23" s="13" t="str">
        <f>IF(AQ$4="Yes",INDEX(List!$E$2:$CD$173,MATCH('Selection Pane Data'!$B23,List!$E$2:$E$173,0),MATCH('Selection Pane Data'!AQ$3,List!$E$2:$CD$2,0)),"")</f>
        <v/>
      </c>
      <c r="AR23" s="13" t="str">
        <f>IF(AR$4="Yes",INDEX(List!$E$2:$CD$173,MATCH('Selection Pane Data'!$B23,List!$E$2:$E$173,0),MATCH('Selection Pane Data'!AR$3,List!$E$2:$CD$2,0)),"")</f>
        <v/>
      </c>
      <c r="AS23" s="13" t="str">
        <f>IF(AS$4="Yes",INDEX(List!$E$2:$CD$173,MATCH('Selection Pane Data'!$B23,List!$E$2:$E$173,0),MATCH('Selection Pane Data'!AS$3,List!$E$2:$CD$2,0)),"")</f>
        <v/>
      </c>
      <c r="AT23" s="13" t="str">
        <f>IF(AT$4="Yes",INDEX(List!$E$2:$CD$173,MATCH('Selection Pane Data'!$B23,List!$E$2:$E$173,0),MATCH('Selection Pane Data'!AT$3,List!$E$2:$CD$2,0)),"")</f>
        <v/>
      </c>
      <c r="AU23" s="13" t="str">
        <f>IF(AU$4="Yes",INDEX(List!$E$2:$CD$173,MATCH('Selection Pane Data'!$B23,List!$E$2:$E$173,0),MATCH('Selection Pane Data'!AU$3,List!$E$2:$CD$2,0)),"")</f>
        <v/>
      </c>
      <c r="AV23" s="13" t="str">
        <f>IF(AV$4="Yes",INDEX(List!$E$2:$CD$173,MATCH('Selection Pane Data'!$B23,List!$E$2:$E$173,0),MATCH('Selection Pane Data'!AV$3,List!$E$2:$CD$2,0)),"")</f>
        <v/>
      </c>
      <c r="AW23" s="13" t="str">
        <f>IF(AW$4="Yes",INDEX(List!$E$2:$CD$173,MATCH('Selection Pane Data'!$B23,List!$E$2:$E$173,0),MATCH('Selection Pane Data'!AW$3,List!$E$2:$CD$2,0)),"")</f>
        <v/>
      </c>
      <c r="AX23" s="13" t="str">
        <f>IF(AX$4="Yes",INDEX(List!$E$2:$CD$173,MATCH('Selection Pane Data'!$B23,List!$E$2:$E$173,0),MATCH('Selection Pane Data'!AX$3,List!$E$2:$CD$2,0)),"")</f>
        <v/>
      </c>
      <c r="AY23" s="13" t="str">
        <f>IF(AY$4="Yes",INDEX(List!$E$2:$CD$173,MATCH('Selection Pane Data'!$B23,List!$E$2:$E$173,0),MATCH('Selection Pane Data'!AY$3,List!$E$2:$CD$2,0)),"")</f>
        <v/>
      </c>
      <c r="AZ23" s="13" t="str">
        <f>IF(AZ$4="Yes",INDEX(List!$E$2:$CD$173,MATCH('Selection Pane Data'!$B23,List!$E$2:$E$173,0),MATCH('Selection Pane Data'!AZ$3,List!$E$2:$CD$2,0)),"")</f>
        <v/>
      </c>
      <c r="BA23" s="13" t="str">
        <f>IF(BA$4="Yes",INDEX(List!$E$2:$CD$173,MATCH('Selection Pane Data'!$B23,List!$E$2:$E$173,0),MATCH('Selection Pane Data'!BA$3,List!$E$2:$CD$2,0)),"")</f>
        <v/>
      </c>
      <c r="BB23" s="13" t="str">
        <f>IF(BB$4="Yes",INDEX(List!$E$2:$CD$173,MATCH('Selection Pane Data'!$B23,List!$E$2:$E$173,0),MATCH('Selection Pane Data'!BB$3,List!$E$2:$CD$2,0)),"")</f>
        <v/>
      </c>
      <c r="BC23" s="13" t="str">
        <f>IF(BC$4="Yes",INDEX(List!$E$2:$CD$173,MATCH('Selection Pane Data'!$B23,List!$E$2:$E$173,0),MATCH('Selection Pane Data'!BC$3,List!$E$2:$CD$2,0)),"")</f>
        <v/>
      </c>
      <c r="BD23" s="13" t="str">
        <f>IF(BD$4="Yes",INDEX(List!$E$2:$CD$173,MATCH('Selection Pane Data'!$B23,List!$E$2:$E$173,0),MATCH('Selection Pane Data'!BD$3,List!$E$2:$CD$2,0)),"")</f>
        <v/>
      </c>
      <c r="BE23" s="13" t="str">
        <f>IF(BE$4="Yes",INDEX(List!$E$2:$CD$173,MATCH('Selection Pane Data'!$B23,List!$E$2:$E$173,0),MATCH('Selection Pane Data'!BE$3,List!$E$2:$CD$2,0)),"")</f>
        <v/>
      </c>
      <c r="BF23" s="13" t="str">
        <f>IF(BF$4="Yes",INDEX(List!$E$2:$CD$173,MATCH('Selection Pane Data'!$B23,List!$E$2:$E$173,0),MATCH('Selection Pane Data'!BF$3,List!$E$2:$CD$2,0)),"")</f>
        <v/>
      </c>
      <c r="BG23" s="13" t="str">
        <f>IF(BG$4="Yes",INDEX(List!$E$2:$CD$173,MATCH('Selection Pane Data'!$B23,List!$E$2:$E$173,0),MATCH('Selection Pane Data'!BG$3,List!$E$2:$CD$2,0)),"")</f>
        <v/>
      </c>
      <c r="BH23" s="13" t="str">
        <f>IF(BH$4="Yes",INDEX(List!$E$2:$CD$173,MATCH('Selection Pane Data'!$B23,List!$E$2:$E$173,0),MATCH('Selection Pane Data'!BH$3,List!$E$2:$CD$2,0)),"")</f>
        <v/>
      </c>
      <c r="BI23" s="13" t="str">
        <f>IF(BI$4="Yes",INDEX(List!$E$2:$CD$173,MATCH('Selection Pane Data'!$B23,List!$E$2:$E$173,0),MATCH('Selection Pane Data'!BI$3,List!$E$2:$CD$2,0)),"")</f>
        <v/>
      </c>
      <c r="BJ23" s="13" t="str">
        <f>IF(BJ$4="Yes",INDEX(List!$E$2:$CD$173,MATCH('Selection Pane Data'!$B23,List!$E$2:$E$173,0),MATCH('Selection Pane Data'!BJ$3,List!$E$2:$CD$2,0)),"")</f>
        <v/>
      </c>
      <c r="BK23" s="13" t="str">
        <f>IF(BK$4="Yes",INDEX(List!$E$2:$CD$173,MATCH('Selection Pane Data'!$B23,List!$E$2:$E$173,0),MATCH('Selection Pane Data'!BK$3,List!$E$2:$CD$2,0)),"")</f>
        <v/>
      </c>
      <c r="BL23" s="13" t="str">
        <f>IF(BL$4="Yes",INDEX(List!$E$2:$CD$173,MATCH('Selection Pane Data'!$B23,List!$E$2:$E$173,0),MATCH('Selection Pane Data'!BL$3,List!$E$2:$CD$2,0)),"")</f>
        <v/>
      </c>
      <c r="BM23" s="13" t="str">
        <f>IF(BM$4="Yes",INDEX(List!$E$2:$CD$173,MATCH('Selection Pane Data'!$B23,List!$E$2:$E$173,0),MATCH('Selection Pane Data'!BM$3,List!$E$2:$CD$2,0)),"")</f>
        <v/>
      </c>
      <c r="BN23" s="13" t="str">
        <f>IF(BN$4="Yes",INDEX(List!$E$2:$CD$173,MATCH('Selection Pane Data'!$B23,List!$E$2:$E$173,0),MATCH('Selection Pane Data'!BN$3,List!$E$2:$CD$2,0)),"")</f>
        <v/>
      </c>
      <c r="BO23" s="13" t="str">
        <f>IF(BO$4="Yes",INDEX(List!$E$2:$CD$173,MATCH('Selection Pane Data'!$B23,List!$E$2:$E$173,0),MATCH('Selection Pane Data'!BO$3,List!$E$2:$CD$2,0)),"")</f>
        <v/>
      </c>
      <c r="BP23" s="13" t="str">
        <f>IF(BP$4="Yes",INDEX(List!$E$2:$CD$173,MATCH('Selection Pane Data'!$B23,List!$E$2:$E$173,0),MATCH('Selection Pane Data'!BP$3,List!$E$2:$CD$2,0)),"")</f>
        <v/>
      </c>
      <c r="BQ23" s="13" t="str">
        <f>IF(BQ$4="Yes",INDEX(List!$E$2:$CD$173,MATCH('Selection Pane Data'!$B23,List!$E$2:$E$173,0),MATCH('Selection Pane Data'!BQ$3,List!$E$2:$CD$2,0)),"")</f>
        <v/>
      </c>
      <c r="BR23" s="13" t="str">
        <f>IF(BR$4="Yes",INDEX(List!$E$2:$CD$173,MATCH('Selection Pane Data'!$B23,List!$E$2:$E$173,0),MATCH('Selection Pane Data'!BR$3,List!$E$2:$CD$2,0)),"")</f>
        <v/>
      </c>
      <c r="BS23" s="13" t="str">
        <f>IF(BS$4="Yes",INDEX(List!$E$2:$CD$173,MATCH('Selection Pane Data'!$B23,List!$E$2:$E$173,0),MATCH('Selection Pane Data'!BS$3,List!$E$2:$CD$2,0)),"")</f>
        <v/>
      </c>
      <c r="BT23" s="13" t="str">
        <f>IF(BT$4="Yes",INDEX(List!$E$2:$CD$173,MATCH('Selection Pane Data'!$B23,List!$E$2:$E$173,0),MATCH('Selection Pane Data'!BT$3,List!$E$2:$CD$2,0)),"")</f>
        <v/>
      </c>
      <c r="BU23" s="13" t="str">
        <f>IF(BU$4="Yes",INDEX(List!$E$2:$CD$173,MATCH('Selection Pane Data'!$B23,List!$E$2:$E$173,0),MATCH('Selection Pane Data'!BU$3,List!$E$2:$CD$2,0)),"")</f>
        <v/>
      </c>
      <c r="BV23" s="13" t="str">
        <f>IF(BV$4="Yes",INDEX(List!$E$2:$CD$173,MATCH('Selection Pane Data'!$B23,List!$E$2:$E$173,0),MATCH('Selection Pane Data'!BV$3,List!$E$2:$CD$2,0)),"")</f>
        <v/>
      </c>
      <c r="BW23" s="13" t="str">
        <f>IF(BW$4="Yes",INDEX(List!$E$2:$CD$173,MATCH('Selection Pane Data'!$B23,List!$E$2:$E$173,0),MATCH('Selection Pane Data'!BW$3,List!$E$2:$CD$2,0)),"")</f>
        <v/>
      </c>
      <c r="BX23" s="13" t="str">
        <f>IF(BX$4="Yes",INDEX(List!$E$2:$CD$173,MATCH('Selection Pane Data'!$B23,List!$E$2:$E$173,0),MATCH('Selection Pane Data'!BX$3,List!$E$2:$CD$2,0)),"")</f>
        <v/>
      </c>
      <c r="BY23" s="13" t="str">
        <f>IF(BY$4="Yes",INDEX(List!$E$2:$CD$173,MATCH('Selection Pane Data'!$B23,List!$E$2:$E$173,0),MATCH('Selection Pane Data'!BY$3,List!$E$2:$CD$2,0)),"")</f>
        <v/>
      </c>
      <c r="BZ23" s="13" t="str">
        <f>IF(BZ$4="Yes",INDEX(List!$E$2:$CD$173,MATCH('Selection Pane Data'!$B23,List!$E$2:$E$173,0),MATCH('Selection Pane Data'!BZ$3,List!$E$2:$CD$2,0)),"")</f>
        <v/>
      </c>
      <c r="CA23" s="13" t="str">
        <f>IF(CA$4="Yes",INDEX(List!$E$2:$CD$173,MATCH('Selection Pane Data'!$B23,List!$E$2:$E$173,0),MATCH('Selection Pane Data'!CA$3,List!$E$2:$CD$2,0)),"")</f>
        <v/>
      </c>
      <c r="CB23" s="13" t="str">
        <f>IF(CB$4="Yes",INDEX(List!$E$2:$CD$173,MATCH('Selection Pane Data'!$B23,List!$E$2:$E$173,0),MATCH('Selection Pane Data'!CB$3,List!$E$2:$CD$2,0)),"")</f>
        <v/>
      </c>
      <c r="CC23" s="13" t="str">
        <f>IF(CC$4="Yes",INDEX(List!$E$2:$CD$173,MATCH('Selection Pane Data'!$B23,List!$E$2:$E$173,0),MATCH('Selection Pane Data'!CC$3,List!$E$2:$CD$2,0)),"")</f>
        <v/>
      </c>
      <c r="CD23" s="13" t="str">
        <f>IF(CD$4="Yes",INDEX(List!$E$2:$CD$173,MATCH('Selection Pane Data'!$B23,List!$E$2:$E$173,0),MATCH('Selection Pane Data'!CD$3,List!$E$2:$CD$2,0)),"")</f>
        <v/>
      </c>
      <c r="CE23" s="13" t="str">
        <f>IF(CE$4="Yes",INDEX(List!$E$2:$CD$173,MATCH('Selection Pane Data'!$B23,List!$E$2:$E$173,0),MATCH('Selection Pane Data'!CE$3,List!$E$2:$CD$2,0)),"")</f>
        <v/>
      </c>
    </row>
    <row r="24" spans="2:83" x14ac:dyDescent="0.35">
      <c r="B24" s="21" t="s">
        <v>311</v>
      </c>
      <c r="C24" s="126" t="str">
        <f>VLOOKUP(B24,List!$E$2:$G$173,2,FALSE)</f>
        <v>AC.L2-3.1.18</v>
      </c>
      <c r="D24" s="31" t="str">
        <f>List!G22</f>
        <v>Shared Coverage</v>
      </c>
      <c r="E24" s="31" t="str">
        <f>IF(Placemat!$F$4="All Practices","All Practices",IF(VLOOKUP(B24,Table7[#All],6,FALSE)="No Mapping","New CMMC Practices","Practices with NIST 800-171 Mappings"))</f>
        <v>Practices with NIST 800-171 Mappings</v>
      </c>
      <c r="F24" t="str">
        <f>INDEX('CMMC Levels'!$A$1:$F$172,MATCH('Selection Pane Data'!$C24,'CMMC Levels'!$A$1:$A$172,0),MATCH(Placemat!$F$4,'CMMC Levels'!$A$1:$F$1,0))</f>
        <v>X</v>
      </c>
      <c r="G24" s="77" t="str">
        <f>IF((COUNTIF(List!H22:CE22,"P")+COUNTIF(List!H22:CE22,"S"))=0,"N",IF(COUNTIF(H24:CE24,"P"),"P",IF(COUNTIF(H24:CE24,"S"),"S","U")))</f>
        <v>U</v>
      </c>
      <c r="H24" s="13" t="str">
        <f>IF(H$4="Yes",INDEX(List!$E$2:$CD$173,MATCH('Selection Pane Data'!$B24,List!$E$2:$E$173,0),MATCH('Selection Pane Data'!H$3,List!$E$2:$CD$2,0)),"")</f>
        <v/>
      </c>
      <c r="I24" s="13" t="str">
        <f>IF(I$4="Yes",INDEX(List!$E$2:$CD$173,MATCH('Selection Pane Data'!$B24,List!$E$2:$E$173,0),MATCH('Selection Pane Data'!I$3,List!$E$2:$CD$2,0)),"")</f>
        <v/>
      </c>
      <c r="J24" s="13" t="str">
        <f>IF(J$4="Yes",INDEX(List!$E$2:$CD$173,MATCH('Selection Pane Data'!$B24,List!$E$2:$E$173,0),MATCH('Selection Pane Data'!J$3,List!$E$2:$CD$2,0)),"")</f>
        <v>N</v>
      </c>
      <c r="K24" s="13" t="str">
        <f>IF(K$4="Yes",INDEX(List!$E$2:$CD$173,MATCH('Selection Pane Data'!$B24,List!$E$2:$E$173,0),MATCH('Selection Pane Data'!K$3,List!$E$2:$CD$2,0)),"")</f>
        <v/>
      </c>
      <c r="L24" s="13" t="str">
        <f>IF(L$4="Yes",INDEX(List!$E$2:$CD$173,MATCH('Selection Pane Data'!$B24,List!$E$2:$E$173,0),MATCH('Selection Pane Data'!L$3,List!$E$2:$CD$2,0)),"")</f>
        <v/>
      </c>
      <c r="M24" s="13" t="str">
        <f>IF(M$4="Yes",INDEX(List!$E$2:$CD$173,MATCH('Selection Pane Data'!$B24,List!$E$2:$E$173,0),MATCH('Selection Pane Data'!M$3,List!$E$2:$CD$2,0)),"")</f>
        <v/>
      </c>
      <c r="N24" s="13" t="str">
        <f>IF(N$4="Yes",INDEX(List!$E$2:$CD$173,MATCH('Selection Pane Data'!$B24,List!$E$2:$E$173,0),MATCH('Selection Pane Data'!N$3,List!$E$2:$CD$2,0)),"")</f>
        <v/>
      </c>
      <c r="O24" s="13" t="str">
        <f>IF(O$4="Yes",INDEX(List!$E$2:$CD$173,MATCH('Selection Pane Data'!$B24,List!$E$2:$E$173,0),MATCH('Selection Pane Data'!O$3,List!$E$2:$CD$2,0)),"")</f>
        <v/>
      </c>
      <c r="P24" s="13" t="str">
        <f>IF(P$4="Yes",INDEX(List!$E$2:$CD$173,MATCH('Selection Pane Data'!$B24,List!$E$2:$E$173,0),MATCH('Selection Pane Data'!P$3,List!$E$2:$CD$2,0)),"")</f>
        <v/>
      </c>
      <c r="Q24" s="13" t="str">
        <f>IF(Q$4="Yes",INDEX(List!$E$2:$CD$173,MATCH('Selection Pane Data'!$B24,List!$E$2:$E$173,0),MATCH('Selection Pane Data'!Q$3,List!$E$2:$CD$2,0)),"")</f>
        <v/>
      </c>
      <c r="R24" s="13" t="str">
        <f>IF(R$4="Yes",INDEX(List!$E$2:$CD$173,MATCH('Selection Pane Data'!$B24,List!$E$2:$E$173,0),MATCH('Selection Pane Data'!R$3,List!$E$2:$CD$2,0)),"")</f>
        <v/>
      </c>
      <c r="S24" s="13" t="str">
        <f>IF(S$4="Yes",INDEX(List!$E$2:$CD$173,MATCH('Selection Pane Data'!$B24,List!$E$2:$E$173,0),MATCH('Selection Pane Data'!S$3,List!$E$2:$CD$2,0)),"")</f>
        <v/>
      </c>
      <c r="T24" s="13" t="str">
        <f>IF(T$4="Yes",INDEX(List!$E$2:$CD$173,MATCH('Selection Pane Data'!$B24,List!$E$2:$E$173,0),MATCH('Selection Pane Data'!T$3,List!$E$2:$CD$2,0)),"")</f>
        <v/>
      </c>
      <c r="U24" s="13" t="str">
        <f>IF(U$4="Yes",INDEX(List!$E$2:$CD$173,MATCH('Selection Pane Data'!$B24,List!$E$2:$E$173,0),MATCH('Selection Pane Data'!U$3,List!$E$2:$CD$2,0)),"")</f>
        <v/>
      </c>
      <c r="V24" s="13" t="str">
        <f>IF(V$4="Yes",INDEX(List!$E$2:$CD$173,MATCH('Selection Pane Data'!$B24,List!$E$2:$E$173,0),MATCH('Selection Pane Data'!V$3,List!$E$2:$CD$2,0)),"")</f>
        <v/>
      </c>
      <c r="W24" s="13" t="str">
        <f>IF(W$4="Yes",INDEX(List!$E$2:$CD$173,MATCH('Selection Pane Data'!$B24,List!$E$2:$E$173,0),MATCH('Selection Pane Data'!W$3,List!$E$2:$CD$2,0)),"")</f>
        <v/>
      </c>
      <c r="X24" s="13" t="str">
        <f>IF(X$4="Yes",INDEX(List!$E$2:$CD$173,MATCH('Selection Pane Data'!$B24,List!$E$2:$E$173,0),MATCH('Selection Pane Data'!X$3,List!$E$2:$CD$2,0)),"")</f>
        <v/>
      </c>
      <c r="Y24" s="13" t="str">
        <f>IF(Y$4="Yes",INDEX(List!$E$2:$CD$173,MATCH('Selection Pane Data'!$B24,List!$E$2:$E$173,0),MATCH('Selection Pane Data'!Y$3,List!$E$2:$CD$2,0)),"")</f>
        <v/>
      </c>
      <c r="Z24" s="13" t="str">
        <f>IF(Z$4="Yes",INDEX(List!$E$2:$CD$173,MATCH('Selection Pane Data'!$B24,List!$E$2:$E$173,0),MATCH('Selection Pane Data'!Z$3,List!$E$2:$CD$2,0)),"")</f>
        <v/>
      </c>
      <c r="AA24" s="13" t="str">
        <f>IF(AA$4="Yes",INDEX(List!$E$2:$CD$173,MATCH('Selection Pane Data'!$B24,List!$E$2:$E$173,0),MATCH('Selection Pane Data'!AA$3,List!$E$2:$CD$2,0)),"")</f>
        <v>N</v>
      </c>
      <c r="AB24" s="13" t="str">
        <f>IF(AB$4="Yes",INDEX(List!$E$2:$CD$173,MATCH('Selection Pane Data'!$B24,List!$E$2:$E$173,0),MATCH('Selection Pane Data'!AB$3,List!$E$2:$CD$2,0)),"")</f>
        <v/>
      </c>
      <c r="AC24" s="13" t="str">
        <f>IF(AC$4="Yes",INDEX(List!$E$2:$CD$173,MATCH('Selection Pane Data'!$B24,List!$E$2:$E$173,0),MATCH('Selection Pane Data'!AC$3,List!$E$2:$CD$2,0)),"")</f>
        <v/>
      </c>
      <c r="AD24" s="13" t="str">
        <f>IF(AD$4="Yes",INDEX(List!$E$2:$CD$173,MATCH('Selection Pane Data'!$B24,List!$E$2:$E$173,0),MATCH('Selection Pane Data'!AD$3,List!$E$2:$CD$2,0)),"")</f>
        <v/>
      </c>
      <c r="AE24" s="13" t="str">
        <f>IF(AE$4="Yes",INDEX(List!$E$2:$CD$173,MATCH('Selection Pane Data'!$B24,List!$E$2:$E$173,0),MATCH('Selection Pane Data'!AE$3,List!$E$2:$CD$2,0)),"")</f>
        <v/>
      </c>
      <c r="AF24" s="13" t="str">
        <f>IF(AF$4="Yes",INDEX(List!$E$2:$CD$173,MATCH('Selection Pane Data'!$B24,List!$E$2:$E$173,0),MATCH('Selection Pane Data'!AF$3,List!$E$2:$CD$2,0)),"")</f>
        <v/>
      </c>
      <c r="AG24" s="13" t="str">
        <f>IF(AG$4="Yes",INDEX(List!$E$2:$CD$173,MATCH('Selection Pane Data'!$B24,List!$E$2:$E$173,0),MATCH('Selection Pane Data'!AG$3,List!$E$2:$CD$2,0)),"")</f>
        <v/>
      </c>
      <c r="AH24" s="13" t="str">
        <f>IF(AH$4="Yes",INDEX(List!$E$2:$CD$173,MATCH('Selection Pane Data'!$B24,List!$E$2:$E$173,0),MATCH('Selection Pane Data'!AH$3,List!$E$2:$CD$2,0)),"")</f>
        <v/>
      </c>
      <c r="AI24" s="13" t="str">
        <f>IF(AI$4="Yes",INDEX(List!$E$2:$CD$173,MATCH('Selection Pane Data'!$B24,List!$E$2:$E$173,0),MATCH('Selection Pane Data'!AI$3,List!$E$2:$CD$2,0)),"")</f>
        <v/>
      </c>
      <c r="AJ24" s="13" t="str">
        <f>IF(AJ$4="Yes",INDEX(List!$E$2:$CD$173,MATCH('Selection Pane Data'!$B24,List!$E$2:$E$173,0),MATCH('Selection Pane Data'!AJ$3,List!$E$2:$CD$2,0)),"")</f>
        <v/>
      </c>
      <c r="AK24" s="13" t="str">
        <f>IF(AK$4="Yes",INDEX(List!$E$2:$CD$173,MATCH('Selection Pane Data'!$B24,List!$E$2:$E$173,0),MATCH('Selection Pane Data'!AK$3,List!$E$2:$CD$2,0)),"")</f>
        <v/>
      </c>
      <c r="AL24" s="13" t="str">
        <f>IF(AL$4="Yes",INDEX(List!$E$2:$CD$173,MATCH('Selection Pane Data'!$B24,List!$E$2:$E$173,0),MATCH('Selection Pane Data'!AL$3,List!$E$2:$CD$2,0)),"")</f>
        <v/>
      </c>
      <c r="AM24" s="13" t="str">
        <f>IF(AM$4="Yes",INDEX(List!$E$2:$CD$173,MATCH('Selection Pane Data'!$B24,List!$E$2:$E$173,0),MATCH('Selection Pane Data'!AM$3,List!$E$2:$CD$2,0)),"")</f>
        <v/>
      </c>
      <c r="AN24" s="13" t="str">
        <f>IF(AN$4="Yes",INDEX(List!$E$2:$CD$173,MATCH('Selection Pane Data'!$B24,List!$E$2:$E$173,0),MATCH('Selection Pane Data'!AN$3,List!$E$2:$CD$2,0)),"")</f>
        <v/>
      </c>
      <c r="AO24" s="13" t="str">
        <f>IF(AO$4="Yes",INDEX(List!$E$2:$CD$173,MATCH('Selection Pane Data'!$B24,List!$E$2:$E$173,0),MATCH('Selection Pane Data'!AO$3,List!$E$2:$CD$2,0)),"")</f>
        <v/>
      </c>
      <c r="AP24" s="13" t="str">
        <f>IF(AP$4="Yes",INDEX(List!$E$2:$CD$173,MATCH('Selection Pane Data'!$B24,List!$E$2:$E$173,0),MATCH('Selection Pane Data'!AP$3,List!$E$2:$CD$2,0)),"")</f>
        <v/>
      </c>
      <c r="AQ24" s="13" t="str">
        <f>IF(AQ$4="Yes",INDEX(List!$E$2:$CD$173,MATCH('Selection Pane Data'!$B24,List!$E$2:$E$173,0),MATCH('Selection Pane Data'!AQ$3,List!$E$2:$CD$2,0)),"")</f>
        <v/>
      </c>
      <c r="AR24" s="13" t="str">
        <f>IF(AR$4="Yes",INDEX(List!$E$2:$CD$173,MATCH('Selection Pane Data'!$B24,List!$E$2:$E$173,0),MATCH('Selection Pane Data'!AR$3,List!$E$2:$CD$2,0)),"")</f>
        <v/>
      </c>
      <c r="AS24" s="13" t="str">
        <f>IF(AS$4="Yes",INDEX(List!$E$2:$CD$173,MATCH('Selection Pane Data'!$B24,List!$E$2:$E$173,0),MATCH('Selection Pane Data'!AS$3,List!$E$2:$CD$2,0)),"")</f>
        <v/>
      </c>
      <c r="AT24" s="13" t="str">
        <f>IF(AT$4="Yes",INDEX(List!$E$2:$CD$173,MATCH('Selection Pane Data'!$B24,List!$E$2:$E$173,0),MATCH('Selection Pane Data'!AT$3,List!$E$2:$CD$2,0)),"")</f>
        <v/>
      </c>
      <c r="AU24" s="13" t="str">
        <f>IF(AU$4="Yes",INDEX(List!$E$2:$CD$173,MATCH('Selection Pane Data'!$B24,List!$E$2:$E$173,0),MATCH('Selection Pane Data'!AU$3,List!$E$2:$CD$2,0)),"")</f>
        <v/>
      </c>
      <c r="AV24" s="13" t="str">
        <f>IF(AV$4="Yes",INDEX(List!$E$2:$CD$173,MATCH('Selection Pane Data'!$B24,List!$E$2:$E$173,0),MATCH('Selection Pane Data'!AV$3,List!$E$2:$CD$2,0)),"")</f>
        <v/>
      </c>
      <c r="AW24" s="13" t="str">
        <f>IF(AW$4="Yes",INDEX(List!$E$2:$CD$173,MATCH('Selection Pane Data'!$B24,List!$E$2:$E$173,0),MATCH('Selection Pane Data'!AW$3,List!$E$2:$CD$2,0)),"")</f>
        <v/>
      </c>
      <c r="AX24" s="13" t="str">
        <f>IF(AX$4="Yes",INDEX(List!$E$2:$CD$173,MATCH('Selection Pane Data'!$B24,List!$E$2:$E$173,0),MATCH('Selection Pane Data'!AX$3,List!$E$2:$CD$2,0)),"")</f>
        <v/>
      </c>
      <c r="AY24" s="13" t="str">
        <f>IF(AY$4="Yes",INDEX(List!$E$2:$CD$173,MATCH('Selection Pane Data'!$B24,List!$E$2:$E$173,0),MATCH('Selection Pane Data'!AY$3,List!$E$2:$CD$2,0)),"")</f>
        <v/>
      </c>
      <c r="AZ24" s="13" t="str">
        <f>IF(AZ$4="Yes",INDEX(List!$E$2:$CD$173,MATCH('Selection Pane Data'!$B24,List!$E$2:$E$173,0),MATCH('Selection Pane Data'!AZ$3,List!$E$2:$CD$2,0)),"")</f>
        <v/>
      </c>
      <c r="BA24" s="13" t="str">
        <f>IF(BA$4="Yes",INDEX(List!$E$2:$CD$173,MATCH('Selection Pane Data'!$B24,List!$E$2:$E$173,0),MATCH('Selection Pane Data'!BA$3,List!$E$2:$CD$2,0)),"")</f>
        <v/>
      </c>
      <c r="BB24" s="13" t="str">
        <f>IF(BB$4="Yes",INDEX(List!$E$2:$CD$173,MATCH('Selection Pane Data'!$B24,List!$E$2:$E$173,0),MATCH('Selection Pane Data'!BB$3,List!$E$2:$CD$2,0)),"")</f>
        <v/>
      </c>
      <c r="BC24" s="13" t="str">
        <f>IF(BC$4="Yes",INDEX(List!$E$2:$CD$173,MATCH('Selection Pane Data'!$B24,List!$E$2:$E$173,0),MATCH('Selection Pane Data'!BC$3,List!$E$2:$CD$2,0)),"")</f>
        <v/>
      </c>
      <c r="BD24" s="13" t="str">
        <f>IF(BD$4="Yes",INDEX(List!$E$2:$CD$173,MATCH('Selection Pane Data'!$B24,List!$E$2:$E$173,0),MATCH('Selection Pane Data'!BD$3,List!$E$2:$CD$2,0)),"")</f>
        <v/>
      </c>
      <c r="BE24" s="13" t="str">
        <f>IF(BE$4="Yes",INDEX(List!$E$2:$CD$173,MATCH('Selection Pane Data'!$B24,List!$E$2:$E$173,0),MATCH('Selection Pane Data'!BE$3,List!$E$2:$CD$2,0)),"")</f>
        <v/>
      </c>
      <c r="BF24" s="13" t="str">
        <f>IF(BF$4="Yes",INDEX(List!$E$2:$CD$173,MATCH('Selection Pane Data'!$B24,List!$E$2:$E$173,0),MATCH('Selection Pane Data'!BF$3,List!$E$2:$CD$2,0)),"")</f>
        <v/>
      </c>
      <c r="BG24" s="13" t="str">
        <f>IF(BG$4="Yes",INDEX(List!$E$2:$CD$173,MATCH('Selection Pane Data'!$B24,List!$E$2:$E$173,0),MATCH('Selection Pane Data'!BG$3,List!$E$2:$CD$2,0)),"")</f>
        <v/>
      </c>
      <c r="BH24" s="13" t="str">
        <f>IF(BH$4="Yes",INDEX(List!$E$2:$CD$173,MATCH('Selection Pane Data'!$B24,List!$E$2:$E$173,0),MATCH('Selection Pane Data'!BH$3,List!$E$2:$CD$2,0)),"")</f>
        <v/>
      </c>
      <c r="BI24" s="13" t="str">
        <f>IF(BI$4="Yes",INDEX(List!$E$2:$CD$173,MATCH('Selection Pane Data'!$B24,List!$E$2:$E$173,0),MATCH('Selection Pane Data'!BI$3,List!$E$2:$CD$2,0)),"")</f>
        <v/>
      </c>
      <c r="BJ24" s="13" t="str">
        <f>IF(BJ$4="Yes",INDEX(List!$E$2:$CD$173,MATCH('Selection Pane Data'!$B24,List!$E$2:$E$173,0),MATCH('Selection Pane Data'!BJ$3,List!$E$2:$CD$2,0)),"")</f>
        <v/>
      </c>
      <c r="BK24" s="13" t="str">
        <f>IF(BK$4="Yes",INDEX(List!$E$2:$CD$173,MATCH('Selection Pane Data'!$B24,List!$E$2:$E$173,0),MATCH('Selection Pane Data'!BK$3,List!$E$2:$CD$2,0)),"")</f>
        <v/>
      </c>
      <c r="BL24" s="13" t="str">
        <f>IF(BL$4="Yes",INDEX(List!$E$2:$CD$173,MATCH('Selection Pane Data'!$B24,List!$E$2:$E$173,0),MATCH('Selection Pane Data'!BL$3,List!$E$2:$CD$2,0)),"")</f>
        <v/>
      </c>
      <c r="BM24" s="13" t="str">
        <f>IF(BM$4="Yes",INDEX(List!$E$2:$CD$173,MATCH('Selection Pane Data'!$B24,List!$E$2:$E$173,0),MATCH('Selection Pane Data'!BM$3,List!$E$2:$CD$2,0)),"")</f>
        <v/>
      </c>
      <c r="BN24" s="13" t="str">
        <f>IF(BN$4="Yes",INDEX(List!$E$2:$CD$173,MATCH('Selection Pane Data'!$B24,List!$E$2:$E$173,0),MATCH('Selection Pane Data'!BN$3,List!$E$2:$CD$2,0)),"")</f>
        <v/>
      </c>
      <c r="BO24" s="13" t="str">
        <f>IF(BO$4="Yes",INDEX(List!$E$2:$CD$173,MATCH('Selection Pane Data'!$B24,List!$E$2:$E$173,0),MATCH('Selection Pane Data'!BO$3,List!$E$2:$CD$2,0)),"")</f>
        <v/>
      </c>
      <c r="BP24" s="13" t="str">
        <f>IF(BP$4="Yes",INDEX(List!$E$2:$CD$173,MATCH('Selection Pane Data'!$B24,List!$E$2:$E$173,0),MATCH('Selection Pane Data'!BP$3,List!$E$2:$CD$2,0)),"")</f>
        <v/>
      </c>
      <c r="BQ24" s="13" t="str">
        <f>IF(BQ$4="Yes",INDEX(List!$E$2:$CD$173,MATCH('Selection Pane Data'!$B24,List!$E$2:$E$173,0),MATCH('Selection Pane Data'!BQ$3,List!$E$2:$CD$2,0)),"")</f>
        <v/>
      </c>
      <c r="BR24" s="13" t="str">
        <f>IF(BR$4="Yes",INDEX(List!$E$2:$CD$173,MATCH('Selection Pane Data'!$B24,List!$E$2:$E$173,0),MATCH('Selection Pane Data'!BR$3,List!$E$2:$CD$2,0)),"")</f>
        <v/>
      </c>
      <c r="BS24" s="13" t="str">
        <f>IF(BS$4="Yes",INDEX(List!$E$2:$CD$173,MATCH('Selection Pane Data'!$B24,List!$E$2:$E$173,0),MATCH('Selection Pane Data'!BS$3,List!$E$2:$CD$2,0)),"")</f>
        <v/>
      </c>
      <c r="BT24" s="13" t="str">
        <f>IF(BT$4="Yes",INDEX(List!$E$2:$CD$173,MATCH('Selection Pane Data'!$B24,List!$E$2:$E$173,0),MATCH('Selection Pane Data'!BT$3,List!$E$2:$CD$2,0)),"")</f>
        <v/>
      </c>
      <c r="BU24" s="13" t="str">
        <f>IF(BU$4="Yes",INDEX(List!$E$2:$CD$173,MATCH('Selection Pane Data'!$B24,List!$E$2:$E$173,0),MATCH('Selection Pane Data'!BU$3,List!$E$2:$CD$2,0)),"")</f>
        <v/>
      </c>
      <c r="BV24" s="13" t="str">
        <f>IF(BV$4="Yes",INDEX(List!$E$2:$CD$173,MATCH('Selection Pane Data'!$B24,List!$E$2:$E$173,0),MATCH('Selection Pane Data'!BV$3,List!$E$2:$CD$2,0)),"")</f>
        <v/>
      </c>
      <c r="BW24" s="13" t="str">
        <f>IF(BW$4="Yes",INDEX(List!$E$2:$CD$173,MATCH('Selection Pane Data'!$B24,List!$E$2:$E$173,0),MATCH('Selection Pane Data'!BW$3,List!$E$2:$CD$2,0)),"")</f>
        <v/>
      </c>
      <c r="BX24" s="13" t="str">
        <f>IF(BX$4="Yes",INDEX(List!$E$2:$CD$173,MATCH('Selection Pane Data'!$B24,List!$E$2:$E$173,0),MATCH('Selection Pane Data'!BX$3,List!$E$2:$CD$2,0)),"")</f>
        <v/>
      </c>
      <c r="BY24" s="13" t="str">
        <f>IF(BY$4="Yes",INDEX(List!$E$2:$CD$173,MATCH('Selection Pane Data'!$B24,List!$E$2:$E$173,0),MATCH('Selection Pane Data'!BY$3,List!$E$2:$CD$2,0)),"")</f>
        <v/>
      </c>
      <c r="BZ24" s="13" t="str">
        <f>IF(BZ$4="Yes",INDEX(List!$E$2:$CD$173,MATCH('Selection Pane Data'!$B24,List!$E$2:$E$173,0),MATCH('Selection Pane Data'!BZ$3,List!$E$2:$CD$2,0)),"")</f>
        <v/>
      </c>
      <c r="CA24" s="13" t="str">
        <f>IF(CA$4="Yes",INDEX(List!$E$2:$CD$173,MATCH('Selection Pane Data'!$B24,List!$E$2:$E$173,0),MATCH('Selection Pane Data'!CA$3,List!$E$2:$CD$2,0)),"")</f>
        <v/>
      </c>
      <c r="CB24" s="13" t="str">
        <f>IF(CB$4="Yes",INDEX(List!$E$2:$CD$173,MATCH('Selection Pane Data'!$B24,List!$E$2:$E$173,0),MATCH('Selection Pane Data'!CB$3,List!$E$2:$CD$2,0)),"")</f>
        <v/>
      </c>
      <c r="CC24" s="13" t="str">
        <f>IF(CC$4="Yes",INDEX(List!$E$2:$CD$173,MATCH('Selection Pane Data'!$B24,List!$E$2:$E$173,0),MATCH('Selection Pane Data'!CC$3,List!$E$2:$CD$2,0)),"")</f>
        <v/>
      </c>
      <c r="CD24" s="13" t="str">
        <f>IF(CD$4="Yes",INDEX(List!$E$2:$CD$173,MATCH('Selection Pane Data'!$B24,List!$E$2:$E$173,0),MATCH('Selection Pane Data'!CD$3,List!$E$2:$CD$2,0)),"")</f>
        <v/>
      </c>
      <c r="CE24" s="13" t="str">
        <f>IF(CE$4="Yes",INDEX(List!$E$2:$CD$173,MATCH('Selection Pane Data'!$B24,List!$E$2:$E$173,0),MATCH('Selection Pane Data'!CE$3,List!$E$2:$CD$2,0)),"")</f>
        <v/>
      </c>
    </row>
    <row r="25" spans="2:83" x14ac:dyDescent="0.35">
      <c r="B25" s="21" t="s">
        <v>312</v>
      </c>
      <c r="C25" s="126" t="str">
        <f>VLOOKUP(B25,List!$E$2:$G$173,2,FALSE)</f>
        <v>AC.L2-3.1.15</v>
      </c>
      <c r="D25" s="31" t="str">
        <f>List!G23</f>
        <v>Shared Coverage</v>
      </c>
      <c r="E25" s="31" t="str">
        <f>IF(Placemat!$F$4="All Practices","All Practices",IF(VLOOKUP(B25,Table7[#All],6,FALSE)="No Mapping","New CMMC Practices","Practices with NIST 800-171 Mappings"))</f>
        <v>Practices with NIST 800-171 Mappings</v>
      </c>
      <c r="F25" t="str">
        <f>INDEX('CMMC Levels'!$A$1:$F$172,MATCH('Selection Pane Data'!$C25,'CMMC Levels'!$A$1:$A$172,0),MATCH(Placemat!$F$4,'CMMC Levels'!$A$1:$F$1,0))</f>
        <v>X</v>
      </c>
      <c r="G25" s="77" t="str">
        <f>IF((COUNTIF(List!H23:CE23,"P")+COUNTIF(List!H23:CE23,"S"))=0,"N",IF(COUNTIF(H25:CE25,"P"),"P",IF(COUNTIF(H25:CE25,"S"),"S","U")))</f>
        <v>U</v>
      </c>
      <c r="H25" s="13" t="str">
        <f>IF(H$4="Yes",INDEX(List!$E$2:$CD$173,MATCH('Selection Pane Data'!$B25,List!$E$2:$E$173,0),MATCH('Selection Pane Data'!H$3,List!$E$2:$CD$2,0)),"")</f>
        <v/>
      </c>
      <c r="I25" s="13" t="str">
        <f>IF(I$4="Yes",INDEX(List!$E$2:$CD$173,MATCH('Selection Pane Data'!$B25,List!$E$2:$E$173,0),MATCH('Selection Pane Data'!I$3,List!$E$2:$CD$2,0)),"")</f>
        <v/>
      </c>
      <c r="J25" s="13" t="str">
        <f>IF(J$4="Yes",INDEX(List!$E$2:$CD$173,MATCH('Selection Pane Data'!$B25,List!$E$2:$E$173,0),MATCH('Selection Pane Data'!J$3,List!$E$2:$CD$2,0)),"")</f>
        <v>N</v>
      </c>
      <c r="K25" s="13" t="str">
        <f>IF(K$4="Yes",INDEX(List!$E$2:$CD$173,MATCH('Selection Pane Data'!$B25,List!$E$2:$E$173,0),MATCH('Selection Pane Data'!K$3,List!$E$2:$CD$2,0)),"")</f>
        <v/>
      </c>
      <c r="L25" s="13" t="str">
        <f>IF(L$4="Yes",INDEX(List!$E$2:$CD$173,MATCH('Selection Pane Data'!$B25,List!$E$2:$E$173,0),MATCH('Selection Pane Data'!L$3,List!$E$2:$CD$2,0)),"")</f>
        <v/>
      </c>
      <c r="M25" s="13" t="str">
        <f>IF(M$4="Yes",INDEX(List!$E$2:$CD$173,MATCH('Selection Pane Data'!$B25,List!$E$2:$E$173,0),MATCH('Selection Pane Data'!M$3,List!$E$2:$CD$2,0)),"")</f>
        <v/>
      </c>
      <c r="N25" s="13" t="str">
        <f>IF(N$4="Yes",INDEX(List!$E$2:$CD$173,MATCH('Selection Pane Data'!$B25,List!$E$2:$E$173,0),MATCH('Selection Pane Data'!N$3,List!$E$2:$CD$2,0)),"")</f>
        <v/>
      </c>
      <c r="O25" s="13" t="str">
        <f>IF(O$4="Yes",INDEX(List!$E$2:$CD$173,MATCH('Selection Pane Data'!$B25,List!$E$2:$E$173,0),MATCH('Selection Pane Data'!O$3,List!$E$2:$CD$2,0)),"")</f>
        <v/>
      </c>
      <c r="P25" s="13" t="str">
        <f>IF(P$4="Yes",INDEX(List!$E$2:$CD$173,MATCH('Selection Pane Data'!$B25,List!$E$2:$E$173,0),MATCH('Selection Pane Data'!P$3,List!$E$2:$CD$2,0)),"")</f>
        <v/>
      </c>
      <c r="Q25" s="13" t="str">
        <f>IF(Q$4="Yes",INDEX(List!$E$2:$CD$173,MATCH('Selection Pane Data'!$B25,List!$E$2:$E$173,0),MATCH('Selection Pane Data'!Q$3,List!$E$2:$CD$2,0)),"")</f>
        <v/>
      </c>
      <c r="R25" s="13" t="str">
        <f>IF(R$4="Yes",INDEX(List!$E$2:$CD$173,MATCH('Selection Pane Data'!$B25,List!$E$2:$E$173,0),MATCH('Selection Pane Data'!R$3,List!$E$2:$CD$2,0)),"")</f>
        <v/>
      </c>
      <c r="S25" s="13" t="str">
        <f>IF(S$4="Yes",INDEX(List!$E$2:$CD$173,MATCH('Selection Pane Data'!$B25,List!$E$2:$E$173,0),MATCH('Selection Pane Data'!S$3,List!$E$2:$CD$2,0)),"")</f>
        <v/>
      </c>
      <c r="T25" s="13" t="str">
        <f>IF(T$4="Yes",INDEX(List!$E$2:$CD$173,MATCH('Selection Pane Data'!$B25,List!$E$2:$E$173,0),MATCH('Selection Pane Data'!T$3,List!$E$2:$CD$2,0)),"")</f>
        <v/>
      </c>
      <c r="U25" s="13" t="str">
        <f>IF(U$4="Yes",INDEX(List!$E$2:$CD$173,MATCH('Selection Pane Data'!$B25,List!$E$2:$E$173,0),MATCH('Selection Pane Data'!U$3,List!$E$2:$CD$2,0)),"")</f>
        <v/>
      </c>
      <c r="V25" s="13" t="str">
        <f>IF(V$4="Yes",INDEX(List!$E$2:$CD$173,MATCH('Selection Pane Data'!$B25,List!$E$2:$E$173,0),MATCH('Selection Pane Data'!V$3,List!$E$2:$CD$2,0)),"")</f>
        <v/>
      </c>
      <c r="W25" s="13" t="str">
        <f>IF(W$4="Yes",INDEX(List!$E$2:$CD$173,MATCH('Selection Pane Data'!$B25,List!$E$2:$E$173,0),MATCH('Selection Pane Data'!W$3,List!$E$2:$CD$2,0)),"")</f>
        <v/>
      </c>
      <c r="X25" s="13" t="str">
        <f>IF(X$4="Yes",INDEX(List!$E$2:$CD$173,MATCH('Selection Pane Data'!$B25,List!$E$2:$E$173,0),MATCH('Selection Pane Data'!X$3,List!$E$2:$CD$2,0)),"")</f>
        <v/>
      </c>
      <c r="Y25" s="13" t="str">
        <f>IF(Y$4="Yes",INDEX(List!$E$2:$CD$173,MATCH('Selection Pane Data'!$B25,List!$E$2:$E$173,0),MATCH('Selection Pane Data'!Y$3,List!$E$2:$CD$2,0)),"")</f>
        <v/>
      </c>
      <c r="Z25" s="13" t="str">
        <f>IF(Z$4="Yes",INDEX(List!$E$2:$CD$173,MATCH('Selection Pane Data'!$B25,List!$E$2:$E$173,0),MATCH('Selection Pane Data'!Z$3,List!$E$2:$CD$2,0)),"")</f>
        <v/>
      </c>
      <c r="AA25" s="13" t="str">
        <f>IF(AA$4="Yes",INDEX(List!$E$2:$CD$173,MATCH('Selection Pane Data'!$B25,List!$E$2:$E$173,0),MATCH('Selection Pane Data'!AA$3,List!$E$2:$CD$2,0)),"")</f>
        <v>N</v>
      </c>
      <c r="AB25" s="13" t="str">
        <f>IF(AB$4="Yes",INDEX(List!$E$2:$CD$173,MATCH('Selection Pane Data'!$B25,List!$E$2:$E$173,0),MATCH('Selection Pane Data'!AB$3,List!$E$2:$CD$2,0)),"")</f>
        <v/>
      </c>
      <c r="AC25" s="13" t="str">
        <f>IF(AC$4="Yes",INDEX(List!$E$2:$CD$173,MATCH('Selection Pane Data'!$B25,List!$E$2:$E$173,0),MATCH('Selection Pane Data'!AC$3,List!$E$2:$CD$2,0)),"")</f>
        <v/>
      </c>
      <c r="AD25" s="13" t="str">
        <f>IF(AD$4="Yes",INDEX(List!$E$2:$CD$173,MATCH('Selection Pane Data'!$B25,List!$E$2:$E$173,0),MATCH('Selection Pane Data'!AD$3,List!$E$2:$CD$2,0)),"")</f>
        <v/>
      </c>
      <c r="AE25" s="13" t="str">
        <f>IF(AE$4="Yes",INDEX(List!$E$2:$CD$173,MATCH('Selection Pane Data'!$B25,List!$E$2:$E$173,0),MATCH('Selection Pane Data'!AE$3,List!$E$2:$CD$2,0)),"")</f>
        <v/>
      </c>
      <c r="AF25" s="13" t="str">
        <f>IF(AF$4="Yes",INDEX(List!$E$2:$CD$173,MATCH('Selection Pane Data'!$B25,List!$E$2:$E$173,0),MATCH('Selection Pane Data'!AF$3,List!$E$2:$CD$2,0)),"")</f>
        <v/>
      </c>
      <c r="AG25" s="13" t="str">
        <f>IF(AG$4="Yes",INDEX(List!$E$2:$CD$173,MATCH('Selection Pane Data'!$B25,List!$E$2:$E$173,0),MATCH('Selection Pane Data'!AG$3,List!$E$2:$CD$2,0)),"")</f>
        <v/>
      </c>
      <c r="AH25" s="13" t="str">
        <f>IF(AH$4="Yes",INDEX(List!$E$2:$CD$173,MATCH('Selection Pane Data'!$B25,List!$E$2:$E$173,0),MATCH('Selection Pane Data'!AH$3,List!$E$2:$CD$2,0)),"")</f>
        <v/>
      </c>
      <c r="AI25" s="13" t="str">
        <f>IF(AI$4="Yes",INDEX(List!$E$2:$CD$173,MATCH('Selection Pane Data'!$B25,List!$E$2:$E$173,0),MATCH('Selection Pane Data'!AI$3,List!$E$2:$CD$2,0)),"")</f>
        <v/>
      </c>
      <c r="AJ25" s="13" t="str">
        <f>IF(AJ$4="Yes",INDEX(List!$E$2:$CD$173,MATCH('Selection Pane Data'!$B25,List!$E$2:$E$173,0),MATCH('Selection Pane Data'!AJ$3,List!$E$2:$CD$2,0)),"")</f>
        <v/>
      </c>
      <c r="AK25" s="13" t="str">
        <f>IF(AK$4="Yes",INDEX(List!$E$2:$CD$173,MATCH('Selection Pane Data'!$B25,List!$E$2:$E$173,0),MATCH('Selection Pane Data'!AK$3,List!$E$2:$CD$2,0)),"")</f>
        <v/>
      </c>
      <c r="AL25" s="13" t="str">
        <f>IF(AL$4="Yes",INDEX(List!$E$2:$CD$173,MATCH('Selection Pane Data'!$B25,List!$E$2:$E$173,0),MATCH('Selection Pane Data'!AL$3,List!$E$2:$CD$2,0)),"")</f>
        <v/>
      </c>
      <c r="AM25" s="13" t="str">
        <f>IF(AM$4="Yes",INDEX(List!$E$2:$CD$173,MATCH('Selection Pane Data'!$B25,List!$E$2:$E$173,0),MATCH('Selection Pane Data'!AM$3,List!$E$2:$CD$2,0)),"")</f>
        <v/>
      </c>
      <c r="AN25" s="13" t="str">
        <f>IF(AN$4="Yes",INDEX(List!$E$2:$CD$173,MATCH('Selection Pane Data'!$B25,List!$E$2:$E$173,0),MATCH('Selection Pane Data'!AN$3,List!$E$2:$CD$2,0)),"")</f>
        <v/>
      </c>
      <c r="AO25" s="13" t="str">
        <f>IF(AO$4="Yes",INDEX(List!$E$2:$CD$173,MATCH('Selection Pane Data'!$B25,List!$E$2:$E$173,0),MATCH('Selection Pane Data'!AO$3,List!$E$2:$CD$2,0)),"")</f>
        <v/>
      </c>
      <c r="AP25" s="13" t="str">
        <f>IF(AP$4="Yes",INDEX(List!$E$2:$CD$173,MATCH('Selection Pane Data'!$B25,List!$E$2:$E$173,0),MATCH('Selection Pane Data'!AP$3,List!$E$2:$CD$2,0)),"")</f>
        <v/>
      </c>
      <c r="AQ25" s="13" t="str">
        <f>IF(AQ$4="Yes",INDEX(List!$E$2:$CD$173,MATCH('Selection Pane Data'!$B25,List!$E$2:$E$173,0),MATCH('Selection Pane Data'!AQ$3,List!$E$2:$CD$2,0)),"")</f>
        <v/>
      </c>
      <c r="AR25" s="13" t="str">
        <f>IF(AR$4="Yes",INDEX(List!$E$2:$CD$173,MATCH('Selection Pane Data'!$B25,List!$E$2:$E$173,0),MATCH('Selection Pane Data'!AR$3,List!$E$2:$CD$2,0)),"")</f>
        <v/>
      </c>
      <c r="AS25" s="13" t="str">
        <f>IF(AS$4="Yes",INDEX(List!$E$2:$CD$173,MATCH('Selection Pane Data'!$B25,List!$E$2:$E$173,0),MATCH('Selection Pane Data'!AS$3,List!$E$2:$CD$2,0)),"")</f>
        <v/>
      </c>
      <c r="AT25" s="13" t="str">
        <f>IF(AT$4="Yes",INDEX(List!$E$2:$CD$173,MATCH('Selection Pane Data'!$B25,List!$E$2:$E$173,0),MATCH('Selection Pane Data'!AT$3,List!$E$2:$CD$2,0)),"")</f>
        <v/>
      </c>
      <c r="AU25" s="13" t="str">
        <f>IF(AU$4="Yes",INDEX(List!$E$2:$CD$173,MATCH('Selection Pane Data'!$B25,List!$E$2:$E$173,0),MATCH('Selection Pane Data'!AU$3,List!$E$2:$CD$2,0)),"")</f>
        <v/>
      </c>
      <c r="AV25" s="13" t="str">
        <f>IF(AV$4="Yes",INDEX(List!$E$2:$CD$173,MATCH('Selection Pane Data'!$B25,List!$E$2:$E$173,0),MATCH('Selection Pane Data'!AV$3,List!$E$2:$CD$2,0)),"")</f>
        <v/>
      </c>
      <c r="AW25" s="13" t="str">
        <f>IF(AW$4="Yes",INDEX(List!$E$2:$CD$173,MATCH('Selection Pane Data'!$B25,List!$E$2:$E$173,0),MATCH('Selection Pane Data'!AW$3,List!$E$2:$CD$2,0)),"")</f>
        <v/>
      </c>
      <c r="AX25" s="13" t="str">
        <f>IF(AX$4="Yes",INDEX(List!$E$2:$CD$173,MATCH('Selection Pane Data'!$B25,List!$E$2:$E$173,0),MATCH('Selection Pane Data'!AX$3,List!$E$2:$CD$2,0)),"")</f>
        <v/>
      </c>
      <c r="AY25" s="13" t="str">
        <f>IF(AY$4="Yes",INDEX(List!$E$2:$CD$173,MATCH('Selection Pane Data'!$B25,List!$E$2:$E$173,0),MATCH('Selection Pane Data'!AY$3,List!$E$2:$CD$2,0)),"")</f>
        <v/>
      </c>
      <c r="AZ25" s="13" t="str">
        <f>IF(AZ$4="Yes",INDEX(List!$E$2:$CD$173,MATCH('Selection Pane Data'!$B25,List!$E$2:$E$173,0),MATCH('Selection Pane Data'!AZ$3,List!$E$2:$CD$2,0)),"")</f>
        <v/>
      </c>
      <c r="BA25" s="13" t="str">
        <f>IF(BA$4="Yes",INDEX(List!$E$2:$CD$173,MATCH('Selection Pane Data'!$B25,List!$E$2:$E$173,0),MATCH('Selection Pane Data'!BA$3,List!$E$2:$CD$2,0)),"")</f>
        <v/>
      </c>
      <c r="BB25" s="13" t="str">
        <f>IF(BB$4="Yes",INDEX(List!$E$2:$CD$173,MATCH('Selection Pane Data'!$B25,List!$E$2:$E$173,0),MATCH('Selection Pane Data'!BB$3,List!$E$2:$CD$2,0)),"")</f>
        <v/>
      </c>
      <c r="BC25" s="13" t="str">
        <f>IF(BC$4="Yes",INDEX(List!$E$2:$CD$173,MATCH('Selection Pane Data'!$B25,List!$E$2:$E$173,0),MATCH('Selection Pane Data'!BC$3,List!$E$2:$CD$2,0)),"")</f>
        <v/>
      </c>
      <c r="BD25" s="13" t="str">
        <f>IF(BD$4="Yes",INDEX(List!$E$2:$CD$173,MATCH('Selection Pane Data'!$B25,List!$E$2:$E$173,0),MATCH('Selection Pane Data'!BD$3,List!$E$2:$CD$2,0)),"")</f>
        <v/>
      </c>
      <c r="BE25" s="13" t="str">
        <f>IF(BE$4="Yes",INDEX(List!$E$2:$CD$173,MATCH('Selection Pane Data'!$B25,List!$E$2:$E$173,0),MATCH('Selection Pane Data'!BE$3,List!$E$2:$CD$2,0)),"")</f>
        <v/>
      </c>
      <c r="BF25" s="13" t="str">
        <f>IF(BF$4="Yes",INDEX(List!$E$2:$CD$173,MATCH('Selection Pane Data'!$B25,List!$E$2:$E$173,0),MATCH('Selection Pane Data'!BF$3,List!$E$2:$CD$2,0)),"")</f>
        <v/>
      </c>
      <c r="BG25" s="13" t="str">
        <f>IF(BG$4="Yes",INDEX(List!$E$2:$CD$173,MATCH('Selection Pane Data'!$B25,List!$E$2:$E$173,0),MATCH('Selection Pane Data'!BG$3,List!$E$2:$CD$2,0)),"")</f>
        <v/>
      </c>
      <c r="BH25" s="13" t="str">
        <f>IF(BH$4="Yes",INDEX(List!$E$2:$CD$173,MATCH('Selection Pane Data'!$B25,List!$E$2:$E$173,0),MATCH('Selection Pane Data'!BH$3,List!$E$2:$CD$2,0)),"")</f>
        <v/>
      </c>
      <c r="BI25" s="13" t="str">
        <f>IF(BI$4="Yes",INDEX(List!$E$2:$CD$173,MATCH('Selection Pane Data'!$B25,List!$E$2:$E$173,0),MATCH('Selection Pane Data'!BI$3,List!$E$2:$CD$2,0)),"")</f>
        <v/>
      </c>
      <c r="BJ25" s="13" t="str">
        <f>IF(BJ$4="Yes",INDEX(List!$E$2:$CD$173,MATCH('Selection Pane Data'!$B25,List!$E$2:$E$173,0),MATCH('Selection Pane Data'!BJ$3,List!$E$2:$CD$2,0)),"")</f>
        <v/>
      </c>
      <c r="BK25" s="13" t="str">
        <f>IF(BK$4="Yes",INDEX(List!$E$2:$CD$173,MATCH('Selection Pane Data'!$B25,List!$E$2:$E$173,0),MATCH('Selection Pane Data'!BK$3,List!$E$2:$CD$2,0)),"")</f>
        <v/>
      </c>
      <c r="BL25" s="13" t="str">
        <f>IF(BL$4="Yes",INDEX(List!$E$2:$CD$173,MATCH('Selection Pane Data'!$B25,List!$E$2:$E$173,0),MATCH('Selection Pane Data'!BL$3,List!$E$2:$CD$2,0)),"")</f>
        <v/>
      </c>
      <c r="BM25" s="13" t="str">
        <f>IF(BM$4="Yes",INDEX(List!$E$2:$CD$173,MATCH('Selection Pane Data'!$B25,List!$E$2:$E$173,0),MATCH('Selection Pane Data'!BM$3,List!$E$2:$CD$2,0)),"")</f>
        <v/>
      </c>
      <c r="BN25" s="13" t="str">
        <f>IF(BN$4="Yes",INDEX(List!$E$2:$CD$173,MATCH('Selection Pane Data'!$B25,List!$E$2:$E$173,0),MATCH('Selection Pane Data'!BN$3,List!$E$2:$CD$2,0)),"")</f>
        <v/>
      </c>
      <c r="BO25" s="13" t="str">
        <f>IF(BO$4="Yes",INDEX(List!$E$2:$CD$173,MATCH('Selection Pane Data'!$B25,List!$E$2:$E$173,0),MATCH('Selection Pane Data'!BO$3,List!$E$2:$CD$2,0)),"")</f>
        <v/>
      </c>
      <c r="BP25" s="13" t="str">
        <f>IF(BP$4="Yes",INDEX(List!$E$2:$CD$173,MATCH('Selection Pane Data'!$B25,List!$E$2:$E$173,0),MATCH('Selection Pane Data'!BP$3,List!$E$2:$CD$2,0)),"")</f>
        <v/>
      </c>
      <c r="BQ25" s="13" t="str">
        <f>IF(BQ$4="Yes",INDEX(List!$E$2:$CD$173,MATCH('Selection Pane Data'!$B25,List!$E$2:$E$173,0),MATCH('Selection Pane Data'!BQ$3,List!$E$2:$CD$2,0)),"")</f>
        <v/>
      </c>
      <c r="BR25" s="13" t="str">
        <f>IF(BR$4="Yes",INDEX(List!$E$2:$CD$173,MATCH('Selection Pane Data'!$B25,List!$E$2:$E$173,0),MATCH('Selection Pane Data'!BR$3,List!$E$2:$CD$2,0)),"")</f>
        <v/>
      </c>
      <c r="BS25" s="13" t="str">
        <f>IF(BS$4="Yes",INDEX(List!$E$2:$CD$173,MATCH('Selection Pane Data'!$B25,List!$E$2:$E$173,0),MATCH('Selection Pane Data'!BS$3,List!$E$2:$CD$2,0)),"")</f>
        <v/>
      </c>
      <c r="BT25" s="13" t="str">
        <f>IF(BT$4="Yes",INDEX(List!$E$2:$CD$173,MATCH('Selection Pane Data'!$B25,List!$E$2:$E$173,0),MATCH('Selection Pane Data'!BT$3,List!$E$2:$CD$2,0)),"")</f>
        <v/>
      </c>
      <c r="BU25" s="13" t="str">
        <f>IF(BU$4="Yes",INDEX(List!$E$2:$CD$173,MATCH('Selection Pane Data'!$B25,List!$E$2:$E$173,0),MATCH('Selection Pane Data'!BU$3,List!$E$2:$CD$2,0)),"")</f>
        <v/>
      </c>
      <c r="BV25" s="13" t="str">
        <f>IF(BV$4="Yes",INDEX(List!$E$2:$CD$173,MATCH('Selection Pane Data'!$B25,List!$E$2:$E$173,0),MATCH('Selection Pane Data'!BV$3,List!$E$2:$CD$2,0)),"")</f>
        <v/>
      </c>
      <c r="BW25" s="13" t="str">
        <f>IF(BW$4="Yes",INDEX(List!$E$2:$CD$173,MATCH('Selection Pane Data'!$B25,List!$E$2:$E$173,0),MATCH('Selection Pane Data'!BW$3,List!$E$2:$CD$2,0)),"")</f>
        <v/>
      </c>
      <c r="BX25" s="13" t="str">
        <f>IF(BX$4="Yes",INDEX(List!$E$2:$CD$173,MATCH('Selection Pane Data'!$B25,List!$E$2:$E$173,0),MATCH('Selection Pane Data'!BX$3,List!$E$2:$CD$2,0)),"")</f>
        <v/>
      </c>
      <c r="BY25" s="13" t="str">
        <f>IF(BY$4="Yes",INDEX(List!$E$2:$CD$173,MATCH('Selection Pane Data'!$B25,List!$E$2:$E$173,0),MATCH('Selection Pane Data'!BY$3,List!$E$2:$CD$2,0)),"")</f>
        <v/>
      </c>
      <c r="BZ25" s="13" t="str">
        <f>IF(BZ$4="Yes",INDEX(List!$E$2:$CD$173,MATCH('Selection Pane Data'!$B25,List!$E$2:$E$173,0),MATCH('Selection Pane Data'!BZ$3,List!$E$2:$CD$2,0)),"")</f>
        <v/>
      </c>
      <c r="CA25" s="13" t="str">
        <f>IF(CA$4="Yes",INDEX(List!$E$2:$CD$173,MATCH('Selection Pane Data'!$B25,List!$E$2:$E$173,0),MATCH('Selection Pane Data'!CA$3,List!$E$2:$CD$2,0)),"")</f>
        <v/>
      </c>
      <c r="CB25" s="13" t="str">
        <f>IF(CB$4="Yes",INDEX(List!$E$2:$CD$173,MATCH('Selection Pane Data'!$B25,List!$E$2:$E$173,0),MATCH('Selection Pane Data'!CB$3,List!$E$2:$CD$2,0)),"")</f>
        <v/>
      </c>
      <c r="CC25" s="13" t="str">
        <f>IF(CC$4="Yes",INDEX(List!$E$2:$CD$173,MATCH('Selection Pane Data'!$B25,List!$E$2:$E$173,0),MATCH('Selection Pane Data'!CC$3,List!$E$2:$CD$2,0)),"")</f>
        <v/>
      </c>
      <c r="CD25" s="13" t="str">
        <f>IF(CD$4="Yes",INDEX(List!$E$2:$CD$173,MATCH('Selection Pane Data'!$B25,List!$E$2:$E$173,0),MATCH('Selection Pane Data'!CD$3,List!$E$2:$CD$2,0)),"")</f>
        <v/>
      </c>
      <c r="CE25" s="13" t="str">
        <f>IF(CE$4="Yes",INDEX(List!$E$2:$CD$173,MATCH('Selection Pane Data'!$B25,List!$E$2:$E$173,0),MATCH('Selection Pane Data'!CE$3,List!$E$2:$CD$2,0)),"")</f>
        <v/>
      </c>
    </row>
    <row r="26" spans="2:83" x14ac:dyDescent="0.35">
      <c r="B26" s="21" t="s">
        <v>313</v>
      </c>
      <c r="C26" s="126" t="str">
        <f>VLOOKUP(B26,List!$E$2:$G$173,2,FALSE)</f>
        <v>AC.L2-3.1.19</v>
      </c>
      <c r="D26" s="31" t="str">
        <f>List!G24</f>
        <v>Shared Coverage</v>
      </c>
      <c r="E26" s="31" t="str">
        <f>IF(Placemat!$F$4="All Practices","All Practices",IF(VLOOKUP(B26,Table7[#All],6,FALSE)="No Mapping","New CMMC Practices","Practices with NIST 800-171 Mappings"))</f>
        <v>Practices with NIST 800-171 Mappings</v>
      </c>
      <c r="F26" t="str">
        <f>INDEX('CMMC Levels'!$A$1:$F$172,MATCH('Selection Pane Data'!$C26,'CMMC Levels'!$A$1:$A$172,0),MATCH(Placemat!$F$4,'CMMC Levels'!$A$1:$F$1,0))</f>
        <v>X</v>
      </c>
      <c r="G26" s="77" t="str">
        <f>IF((COUNTIF(List!H24:CE24,"P")+COUNTIF(List!H24:CE24,"S"))=0,"N",IF(COUNTIF(H26:CE26,"P"),"P",IF(COUNTIF(H26:CE26,"S"),"S","U")))</f>
        <v>U</v>
      </c>
      <c r="H26" s="13" t="str">
        <f>IF(H$4="Yes",INDEX(List!$E$2:$CD$173,MATCH('Selection Pane Data'!$B26,List!$E$2:$E$173,0),MATCH('Selection Pane Data'!H$3,List!$E$2:$CD$2,0)),"")</f>
        <v/>
      </c>
      <c r="I26" s="13" t="str">
        <f>IF(I$4="Yes",INDEX(List!$E$2:$CD$173,MATCH('Selection Pane Data'!$B26,List!$E$2:$E$173,0),MATCH('Selection Pane Data'!I$3,List!$E$2:$CD$2,0)),"")</f>
        <v/>
      </c>
      <c r="J26" s="13" t="str">
        <f>IF(J$4="Yes",INDEX(List!$E$2:$CD$173,MATCH('Selection Pane Data'!$B26,List!$E$2:$E$173,0),MATCH('Selection Pane Data'!J$3,List!$E$2:$CD$2,0)),"")</f>
        <v>N</v>
      </c>
      <c r="K26" s="13" t="str">
        <f>IF(K$4="Yes",INDEX(List!$E$2:$CD$173,MATCH('Selection Pane Data'!$B26,List!$E$2:$E$173,0),MATCH('Selection Pane Data'!K$3,List!$E$2:$CD$2,0)),"")</f>
        <v/>
      </c>
      <c r="L26" s="13" t="str">
        <f>IF(L$4="Yes",INDEX(List!$E$2:$CD$173,MATCH('Selection Pane Data'!$B26,List!$E$2:$E$173,0),MATCH('Selection Pane Data'!L$3,List!$E$2:$CD$2,0)),"")</f>
        <v/>
      </c>
      <c r="M26" s="13" t="str">
        <f>IF(M$4="Yes",INDEX(List!$E$2:$CD$173,MATCH('Selection Pane Data'!$B26,List!$E$2:$E$173,0),MATCH('Selection Pane Data'!M$3,List!$E$2:$CD$2,0)),"")</f>
        <v/>
      </c>
      <c r="N26" s="13" t="str">
        <f>IF(N$4="Yes",INDEX(List!$E$2:$CD$173,MATCH('Selection Pane Data'!$B26,List!$E$2:$E$173,0),MATCH('Selection Pane Data'!N$3,List!$E$2:$CD$2,0)),"")</f>
        <v/>
      </c>
      <c r="O26" s="13" t="str">
        <f>IF(O$4="Yes",INDEX(List!$E$2:$CD$173,MATCH('Selection Pane Data'!$B26,List!$E$2:$E$173,0),MATCH('Selection Pane Data'!O$3,List!$E$2:$CD$2,0)),"")</f>
        <v/>
      </c>
      <c r="P26" s="13" t="str">
        <f>IF(P$4="Yes",INDEX(List!$E$2:$CD$173,MATCH('Selection Pane Data'!$B26,List!$E$2:$E$173,0),MATCH('Selection Pane Data'!P$3,List!$E$2:$CD$2,0)),"")</f>
        <v/>
      </c>
      <c r="Q26" s="13" t="str">
        <f>IF(Q$4="Yes",INDEX(List!$E$2:$CD$173,MATCH('Selection Pane Data'!$B26,List!$E$2:$E$173,0),MATCH('Selection Pane Data'!Q$3,List!$E$2:$CD$2,0)),"")</f>
        <v/>
      </c>
      <c r="R26" s="13" t="str">
        <f>IF(R$4="Yes",INDEX(List!$E$2:$CD$173,MATCH('Selection Pane Data'!$B26,List!$E$2:$E$173,0),MATCH('Selection Pane Data'!R$3,List!$E$2:$CD$2,0)),"")</f>
        <v/>
      </c>
      <c r="S26" s="13" t="str">
        <f>IF(S$4="Yes",INDEX(List!$E$2:$CD$173,MATCH('Selection Pane Data'!$B26,List!$E$2:$E$173,0),MATCH('Selection Pane Data'!S$3,List!$E$2:$CD$2,0)),"")</f>
        <v/>
      </c>
      <c r="T26" s="13" t="str">
        <f>IF(T$4="Yes",INDEX(List!$E$2:$CD$173,MATCH('Selection Pane Data'!$B26,List!$E$2:$E$173,0),MATCH('Selection Pane Data'!T$3,List!$E$2:$CD$2,0)),"")</f>
        <v/>
      </c>
      <c r="U26" s="13" t="str">
        <f>IF(U$4="Yes",INDEX(List!$E$2:$CD$173,MATCH('Selection Pane Data'!$B26,List!$E$2:$E$173,0),MATCH('Selection Pane Data'!U$3,List!$E$2:$CD$2,0)),"")</f>
        <v/>
      </c>
      <c r="V26" s="13" t="str">
        <f>IF(V$4="Yes",INDEX(List!$E$2:$CD$173,MATCH('Selection Pane Data'!$B26,List!$E$2:$E$173,0),MATCH('Selection Pane Data'!V$3,List!$E$2:$CD$2,0)),"")</f>
        <v/>
      </c>
      <c r="W26" s="13" t="str">
        <f>IF(W$4="Yes",INDEX(List!$E$2:$CD$173,MATCH('Selection Pane Data'!$B26,List!$E$2:$E$173,0),MATCH('Selection Pane Data'!W$3,List!$E$2:$CD$2,0)),"")</f>
        <v/>
      </c>
      <c r="X26" s="13" t="str">
        <f>IF(X$4="Yes",INDEX(List!$E$2:$CD$173,MATCH('Selection Pane Data'!$B26,List!$E$2:$E$173,0),MATCH('Selection Pane Data'!X$3,List!$E$2:$CD$2,0)),"")</f>
        <v/>
      </c>
      <c r="Y26" s="13" t="str">
        <f>IF(Y$4="Yes",INDEX(List!$E$2:$CD$173,MATCH('Selection Pane Data'!$B26,List!$E$2:$E$173,0),MATCH('Selection Pane Data'!Y$3,List!$E$2:$CD$2,0)),"")</f>
        <v/>
      </c>
      <c r="Z26" s="13" t="str">
        <f>IF(Z$4="Yes",INDEX(List!$E$2:$CD$173,MATCH('Selection Pane Data'!$B26,List!$E$2:$E$173,0),MATCH('Selection Pane Data'!Z$3,List!$E$2:$CD$2,0)),"")</f>
        <v/>
      </c>
      <c r="AA26" s="13" t="str">
        <f>IF(AA$4="Yes",INDEX(List!$E$2:$CD$173,MATCH('Selection Pane Data'!$B26,List!$E$2:$E$173,0),MATCH('Selection Pane Data'!AA$3,List!$E$2:$CD$2,0)),"")</f>
        <v>N</v>
      </c>
      <c r="AB26" s="13" t="str">
        <f>IF(AB$4="Yes",INDEX(List!$E$2:$CD$173,MATCH('Selection Pane Data'!$B26,List!$E$2:$E$173,0),MATCH('Selection Pane Data'!AB$3,List!$E$2:$CD$2,0)),"")</f>
        <v/>
      </c>
      <c r="AC26" s="13" t="str">
        <f>IF(AC$4="Yes",INDEX(List!$E$2:$CD$173,MATCH('Selection Pane Data'!$B26,List!$E$2:$E$173,0),MATCH('Selection Pane Data'!AC$3,List!$E$2:$CD$2,0)),"")</f>
        <v/>
      </c>
      <c r="AD26" s="13" t="str">
        <f>IF(AD$4="Yes",INDEX(List!$E$2:$CD$173,MATCH('Selection Pane Data'!$B26,List!$E$2:$E$173,0),MATCH('Selection Pane Data'!AD$3,List!$E$2:$CD$2,0)),"")</f>
        <v/>
      </c>
      <c r="AE26" s="13" t="str">
        <f>IF(AE$4="Yes",INDEX(List!$E$2:$CD$173,MATCH('Selection Pane Data'!$B26,List!$E$2:$E$173,0),MATCH('Selection Pane Data'!AE$3,List!$E$2:$CD$2,0)),"")</f>
        <v/>
      </c>
      <c r="AF26" s="13" t="str">
        <f>IF(AF$4="Yes",INDEX(List!$E$2:$CD$173,MATCH('Selection Pane Data'!$B26,List!$E$2:$E$173,0),MATCH('Selection Pane Data'!AF$3,List!$E$2:$CD$2,0)),"")</f>
        <v/>
      </c>
      <c r="AG26" s="13" t="str">
        <f>IF(AG$4="Yes",INDEX(List!$E$2:$CD$173,MATCH('Selection Pane Data'!$B26,List!$E$2:$E$173,0),MATCH('Selection Pane Data'!AG$3,List!$E$2:$CD$2,0)),"")</f>
        <v/>
      </c>
      <c r="AH26" s="13" t="str">
        <f>IF(AH$4="Yes",INDEX(List!$E$2:$CD$173,MATCH('Selection Pane Data'!$B26,List!$E$2:$E$173,0),MATCH('Selection Pane Data'!AH$3,List!$E$2:$CD$2,0)),"")</f>
        <v/>
      </c>
      <c r="AI26" s="13" t="str">
        <f>IF(AI$4="Yes",INDEX(List!$E$2:$CD$173,MATCH('Selection Pane Data'!$B26,List!$E$2:$E$173,0),MATCH('Selection Pane Data'!AI$3,List!$E$2:$CD$2,0)),"")</f>
        <v/>
      </c>
      <c r="AJ26" s="13" t="str">
        <f>IF(AJ$4="Yes",INDEX(List!$E$2:$CD$173,MATCH('Selection Pane Data'!$B26,List!$E$2:$E$173,0),MATCH('Selection Pane Data'!AJ$3,List!$E$2:$CD$2,0)),"")</f>
        <v/>
      </c>
      <c r="AK26" s="13" t="str">
        <f>IF(AK$4="Yes",INDEX(List!$E$2:$CD$173,MATCH('Selection Pane Data'!$B26,List!$E$2:$E$173,0),MATCH('Selection Pane Data'!AK$3,List!$E$2:$CD$2,0)),"")</f>
        <v/>
      </c>
      <c r="AL26" s="13" t="str">
        <f>IF(AL$4="Yes",INDEX(List!$E$2:$CD$173,MATCH('Selection Pane Data'!$B26,List!$E$2:$E$173,0),MATCH('Selection Pane Data'!AL$3,List!$E$2:$CD$2,0)),"")</f>
        <v/>
      </c>
      <c r="AM26" s="13" t="str">
        <f>IF(AM$4="Yes",INDEX(List!$E$2:$CD$173,MATCH('Selection Pane Data'!$B26,List!$E$2:$E$173,0),MATCH('Selection Pane Data'!AM$3,List!$E$2:$CD$2,0)),"")</f>
        <v/>
      </c>
      <c r="AN26" s="13" t="str">
        <f>IF(AN$4="Yes",INDEX(List!$E$2:$CD$173,MATCH('Selection Pane Data'!$B26,List!$E$2:$E$173,0),MATCH('Selection Pane Data'!AN$3,List!$E$2:$CD$2,0)),"")</f>
        <v/>
      </c>
      <c r="AO26" s="13" t="str">
        <f>IF(AO$4="Yes",INDEX(List!$E$2:$CD$173,MATCH('Selection Pane Data'!$B26,List!$E$2:$E$173,0),MATCH('Selection Pane Data'!AO$3,List!$E$2:$CD$2,0)),"")</f>
        <v/>
      </c>
      <c r="AP26" s="13" t="str">
        <f>IF(AP$4="Yes",INDEX(List!$E$2:$CD$173,MATCH('Selection Pane Data'!$B26,List!$E$2:$E$173,0),MATCH('Selection Pane Data'!AP$3,List!$E$2:$CD$2,0)),"")</f>
        <v/>
      </c>
      <c r="AQ26" s="13" t="str">
        <f>IF(AQ$4="Yes",INDEX(List!$E$2:$CD$173,MATCH('Selection Pane Data'!$B26,List!$E$2:$E$173,0),MATCH('Selection Pane Data'!AQ$3,List!$E$2:$CD$2,0)),"")</f>
        <v/>
      </c>
      <c r="AR26" s="13" t="str">
        <f>IF(AR$4="Yes",INDEX(List!$E$2:$CD$173,MATCH('Selection Pane Data'!$B26,List!$E$2:$E$173,0),MATCH('Selection Pane Data'!AR$3,List!$E$2:$CD$2,0)),"")</f>
        <v/>
      </c>
      <c r="AS26" s="13" t="str">
        <f>IF(AS$4="Yes",INDEX(List!$E$2:$CD$173,MATCH('Selection Pane Data'!$B26,List!$E$2:$E$173,0),MATCH('Selection Pane Data'!AS$3,List!$E$2:$CD$2,0)),"")</f>
        <v/>
      </c>
      <c r="AT26" s="13" t="str">
        <f>IF(AT$4="Yes",INDEX(List!$E$2:$CD$173,MATCH('Selection Pane Data'!$B26,List!$E$2:$E$173,0),MATCH('Selection Pane Data'!AT$3,List!$E$2:$CD$2,0)),"")</f>
        <v/>
      </c>
      <c r="AU26" s="13" t="str">
        <f>IF(AU$4="Yes",INDEX(List!$E$2:$CD$173,MATCH('Selection Pane Data'!$B26,List!$E$2:$E$173,0),MATCH('Selection Pane Data'!AU$3,List!$E$2:$CD$2,0)),"")</f>
        <v/>
      </c>
      <c r="AV26" s="13" t="str">
        <f>IF(AV$4="Yes",INDEX(List!$E$2:$CD$173,MATCH('Selection Pane Data'!$B26,List!$E$2:$E$173,0),MATCH('Selection Pane Data'!AV$3,List!$E$2:$CD$2,0)),"")</f>
        <v/>
      </c>
      <c r="AW26" s="13" t="str">
        <f>IF(AW$4="Yes",INDEX(List!$E$2:$CD$173,MATCH('Selection Pane Data'!$B26,List!$E$2:$E$173,0),MATCH('Selection Pane Data'!AW$3,List!$E$2:$CD$2,0)),"")</f>
        <v/>
      </c>
      <c r="AX26" s="13" t="str">
        <f>IF(AX$4="Yes",INDEX(List!$E$2:$CD$173,MATCH('Selection Pane Data'!$B26,List!$E$2:$E$173,0),MATCH('Selection Pane Data'!AX$3,List!$E$2:$CD$2,0)),"")</f>
        <v/>
      </c>
      <c r="AY26" s="13" t="str">
        <f>IF(AY$4="Yes",INDEX(List!$E$2:$CD$173,MATCH('Selection Pane Data'!$B26,List!$E$2:$E$173,0),MATCH('Selection Pane Data'!AY$3,List!$E$2:$CD$2,0)),"")</f>
        <v/>
      </c>
      <c r="AZ26" s="13" t="str">
        <f>IF(AZ$4="Yes",INDEX(List!$E$2:$CD$173,MATCH('Selection Pane Data'!$B26,List!$E$2:$E$173,0),MATCH('Selection Pane Data'!AZ$3,List!$E$2:$CD$2,0)),"")</f>
        <v/>
      </c>
      <c r="BA26" s="13" t="str">
        <f>IF(BA$4="Yes",INDEX(List!$E$2:$CD$173,MATCH('Selection Pane Data'!$B26,List!$E$2:$E$173,0),MATCH('Selection Pane Data'!BA$3,List!$E$2:$CD$2,0)),"")</f>
        <v/>
      </c>
      <c r="BB26" s="13" t="str">
        <f>IF(BB$4="Yes",INDEX(List!$E$2:$CD$173,MATCH('Selection Pane Data'!$B26,List!$E$2:$E$173,0),MATCH('Selection Pane Data'!BB$3,List!$E$2:$CD$2,0)),"")</f>
        <v/>
      </c>
      <c r="BC26" s="13" t="str">
        <f>IF(BC$4="Yes",INDEX(List!$E$2:$CD$173,MATCH('Selection Pane Data'!$B26,List!$E$2:$E$173,0),MATCH('Selection Pane Data'!BC$3,List!$E$2:$CD$2,0)),"")</f>
        <v/>
      </c>
      <c r="BD26" s="13" t="str">
        <f>IF(BD$4="Yes",INDEX(List!$E$2:$CD$173,MATCH('Selection Pane Data'!$B26,List!$E$2:$E$173,0),MATCH('Selection Pane Data'!BD$3,List!$E$2:$CD$2,0)),"")</f>
        <v/>
      </c>
      <c r="BE26" s="13" t="str">
        <f>IF(BE$4="Yes",INDEX(List!$E$2:$CD$173,MATCH('Selection Pane Data'!$B26,List!$E$2:$E$173,0),MATCH('Selection Pane Data'!BE$3,List!$E$2:$CD$2,0)),"")</f>
        <v/>
      </c>
      <c r="BF26" s="13" t="str">
        <f>IF(BF$4="Yes",INDEX(List!$E$2:$CD$173,MATCH('Selection Pane Data'!$B26,List!$E$2:$E$173,0),MATCH('Selection Pane Data'!BF$3,List!$E$2:$CD$2,0)),"")</f>
        <v/>
      </c>
      <c r="BG26" s="13" t="str">
        <f>IF(BG$4="Yes",INDEX(List!$E$2:$CD$173,MATCH('Selection Pane Data'!$B26,List!$E$2:$E$173,0),MATCH('Selection Pane Data'!BG$3,List!$E$2:$CD$2,0)),"")</f>
        <v/>
      </c>
      <c r="BH26" s="13" t="str">
        <f>IF(BH$4="Yes",INDEX(List!$E$2:$CD$173,MATCH('Selection Pane Data'!$B26,List!$E$2:$E$173,0),MATCH('Selection Pane Data'!BH$3,List!$E$2:$CD$2,0)),"")</f>
        <v/>
      </c>
      <c r="BI26" s="13" t="str">
        <f>IF(BI$4="Yes",INDEX(List!$E$2:$CD$173,MATCH('Selection Pane Data'!$B26,List!$E$2:$E$173,0),MATCH('Selection Pane Data'!BI$3,List!$E$2:$CD$2,0)),"")</f>
        <v/>
      </c>
      <c r="BJ26" s="13" t="str">
        <f>IF(BJ$4="Yes",INDEX(List!$E$2:$CD$173,MATCH('Selection Pane Data'!$B26,List!$E$2:$E$173,0),MATCH('Selection Pane Data'!BJ$3,List!$E$2:$CD$2,0)),"")</f>
        <v/>
      </c>
      <c r="BK26" s="13" t="str">
        <f>IF(BK$4="Yes",INDEX(List!$E$2:$CD$173,MATCH('Selection Pane Data'!$B26,List!$E$2:$E$173,0),MATCH('Selection Pane Data'!BK$3,List!$E$2:$CD$2,0)),"")</f>
        <v/>
      </c>
      <c r="BL26" s="13" t="str">
        <f>IF(BL$4="Yes",INDEX(List!$E$2:$CD$173,MATCH('Selection Pane Data'!$B26,List!$E$2:$E$173,0),MATCH('Selection Pane Data'!BL$3,List!$E$2:$CD$2,0)),"")</f>
        <v/>
      </c>
      <c r="BM26" s="13" t="str">
        <f>IF(BM$4="Yes",INDEX(List!$E$2:$CD$173,MATCH('Selection Pane Data'!$B26,List!$E$2:$E$173,0),MATCH('Selection Pane Data'!BM$3,List!$E$2:$CD$2,0)),"")</f>
        <v/>
      </c>
      <c r="BN26" s="13" t="str">
        <f>IF(BN$4="Yes",INDEX(List!$E$2:$CD$173,MATCH('Selection Pane Data'!$B26,List!$E$2:$E$173,0),MATCH('Selection Pane Data'!BN$3,List!$E$2:$CD$2,0)),"")</f>
        <v/>
      </c>
      <c r="BO26" s="13" t="str">
        <f>IF(BO$4="Yes",INDEX(List!$E$2:$CD$173,MATCH('Selection Pane Data'!$B26,List!$E$2:$E$173,0),MATCH('Selection Pane Data'!BO$3,List!$E$2:$CD$2,0)),"")</f>
        <v/>
      </c>
      <c r="BP26" s="13" t="str">
        <f>IF(BP$4="Yes",INDEX(List!$E$2:$CD$173,MATCH('Selection Pane Data'!$B26,List!$E$2:$E$173,0),MATCH('Selection Pane Data'!BP$3,List!$E$2:$CD$2,0)),"")</f>
        <v/>
      </c>
      <c r="BQ26" s="13" t="str">
        <f>IF(BQ$4="Yes",INDEX(List!$E$2:$CD$173,MATCH('Selection Pane Data'!$B26,List!$E$2:$E$173,0),MATCH('Selection Pane Data'!BQ$3,List!$E$2:$CD$2,0)),"")</f>
        <v/>
      </c>
      <c r="BR26" s="13" t="str">
        <f>IF(BR$4="Yes",INDEX(List!$E$2:$CD$173,MATCH('Selection Pane Data'!$B26,List!$E$2:$E$173,0),MATCH('Selection Pane Data'!BR$3,List!$E$2:$CD$2,0)),"")</f>
        <v/>
      </c>
      <c r="BS26" s="13" t="str">
        <f>IF(BS$4="Yes",INDEX(List!$E$2:$CD$173,MATCH('Selection Pane Data'!$B26,List!$E$2:$E$173,0),MATCH('Selection Pane Data'!BS$3,List!$E$2:$CD$2,0)),"")</f>
        <v/>
      </c>
      <c r="BT26" s="13" t="str">
        <f>IF(BT$4="Yes",INDEX(List!$E$2:$CD$173,MATCH('Selection Pane Data'!$B26,List!$E$2:$E$173,0),MATCH('Selection Pane Data'!BT$3,List!$E$2:$CD$2,0)),"")</f>
        <v/>
      </c>
      <c r="BU26" s="13" t="str">
        <f>IF(BU$4="Yes",INDEX(List!$E$2:$CD$173,MATCH('Selection Pane Data'!$B26,List!$E$2:$E$173,0),MATCH('Selection Pane Data'!BU$3,List!$E$2:$CD$2,0)),"")</f>
        <v/>
      </c>
      <c r="BV26" s="13" t="str">
        <f>IF(BV$4="Yes",INDEX(List!$E$2:$CD$173,MATCH('Selection Pane Data'!$B26,List!$E$2:$E$173,0),MATCH('Selection Pane Data'!BV$3,List!$E$2:$CD$2,0)),"")</f>
        <v/>
      </c>
      <c r="BW26" s="13" t="str">
        <f>IF(BW$4="Yes",INDEX(List!$E$2:$CD$173,MATCH('Selection Pane Data'!$B26,List!$E$2:$E$173,0),MATCH('Selection Pane Data'!BW$3,List!$E$2:$CD$2,0)),"")</f>
        <v/>
      </c>
      <c r="BX26" s="13" t="str">
        <f>IF(BX$4="Yes",INDEX(List!$E$2:$CD$173,MATCH('Selection Pane Data'!$B26,List!$E$2:$E$173,0),MATCH('Selection Pane Data'!BX$3,List!$E$2:$CD$2,0)),"")</f>
        <v/>
      </c>
      <c r="BY26" s="13" t="str">
        <f>IF(BY$4="Yes",INDEX(List!$E$2:$CD$173,MATCH('Selection Pane Data'!$B26,List!$E$2:$E$173,0),MATCH('Selection Pane Data'!BY$3,List!$E$2:$CD$2,0)),"")</f>
        <v/>
      </c>
      <c r="BZ26" s="13" t="str">
        <f>IF(BZ$4="Yes",INDEX(List!$E$2:$CD$173,MATCH('Selection Pane Data'!$B26,List!$E$2:$E$173,0),MATCH('Selection Pane Data'!BZ$3,List!$E$2:$CD$2,0)),"")</f>
        <v/>
      </c>
      <c r="CA26" s="13" t="str">
        <f>IF(CA$4="Yes",INDEX(List!$E$2:$CD$173,MATCH('Selection Pane Data'!$B26,List!$E$2:$E$173,0),MATCH('Selection Pane Data'!CA$3,List!$E$2:$CD$2,0)),"")</f>
        <v/>
      </c>
      <c r="CB26" s="13" t="str">
        <f>IF(CB$4="Yes",INDEX(List!$E$2:$CD$173,MATCH('Selection Pane Data'!$B26,List!$E$2:$E$173,0),MATCH('Selection Pane Data'!CB$3,List!$E$2:$CD$2,0)),"")</f>
        <v/>
      </c>
      <c r="CC26" s="13" t="str">
        <f>IF(CC$4="Yes",INDEX(List!$E$2:$CD$173,MATCH('Selection Pane Data'!$B26,List!$E$2:$E$173,0),MATCH('Selection Pane Data'!CC$3,List!$E$2:$CD$2,0)),"")</f>
        <v/>
      </c>
      <c r="CD26" s="13" t="str">
        <f>IF(CD$4="Yes",INDEX(List!$E$2:$CD$173,MATCH('Selection Pane Data'!$B26,List!$E$2:$E$173,0),MATCH('Selection Pane Data'!CD$3,List!$E$2:$CD$2,0)),"")</f>
        <v/>
      </c>
      <c r="CE26" s="13" t="str">
        <f>IF(CE$4="Yes",INDEX(List!$E$2:$CD$173,MATCH('Selection Pane Data'!$B26,List!$E$2:$E$173,0),MATCH('Selection Pane Data'!CE$3,List!$E$2:$CD$2,0)),"")</f>
        <v/>
      </c>
    </row>
    <row r="27" spans="2:83" x14ac:dyDescent="0.35">
      <c r="B27" s="21" t="s">
        <v>314</v>
      </c>
      <c r="C27" s="126" t="str">
        <f>VLOOKUP(B27,List!$E$2:$G$173,2,FALSE)</f>
        <v>AC.L3-1</v>
      </c>
      <c r="D27" s="31" t="str">
        <f>List!G25</f>
        <v>Not Applicable</v>
      </c>
      <c r="E27" s="31" t="str">
        <f>IF(Placemat!$F$4="All Practices","All Practices",IF(VLOOKUP(B27,Table7[#All],6,FALSE)="No Mapping","New CMMC Practices","Practices with NIST 800-171 Mappings"))</f>
        <v>Practices with NIST 800-171 Mappings</v>
      </c>
      <c r="F27" t="str">
        <f>INDEX('CMMC Levels'!$A$1:$F$172,MATCH('Selection Pane Data'!$C27,'CMMC Levels'!$A$1:$A$172,0),MATCH(Placemat!$F$4,'CMMC Levels'!$A$1:$F$1,0))</f>
        <v>N/A</v>
      </c>
      <c r="G27" s="77" t="str">
        <f>IF((COUNTIF(List!H25:CE25,"P")+COUNTIF(List!H25:CE25,"S"))=0,"N",IF(COUNTIF(H27:CE27,"P"),"P",IF(COUNTIF(H27:CE27,"S"),"S","U")))</f>
        <v>N</v>
      </c>
      <c r="H27" s="13" t="str">
        <f>IF(H$4="Yes",INDEX(List!$E$2:$CD$173,MATCH('Selection Pane Data'!$B27,List!$E$2:$E$173,0),MATCH('Selection Pane Data'!H$3,List!$E$2:$CD$2,0)),"")</f>
        <v/>
      </c>
      <c r="I27" s="13" t="str">
        <f>IF(I$4="Yes",INDEX(List!$E$2:$CD$173,MATCH('Selection Pane Data'!$B27,List!$E$2:$E$173,0),MATCH('Selection Pane Data'!I$3,List!$E$2:$CD$2,0)),"")</f>
        <v/>
      </c>
      <c r="J27" s="13" t="str">
        <f>IF(J$4="Yes",INDEX(List!$E$2:$CD$173,MATCH('Selection Pane Data'!$B27,List!$E$2:$E$173,0),MATCH('Selection Pane Data'!J$3,List!$E$2:$CD$2,0)),"")</f>
        <v>N</v>
      </c>
      <c r="K27" s="13" t="str">
        <f>IF(K$4="Yes",INDEX(List!$E$2:$CD$173,MATCH('Selection Pane Data'!$B27,List!$E$2:$E$173,0),MATCH('Selection Pane Data'!K$3,List!$E$2:$CD$2,0)),"")</f>
        <v/>
      </c>
      <c r="L27" s="13" t="str">
        <f>IF(L$4="Yes",INDEX(List!$E$2:$CD$173,MATCH('Selection Pane Data'!$B27,List!$E$2:$E$173,0),MATCH('Selection Pane Data'!L$3,List!$E$2:$CD$2,0)),"")</f>
        <v/>
      </c>
      <c r="M27" s="13" t="str">
        <f>IF(M$4="Yes",INDEX(List!$E$2:$CD$173,MATCH('Selection Pane Data'!$B27,List!$E$2:$E$173,0),MATCH('Selection Pane Data'!M$3,List!$E$2:$CD$2,0)),"")</f>
        <v/>
      </c>
      <c r="N27" s="13" t="str">
        <f>IF(N$4="Yes",INDEX(List!$E$2:$CD$173,MATCH('Selection Pane Data'!$B27,List!$E$2:$E$173,0),MATCH('Selection Pane Data'!N$3,List!$E$2:$CD$2,0)),"")</f>
        <v/>
      </c>
      <c r="O27" s="13" t="str">
        <f>IF(O$4="Yes",INDEX(List!$E$2:$CD$173,MATCH('Selection Pane Data'!$B27,List!$E$2:$E$173,0),MATCH('Selection Pane Data'!O$3,List!$E$2:$CD$2,0)),"")</f>
        <v/>
      </c>
      <c r="P27" s="13" t="str">
        <f>IF(P$4="Yes",INDEX(List!$E$2:$CD$173,MATCH('Selection Pane Data'!$B27,List!$E$2:$E$173,0),MATCH('Selection Pane Data'!P$3,List!$E$2:$CD$2,0)),"")</f>
        <v/>
      </c>
      <c r="Q27" s="13" t="str">
        <f>IF(Q$4="Yes",INDEX(List!$E$2:$CD$173,MATCH('Selection Pane Data'!$B27,List!$E$2:$E$173,0),MATCH('Selection Pane Data'!Q$3,List!$E$2:$CD$2,0)),"")</f>
        <v/>
      </c>
      <c r="R27" s="13" t="str">
        <f>IF(R$4="Yes",INDEX(List!$E$2:$CD$173,MATCH('Selection Pane Data'!$B27,List!$E$2:$E$173,0),MATCH('Selection Pane Data'!R$3,List!$E$2:$CD$2,0)),"")</f>
        <v/>
      </c>
      <c r="S27" s="13" t="str">
        <f>IF(S$4="Yes",INDEX(List!$E$2:$CD$173,MATCH('Selection Pane Data'!$B27,List!$E$2:$E$173,0),MATCH('Selection Pane Data'!S$3,List!$E$2:$CD$2,0)),"")</f>
        <v/>
      </c>
      <c r="T27" s="13" t="str">
        <f>IF(T$4="Yes",INDEX(List!$E$2:$CD$173,MATCH('Selection Pane Data'!$B27,List!$E$2:$E$173,0),MATCH('Selection Pane Data'!T$3,List!$E$2:$CD$2,0)),"")</f>
        <v/>
      </c>
      <c r="U27" s="13" t="str">
        <f>IF(U$4="Yes",INDEX(List!$E$2:$CD$173,MATCH('Selection Pane Data'!$B27,List!$E$2:$E$173,0),MATCH('Selection Pane Data'!U$3,List!$E$2:$CD$2,0)),"")</f>
        <v/>
      </c>
      <c r="V27" s="13" t="str">
        <f>IF(V$4="Yes",INDEX(List!$E$2:$CD$173,MATCH('Selection Pane Data'!$B27,List!$E$2:$E$173,0),MATCH('Selection Pane Data'!V$3,List!$E$2:$CD$2,0)),"")</f>
        <v/>
      </c>
      <c r="W27" s="13" t="str">
        <f>IF(W$4="Yes",INDEX(List!$E$2:$CD$173,MATCH('Selection Pane Data'!$B27,List!$E$2:$E$173,0),MATCH('Selection Pane Data'!W$3,List!$E$2:$CD$2,0)),"")</f>
        <v/>
      </c>
      <c r="X27" s="13" t="str">
        <f>IF(X$4="Yes",INDEX(List!$E$2:$CD$173,MATCH('Selection Pane Data'!$B27,List!$E$2:$E$173,0),MATCH('Selection Pane Data'!X$3,List!$E$2:$CD$2,0)),"")</f>
        <v/>
      </c>
      <c r="Y27" s="13" t="str">
        <f>IF(Y$4="Yes",INDEX(List!$E$2:$CD$173,MATCH('Selection Pane Data'!$B27,List!$E$2:$E$173,0),MATCH('Selection Pane Data'!Y$3,List!$E$2:$CD$2,0)),"")</f>
        <v/>
      </c>
      <c r="Z27" s="13" t="str">
        <f>IF(Z$4="Yes",INDEX(List!$E$2:$CD$173,MATCH('Selection Pane Data'!$B27,List!$E$2:$E$173,0),MATCH('Selection Pane Data'!Z$3,List!$E$2:$CD$2,0)),"")</f>
        <v/>
      </c>
      <c r="AA27" s="13" t="str">
        <f>IF(AA$4="Yes",INDEX(List!$E$2:$CD$173,MATCH('Selection Pane Data'!$B27,List!$E$2:$E$173,0),MATCH('Selection Pane Data'!AA$3,List!$E$2:$CD$2,0)),"")</f>
        <v>N</v>
      </c>
      <c r="AB27" s="13" t="str">
        <f>IF(AB$4="Yes",INDEX(List!$E$2:$CD$173,MATCH('Selection Pane Data'!$B27,List!$E$2:$E$173,0),MATCH('Selection Pane Data'!AB$3,List!$E$2:$CD$2,0)),"")</f>
        <v/>
      </c>
      <c r="AC27" s="13" t="str">
        <f>IF(AC$4="Yes",INDEX(List!$E$2:$CD$173,MATCH('Selection Pane Data'!$B27,List!$E$2:$E$173,0),MATCH('Selection Pane Data'!AC$3,List!$E$2:$CD$2,0)),"")</f>
        <v/>
      </c>
      <c r="AD27" s="13" t="str">
        <f>IF(AD$4="Yes",INDEX(List!$E$2:$CD$173,MATCH('Selection Pane Data'!$B27,List!$E$2:$E$173,0),MATCH('Selection Pane Data'!AD$3,List!$E$2:$CD$2,0)),"")</f>
        <v/>
      </c>
      <c r="AE27" s="13" t="str">
        <f>IF(AE$4="Yes",INDEX(List!$E$2:$CD$173,MATCH('Selection Pane Data'!$B27,List!$E$2:$E$173,0),MATCH('Selection Pane Data'!AE$3,List!$E$2:$CD$2,0)),"")</f>
        <v/>
      </c>
      <c r="AF27" s="13" t="str">
        <f>IF(AF$4="Yes",INDEX(List!$E$2:$CD$173,MATCH('Selection Pane Data'!$B27,List!$E$2:$E$173,0),MATCH('Selection Pane Data'!AF$3,List!$E$2:$CD$2,0)),"")</f>
        <v/>
      </c>
      <c r="AG27" s="13" t="str">
        <f>IF(AG$4="Yes",INDEX(List!$E$2:$CD$173,MATCH('Selection Pane Data'!$B27,List!$E$2:$E$173,0),MATCH('Selection Pane Data'!AG$3,List!$E$2:$CD$2,0)),"")</f>
        <v/>
      </c>
      <c r="AH27" s="13" t="str">
        <f>IF(AH$4="Yes",INDEX(List!$E$2:$CD$173,MATCH('Selection Pane Data'!$B27,List!$E$2:$E$173,0),MATCH('Selection Pane Data'!AH$3,List!$E$2:$CD$2,0)),"")</f>
        <v/>
      </c>
      <c r="AI27" s="13" t="str">
        <f>IF(AI$4="Yes",INDEX(List!$E$2:$CD$173,MATCH('Selection Pane Data'!$B27,List!$E$2:$E$173,0),MATCH('Selection Pane Data'!AI$3,List!$E$2:$CD$2,0)),"")</f>
        <v/>
      </c>
      <c r="AJ27" s="13" t="str">
        <f>IF(AJ$4="Yes",INDEX(List!$E$2:$CD$173,MATCH('Selection Pane Data'!$B27,List!$E$2:$E$173,0),MATCH('Selection Pane Data'!AJ$3,List!$E$2:$CD$2,0)),"")</f>
        <v/>
      </c>
      <c r="AK27" s="13" t="str">
        <f>IF(AK$4="Yes",INDEX(List!$E$2:$CD$173,MATCH('Selection Pane Data'!$B27,List!$E$2:$E$173,0),MATCH('Selection Pane Data'!AK$3,List!$E$2:$CD$2,0)),"")</f>
        <v/>
      </c>
      <c r="AL27" s="13" t="str">
        <f>IF(AL$4="Yes",INDEX(List!$E$2:$CD$173,MATCH('Selection Pane Data'!$B27,List!$E$2:$E$173,0),MATCH('Selection Pane Data'!AL$3,List!$E$2:$CD$2,0)),"")</f>
        <v/>
      </c>
      <c r="AM27" s="13" t="str">
        <f>IF(AM$4="Yes",INDEX(List!$E$2:$CD$173,MATCH('Selection Pane Data'!$B27,List!$E$2:$E$173,0),MATCH('Selection Pane Data'!AM$3,List!$E$2:$CD$2,0)),"")</f>
        <v/>
      </c>
      <c r="AN27" s="13" t="str">
        <f>IF(AN$4="Yes",INDEX(List!$E$2:$CD$173,MATCH('Selection Pane Data'!$B27,List!$E$2:$E$173,0),MATCH('Selection Pane Data'!AN$3,List!$E$2:$CD$2,0)),"")</f>
        <v/>
      </c>
      <c r="AO27" s="13" t="str">
        <f>IF(AO$4="Yes",INDEX(List!$E$2:$CD$173,MATCH('Selection Pane Data'!$B27,List!$E$2:$E$173,0),MATCH('Selection Pane Data'!AO$3,List!$E$2:$CD$2,0)),"")</f>
        <v/>
      </c>
      <c r="AP27" s="13" t="str">
        <f>IF(AP$4="Yes",INDEX(List!$E$2:$CD$173,MATCH('Selection Pane Data'!$B27,List!$E$2:$E$173,0),MATCH('Selection Pane Data'!AP$3,List!$E$2:$CD$2,0)),"")</f>
        <v/>
      </c>
      <c r="AQ27" s="13" t="str">
        <f>IF(AQ$4="Yes",INDEX(List!$E$2:$CD$173,MATCH('Selection Pane Data'!$B27,List!$E$2:$E$173,0),MATCH('Selection Pane Data'!AQ$3,List!$E$2:$CD$2,0)),"")</f>
        <v/>
      </c>
      <c r="AR27" s="13" t="str">
        <f>IF(AR$4="Yes",INDEX(List!$E$2:$CD$173,MATCH('Selection Pane Data'!$B27,List!$E$2:$E$173,0),MATCH('Selection Pane Data'!AR$3,List!$E$2:$CD$2,0)),"")</f>
        <v/>
      </c>
      <c r="AS27" s="13" t="str">
        <f>IF(AS$4="Yes",INDEX(List!$E$2:$CD$173,MATCH('Selection Pane Data'!$B27,List!$E$2:$E$173,0),MATCH('Selection Pane Data'!AS$3,List!$E$2:$CD$2,0)),"")</f>
        <v/>
      </c>
      <c r="AT27" s="13" t="str">
        <f>IF(AT$4="Yes",INDEX(List!$E$2:$CD$173,MATCH('Selection Pane Data'!$B27,List!$E$2:$E$173,0),MATCH('Selection Pane Data'!AT$3,List!$E$2:$CD$2,0)),"")</f>
        <v/>
      </c>
      <c r="AU27" s="13" t="str">
        <f>IF(AU$4="Yes",INDEX(List!$E$2:$CD$173,MATCH('Selection Pane Data'!$B27,List!$E$2:$E$173,0),MATCH('Selection Pane Data'!AU$3,List!$E$2:$CD$2,0)),"")</f>
        <v/>
      </c>
      <c r="AV27" s="13" t="str">
        <f>IF(AV$4="Yes",INDEX(List!$E$2:$CD$173,MATCH('Selection Pane Data'!$B27,List!$E$2:$E$173,0),MATCH('Selection Pane Data'!AV$3,List!$E$2:$CD$2,0)),"")</f>
        <v/>
      </c>
      <c r="AW27" s="13" t="str">
        <f>IF(AW$4="Yes",INDEX(List!$E$2:$CD$173,MATCH('Selection Pane Data'!$B27,List!$E$2:$E$173,0),MATCH('Selection Pane Data'!AW$3,List!$E$2:$CD$2,0)),"")</f>
        <v/>
      </c>
      <c r="AX27" s="13" t="str">
        <f>IF(AX$4="Yes",INDEX(List!$E$2:$CD$173,MATCH('Selection Pane Data'!$B27,List!$E$2:$E$173,0),MATCH('Selection Pane Data'!AX$3,List!$E$2:$CD$2,0)),"")</f>
        <v/>
      </c>
      <c r="AY27" s="13" t="str">
        <f>IF(AY$4="Yes",INDEX(List!$E$2:$CD$173,MATCH('Selection Pane Data'!$B27,List!$E$2:$E$173,0),MATCH('Selection Pane Data'!AY$3,List!$E$2:$CD$2,0)),"")</f>
        <v/>
      </c>
      <c r="AZ27" s="13" t="str">
        <f>IF(AZ$4="Yes",INDEX(List!$E$2:$CD$173,MATCH('Selection Pane Data'!$B27,List!$E$2:$E$173,0),MATCH('Selection Pane Data'!AZ$3,List!$E$2:$CD$2,0)),"")</f>
        <v/>
      </c>
      <c r="BA27" s="13" t="str">
        <f>IF(BA$4="Yes",INDEX(List!$E$2:$CD$173,MATCH('Selection Pane Data'!$B27,List!$E$2:$E$173,0),MATCH('Selection Pane Data'!BA$3,List!$E$2:$CD$2,0)),"")</f>
        <v/>
      </c>
      <c r="BB27" s="13" t="str">
        <f>IF(BB$4="Yes",INDEX(List!$E$2:$CD$173,MATCH('Selection Pane Data'!$B27,List!$E$2:$E$173,0),MATCH('Selection Pane Data'!BB$3,List!$E$2:$CD$2,0)),"")</f>
        <v/>
      </c>
      <c r="BC27" s="13" t="str">
        <f>IF(BC$4="Yes",INDEX(List!$E$2:$CD$173,MATCH('Selection Pane Data'!$B27,List!$E$2:$E$173,0),MATCH('Selection Pane Data'!BC$3,List!$E$2:$CD$2,0)),"")</f>
        <v/>
      </c>
      <c r="BD27" s="13" t="str">
        <f>IF(BD$4="Yes",INDEX(List!$E$2:$CD$173,MATCH('Selection Pane Data'!$B27,List!$E$2:$E$173,0),MATCH('Selection Pane Data'!BD$3,List!$E$2:$CD$2,0)),"")</f>
        <v/>
      </c>
      <c r="BE27" s="13" t="str">
        <f>IF(BE$4="Yes",INDEX(List!$E$2:$CD$173,MATCH('Selection Pane Data'!$B27,List!$E$2:$E$173,0),MATCH('Selection Pane Data'!BE$3,List!$E$2:$CD$2,0)),"")</f>
        <v/>
      </c>
      <c r="BF27" s="13" t="str">
        <f>IF(BF$4="Yes",INDEX(List!$E$2:$CD$173,MATCH('Selection Pane Data'!$B27,List!$E$2:$E$173,0),MATCH('Selection Pane Data'!BF$3,List!$E$2:$CD$2,0)),"")</f>
        <v/>
      </c>
      <c r="BG27" s="13" t="str">
        <f>IF(BG$4="Yes",INDEX(List!$E$2:$CD$173,MATCH('Selection Pane Data'!$B27,List!$E$2:$E$173,0),MATCH('Selection Pane Data'!BG$3,List!$E$2:$CD$2,0)),"")</f>
        <v/>
      </c>
      <c r="BH27" s="13" t="str">
        <f>IF(BH$4="Yes",INDEX(List!$E$2:$CD$173,MATCH('Selection Pane Data'!$B27,List!$E$2:$E$173,0),MATCH('Selection Pane Data'!BH$3,List!$E$2:$CD$2,0)),"")</f>
        <v/>
      </c>
      <c r="BI27" s="13" t="str">
        <f>IF(BI$4="Yes",INDEX(List!$E$2:$CD$173,MATCH('Selection Pane Data'!$B27,List!$E$2:$E$173,0),MATCH('Selection Pane Data'!BI$3,List!$E$2:$CD$2,0)),"")</f>
        <v/>
      </c>
      <c r="BJ27" s="13" t="str">
        <f>IF(BJ$4="Yes",INDEX(List!$E$2:$CD$173,MATCH('Selection Pane Data'!$B27,List!$E$2:$E$173,0),MATCH('Selection Pane Data'!BJ$3,List!$E$2:$CD$2,0)),"")</f>
        <v/>
      </c>
      <c r="BK27" s="13" t="str">
        <f>IF(BK$4="Yes",INDEX(List!$E$2:$CD$173,MATCH('Selection Pane Data'!$B27,List!$E$2:$E$173,0),MATCH('Selection Pane Data'!BK$3,List!$E$2:$CD$2,0)),"")</f>
        <v/>
      </c>
      <c r="BL27" s="13" t="str">
        <f>IF(BL$4="Yes",INDEX(List!$E$2:$CD$173,MATCH('Selection Pane Data'!$B27,List!$E$2:$E$173,0),MATCH('Selection Pane Data'!BL$3,List!$E$2:$CD$2,0)),"")</f>
        <v/>
      </c>
      <c r="BM27" s="13" t="str">
        <f>IF(BM$4="Yes",INDEX(List!$E$2:$CD$173,MATCH('Selection Pane Data'!$B27,List!$E$2:$E$173,0),MATCH('Selection Pane Data'!BM$3,List!$E$2:$CD$2,0)),"")</f>
        <v/>
      </c>
      <c r="BN27" s="13" t="str">
        <f>IF(BN$4="Yes",INDEX(List!$E$2:$CD$173,MATCH('Selection Pane Data'!$B27,List!$E$2:$E$173,0),MATCH('Selection Pane Data'!BN$3,List!$E$2:$CD$2,0)),"")</f>
        <v/>
      </c>
      <c r="BO27" s="13" t="str">
        <f>IF(BO$4="Yes",INDEX(List!$E$2:$CD$173,MATCH('Selection Pane Data'!$B27,List!$E$2:$E$173,0),MATCH('Selection Pane Data'!BO$3,List!$E$2:$CD$2,0)),"")</f>
        <v/>
      </c>
      <c r="BP27" s="13" t="str">
        <f>IF(BP$4="Yes",INDEX(List!$E$2:$CD$173,MATCH('Selection Pane Data'!$B27,List!$E$2:$E$173,0),MATCH('Selection Pane Data'!BP$3,List!$E$2:$CD$2,0)),"")</f>
        <v/>
      </c>
      <c r="BQ27" s="13" t="str">
        <f>IF(BQ$4="Yes",INDEX(List!$E$2:$CD$173,MATCH('Selection Pane Data'!$B27,List!$E$2:$E$173,0),MATCH('Selection Pane Data'!BQ$3,List!$E$2:$CD$2,0)),"")</f>
        <v/>
      </c>
      <c r="BR27" s="13" t="str">
        <f>IF(BR$4="Yes",INDEX(List!$E$2:$CD$173,MATCH('Selection Pane Data'!$B27,List!$E$2:$E$173,0),MATCH('Selection Pane Data'!BR$3,List!$E$2:$CD$2,0)),"")</f>
        <v/>
      </c>
      <c r="BS27" s="13" t="str">
        <f>IF(BS$4="Yes",INDEX(List!$E$2:$CD$173,MATCH('Selection Pane Data'!$B27,List!$E$2:$E$173,0),MATCH('Selection Pane Data'!BS$3,List!$E$2:$CD$2,0)),"")</f>
        <v/>
      </c>
      <c r="BT27" s="13" t="str">
        <f>IF(BT$4="Yes",INDEX(List!$E$2:$CD$173,MATCH('Selection Pane Data'!$B27,List!$E$2:$E$173,0),MATCH('Selection Pane Data'!BT$3,List!$E$2:$CD$2,0)),"")</f>
        <v/>
      </c>
      <c r="BU27" s="13" t="str">
        <f>IF(BU$4="Yes",INDEX(List!$E$2:$CD$173,MATCH('Selection Pane Data'!$B27,List!$E$2:$E$173,0),MATCH('Selection Pane Data'!BU$3,List!$E$2:$CD$2,0)),"")</f>
        <v/>
      </c>
      <c r="BV27" s="13" t="str">
        <f>IF(BV$4="Yes",INDEX(List!$E$2:$CD$173,MATCH('Selection Pane Data'!$B27,List!$E$2:$E$173,0),MATCH('Selection Pane Data'!BV$3,List!$E$2:$CD$2,0)),"")</f>
        <v/>
      </c>
      <c r="BW27" s="13" t="str">
        <f>IF(BW$4="Yes",INDEX(List!$E$2:$CD$173,MATCH('Selection Pane Data'!$B27,List!$E$2:$E$173,0),MATCH('Selection Pane Data'!BW$3,List!$E$2:$CD$2,0)),"")</f>
        <v/>
      </c>
      <c r="BX27" s="13" t="str">
        <f>IF(BX$4="Yes",INDEX(List!$E$2:$CD$173,MATCH('Selection Pane Data'!$B27,List!$E$2:$E$173,0),MATCH('Selection Pane Data'!BX$3,List!$E$2:$CD$2,0)),"")</f>
        <v/>
      </c>
      <c r="BY27" s="13" t="str">
        <f>IF(BY$4="Yes",INDEX(List!$E$2:$CD$173,MATCH('Selection Pane Data'!$B27,List!$E$2:$E$173,0),MATCH('Selection Pane Data'!BY$3,List!$E$2:$CD$2,0)),"")</f>
        <v/>
      </c>
      <c r="BZ27" s="13" t="str">
        <f>IF(BZ$4="Yes",INDEX(List!$E$2:$CD$173,MATCH('Selection Pane Data'!$B27,List!$E$2:$E$173,0),MATCH('Selection Pane Data'!BZ$3,List!$E$2:$CD$2,0)),"")</f>
        <v/>
      </c>
      <c r="CA27" s="13" t="str">
        <f>IF(CA$4="Yes",INDEX(List!$E$2:$CD$173,MATCH('Selection Pane Data'!$B27,List!$E$2:$E$173,0),MATCH('Selection Pane Data'!CA$3,List!$E$2:$CD$2,0)),"")</f>
        <v/>
      </c>
      <c r="CB27" s="13" t="str">
        <f>IF(CB$4="Yes",INDEX(List!$E$2:$CD$173,MATCH('Selection Pane Data'!$B27,List!$E$2:$E$173,0),MATCH('Selection Pane Data'!CB$3,List!$E$2:$CD$2,0)),"")</f>
        <v/>
      </c>
      <c r="CC27" s="13" t="str">
        <f>IF(CC$4="Yes",INDEX(List!$E$2:$CD$173,MATCH('Selection Pane Data'!$B27,List!$E$2:$E$173,0),MATCH('Selection Pane Data'!CC$3,List!$E$2:$CD$2,0)),"")</f>
        <v/>
      </c>
      <c r="CD27" s="13" t="str">
        <f>IF(CD$4="Yes",INDEX(List!$E$2:$CD$173,MATCH('Selection Pane Data'!$B27,List!$E$2:$E$173,0),MATCH('Selection Pane Data'!CD$3,List!$E$2:$CD$2,0)),"")</f>
        <v/>
      </c>
      <c r="CE27" s="13" t="str">
        <f>IF(CE$4="Yes",INDEX(List!$E$2:$CD$173,MATCH('Selection Pane Data'!$B27,List!$E$2:$E$173,0),MATCH('Selection Pane Data'!CE$3,List!$E$2:$CD$2,0)),"")</f>
        <v/>
      </c>
    </row>
    <row r="28" spans="2:83" x14ac:dyDescent="0.35">
      <c r="B28" s="21" t="s">
        <v>315</v>
      </c>
      <c r="C28" s="126" t="str">
        <f>VLOOKUP(B28,List!$E$2:$G$173,2,FALSE)</f>
        <v>N/A</v>
      </c>
      <c r="D28" s="31" t="str">
        <f>List!G26</f>
        <v>Not Applicable</v>
      </c>
      <c r="E28" s="31" t="str">
        <f>IF(Placemat!$F$4="All Practices","All Practices",IF(VLOOKUP(B28,Table7[#All],6,FALSE)="No Mapping","New CMMC Practices","Practices with NIST 800-171 Mappings"))</f>
        <v>Practices with NIST 800-171 Mappings</v>
      </c>
      <c r="F28" t="str">
        <f>INDEX('CMMC Levels'!$A$1:$F$172,MATCH('Selection Pane Data'!$C28,'CMMC Levels'!$A$1:$A$172,0),MATCH(Placemat!$F$4,'CMMC Levels'!$A$1:$F$1,0))</f>
        <v>N/A</v>
      </c>
      <c r="G28" s="77" t="str">
        <f>IF((COUNTIF(List!H26:CE26,"P")+COUNTIF(List!H26:CE26,"S"))=0,"N",IF(COUNTIF(H28:CE28,"P"),"P",IF(COUNTIF(H28:CE28,"S"),"S","U")))</f>
        <v>N</v>
      </c>
      <c r="H28" s="13" t="str">
        <f>IF(H$4="Yes",INDEX(List!$E$2:$CD$173,MATCH('Selection Pane Data'!$B28,List!$E$2:$E$173,0),MATCH('Selection Pane Data'!H$3,List!$E$2:$CD$2,0)),"")</f>
        <v/>
      </c>
      <c r="I28" s="13" t="str">
        <f>IF(I$4="Yes",INDEX(List!$E$2:$CD$173,MATCH('Selection Pane Data'!$B28,List!$E$2:$E$173,0),MATCH('Selection Pane Data'!I$3,List!$E$2:$CD$2,0)),"")</f>
        <v/>
      </c>
      <c r="J28" s="13" t="e">
        <f>IF(J$4="Yes",INDEX(List!$E$2:$CD$173,MATCH('Selection Pane Data'!$B28,List!$E$2:$E$173,0),MATCH('Selection Pane Data'!J$3,List!$E$2:$CD$2,0)),"")</f>
        <v>#N/A</v>
      </c>
      <c r="K28" s="13" t="str">
        <f>IF(K$4="Yes",INDEX(List!$E$2:$CD$173,MATCH('Selection Pane Data'!$B28,List!$E$2:$E$173,0),MATCH('Selection Pane Data'!K$3,List!$E$2:$CD$2,0)),"")</f>
        <v/>
      </c>
      <c r="L28" s="13" t="str">
        <f>IF(L$4="Yes",INDEX(List!$E$2:$CD$173,MATCH('Selection Pane Data'!$B28,List!$E$2:$E$173,0),MATCH('Selection Pane Data'!L$3,List!$E$2:$CD$2,0)),"")</f>
        <v/>
      </c>
      <c r="M28" s="13" t="str">
        <f>IF(M$4="Yes",INDEX(List!$E$2:$CD$173,MATCH('Selection Pane Data'!$B28,List!$E$2:$E$173,0),MATCH('Selection Pane Data'!M$3,List!$E$2:$CD$2,0)),"")</f>
        <v/>
      </c>
      <c r="N28" s="13" t="str">
        <f>IF(N$4="Yes",INDEX(List!$E$2:$CD$173,MATCH('Selection Pane Data'!$B28,List!$E$2:$E$173,0),MATCH('Selection Pane Data'!N$3,List!$E$2:$CD$2,0)),"")</f>
        <v/>
      </c>
      <c r="O28" s="13" t="str">
        <f>IF(O$4="Yes",INDEX(List!$E$2:$CD$173,MATCH('Selection Pane Data'!$B28,List!$E$2:$E$173,0),MATCH('Selection Pane Data'!O$3,List!$E$2:$CD$2,0)),"")</f>
        <v/>
      </c>
      <c r="P28" s="13" t="str">
        <f>IF(P$4="Yes",INDEX(List!$E$2:$CD$173,MATCH('Selection Pane Data'!$B28,List!$E$2:$E$173,0),MATCH('Selection Pane Data'!P$3,List!$E$2:$CD$2,0)),"")</f>
        <v/>
      </c>
      <c r="Q28" s="13" t="str">
        <f>IF(Q$4="Yes",INDEX(List!$E$2:$CD$173,MATCH('Selection Pane Data'!$B28,List!$E$2:$E$173,0),MATCH('Selection Pane Data'!Q$3,List!$E$2:$CD$2,0)),"")</f>
        <v/>
      </c>
      <c r="R28" s="13" t="str">
        <f>IF(R$4="Yes",INDEX(List!$E$2:$CD$173,MATCH('Selection Pane Data'!$B28,List!$E$2:$E$173,0),MATCH('Selection Pane Data'!R$3,List!$E$2:$CD$2,0)),"")</f>
        <v/>
      </c>
      <c r="S28" s="13" t="str">
        <f>IF(S$4="Yes",INDEX(List!$E$2:$CD$173,MATCH('Selection Pane Data'!$B28,List!$E$2:$E$173,0),MATCH('Selection Pane Data'!S$3,List!$E$2:$CD$2,0)),"")</f>
        <v/>
      </c>
      <c r="T28" s="13" t="str">
        <f>IF(T$4="Yes",INDEX(List!$E$2:$CD$173,MATCH('Selection Pane Data'!$B28,List!$E$2:$E$173,0),MATCH('Selection Pane Data'!T$3,List!$E$2:$CD$2,0)),"")</f>
        <v/>
      </c>
      <c r="U28" s="13" t="str">
        <f>IF(U$4="Yes",INDEX(List!$E$2:$CD$173,MATCH('Selection Pane Data'!$B28,List!$E$2:$E$173,0),MATCH('Selection Pane Data'!U$3,List!$E$2:$CD$2,0)),"")</f>
        <v/>
      </c>
      <c r="V28" s="13" t="str">
        <f>IF(V$4="Yes",INDEX(List!$E$2:$CD$173,MATCH('Selection Pane Data'!$B28,List!$E$2:$E$173,0),MATCH('Selection Pane Data'!V$3,List!$E$2:$CD$2,0)),"")</f>
        <v/>
      </c>
      <c r="W28" s="13" t="str">
        <f>IF(W$4="Yes",INDEX(List!$E$2:$CD$173,MATCH('Selection Pane Data'!$B28,List!$E$2:$E$173,0),MATCH('Selection Pane Data'!W$3,List!$E$2:$CD$2,0)),"")</f>
        <v/>
      </c>
      <c r="X28" s="13" t="str">
        <f>IF(X$4="Yes",INDEX(List!$E$2:$CD$173,MATCH('Selection Pane Data'!$B28,List!$E$2:$E$173,0),MATCH('Selection Pane Data'!X$3,List!$E$2:$CD$2,0)),"")</f>
        <v/>
      </c>
      <c r="Y28" s="13" t="str">
        <f>IF(Y$4="Yes",INDEX(List!$E$2:$CD$173,MATCH('Selection Pane Data'!$B28,List!$E$2:$E$173,0),MATCH('Selection Pane Data'!Y$3,List!$E$2:$CD$2,0)),"")</f>
        <v/>
      </c>
      <c r="Z28" s="13" t="str">
        <f>IF(Z$4="Yes",INDEX(List!$E$2:$CD$173,MATCH('Selection Pane Data'!$B28,List!$E$2:$E$173,0),MATCH('Selection Pane Data'!Z$3,List!$E$2:$CD$2,0)),"")</f>
        <v/>
      </c>
      <c r="AA28" s="13" t="e">
        <f>IF(AA$4="Yes",INDEX(List!$E$2:$CD$173,MATCH('Selection Pane Data'!$B28,List!$E$2:$E$173,0),MATCH('Selection Pane Data'!AA$3,List!$E$2:$CD$2,0)),"")</f>
        <v>#N/A</v>
      </c>
      <c r="AB28" s="13" t="str">
        <f>IF(AB$4="Yes",INDEX(List!$E$2:$CD$173,MATCH('Selection Pane Data'!$B28,List!$E$2:$E$173,0),MATCH('Selection Pane Data'!AB$3,List!$E$2:$CD$2,0)),"")</f>
        <v/>
      </c>
      <c r="AC28" s="13" t="str">
        <f>IF(AC$4="Yes",INDEX(List!$E$2:$CD$173,MATCH('Selection Pane Data'!$B28,List!$E$2:$E$173,0),MATCH('Selection Pane Data'!AC$3,List!$E$2:$CD$2,0)),"")</f>
        <v/>
      </c>
      <c r="AD28" s="13" t="str">
        <f>IF(AD$4="Yes",INDEX(List!$E$2:$CD$173,MATCH('Selection Pane Data'!$B28,List!$E$2:$E$173,0),MATCH('Selection Pane Data'!AD$3,List!$E$2:$CD$2,0)),"")</f>
        <v/>
      </c>
      <c r="AE28" s="13" t="str">
        <f>IF(AE$4="Yes",INDEX(List!$E$2:$CD$173,MATCH('Selection Pane Data'!$B28,List!$E$2:$E$173,0),MATCH('Selection Pane Data'!AE$3,List!$E$2:$CD$2,0)),"")</f>
        <v/>
      </c>
      <c r="AF28" s="13" t="str">
        <f>IF(AF$4="Yes",INDEX(List!$E$2:$CD$173,MATCH('Selection Pane Data'!$B28,List!$E$2:$E$173,0),MATCH('Selection Pane Data'!AF$3,List!$E$2:$CD$2,0)),"")</f>
        <v/>
      </c>
      <c r="AG28" s="13" t="str">
        <f>IF(AG$4="Yes",INDEX(List!$E$2:$CD$173,MATCH('Selection Pane Data'!$B28,List!$E$2:$E$173,0),MATCH('Selection Pane Data'!AG$3,List!$E$2:$CD$2,0)),"")</f>
        <v/>
      </c>
      <c r="AH28" s="13" t="str">
        <f>IF(AH$4="Yes",INDEX(List!$E$2:$CD$173,MATCH('Selection Pane Data'!$B28,List!$E$2:$E$173,0),MATCH('Selection Pane Data'!AH$3,List!$E$2:$CD$2,0)),"")</f>
        <v/>
      </c>
      <c r="AI28" s="13" t="str">
        <f>IF(AI$4="Yes",INDEX(List!$E$2:$CD$173,MATCH('Selection Pane Data'!$B28,List!$E$2:$E$173,0),MATCH('Selection Pane Data'!AI$3,List!$E$2:$CD$2,0)),"")</f>
        <v/>
      </c>
      <c r="AJ28" s="13" t="str">
        <f>IF(AJ$4="Yes",INDEX(List!$E$2:$CD$173,MATCH('Selection Pane Data'!$B28,List!$E$2:$E$173,0),MATCH('Selection Pane Data'!AJ$3,List!$E$2:$CD$2,0)),"")</f>
        <v/>
      </c>
      <c r="AK28" s="13" t="str">
        <f>IF(AK$4="Yes",INDEX(List!$E$2:$CD$173,MATCH('Selection Pane Data'!$B28,List!$E$2:$E$173,0),MATCH('Selection Pane Data'!AK$3,List!$E$2:$CD$2,0)),"")</f>
        <v/>
      </c>
      <c r="AL28" s="13" t="str">
        <f>IF(AL$4="Yes",INDEX(List!$E$2:$CD$173,MATCH('Selection Pane Data'!$B28,List!$E$2:$E$173,0),MATCH('Selection Pane Data'!AL$3,List!$E$2:$CD$2,0)),"")</f>
        <v/>
      </c>
      <c r="AM28" s="13" t="str">
        <f>IF(AM$4="Yes",INDEX(List!$E$2:$CD$173,MATCH('Selection Pane Data'!$B28,List!$E$2:$E$173,0),MATCH('Selection Pane Data'!AM$3,List!$E$2:$CD$2,0)),"")</f>
        <v/>
      </c>
      <c r="AN28" s="13" t="str">
        <f>IF(AN$4="Yes",INDEX(List!$E$2:$CD$173,MATCH('Selection Pane Data'!$B28,List!$E$2:$E$173,0),MATCH('Selection Pane Data'!AN$3,List!$E$2:$CD$2,0)),"")</f>
        <v/>
      </c>
      <c r="AO28" s="13" t="str">
        <f>IF(AO$4="Yes",INDEX(List!$E$2:$CD$173,MATCH('Selection Pane Data'!$B28,List!$E$2:$E$173,0),MATCH('Selection Pane Data'!AO$3,List!$E$2:$CD$2,0)),"")</f>
        <v/>
      </c>
      <c r="AP28" s="13" t="str">
        <f>IF(AP$4="Yes",INDEX(List!$E$2:$CD$173,MATCH('Selection Pane Data'!$B28,List!$E$2:$E$173,0),MATCH('Selection Pane Data'!AP$3,List!$E$2:$CD$2,0)),"")</f>
        <v/>
      </c>
      <c r="AQ28" s="13" t="str">
        <f>IF(AQ$4="Yes",INDEX(List!$E$2:$CD$173,MATCH('Selection Pane Data'!$B28,List!$E$2:$E$173,0),MATCH('Selection Pane Data'!AQ$3,List!$E$2:$CD$2,0)),"")</f>
        <v/>
      </c>
      <c r="AR28" s="13" t="str">
        <f>IF(AR$4="Yes",INDEX(List!$E$2:$CD$173,MATCH('Selection Pane Data'!$B28,List!$E$2:$E$173,0),MATCH('Selection Pane Data'!AR$3,List!$E$2:$CD$2,0)),"")</f>
        <v/>
      </c>
      <c r="AS28" s="13" t="str">
        <f>IF(AS$4="Yes",INDEX(List!$E$2:$CD$173,MATCH('Selection Pane Data'!$B28,List!$E$2:$E$173,0),MATCH('Selection Pane Data'!AS$3,List!$E$2:$CD$2,0)),"")</f>
        <v/>
      </c>
      <c r="AT28" s="13" t="str">
        <f>IF(AT$4="Yes",INDEX(List!$E$2:$CD$173,MATCH('Selection Pane Data'!$B28,List!$E$2:$E$173,0),MATCH('Selection Pane Data'!AT$3,List!$E$2:$CD$2,0)),"")</f>
        <v/>
      </c>
      <c r="AU28" s="13" t="str">
        <f>IF(AU$4="Yes",INDEX(List!$E$2:$CD$173,MATCH('Selection Pane Data'!$B28,List!$E$2:$E$173,0),MATCH('Selection Pane Data'!AU$3,List!$E$2:$CD$2,0)),"")</f>
        <v/>
      </c>
      <c r="AV28" s="13" t="str">
        <f>IF(AV$4="Yes",INDEX(List!$E$2:$CD$173,MATCH('Selection Pane Data'!$B28,List!$E$2:$E$173,0),MATCH('Selection Pane Data'!AV$3,List!$E$2:$CD$2,0)),"")</f>
        <v/>
      </c>
      <c r="AW28" s="13" t="str">
        <f>IF(AW$4="Yes",INDEX(List!$E$2:$CD$173,MATCH('Selection Pane Data'!$B28,List!$E$2:$E$173,0),MATCH('Selection Pane Data'!AW$3,List!$E$2:$CD$2,0)),"")</f>
        <v/>
      </c>
      <c r="AX28" s="13" t="str">
        <f>IF(AX$4="Yes",INDEX(List!$E$2:$CD$173,MATCH('Selection Pane Data'!$B28,List!$E$2:$E$173,0),MATCH('Selection Pane Data'!AX$3,List!$E$2:$CD$2,0)),"")</f>
        <v/>
      </c>
      <c r="AY28" s="13" t="str">
        <f>IF(AY$4="Yes",INDEX(List!$E$2:$CD$173,MATCH('Selection Pane Data'!$B28,List!$E$2:$E$173,0),MATCH('Selection Pane Data'!AY$3,List!$E$2:$CD$2,0)),"")</f>
        <v/>
      </c>
      <c r="AZ28" s="13" t="str">
        <f>IF(AZ$4="Yes",INDEX(List!$E$2:$CD$173,MATCH('Selection Pane Data'!$B28,List!$E$2:$E$173,0),MATCH('Selection Pane Data'!AZ$3,List!$E$2:$CD$2,0)),"")</f>
        <v/>
      </c>
      <c r="BA28" s="13" t="str">
        <f>IF(BA$4="Yes",INDEX(List!$E$2:$CD$173,MATCH('Selection Pane Data'!$B28,List!$E$2:$E$173,0),MATCH('Selection Pane Data'!BA$3,List!$E$2:$CD$2,0)),"")</f>
        <v/>
      </c>
      <c r="BB28" s="13" t="str">
        <f>IF(BB$4="Yes",INDEX(List!$E$2:$CD$173,MATCH('Selection Pane Data'!$B28,List!$E$2:$E$173,0),MATCH('Selection Pane Data'!BB$3,List!$E$2:$CD$2,0)),"")</f>
        <v/>
      </c>
      <c r="BC28" s="13" t="str">
        <f>IF(BC$4="Yes",INDEX(List!$E$2:$CD$173,MATCH('Selection Pane Data'!$B28,List!$E$2:$E$173,0),MATCH('Selection Pane Data'!BC$3,List!$E$2:$CD$2,0)),"")</f>
        <v/>
      </c>
      <c r="BD28" s="13" t="str">
        <f>IF(BD$4="Yes",INDEX(List!$E$2:$CD$173,MATCH('Selection Pane Data'!$B28,List!$E$2:$E$173,0),MATCH('Selection Pane Data'!BD$3,List!$E$2:$CD$2,0)),"")</f>
        <v/>
      </c>
      <c r="BE28" s="13" t="str">
        <f>IF(BE$4="Yes",INDEX(List!$E$2:$CD$173,MATCH('Selection Pane Data'!$B28,List!$E$2:$E$173,0),MATCH('Selection Pane Data'!BE$3,List!$E$2:$CD$2,0)),"")</f>
        <v/>
      </c>
      <c r="BF28" s="13" t="str">
        <f>IF(BF$4="Yes",INDEX(List!$E$2:$CD$173,MATCH('Selection Pane Data'!$B28,List!$E$2:$E$173,0),MATCH('Selection Pane Data'!BF$3,List!$E$2:$CD$2,0)),"")</f>
        <v/>
      </c>
      <c r="BG28" s="13" t="str">
        <f>IF(BG$4="Yes",INDEX(List!$E$2:$CD$173,MATCH('Selection Pane Data'!$B28,List!$E$2:$E$173,0),MATCH('Selection Pane Data'!BG$3,List!$E$2:$CD$2,0)),"")</f>
        <v/>
      </c>
      <c r="BH28" s="13" t="str">
        <f>IF(BH$4="Yes",INDEX(List!$E$2:$CD$173,MATCH('Selection Pane Data'!$B28,List!$E$2:$E$173,0),MATCH('Selection Pane Data'!BH$3,List!$E$2:$CD$2,0)),"")</f>
        <v/>
      </c>
      <c r="BI28" s="13" t="str">
        <f>IF(BI$4="Yes",INDEX(List!$E$2:$CD$173,MATCH('Selection Pane Data'!$B28,List!$E$2:$E$173,0),MATCH('Selection Pane Data'!BI$3,List!$E$2:$CD$2,0)),"")</f>
        <v/>
      </c>
      <c r="BJ28" s="13" t="str">
        <f>IF(BJ$4="Yes",INDEX(List!$E$2:$CD$173,MATCH('Selection Pane Data'!$B28,List!$E$2:$E$173,0),MATCH('Selection Pane Data'!BJ$3,List!$E$2:$CD$2,0)),"")</f>
        <v/>
      </c>
      <c r="BK28" s="13" t="str">
        <f>IF(BK$4="Yes",INDEX(List!$E$2:$CD$173,MATCH('Selection Pane Data'!$B28,List!$E$2:$E$173,0),MATCH('Selection Pane Data'!BK$3,List!$E$2:$CD$2,0)),"")</f>
        <v/>
      </c>
      <c r="BL28" s="13" t="str">
        <f>IF(BL$4="Yes",INDEX(List!$E$2:$CD$173,MATCH('Selection Pane Data'!$B28,List!$E$2:$E$173,0),MATCH('Selection Pane Data'!BL$3,List!$E$2:$CD$2,0)),"")</f>
        <v/>
      </c>
      <c r="BM28" s="13" t="str">
        <f>IF(BM$4="Yes",INDEX(List!$E$2:$CD$173,MATCH('Selection Pane Data'!$B28,List!$E$2:$E$173,0),MATCH('Selection Pane Data'!BM$3,List!$E$2:$CD$2,0)),"")</f>
        <v/>
      </c>
      <c r="BN28" s="13" t="str">
        <f>IF(BN$4="Yes",INDEX(List!$E$2:$CD$173,MATCH('Selection Pane Data'!$B28,List!$E$2:$E$173,0),MATCH('Selection Pane Data'!BN$3,List!$E$2:$CD$2,0)),"")</f>
        <v/>
      </c>
      <c r="BO28" s="13" t="str">
        <f>IF(BO$4="Yes",INDEX(List!$E$2:$CD$173,MATCH('Selection Pane Data'!$B28,List!$E$2:$E$173,0),MATCH('Selection Pane Data'!BO$3,List!$E$2:$CD$2,0)),"")</f>
        <v/>
      </c>
      <c r="BP28" s="13" t="str">
        <f>IF(BP$4="Yes",INDEX(List!$E$2:$CD$173,MATCH('Selection Pane Data'!$B28,List!$E$2:$E$173,0),MATCH('Selection Pane Data'!BP$3,List!$E$2:$CD$2,0)),"")</f>
        <v/>
      </c>
      <c r="BQ28" s="13" t="str">
        <f>IF(BQ$4="Yes",INDEX(List!$E$2:$CD$173,MATCH('Selection Pane Data'!$B28,List!$E$2:$E$173,0),MATCH('Selection Pane Data'!BQ$3,List!$E$2:$CD$2,0)),"")</f>
        <v/>
      </c>
      <c r="BR28" s="13" t="str">
        <f>IF(BR$4="Yes",INDEX(List!$E$2:$CD$173,MATCH('Selection Pane Data'!$B28,List!$E$2:$E$173,0),MATCH('Selection Pane Data'!BR$3,List!$E$2:$CD$2,0)),"")</f>
        <v/>
      </c>
      <c r="BS28" s="13" t="str">
        <f>IF(BS$4="Yes",INDEX(List!$E$2:$CD$173,MATCH('Selection Pane Data'!$B28,List!$E$2:$E$173,0),MATCH('Selection Pane Data'!BS$3,List!$E$2:$CD$2,0)),"")</f>
        <v/>
      </c>
      <c r="BT28" s="13" t="str">
        <f>IF(BT$4="Yes",INDEX(List!$E$2:$CD$173,MATCH('Selection Pane Data'!$B28,List!$E$2:$E$173,0),MATCH('Selection Pane Data'!BT$3,List!$E$2:$CD$2,0)),"")</f>
        <v/>
      </c>
      <c r="BU28" s="13" t="str">
        <f>IF(BU$4="Yes",INDEX(List!$E$2:$CD$173,MATCH('Selection Pane Data'!$B28,List!$E$2:$E$173,0),MATCH('Selection Pane Data'!BU$3,List!$E$2:$CD$2,0)),"")</f>
        <v/>
      </c>
      <c r="BV28" s="13" t="str">
        <f>IF(BV$4="Yes",INDEX(List!$E$2:$CD$173,MATCH('Selection Pane Data'!$B28,List!$E$2:$E$173,0),MATCH('Selection Pane Data'!BV$3,List!$E$2:$CD$2,0)),"")</f>
        <v/>
      </c>
      <c r="BW28" s="13" t="str">
        <f>IF(BW$4="Yes",INDEX(List!$E$2:$CD$173,MATCH('Selection Pane Data'!$B28,List!$E$2:$E$173,0),MATCH('Selection Pane Data'!BW$3,List!$E$2:$CD$2,0)),"")</f>
        <v/>
      </c>
      <c r="BX28" s="13" t="str">
        <f>IF(BX$4="Yes",INDEX(List!$E$2:$CD$173,MATCH('Selection Pane Data'!$B28,List!$E$2:$E$173,0),MATCH('Selection Pane Data'!BX$3,List!$E$2:$CD$2,0)),"")</f>
        <v/>
      </c>
      <c r="BY28" s="13" t="str">
        <f>IF(BY$4="Yes",INDEX(List!$E$2:$CD$173,MATCH('Selection Pane Data'!$B28,List!$E$2:$E$173,0),MATCH('Selection Pane Data'!BY$3,List!$E$2:$CD$2,0)),"")</f>
        <v/>
      </c>
      <c r="BZ28" s="13" t="str">
        <f>IF(BZ$4="Yes",INDEX(List!$E$2:$CD$173,MATCH('Selection Pane Data'!$B28,List!$E$2:$E$173,0),MATCH('Selection Pane Data'!BZ$3,List!$E$2:$CD$2,0)),"")</f>
        <v/>
      </c>
      <c r="CA28" s="13" t="str">
        <f>IF(CA$4="Yes",INDEX(List!$E$2:$CD$173,MATCH('Selection Pane Data'!$B28,List!$E$2:$E$173,0),MATCH('Selection Pane Data'!CA$3,List!$E$2:$CD$2,0)),"")</f>
        <v/>
      </c>
      <c r="CB28" s="13" t="str">
        <f>IF(CB$4="Yes",INDEX(List!$E$2:$CD$173,MATCH('Selection Pane Data'!$B28,List!$E$2:$E$173,0),MATCH('Selection Pane Data'!CB$3,List!$E$2:$CD$2,0)),"")</f>
        <v/>
      </c>
      <c r="CC28" s="13" t="str">
        <f>IF(CC$4="Yes",INDEX(List!$E$2:$CD$173,MATCH('Selection Pane Data'!$B28,List!$E$2:$E$173,0),MATCH('Selection Pane Data'!CC$3,List!$E$2:$CD$2,0)),"")</f>
        <v/>
      </c>
      <c r="CD28" s="13" t="str">
        <f>IF(CD$4="Yes",INDEX(List!$E$2:$CD$173,MATCH('Selection Pane Data'!$B28,List!$E$2:$E$173,0),MATCH('Selection Pane Data'!CD$3,List!$E$2:$CD$2,0)),"")</f>
        <v/>
      </c>
      <c r="CE28" s="13" t="str">
        <f>IF(CE$4="Yes",INDEX(List!$E$2:$CD$173,MATCH('Selection Pane Data'!$B28,List!$E$2:$E$173,0),MATCH('Selection Pane Data'!CE$3,List!$E$2:$CD$2,0)),"")</f>
        <v/>
      </c>
    </row>
    <row r="29" spans="2:83" x14ac:dyDescent="0.35">
      <c r="B29" s="21" t="s">
        <v>316</v>
      </c>
      <c r="C29" s="126" t="str">
        <f>VLOOKUP(B29,List!$E$2:$G$173,2,FALSE)</f>
        <v>N/A</v>
      </c>
      <c r="D29" s="31" t="str">
        <f>List!G27</f>
        <v>Not Applicable</v>
      </c>
      <c r="E29" s="31" t="str">
        <f>IF(Placemat!$F$4="All Practices","All Practices",IF(VLOOKUP(B29,Table7[#All],6,FALSE)="No Mapping","New CMMC Practices","Practices with NIST 800-171 Mappings"))</f>
        <v>Practices with NIST 800-171 Mappings</v>
      </c>
      <c r="F29" t="str">
        <f>INDEX('CMMC Levels'!$A$1:$F$172,MATCH('Selection Pane Data'!$C29,'CMMC Levels'!$A$1:$A$172,0),MATCH(Placemat!$F$4,'CMMC Levels'!$A$1:$F$1,0))</f>
        <v>N/A</v>
      </c>
      <c r="G29" s="77" t="str">
        <f>IF((COUNTIF(List!H27:CE27,"P")+COUNTIF(List!H27:CE27,"S"))=0,"N",IF(COUNTIF(H29:CE29,"P"),"P",IF(COUNTIF(H29:CE29,"S"),"S","U")))</f>
        <v>N</v>
      </c>
      <c r="H29" s="13" t="str">
        <f>IF(H$4="Yes",INDEX(List!$E$2:$CD$173,MATCH('Selection Pane Data'!$B29,List!$E$2:$E$173,0),MATCH('Selection Pane Data'!H$3,List!$E$2:$CD$2,0)),"")</f>
        <v/>
      </c>
      <c r="I29" s="13" t="str">
        <f>IF(I$4="Yes",INDEX(List!$E$2:$CD$173,MATCH('Selection Pane Data'!$B29,List!$E$2:$E$173,0),MATCH('Selection Pane Data'!I$3,List!$E$2:$CD$2,0)),"")</f>
        <v/>
      </c>
      <c r="J29" s="13" t="e">
        <f>IF(J$4="Yes",INDEX(List!$E$2:$CD$173,MATCH('Selection Pane Data'!$B29,List!$E$2:$E$173,0),MATCH('Selection Pane Data'!J$3,List!$E$2:$CD$2,0)),"")</f>
        <v>#N/A</v>
      </c>
      <c r="K29" s="13" t="str">
        <f>IF(K$4="Yes",INDEX(List!$E$2:$CD$173,MATCH('Selection Pane Data'!$B29,List!$E$2:$E$173,0),MATCH('Selection Pane Data'!K$3,List!$E$2:$CD$2,0)),"")</f>
        <v/>
      </c>
      <c r="L29" s="13" t="str">
        <f>IF(L$4="Yes",INDEX(List!$E$2:$CD$173,MATCH('Selection Pane Data'!$B29,List!$E$2:$E$173,0),MATCH('Selection Pane Data'!L$3,List!$E$2:$CD$2,0)),"")</f>
        <v/>
      </c>
      <c r="M29" s="13" t="str">
        <f>IF(M$4="Yes",INDEX(List!$E$2:$CD$173,MATCH('Selection Pane Data'!$B29,List!$E$2:$E$173,0),MATCH('Selection Pane Data'!M$3,List!$E$2:$CD$2,0)),"")</f>
        <v/>
      </c>
      <c r="N29" s="13" t="str">
        <f>IF(N$4="Yes",INDEX(List!$E$2:$CD$173,MATCH('Selection Pane Data'!$B29,List!$E$2:$E$173,0),MATCH('Selection Pane Data'!N$3,List!$E$2:$CD$2,0)),"")</f>
        <v/>
      </c>
      <c r="O29" s="13" t="str">
        <f>IF(O$4="Yes",INDEX(List!$E$2:$CD$173,MATCH('Selection Pane Data'!$B29,List!$E$2:$E$173,0),MATCH('Selection Pane Data'!O$3,List!$E$2:$CD$2,0)),"")</f>
        <v/>
      </c>
      <c r="P29" s="13" t="str">
        <f>IF(P$4="Yes",INDEX(List!$E$2:$CD$173,MATCH('Selection Pane Data'!$B29,List!$E$2:$E$173,0),MATCH('Selection Pane Data'!P$3,List!$E$2:$CD$2,0)),"")</f>
        <v/>
      </c>
      <c r="Q29" s="13" t="str">
        <f>IF(Q$4="Yes",INDEX(List!$E$2:$CD$173,MATCH('Selection Pane Data'!$B29,List!$E$2:$E$173,0),MATCH('Selection Pane Data'!Q$3,List!$E$2:$CD$2,0)),"")</f>
        <v/>
      </c>
      <c r="R29" s="13" t="str">
        <f>IF(R$4="Yes",INDEX(List!$E$2:$CD$173,MATCH('Selection Pane Data'!$B29,List!$E$2:$E$173,0),MATCH('Selection Pane Data'!R$3,List!$E$2:$CD$2,0)),"")</f>
        <v/>
      </c>
      <c r="S29" s="13" t="str">
        <f>IF(S$4="Yes",INDEX(List!$E$2:$CD$173,MATCH('Selection Pane Data'!$B29,List!$E$2:$E$173,0),MATCH('Selection Pane Data'!S$3,List!$E$2:$CD$2,0)),"")</f>
        <v/>
      </c>
      <c r="T29" s="13" t="str">
        <f>IF(T$4="Yes",INDEX(List!$E$2:$CD$173,MATCH('Selection Pane Data'!$B29,List!$E$2:$E$173,0),MATCH('Selection Pane Data'!T$3,List!$E$2:$CD$2,0)),"")</f>
        <v/>
      </c>
      <c r="U29" s="13" t="str">
        <f>IF(U$4="Yes",INDEX(List!$E$2:$CD$173,MATCH('Selection Pane Data'!$B29,List!$E$2:$E$173,0),MATCH('Selection Pane Data'!U$3,List!$E$2:$CD$2,0)),"")</f>
        <v/>
      </c>
      <c r="V29" s="13" t="str">
        <f>IF(V$4="Yes",INDEX(List!$E$2:$CD$173,MATCH('Selection Pane Data'!$B29,List!$E$2:$E$173,0),MATCH('Selection Pane Data'!V$3,List!$E$2:$CD$2,0)),"")</f>
        <v/>
      </c>
      <c r="W29" s="13" t="str">
        <f>IF(W$4="Yes",INDEX(List!$E$2:$CD$173,MATCH('Selection Pane Data'!$B29,List!$E$2:$E$173,0),MATCH('Selection Pane Data'!W$3,List!$E$2:$CD$2,0)),"")</f>
        <v/>
      </c>
      <c r="X29" s="13" t="str">
        <f>IF(X$4="Yes",INDEX(List!$E$2:$CD$173,MATCH('Selection Pane Data'!$B29,List!$E$2:$E$173,0),MATCH('Selection Pane Data'!X$3,List!$E$2:$CD$2,0)),"")</f>
        <v/>
      </c>
      <c r="Y29" s="13" t="str">
        <f>IF(Y$4="Yes",INDEX(List!$E$2:$CD$173,MATCH('Selection Pane Data'!$B29,List!$E$2:$E$173,0),MATCH('Selection Pane Data'!Y$3,List!$E$2:$CD$2,0)),"")</f>
        <v/>
      </c>
      <c r="Z29" s="13" t="str">
        <f>IF(Z$4="Yes",INDEX(List!$E$2:$CD$173,MATCH('Selection Pane Data'!$B29,List!$E$2:$E$173,0),MATCH('Selection Pane Data'!Z$3,List!$E$2:$CD$2,0)),"")</f>
        <v/>
      </c>
      <c r="AA29" s="13" t="e">
        <f>IF(AA$4="Yes",INDEX(List!$E$2:$CD$173,MATCH('Selection Pane Data'!$B29,List!$E$2:$E$173,0),MATCH('Selection Pane Data'!AA$3,List!$E$2:$CD$2,0)),"")</f>
        <v>#N/A</v>
      </c>
      <c r="AB29" s="13" t="str">
        <f>IF(AB$4="Yes",INDEX(List!$E$2:$CD$173,MATCH('Selection Pane Data'!$B29,List!$E$2:$E$173,0),MATCH('Selection Pane Data'!AB$3,List!$E$2:$CD$2,0)),"")</f>
        <v/>
      </c>
      <c r="AC29" s="13" t="str">
        <f>IF(AC$4="Yes",INDEX(List!$E$2:$CD$173,MATCH('Selection Pane Data'!$B29,List!$E$2:$E$173,0),MATCH('Selection Pane Data'!AC$3,List!$E$2:$CD$2,0)),"")</f>
        <v/>
      </c>
      <c r="AD29" s="13" t="str">
        <f>IF(AD$4="Yes",INDEX(List!$E$2:$CD$173,MATCH('Selection Pane Data'!$B29,List!$E$2:$E$173,0),MATCH('Selection Pane Data'!AD$3,List!$E$2:$CD$2,0)),"")</f>
        <v/>
      </c>
      <c r="AE29" s="13" t="str">
        <f>IF(AE$4="Yes",INDEX(List!$E$2:$CD$173,MATCH('Selection Pane Data'!$B29,List!$E$2:$E$173,0),MATCH('Selection Pane Data'!AE$3,List!$E$2:$CD$2,0)),"")</f>
        <v/>
      </c>
      <c r="AF29" s="13" t="str">
        <f>IF(AF$4="Yes",INDEX(List!$E$2:$CD$173,MATCH('Selection Pane Data'!$B29,List!$E$2:$E$173,0),MATCH('Selection Pane Data'!AF$3,List!$E$2:$CD$2,0)),"")</f>
        <v/>
      </c>
      <c r="AG29" s="13" t="str">
        <f>IF(AG$4="Yes",INDEX(List!$E$2:$CD$173,MATCH('Selection Pane Data'!$B29,List!$E$2:$E$173,0),MATCH('Selection Pane Data'!AG$3,List!$E$2:$CD$2,0)),"")</f>
        <v/>
      </c>
      <c r="AH29" s="13" t="str">
        <f>IF(AH$4="Yes",INDEX(List!$E$2:$CD$173,MATCH('Selection Pane Data'!$B29,List!$E$2:$E$173,0),MATCH('Selection Pane Data'!AH$3,List!$E$2:$CD$2,0)),"")</f>
        <v/>
      </c>
      <c r="AI29" s="13" t="str">
        <f>IF(AI$4="Yes",INDEX(List!$E$2:$CD$173,MATCH('Selection Pane Data'!$B29,List!$E$2:$E$173,0),MATCH('Selection Pane Data'!AI$3,List!$E$2:$CD$2,0)),"")</f>
        <v/>
      </c>
      <c r="AJ29" s="13" t="str">
        <f>IF(AJ$4="Yes",INDEX(List!$E$2:$CD$173,MATCH('Selection Pane Data'!$B29,List!$E$2:$E$173,0),MATCH('Selection Pane Data'!AJ$3,List!$E$2:$CD$2,0)),"")</f>
        <v/>
      </c>
      <c r="AK29" s="13" t="str">
        <f>IF(AK$4="Yes",INDEX(List!$E$2:$CD$173,MATCH('Selection Pane Data'!$B29,List!$E$2:$E$173,0),MATCH('Selection Pane Data'!AK$3,List!$E$2:$CD$2,0)),"")</f>
        <v/>
      </c>
      <c r="AL29" s="13" t="str">
        <f>IF(AL$4="Yes",INDEX(List!$E$2:$CD$173,MATCH('Selection Pane Data'!$B29,List!$E$2:$E$173,0),MATCH('Selection Pane Data'!AL$3,List!$E$2:$CD$2,0)),"")</f>
        <v/>
      </c>
      <c r="AM29" s="13" t="str">
        <f>IF(AM$4="Yes",INDEX(List!$E$2:$CD$173,MATCH('Selection Pane Data'!$B29,List!$E$2:$E$173,0),MATCH('Selection Pane Data'!AM$3,List!$E$2:$CD$2,0)),"")</f>
        <v/>
      </c>
      <c r="AN29" s="13" t="str">
        <f>IF(AN$4="Yes",INDEX(List!$E$2:$CD$173,MATCH('Selection Pane Data'!$B29,List!$E$2:$E$173,0),MATCH('Selection Pane Data'!AN$3,List!$E$2:$CD$2,0)),"")</f>
        <v/>
      </c>
      <c r="AO29" s="13" t="str">
        <f>IF(AO$4="Yes",INDEX(List!$E$2:$CD$173,MATCH('Selection Pane Data'!$B29,List!$E$2:$E$173,0),MATCH('Selection Pane Data'!AO$3,List!$E$2:$CD$2,0)),"")</f>
        <v/>
      </c>
      <c r="AP29" s="13" t="str">
        <f>IF(AP$4="Yes",INDEX(List!$E$2:$CD$173,MATCH('Selection Pane Data'!$B29,List!$E$2:$E$173,0),MATCH('Selection Pane Data'!AP$3,List!$E$2:$CD$2,0)),"")</f>
        <v/>
      </c>
      <c r="AQ29" s="13" t="str">
        <f>IF(AQ$4="Yes",INDEX(List!$E$2:$CD$173,MATCH('Selection Pane Data'!$B29,List!$E$2:$E$173,0),MATCH('Selection Pane Data'!AQ$3,List!$E$2:$CD$2,0)),"")</f>
        <v/>
      </c>
      <c r="AR29" s="13" t="str">
        <f>IF(AR$4="Yes",INDEX(List!$E$2:$CD$173,MATCH('Selection Pane Data'!$B29,List!$E$2:$E$173,0),MATCH('Selection Pane Data'!AR$3,List!$E$2:$CD$2,0)),"")</f>
        <v/>
      </c>
      <c r="AS29" s="13" t="str">
        <f>IF(AS$4="Yes",INDEX(List!$E$2:$CD$173,MATCH('Selection Pane Data'!$B29,List!$E$2:$E$173,0),MATCH('Selection Pane Data'!AS$3,List!$E$2:$CD$2,0)),"")</f>
        <v/>
      </c>
      <c r="AT29" s="13" t="str">
        <f>IF(AT$4="Yes",INDEX(List!$E$2:$CD$173,MATCH('Selection Pane Data'!$B29,List!$E$2:$E$173,0),MATCH('Selection Pane Data'!AT$3,List!$E$2:$CD$2,0)),"")</f>
        <v/>
      </c>
      <c r="AU29" s="13" t="str">
        <f>IF(AU$4="Yes",INDEX(List!$E$2:$CD$173,MATCH('Selection Pane Data'!$B29,List!$E$2:$E$173,0),MATCH('Selection Pane Data'!AU$3,List!$E$2:$CD$2,0)),"")</f>
        <v/>
      </c>
      <c r="AV29" s="13" t="str">
        <f>IF(AV$4="Yes",INDEX(List!$E$2:$CD$173,MATCH('Selection Pane Data'!$B29,List!$E$2:$E$173,0),MATCH('Selection Pane Data'!AV$3,List!$E$2:$CD$2,0)),"")</f>
        <v/>
      </c>
      <c r="AW29" s="13" t="str">
        <f>IF(AW$4="Yes",INDEX(List!$E$2:$CD$173,MATCH('Selection Pane Data'!$B29,List!$E$2:$E$173,0),MATCH('Selection Pane Data'!AW$3,List!$E$2:$CD$2,0)),"")</f>
        <v/>
      </c>
      <c r="AX29" s="13" t="str">
        <f>IF(AX$4="Yes",INDEX(List!$E$2:$CD$173,MATCH('Selection Pane Data'!$B29,List!$E$2:$E$173,0),MATCH('Selection Pane Data'!AX$3,List!$E$2:$CD$2,0)),"")</f>
        <v/>
      </c>
      <c r="AY29" s="13" t="str">
        <f>IF(AY$4="Yes",INDEX(List!$E$2:$CD$173,MATCH('Selection Pane Data'!$B29,List!$E$2:$E$173,0),MATCH('Selection Pane Data'!AY$3,List!$E$2:$CD$2,0)),"")</f>
        <v/>
      </c>
      <c r="AZ29" s="13" t="str">
        <f>IF(AZ$4="Yes",INDEX(List!$E$2:$CD$173,MATCH('Selection Pane Data'!$B29,List!$E$2:$E$173,0),MATCH('Selection Pane Data'!AZ$3,List!$E$2:$CD$2,0)),"")</f>
        <v/>
      </c>
      <c r="BA29" s="13" t="str">
        <f>IF(BA$4="Yes",INDEX(List!$E$2:$CD$173,MATCH('Selection Pane Data'!$B29,List!$E$2:$E$173,0),MATCH('Selection Pane Data'!BA$3,List!$E$2:$CD$2,0)),"")</f>
        <v/>
      </c>
      <c r="BB29" s="13" t="str">
        <f>IF(BB$4="Yes",INDEX(List!$E$2:$CD$173,MATCH('Selection Pane Data'!$B29,List!$E$2:$E$173,0),MATCH('Selection Pane Data'!BB$3,List!$E$2:$CD$2,0)),"")</f>
        <v/>
      </c>
      <c r="BC29" s="13" t="str">
        <f>IF(BC$4="Yes",INDEX(List!$E$2:$CD$173,MATCH('Selection Pane Data'!$B29,List!$E$2:$E$173,0),MATCH('Selection Pane Data'!BC$3,List!$E$2:$CD$2,0)),"")</f>
        <v/>
      </c>
      <c r="BD29" s="13" t="str">
        <f>IF(BD$4="Yes",INDEX(List!$E$2:$CD$173,MATCH('Selection Pane Data'!$B29,List!$E$2:$E$173,0),MATCH('Selection Pane Data'!BD$3,List!$E$2:$CD$2,0)),"")</f>
        <v/>
      </c>
      <c r="BE29" s="13" t="str">
        <f>IF(BE$4="Yes",INDEX(List!$E$2:$CD$173,MATCH('Selection Pane Data'!$B29,List!$E$2:$E$173,0),MATCH('Selection Pane Data'!BE$3,List!$E$2:$CD$2,0)),"")</f>
        <v/>
      </c>
      <c r="BF29" s="13" t="str">
        <f>IF(BF$4="Yes",INDEX(List!$E$2:$CD$173,MATCH('Selection Pane Data'!$B29,List!$E$2:$E$173,0),MATCH('Selection Pane Data'!BF$3,List!$E$2:$CD$2,0)),"")</f>
        <v/>
      </c>
      <c r="BG29" s="13" t="str">
        <f>IF(BG$4="Yes",INDEX(List!$E$2:$CD$173,MATCH('Selection Pane Data'!$B29,List!$E$2:$E$173,0),MATCH('Selection Pane Data'!BG$3,List!$E$2:$CD$2,0)),"")</f>
        <v/>
      </c>
      <c r="BH29" s="13" t="str">
        <f>IF(BH$4="Yes",INDEX(List!$E$2:$CD$173,MATCH('Selection Pane Data'!$B29,List!$E$2:$E$173,0),MATCH('Selection Pane Data'!BH$3,List!$E$2:$CD$2,0)),"")</f>
        <v/>
      </c>
      <c r="BI29" s="13" t="str">
        <f>IF(BI$4="Yes",INDEX(List!$E$2:$CD$173,MATCH('Selection Pane Data'!$B29,List!$E$2:$E$173,0),MATCH('Selection Pane Data'!BI$3,List!$E$2:$CD$2,0)),"")</f>
        <v/>
      </c>
      <c r="BJ29" s="13" t="str">
        <f>IF(BJ$4="Yes",INDEX(List!$E$2:$CD$173,MATCH('Selection Pane Data'!$B29,List!$E$2:$E$173,0),MATCH('Selection Pane Data'!BJ$3,List!$E$2:$CD$2,0)),"")</f>
        <v/>
      </c>
      <c r="BK29" s="13" t="str">
        <f>IF(BK$4="Yes",INDEX(List!$E$2:$CD$173,MATCH('Selection Pane Data'!$B29,List!$E$2:$E$173,0),MATCH('Selection Pane Data'!BK$3,List!$E$2:$CD$2,0)),"")</f>
        <v/>
      </c>
      <c r="BL29" s="13" t="str">
        <f>IF(BL$4="Yes",INDEX(List!$E$2:$CD$173,MATCH('Selection Pane Data'!$B29,List!$E$2:$E$173,0),MATCH('Selection Pane Data'!BL$3,List!$E$2:$CD$2,0)),"")</f>
        <v/>
      </c>
      <c r="BM29" s="13" t="str">
        <f>IF(BM$4="Yes",INDEX(List!$E$2:$CD$173,MATCH('Selection Pane Data'!$B29,List!$E$2:$E$173,0),MATCH('Selection Pane Data'!BM$3,List!$E$2:$CD$2,0)),"")</f>
        <v/>
      </c>
      <c r="BN29" s="13" t="str">
        <f>IF(BN$4="Yes",INDEX(List!$E$2:$CD$173,MATCH('Selection Pane Data'!$B29,List!$E$2:$E$173,0),MATCH('Selection Pane Data'!BN$3,List!$E$2:$CD$2,0)),"")</f>
        <v/>
      </c>
      <c r="BO29" s="13" t="str">
        <f>IF(BO$4="Yes",INDEX(List!$E$2:$CD$173,MATCH('Selection Pane Data'!$B29,List!$E$2:$E$173,0),MATCH('Selection Pane Data'!BO$3,List!$E$2:$CD$2,0)),"")</f>
        <v/>
      </c>
      <c r="BP29" s="13" t="str">
        <f>IF(BP$4="Yes",INDEX(List!$E$2:$CD$173,MATCH('Selection Pane Data'!$B29,List!$E$2:$E$173,0),MATCH('Selection Pane Data'!BP$3,List!$E$2:$CD$2,0)),"")</f>
        <v/>
      </c>
      <c r="BQ29" s="13" t="str">
        <f>IF(BQ$4="Yes",INDEX(List!$E$2:$CD$173,MATCH('Selection Pane Data'!$B29,List!$E$2:$E$173,0),MATCH('Selection Pane Data'!BQ$3,List!$E$2:$CD$2,0)),"")</f>
        <v/>
      </c>
      <c r="BR29" s="13" t="str">
        <f>IF(BR$4="Yes",INDEX(List!$E$2:$CD$173,MATCH('Selection Pane Data'!$B29,List!$E$2:$E$173,0),MATCH('Selection Pane Data'!BR$3,List!$E$2:$CD$2,0)),"")</f>
        <v/>
      </c>
      <c r="BS29" s="13" t="str">
        <f>IF(BS$4="Yes",INDEX(List!$E$2:$CD$173,MATCH('Selection Pane Data'!$B29,List!$E$2:$E$173,0),MATCH('Selection Pane Data'!BS$3,List!$E$2:$CD$2,0)),"")</f>
        <v/>
      </c>
      <c r="BT29" s="13" t="str">
        <f>IF(BT$4="Yes",INDEX(List!$E$2:$CD$173,MATCH('Selection Pane Data'!$B29,List!$E$2:$E$173,0),MATCH('Selection Pane Data'!BT$3,List!$E$2:$CD$2,0)),"")</f>
        <v/>
      </c>
      <c r="BU29" s="13" t="str">
        <f>IF(BU$4="Yes",INDEX(List!$E$2:$CD$173,MATCH('Selection Pane Data'!$B29,List!$E$2:$E$173,0),MATCH('Selection Pane Data'!BU$3,List!$E$2:$CD$2,0)),"")</f>
        <v/>
      </c>
      <c r="BV29" s="13" t="str">
        <f>IF(BV$4="Yes",INDEX(List!$E$2:$CD$173,MATCH('Selection Pane Data'!$B29,List!$E$2:$E$173,0),MATCH('Selection Pane Data'!BV$3,List!$E$2:$CD$2,0)),"")</f>
        <v/>
      </c>
      <c r="BW29" s="13" t="str">
        <f>IF(BW$4="Yes",INDEX(List!$E$2:$CD$173,MATCH('Selection Pane Data'!$B29,List!$E$2:$E$173,0),MATCH('Selection Pane Data'!BW$3,List!$E$2:$CD$2,0)),"")</f>
        <v/>
      </c>
      <c r="BX29" s="13" t="str">
        <f>IF(BX$4="Yes",INDEX(List!$E$2:$CD$173,MATCH('Selection Pane Data'!$B29,List!$E$2:$E$173,0),MATCH('Selection Pane Data'!BX$3,List!$E$2:$CD$2,0)),"")</f>
        <v/>
      </c>
      <c r="BY29" s="13" t="str">
        <f>IF(BY$4="Yes",INDEX(List!$E$2:$CD$173,MATCH('Selection Pane Data'!$B29,List!$E$2:$E$173,0),MATCH('Selection Pane Data'!BY$3,List!$E$2:$CD$2,0)),"")</f>
        <v/>
      </c>
      <c r="BZ29" s="13" t="str">
        <f>IF(BZ$4="Yes",INDEX(List!$E$2:$CD$173,MATCH('Selection Pane Data'!$B29,List!$E$2:$E$173,0),MATCH('Selection Pane Data'!BZ$3,List!$E$2:$CD$2,0)),"")</f>
        <v/>
      </c>
      <c r="CA29" s="13" t="str">
        <f>IF(CA$4="Yes",INDEX(List!$E$2:$CD$173,MATCH('Selection Pane Data'!$B29,List!$E$2:$E$173,0),MATCH('Selection Pane Data'!CA$3,List!$E$2:$CD$2,0)),"")</f>
        <v/>
      </c>
      <c r="CB29" s="13" t="str">
        <f>IF(CB$4="Yes",INDEX(List!$E$2:$CD$173,MATCH('Selection Pane Data'!$B29,List!$E$2:$E$173,0),MATCH('Selection Pane Data'!CB$3,List!$E$2:$CD$2,0)),"")</f>
        <v/>
      </c>
      <c r="CC29" s="13" t="str">
        <f>IF(CC$4="Yes",INDEX(List!$E$2:$CD$173,MATCH('Selection Pane Data'!$B29,List!$E$2:$E$173,0),MATCH('Selection Pane Data'!CC$3,List!$E$2:$CD$2,0)),"")</f>
        <v/>
      </c>
      <c r="CD29" s="13" t="str">
        <f>IF(CD$4="Yes",INDEX(List!$E$2:$CD$173,MATCH('Selection Pane Data'!$B29,List!$E$2:$E$173,0),MATCH('Selection Pane Data'!CD$3,List!$E$2:$CD$2,0)),"")</f>
        <v/>
      </c>
      <c r="CE29" s="13" t="str">
        <f>IF(CE$4="Yes",INDEX(List!$E$2:$CD$173,MATCH('Selection Pane Data'!$B29,List!$E$2:$E$173,0),MATCH('Selection Pane Data'!CE$3,List!$E$2:$CD$2,0)),"")</f>
        <v/>
      </c>
    </row>
    <row r="30" spans="2:83" x14ac:dyDescent="0.35">
      <c r="B30" s="21" t="s">
        <v>317</v>
      </c>
      <c r="C30" s="126" t="str">
        <f>VLOOKUP(B30,List!$E$2:$G$173,2,FALSE)</f>
        <v>N/A</v>
      </c>
      <c r="D30" s="31" t="str">
        <f>List!G28</f>
        <v>Not Applicable</v>
      </c>
      <c r="E30" s="31" t="str">
        <f>IF(Placemat!$F$4="All Practices","All Practices",IF(VLOOKUP(B30,Table7[#All],6,FALSE)="No Mapping","New CMMC Practices","Practices with NIST 800-171 Mappings"))</f>
        <v>Practices with NIST 800-171 Mappings</v>
      </c>
      <c r="F30" t="str">
        <f>INDEX('CMMC Levels'!$A$1:$F$172,MATCH('Selection Pane Data'!$C30,'CMMC Levels'!$A$1:$A$172,0),MATCH(Placemat!$F$4,'CMMC Levels'!$A$1:$F$1,0))</f>
        <v>N/A</v>
      </c>
      <c r="G30" s="77" t="str">
        <f>IF((COUNTIF(List!H28:CE28,"P")+COUNTIF(List!H28:CE28,"S"))=0,"N",IF(COUNTIF(H30:CE30,"P"),"P",IF(COUNTIF(H30:CE30,"S"),"S","U")))</f>
        <v>N</v>
      </c>
      <c r="H30" s="13" t="str">
        <f>IF(H$4="Yes",INDEX(List!$E$2:$CD$173,MATCH('Selection Pane Data'!$B30,List!$E$2:$E$173,0),MATCH('Selection Pane Data'!H$3,List!$E$2:$CD$2,0)),"")</f>
        <v/>
      </c>
      <c r="I30" s="13" t="str">
        <f>IF(I$4="Yes",INDEX(List!$E$2:$CD$173,MATCH('Selection Pane Data'!$B30,List!$E$2:$E$173,0),MATCH('Selection Pane Data'!I$3,List!$E$2:$CD$2,0)),"")</f>
        <v/>
      </c>
      <c r="J30" s="13" t="e">
        <f>IF(J$4="Yes",INDEX(List!$E$2:$CD$173,MATCH('Selection Pane Data'!$B30,List!$E$2:$E$173,0),MATCH('Selection Pane Data'!J$3,List!$E$2:$CD$2,0)),"")</f>
        <v>#N/A</v>
      </c>
      <c r="K30" s="13" t="str">
        <f>IF(K$4="Yes",INDEX(List!$E$2:$CD$173,MATCH('Selection Pane Data'!$B30,List!$E$2:$E$173,0),MATCH('Selection Pane Data'!K$3,List!$E$2:$CD$2,0)),"")</f>
        <v/>
      </c>
      <c r="L30" s="13" t="str">
        <f>IF(L$4="Yes",INDEX(List!$E$2:$CD$173,MATCH('Selection Pane Data'!$B30,List!$E$2:$E$173,0),MATCH('Selection Pane Data'!L$3,List!$E$2:$CD$2,0)),"")</f>
        <v/>
      </c>
      <c r="M30" s="13" t="str">
        <f>IF(M$4="Yes",INDEX(List!$E$2:$CD$173,MATCH('Selection Pane Data'!$B30,List!$E$2:$E$173,0),MATCH('Selection Pane Data'!M$3,List!$E$2:$CD$2,0)),"")</f>
        <v/>
      </c>
      <c r="N30" s="13" t="str">
        <f>IF(N$4="Yes",INDEX(List!$E$2:$CD$173,MATCH('Selection Pane Data'!$B30,List!$E$2:$E$173,0),MATCH('Selection Pane Data'!N$3,List!$E$2:$CD$2,0)),"")</f>
        <v/>
      </c>
      <c r="O30" s="13" t="str">
        <f>IF(O$4="Yes",INDEX(List!$E$2:$CD$173,MATCH('Selection Pane Data'!$B30,List!$E$2:$E$173,0),MATCH('Selection Pane Data'!O$3,List!$E$2:$CD$2,0)),"")</f>
        <v/>
      </c>
      <c r="P30" s="13" t="str">
        <f>IF(P$4="Yes",INDEX(List!$E$2:$CD$173,MATCH('Selection Pane Data'!$B30,List!$E$2:$E$173,0),MATCH('Selection Pane Data'!P$3,List!$E$2:$CD$2,0)),"")</f>
        <v/>
      </c>
      <c r="Q30" s="13" t="str">
        <f>IF(Q$4="Yes",INDEX(List!$E$2:$CD$173,MATCH('Selection Pane Data'!$B30,List!$E$2:$E$173,0),MATCH('Selection Pane Data'!Q$3,List!$E$2:$CD$2,0)),"")</f>
        <v/>
      </c>
      <c r="R30" s="13" t="str">
        <f>IF(R$4="Yes",INDEX(List!$E$2:$CD$173,MATCH('Selection Pane Data'!$B30,List!$E$2:$E$173,0),MATCH('Selection Pane Data'!R$3,List!$E$2:$CD$2,0)),"")</f>
        <v/>
      </c>
      <c r="S30" s="13" t="str">
        <f>IF(S$4="Yes",INDEX(List!$E$2:$CD$173,MATCH('Selection Pane Data'!$B30,List!$E$2:$E$173,0),MATCH('Selection Pane Data'!S$3,List!$E$2:$CD$2,0)),"")</f>
        <v/>
      </c>
      <c r="T30" s="13" t="str">
        <f>IF(T$4="Yes",INDEX(List!$E$2:$CD$173,MATCH('Selection Pane Data'!$B30,List!$E$2:$E$173,0),MATCH('Selection Pane Data'!T$3,List!$E$2:$CD$2,0)),"")</f>
        <v/>
      </c>
      <c r="U30" s="13" t="str">
        <f>IF(U$4="Yes",INDEX(List!$E$2:$CD$173,MATCH('Selection Pane Data'!$B30,List!$E$2:$E$173,0),MATCH('Selection Pane Data'!U$3,List!$E$2:$CD$2,0)),"")</f>
        <v/>
      </c>
      <c r="V30" s="13" t="str">
        <f>IF(V$4="Yes",INDEX(List!$E$2:$CD$173,MATCH('Selection Pane Data'!$B30,List!$E$2:$E$173,0),MATCH('Selection Pane Data'!V$3,List!$E$2:$CD$2,0)),"")</f>
        <v/>
      </c>
      <c r="W30" s="13" t="str">
        <f>IF(W$4="Yes",INDEX(List!$E$2:$CD$173,MATCH('Selection Pane Data'!$B30,List!$E$2:$E$173,0),MATCH('Selection Pane Data'!W$3,List!$E$2:$CD$2,0)),"")</f>
        <v/>
      </c>
      <c r="X30" s="13" t="str">
        <f>IF(X$4="Yes",INDEX(List!$E$2:$CD$173,MATCH('Selection Pane Data'!$B30,List!$E$2:$E$173,0),MATCH('Selection Pane Data'!X$3,List!$E$2:$CD$2,0)),"")</f>
        <v/>
      </c>
      <c r="Y30" s="13" t="str">
        <f>IF(Y$4="Yes",INDEX(List!$E$2:$CD$173,MATCH('Selection Pane Data'!$B30,List!$E$2:$E$173,0),MATCH('Selection Pane Data'!Y$3,List!$E$2:$CD$2,0)),"")</f>
        <v/>
      </c>
      <c r="Z30" s="13" t="str">
        <f>IF(Z$4="Yes",INDEX(List!$E$2:$CD$173,MATCH('Selection Pane Data'!$B30,List!$E$2:$E$173,0),MATCH('Selection Pane Data'!Z$3,List!$E$2:$CD$2,0)),"")</f>
        <v/>
      </c>
      <c r="AA30" s="13" t="e">
        <f>IF(AA$4="Yes",INDEX(List!$E$2:$CD$173,MATCH('Selection Pane Data'!$B30,List!$E$2:$E$173,0),MATCH('Selection Pane Data'!AA$3,List!$E$2:$CD$2,0)),"")</f>
        <v>#N/A</v>
      </c>
      <c r="AB30" s="13" t="str">
        <f>IF(AB$4="Yes",INDEX(List!$E$2:$CD$173,MATCH('Selection Pane Data'!$B30,List!$E$2:$E$173,0),MATCH('Selection Pane Data'!AB$3,List!$E$2:$CD$2,0)),"")</f>
        <v/>
      </c>
      <c r="AC30" s="13" t="str">
        <f>IF(AC$4="Yes",INDEX(List!$E$2:$CD$173,MATCH('Selection Pane Data'!$B30,List!$E$2:$E$173,0),MATCH('Selection Pane Data'!AC$3,List!$E$2:$CD$2,0)),"")</f>
        <v/>
      </c>
      <c r="AD30" s="13" t="str">
        <f>IF(AD$4="Yes",INDEX(List!$E$2:$CD$173,MATCH('Selection Pane Data'!$B30,List!$E$2:$E$173,0),MATCH('Selection Pane Data'!AD$3,List!$E$2:$CD$2,0)),"")</f>
        <v/>
      </c>
      <c r="AE30" s="13" t="str">
        <f>IF(AE$4="Yes",INDEX(List!$E$2:$CD$173,MATCH('Selection Pane Data'!$B30,List!$E$2:$E$173,0),MATCH('Selection Pane Data'!AE$3,List!$E$2:$CD$2,0)),"")</f>
        <v/>
      </c>
      <c r="AF30" s="13" t="str">
        <f>IF(AF$4="Yes",INDEX(List!$E$2:$CD$173,MATCH('Selection Pane Data'!$B30,List!$E$2:$E$173,0),MATCH('Selection Pane Data'!AF$3,List!$E$2:$CD$2,0)),"")</f>
        <v/>
      </c>
      <c r="AG30" s="13" t="str">
        <f>IF(AG$4="Yes",INDEX(List!$E$2:$CD$173,MATCH('Selection Pane Data'!$B30,List!$E$2:$E$173,0),MATCH('Selection Pane Data'!AG$3,List!$E$2:$CD$2,0)),"")</f>
        <v/>
      </c>
      <c r="AH30" s="13" t="str">
        <f>IF(AH$4="Yes",INDEX(List!$E$2:$CD$173,MATCH('Selection Pane Data'!$B30,List!$E$2:$E$173,0),MATCH('Selection Pane Data'!AH$3,List!$E$2:$CD$2,0)),"")</f>
        <v/>
      </c>
      <c r="AI30" s="13" t="str">
        <f>IF(AI$4="Yes",INDEX(List!$E$2:$CD$173,MATCH('Selection Pane Data'!$B30,List!$E$2:$E$173,0),MATCH('Selection Pane Data'!AI$3,List!$E$2:$CD$2,0)),"")</f>
        <v/>
      </c>
      <c r="AJ30" s="13" t="str">
        <f>IF(AJ$4="Yes",INDEX(List!$E$2:$CD$173,MATCH('Selection Pane Data'!$B30,List!$E$2:$E$173,0),MATCH('Selection Pane Data'!AJ$3,List!$E$2:$CD$2,0)),"")</f>
        <v/>
      </c>
      <c r="AK30" s="13" t="str">
        <f>IF(AK$4="Yes",INDEX(List!$E$2:$CD$173,MATCH('Selection Pane Data'!$B30,List!$E$2:$E$173,0),MATCH('Selection Pane Data'!AK$3,List!$E$2:$CD$2,0)),"")</f>
        <v/>
      </c>
      <c r="AL30" s="13" t="str">
        <f>IF(AL$4="Yes",INDEX(List!$E$2:$CD$173,MATCH('Selection Pane Data'!$B30,List!$E$2:$E$173,0),MATCH('Selection Pane Data'!AL$3,List!$E$2:$CD$2,0)),"")</f>
        <v/>
      </c>
      <c r="AM30" s="13" t="str">
        <f>IF(AM$4="Yes",INDEX(List!$E$2:$CD$173,MATCH('Selection Pane Data'!$B30,List!$E$2:$E$173,0),MATCH('Selection Pane Data'!AM$3,List!$E$2:$CD$2,0)),"")</f>
        <v/>
      </c>
      <c r="AN30" s="13" t="str">
        <f>IF(AN$4="Yes",INDEX(List!$E$2:$CD$173,MATCH('Selection Pane Data'!$B30,List!$E$2:$E$173,0),MATCH('Selection Pane Data'!AN$3,List!$E$2:$CD$2,0)),"")</f>
        <v/>
      </c>
      <c r="AO30" s="13" t="str">
        <f>IF(AO$4="Yes",INDEX(List!$E$2:$CD$173,MATCH('Selection Pane Data'!$B30,List!$E$2:$E$173,0),MATCH('Selection Pane Data'!AO$3,List!$E$2:$CD$2,0)),"")</f>
        <v/>
      </c>
      <c r="AP30" s="13" t="str">
        <f>IF(AP$4="Yes",INDEX(List!$E$2:$CD$173,MATCH('Selection Pane Data'!$B30,List!$E$2:$E$173,0),MATCH('Selection Pane Data'!AP$3,List!$E$2:$CD$2,0)),"")</f>
        <v/>
      </c>
      <c r="AQ30" s="13" t="str">
        <f>IF(AQ$4="Yes",INDEX(List!$E$2:$CD$173,MATCH('Selection Pane Data'!$B30,List!$E$2:$E$173,0),MATCH('Selection Pane Data'!AQ$3,List!$E$2:$CD$2,0)),"")</f>
        <v/>
      </c>
      <c r="AR30" s="13" t="str">
        <f>IF(AR$4="Yes",INDEX(List!$E$2:$CD$173,MATCH('Selection Pane Data'!$B30,List!$E$2:$E$173,0),MATCH('Selection Pane Data'!AR$3,List!$E$2:$CD$2,0)),"")</f>
        <v/>
      </c>
      <c r="AS30" s="13" t="str">
        <f>IF(AS$4="Yes",INDEX(List!$E$2:$CD$173,MATCH('Selection Pane Data'!$B30,List!$E$2:$E$173,0),MATCH('Selection Pane Data'!AS$3,List!$E$2:$CD$2,0)),"")</f>
        <v/>
      </c>
      <c r="AT30" s="13" t="str">
        <f>IF(AT$4="Yes",INDEX(List!$E$2:$CD$173,MATCH('Selection Pane Data'!$B30,List!$E$2:$E$173,0),MATCH('Selection Pane Data'!AT$3,List!$E$2:$CD$2,0)),"")</f>
        <v/>
      </c>
      <c r="AU30" s="13" t="str">
        <f>IF(AU$4="Yes",INDEX(List!$E$2:$CD$173,MATCH('Selection Pane Data'!$B30,List!$E$2:$E$173,0),MATCH('Selection Pane Data'!AU$3,List!$E$2:$CD$2,0)),"")</f>
        <v/>
      </c>
      <c r="AV30" s="13" t="str">
        <f>IF(AV$4="Yes",INDEX(List!$E$2:$CD$173,MATCH('Selection Pane Data'!$B30,List!$E$2:$E$173,0),MATCH('Selection Pane Data'!AV$3,List!$E$2:$CD$2,0)),"")</f>
        <v/>
      </c>
      <c r="AW30" s="13" t="str">
        <f>IF(AW$4="Yes",INDEX(List!$E$2:$CD$173,MATCH('Selection Pane Data'!$B30,List!$E$2:$E$173,0),MATCH('Selection Pane Data'!AW$3,List!$E$2:$CD$2,0)),"")</f>
        <v/>
      </c>
      <c r="AX30" s="13" t="str">
        <f>IF(AX$4="Yes",INDEX(List!$E$2:$CD$173,MATCH('Selection Pane Data'!$B30,List!$E$2:$E$173,0),MATCH('Selection Pane Data'!AX$3,List!$E$2:$CD$2,0)),"")</f>
        <v/>
      </c>
      <c r="AY30" s="13" t="str">
        <f>IF(AY$4="Yes",INDEX(List!$E$2:$CD$173,MATCH('Selection Pane Data'!$B30,List!$E$2:$E$173,0),MATCH('Selection Pane Data'!AY$3,List!$E$2:$CD$2,0)),"")</f>
        <v/>
      </c>
      <c r="AZ30" s="13" t="str">
        <f>IF(AZ$4="Yes",INDEX(List!$E$2:$CD$173,MATCH('Selection Pane Data'!$B30,List!$E$2:$E$173,0),MATCH('Selection Pane Data'!AZ$3,List!$E$2:$CD$2,0)),"")</f>
        <v/>
      </c>
      <c r="BA30" s="13" t="str">
        <f>IF(BA$4="Yes",INDEX(List!$E$2:$CD$173,MATCH('Selection Pane Data'!$B30,List!$E$2:$E$173,0),MATCH('Selection Pane Data'!BA$3,List!$E$2:$CD$2,0)),"")</f>
        <v/>
      </c>
      <c r="BB30" s="13" t="str">
        <f>IF(BB$4="Yes",INDEX(List!$E$2:$CD$173,MATCH('Selection Pane Data'!$B30,List!$E$2:$E$173,0),MATCH('Selection Pane Data'!BB$3,List!$E$2:$CD$2,0)),"")</f>
        <v/>
      </c>
      <c r="BC30" s="13" t="str">
        <f>IF(BC$4="Yes",INDEX(List!$E$2:$CD$173,MATCH('Selection Pane Data'!$B30,List!$E$2:$E$173,0),MATCH('Selection Pane Data'!BC$3,List!$E$2:$CD$2,0)),"")</f>
        <v/>
      </c>
      <c r="BD30" s="13" t="str">
        <f>IF(BD$4="Yes",INDEX(List!$E$2:$CD$173,MATCH('Selection Pane Data'!$B30,List!$E$2:$E$173,0),MATCH('Selection Pane Data'!BD$3,List!$E$2:$CD$2,0)),"")</f>
        <v/>
      </c>
      <c r="BE30" s="13" t="str">
        <f>IF(BE$4="Yes",INDEX(List!$E$2:$CD$173,MATCH('Selection Pane Data'!$B30,List!$E$2:$E$173,0),MATCH('Selection Pane Data'!BE$3,List!$E$2:$CD$2,0)),"")</f>
        <v/>
      </c>
      <c r="BF30" s="13" t="str">
        <f>IF(BF$4="Yes",INDEX(List!$E$2:$CD$173,MATCH('Selection Pane Data'!$B30,List!$E$2:$E$173,0),MATCH('Selection Pane Data'!BF$3,List!$E$2:$CD$2,0)),"")</f>
        <v/>
      </c>
      <c r="BG30" s="13" t="str">
        <f>IF(BG$4="Yes",INDEX(List!$E$2:$CD$173,MATCH('Selection Pane Data'!$B30,List!$E$2:$E$173,0),MATCH('Selection Pane Data'!BG$3,List!$E$2:$CD$2,0)),"")</f>
        <v/>
      </c>
      <c r="BH30" s="13" t="str">
        <f>IF(BH$4="Yes",INDEX(List!$E$2:$CD$173,MATCH('Selection Pane Data'!$B30,List!$E$2:$E$173,0),MATCH('Selection Pane Data'!BH$3,List!$E$2:$CD$2,0)),"")</f>
        <v/>
      </c>
      <c r="BI30" s="13" t="str">
        <f>IF(BI$4="Yes",INDEX(List!$E$2:$CD$173,MATCH('Selection Pane Data'!$B30,List!$E$2:$E$173,0),MATCH('Selection Pane Data'!BI$3,List!$E$2:$CD$2,0)),"")</f>
        <v/>
      </c>
      <c r="BJ30" s="13" t="str">
        <f>IF(BJ$4="Yes",INDEX(List!$E$2:$CD$173,MATCH('Selection Pane Data'!$B30,List!$E$2:$E$173,0),MATCH('Selection Pane Data'!BJ$3,List!$E$2:$CD$2,0)),"")</f>
        <v/>
      </c>
      <c r="BK30" s="13" t="str">
        <f>IF(BK$4="Yes",INDEX(List!$E$2:$CD$173,MATCH('Selection Pane Data'!$B30,List!$E$2:$E$173,0),MATCH('Selection Pane Data'!BK$3,List!$E$2:$CD$2,0)),"")</f>
        <v/>
      </c>
      <c r="BL30" s="13" t="str">
        <f>IF(BL$4="Yes",INDEX(List!$E$2:$CD$173,MATCH('Selection Pane Data'!$B30,List!$E$2:$E$173,0),MATCH('Selection Pane Data'!BL$3,List!$E$2:$CD$2,0)),"")</f>
        <v/>
      </c>
      <c r="BM30" s="13" t="str">
        <f>IF(BM$4="Yes",INDEX(List!$E$2:$CD$173,MATCH('Selection Pane Data'!$B30,List!$E$2:$E$173,0),MATCH('Selection Pane Data'!BM$3,List!$E$2:$CD$2,0)),"")</f>
        <v/>
      </c>
      <c r="BN30" s="13" t="str">
        <f>IF(BN$4="Yes",INDEX(List!$E$2:$CD$173,MATCH('Selection Pane Data'!$B30,List!$E$2:$E$173,0),MATCH('Selection Pane Data'!BN$3,List!$E$2:$CD$2,0)),"")</f>
        <v/>
      </c>
      <c r="BO30" s="13" t="str">
        <f>IF(BO$4="Yes",INDEX(List!$E$2:$CD$173,MATCH('Selection Pane Data'!$B30,List!$E$2:$E$173,0),MATCH('Selection Pane Data'!BO$3,List!$E$2:$CD$2,0)),"")</f>
        <v/>
      </c>
      <c r="BP30" s="13" t="str">
        <f>IF(BP$4="Yes",INDEX(List!$E$2:$CD$173,MATCH('Selection Pane Data'!$B30,List!$E$2:$E$173,0),MATCH('Selection Pane Data'!BP$3,List!$E$2:$CD$2,0)),"")</f>
        <v/>
      </c>
      <c r="BQ30" s="13" t="str">
        <f>IF(BQ$4="Yes",INDEX(List!$E$2:$CD$173,MATCH('Selection Pane Data'!$B30,List!$E$2:$E$173,0),MATCH('Selection Pane Data'!BQ$3,List!$E$2:$CD$2,0)),"")</f>
        <v/>
      </c>
      <c r="BR30" s="13" t="str">
        <f>IF(BR$4="Yes",INDEX(List!$E$2:$CD$173,MATCH('Selection Pane Data'!$B30,List!$E$2:$E$173,0),MATCH('Selection Pane Data'!BR$3,List!$E$2:$CD$2,0)),"")</f>
        <v/>
      </c>
      <c r="BS30" s="13" t="str">
        <f>IF(BS$4="Yes",INDEX(List!$E$2:$CD$173,MATCH('Selection Pane Data'!$B30,List!$E$2:$E$173,0),MATCH('Selection Pane Data'!BS$3,List!$E$2:$CD$2,0)),"")</f>
        <v/>
      </c>
      <c r="BT30" s="13" t="str">
        <f>IF(BT$4="Yes",INDEX(List!$E$2:$CD$173,MATCH('Selection Pane Data'!$B30,List!$E$2:$E$173,0),MATCH('Selection Pane Data'!BT$3,List!$E$2:$CD$2,0)),"")</f>
        <v/>
      </c>
      <c r="BU30" s="13" t="str">
        <f>IF(BU$4="Yes",INDEX(List!$E$2:$CD$173,MATCH('Selection Pane Data'!$B30,List!$E$2:$E$173,0),MATCH('Selection Pane Data'!BU$3,List!$E$2:$CD$2,0)),"")</f>
        <v/>
      </c>
      <c r="BV30" s="13" t="str">
        <f>IF(BV$4="Yes",INDEX(List!$E$2:$CD$173,MATCH('Selection Pane Data'!$B30,List!$E$2:$E$173,0),MATCH('Selection Pane Data'!BV$3,List!$E$2:$CD$2,0)),"")</f>
        <v/>
      </c>
      <c r="BW30" s="13" t="str">
        <f>IF(BW$4="Yes",INDEX(List!$E$2:$CD$173,MATCH('Selection Pane Data'!$B30,List!$E$2:$E$173,0),MATCH('Selection Pane Data'!BW$3,List!$E$2:$CD$2,0)),"")</f>
        <v/>
      </c>
      <c r="BX30" s="13" t="str">
        <f>IF(BX$4="Yes",INDEX(List!$E$2:$CD$173,MATCH('Selection Pane Data'!$B30,List!$E$2:$E$173,0),MATCH('Selection Pane Data'!BX$3,List!$E$2:$CD$2,0)),"")</f>
        <v/>
      </c>
      <c r="BY30" s="13" t="str">
        <f>IF(BY$4="Yes",INDEX(List!$E$2:$CD$173,MATCH('Selection Pane Data'!$B30,List!$E$2:$E$173,0),MATCH('Selection Pane Data'!BY$3,List!$E$2:$CD$2,0)),"")</f>
        <v/>
      </c>
      <c r="BZ30" s="13" t="str">
        <f>IF(BZ$4="Yes",INDEX(List!$E$2:$CD$173,MATCH('Selection Pane Data'!$B30,List!$E$2:$E$173,0),MATCH('Selection Pane Data'!BZ$3,List!$E$2:$CD$2,0)),"")</f>
        <v/>
      </c>
      <c r="CA30" s="13" t="str">
        <f>IF(CA$4="Yes",INDEX(List!$E$2:$CD$173,MATCH('Selection Pane Data'!$B30,List!$E$2:$E$173,0),MATCH('Selection Pane Data'!CA$3,List!$E$2:$CD$2,0)),"")</f>
        <v/>
      </c>
      <c r="CB30" s="13" t="str">
        <f>IF(CB$4="Yes",INDEX(List!$E$2:$CD$173,MATCH('Selection Pane Data'!$B30,List!$E$2:$E$173,0),MATCH('Selection Pane Data'!CB$3,List!$E$2:$CD$2,0)),"")</f>
        <v/>
      </c>
      <c r="CC30" s="13" t="str">
        <f>IF(CC$4="Yes",INDEX(List!$E$2:$CD$173,MATCH('Selection Pane Data'!$B30,List!$E$2:$E$173,0),MATCH('Selection Pane Data'!CC$3,List!$E$2:$CD$2,0)),"")</f>
        <v/>
      </c>
      <c r="CD30" s="13" t="str">
        <f>IF(CD$4="Yes",INDEX(List!$E$2:$CD$173,MATCH('Selection Pane Data'!$B30,List!$E$2:$E$173,0),MATCH('Selection Pane Data'!CD$3,List!$E$2:$CD$2,0)),"")</f>
        <v/>
      </c>
      <c r="CE30" s="13" t="str">
        <f>IF(CE$4="Yes",INDEX(List!$E$2:$CD$173,MATCH('Selection Pane Data'!$B30,List!$E$2:$E$173,0),MATCH('Selection Pane Data'!CE$3,List!$E$2:$CD$2,0)),"")</f>
        <v/>
      </c>
    </row>
    <row r="31" spans="2:83" x14ac:dyDescent="0.35">
      <c r="B31" s="21" t="s">
        <v>318</v>
      </c>
      <c r="C31" s="126" t="str">
        <f>VLOOKUP(B31,List!$E$2:$G$173,2,FALSE)</f>
        <v>N/A</v>
      </c>
      <c r="D31" s="31" t="str">
        <f>List!G29</f>
        <v>Customer Responsibility</v>
      </c>
      <c r="E31" s="31" t="str">
        <f>IF(Placemat!$F$4="All Practices","All Practices",IF(VLOOKUP(B31,Table7[#All],6,FALSE)="No Mapping","New CMMC Practices","Practices with NIST 800-171 Mappings"))</f>
        <v>Practices with NIST 800-171 Mappings</v>
      </c>
      <c r="F31" t="str">
        <f>INDEX('CMMC Levels'!$A$1:$F$172,MATCH('Selection Pane Data'!$C31,'CMMC Levels'!$A$1:$A$172,0),MATCH(Placemat!$F$4,'CMMC Levels'!$A$1:$F$1,0))</f>
        <v>N/A</v>
      </c>
      <c r="G31" s="77" t="str">
        <f>IF((COUNTIF(List!H29:CE29,"P")+COUNTIF(List!H29:CE29,"S"))=0,"N",IF(COUNTIF(H31:CE31,"P"),"P",IF(COUNTIF(H31:CE31,"S"),"S","U")))</f>
        <v>N</v>
      </c>
      <c r="H31" s="13" t="str">
        <f>IF(H$4="Yes",INDEX(List!$E$2:$CD$173,MATCH('Selection Pane Data'!$B31,List!$E$2:$E$173,0),MATCH('Selection Pane Data'!H$3,List!$E$2:$CD$2,0)),"")</f>
        <v/>
      </c>
      <c r="I31" s="13" t="str">
        <f>IF(I$4="Yes",INDEX(List!$E$2:$CD$173,MATCH('Selection Pane Data'!$B31,List!$E$2:$E$173,0),MATCH('Selection Pane Data'!I$3,List!$E$2:$CD$2,0)),"")</f>
        <v/>
      </c>
      <c r="J31" s="13" t="e">
        <f>IF(J$4="Yes",INDEX(List!$E$2:$CD$173,MATCH('Selection Pane Data'!$B31,List!$E$2:$E$173,0),MATCH('Selection Pane Data'!J$3,List!$E$2:$CD$2,0)),"")</f>
        <v>#N/A</v>
      </c>
      <c r="K31" s="13" t="str">
        <f>IF(K$4="Yes",INDEX(List!$E$2:$CD$173,MATCH('Selection Pane Data'!$B31,List!$E$2:$E$173,0),MATCH('Selection Pane Data'!K$3,List!$E$2:$CD$2,0)),"")</f>
        <v/>
      </c>
      <c r="L31" s="13" t="str">
        <f>IF(L$4="Yes",INDEX(List!$E$2:$CD$173,MATCH('Selection Pane Data'!$B31,List!$E$2:$E$173,0),MATCH('Selection Pane Data'!L$3,List!$E$2:$CD$2,0)),"")</f>
        <v/>
      </c>
      <c r="M31" s="13" t="str">
        <f>IF(M$4="Yes",INDEX(List!$E$2:$CD$173,MATCH('Selection Pane Data'!$B31,List!$E$2:$E$173,0),MATCH('Selection Pane Data'!M$3,List!$E$2:$CD$2,0)),"")</f>
        <v/>
      </c>
      <c r="N31" s="13" t="str">
        <f>IF(N$4="Yes",INDEX(List!$E$2:$CD$173,MATCH('Selection Pane Data'!$B31,List!$E$2:$E$173,0),MATCH('Selection Pane Data'!N$3,List!$E$2:$CD$2,0)),"")</f>
        <v/>
      </c>
      <c r="O31" s="13" t="str">
        <f>IF(O$4="Yes",INDEX(List!$E$2:$CD$173,MATCH('Selection Pane Data'!$B31,List!$E$2:$E$173,0),MATCH('Selection Pane Data'!O$3,List!$E$2:$CD$2,0)),"")</f>
        <v/>
      </c>
      <c r="P31" s="13" t="str">
        <f>IF(P$4="Yes",INDEX(List!$E$2:$CD$173,MATCH('Selection Pane Data'!$B31,List!$E$2:$E$173,0),MATCH('Selection Pane Data'!P$3,List!$E$2:$CD$2,0)),"")</f>
        <v/>
      </c>
      <c r="Q31" s="13" t="str">
        <f>IF(Q$4="Yes",INDEX(List!$E$2:$CD$173,MATCH('Selection Pane Data'!$B31,List!$E$2:$E$173,0),MATCH('Selection Pane Data'!Q$3,List!$E$2:$CD$2,0)),"")</f>
        <v/>
      </c>
      <c r="R31" s="13" t="str">
        <f>IF(R$4="Yes",INDEX(List!$E$2:$CD$173,MATCH('Selection Pane Data'!$B31,List!$E$2:$E$173,0),MATCH('Selection Pane Data'!R$3,List!$E$2:$CD$2,0)),"")</f>
        <v/>
      </c>
      <c r="S31" s="13" t="str">
        <f>IF(S$4="Yes",INDEX(List!$E$2:$CD$173,MATCH('Selection Pane Data'!$B31,List!$E$2:$E$173,0),MATCH('Selection Pane Data'!S$3,List!$E$2:$CD$2,0)),"")</f>
        <v/>
      </c>
      <c r="T31" s="13" t="str">
        <f>IF(T$4="Yes",INDEX(List!$E$2:$CD$173,MATCH('Selection Pane Data'!$B31,List!$E$2:$E$173,0),MATCH('Selection Pane Data'!T$3,List!$E$2:$CD$2,0)),"")</f>
        <v/>
      </c>
      <c r="U31" s="13" t="str">
        <f>IF(U$4="Yes",INDEX(List!$E$2:$CD$173,MATCH('Selection Pane Data'!$B31,List!$E$2:$E$173,0),MATCH('Selection Pane Data'!U$3,List!$E$2:$CD$2,0)),"")</f>
        <v/>
      </c>
      <c r="V31" s="13" t="str">
        <f>IF(V$4="Yes",INDEX(List!$E$2:$CD$173,MATCH('Selection Pane Data'!$B31,List!$E$2:$E$173,0),MATCH('Selection Pane Data'!V$3,List!$E$2:$CD$2,0)),"")</f>
        <v/>
      </c>
      <c r="W31" s="13" t="str">
        <f>IF(W$4="Yes",INDEX(List!$E$2:$CD$173,MATCH('Selection Pane Data'!$B31,List!$E$2:$E$173,0),MATCH('Selection Pane Data'!W$3,List!$E$2:$CD$2,0)),"")</f>
        <v/>
      </c>
      <c r="X31" s="13" t="str">
        <f>IF(X$4="Yes",INDEX(List!$E$2:$CD$173,MATCH('Selection Pane Data'!$B31,List!$E$2:$E$173,0),MATCH('Selection Pane Data'!X$3,List!$E$2:$CD$2,0)),"")</f>
        <v/>
      </c>
      <c r="Y31" s="13" t="str">
        <f>IF(Y$4="Yes",INDEX(List!$E$2:$CD$173,MATCH('Selection Pane Data'!$B31,List!$E$2:$E$173,0),MATCH('Selection Pane Data'!Y$3,List!$E$2:$CD$2,0)),"")</f>
        <v/>
      </c>
      <c r="Z31" s="13" t="str">
        <f>IF(Z$4="Yes",INDEX(List!$E$2:$CD$173,MATCH('Selection Pane Data'!$B31,List!$E$2:$E$173,0),MATCH('Selection Pane Data'!Z$3,List!$E$2:$CD$2,0)),"")</f>
        <v/>
      </c>
      <c r="AA31" s="13" t="e">
        <f>IF(AA$4="Yes",INDEX(List!$E$2:$CD$173,MATCH('Selection Pane Data'!$B31,List!$E$2:$E$173,0),MATCH('Selection Pane Data'!AA$3,List!$E$2:$CD$2,0)),"")</f>
        <v>#N/A</v>
      </c>
      <c r="AB31" s="13" t="str">
        <f>IF(AB$4="Yes",INDEX(List!$E$2:$CD$173,MATCH('Selection Pane Data'!$B31,List!$E$2:$E$173,0),MATCH('Selection Pane Data'!AB$3,List!$E$2:$CD$2,0)),"")</f>
        <v/>
      </c>
      <c r="AC31" s="13" t="str">
        <f>IF(AC$4="Yes",INDEX(List!$E$2:$CD$173,MATCH('Selection Pane Data'!$B31,List!$E$2:$E$173,0),MATCH('Selection Pane Data'!AC$3,List!$E$2:$CD$2,0)),"")</f>
        <v/>
      </c>
      <c r="AD31" s="13" t="str">
        <f>IF(AD$4="Yes",INDEX(List!$E$2:$CD$173,MATCH('Selection Pane Data'!$B31,List!$E$2:$E$173,0),MATCH('Selection Pane Data'!AD$3,List!$E$2:$CD$2,0)),"")</f>
        <v/>
      </c>
      <c r="AE31" s="13" t="str">
        <f>IF(AE$4="Yes",INDEX(List!$E$2:$CD$173,MATCH('Selection Pane Data'!$B31,List!$E$2:$E$173,0),MATCH('Selection Pane Data'!AE$3,List!$E$2:$CD$2,0)),"")</f>
        <v/>
      </c>
      <c r="AF31" s="13" t="str">
        <f>IF(AF$4="Yes",INDEX(List!$E$2:$CD$173,MATCH('Selection Pane Data'!$B31,List!$E$2:$E$173,0),MATCH('Selection Pane Data'!AF$3,List!$E$2:$CD$2,0)),"")</f>
        <v/>
      </c>
      <c r="AG31" s="13" t="str">
        <f>IF(AG$4="Yes",INDEX(List!$E$2:$CD$173,MATCH('Selection Pane Data'!$B31,List!$E$2:$E$173,0),MATCH('Selection Pane Data'!AG$3,List!$E$2:$CD$2,0)),"")</f>
        <v/>
      </c>
      <c r="AH31" s="13" t="str">
        <f>IF(AH$4="Yes",INDEX(List!$E$2:$CD$173,MATCH('Selection Pane Data'!$B31,List!$E$2:$E$173,0),MATCH('Selection Pane Data'!AH$3,List!$E$2:$CD$2,0)),"")</f>
        <v/>
      </c>
      <c r="AI31" s="13" t="str">
        <f>IF(AI$4="Yes",INDEX(List!$E$2:$CD$173,MATCH('Selection Pane Data'!$B31,List!$E$2:$E$173,0),MATCH('Selection Pane Data'!AI$3,List!$E$2:$CD$2,0)),"")</f>
        <v/>
      </c>
      <c r="AJ31" s="13" t="str">
        <f>IF(AJ$4="Yes",INDEX(List!$E$2:$CD$173,MATCH('Selection Pane Data'!$B31,List!$E$2:$E$173,0),MATCH('Selection Pane Data'!AJ$3,List!$E$2:$CD$2,0)),"")</f>
        <v/>
      </c>
      <c r="AK31" s="13" t="str">
        <f>IF(AK$4="Yes",INDEX(List!$E$2:$CD$173,MATCH('Selection Pane Data'!$B31,List!$E$2:$E$173,0),MATCH('Selection Pane Data'!AK$3,List!$E$2:$CD$2,0)),"")</f>
        <v/>
      </c>
      <c r="AL31" s="13" t="str">
        <f>IF(AL$4="Yes",INDEX(List!$E$2:$CD$173,MATCH('Selection Pane Data'!$B31,List!$E$2:$E$173,0),MATCH('Selection Pane Data'!AL$3,List!$E$2:$CD$2,0)),"")</f>
        <v/>
      </c>
      <c r="AM31" s="13" t="str">
        <f>IF(AM$4="Yes",INDEX(List!$E$2:$CD$173,MATCH('Selection Pane Data'!$B31,List!$E$2:$E$173,0),MATCH('Selection Pane Data'!AM$3,List!$E$2:$CD$2,0)),"")</f>
        <v/>
      </c>
      <c r="AN31" s="13" t="str">
        <f>IF(AN$4="Yes",INDEX(List!$E$2:$CD$173,MATCH('Selection Pane Data'!$B31,List!$E$2:$E$173,0),MATCH('Selection Pane Data'!AN$3,List!$E$2:$CD$2,0)),"")</f>
        <v/>
      </c>
      <c r="AO31" s="13" t="str">
        <f>IF(AO$4="Yes",INDEX(List!$E$2:$CD$173,MATCH('Selection Pane Data'!$B31,List!$E$2:$E$173,0),MATCH('Selection Pane Data'!AO$3,List!$E$2:$CD$2,0)),"")</f>
        <v/>
      </c>
      <c r="AP31" s="13" t="str">
        <f>IF(AP$4="Yes",INDEX(List!$E$2:$CD$173,MATCH('Selection Pane Data'!$B31,List!$E$2:$E$173,0),MATCH('Selection Pane Data'!AP$3,List!$E$2:$CD$2,0)),"")</f>
        <v/>
      </c>
      <c r="AQ31" s="13" t="str">
        <f>IF(AQ$4="Yes",INDEX(List!$E$2:$CD$173,MATCH('Selection Pane Data'!$B31,List!$E$2:$E$173,0),MATCH('Selection Pane Data'!AQ$3,List!$E$2:$CD$2,0)),"")</f>
        <v/>
      </c>
      <c r="AR31" s="13" t="str">
        <f>IF(AR$4="Yes",INDEX(List!$E$2:$CD$173,MATCH('Selection Pane Data'!$B31,List!$E$2:$E$173,0),MATCH('Selection Pane Data'!AR$3,List!$E$2:$CD$2,0)),"")</f>
        <v/>
      </c>
      <c r="AS31" s="13" t="str">
        <f>IF(AS$4="Yes",INDEX(List!$E$2:$CD$173,MATCH('Selection Pane Data'!$B31,List!$E$2:$E$173,0),MATCH('Selection Pane Data'!AS$3,List!$E$2:$CD$2,0)),"")</f>
        <v/>
      </c>
      <c r="AT31" s="13" t="str">
        <f>IF(AT$4="Yes",INDEX(List!$E$2:$CD$173,MATCH('Selection Pane Data'!$B31,List!$E$2:$E$173,0),MATCH('Selection Pane Data'!AT$3,List!$E$2:$CD$2,0)),"")</f>
        <v/>
      </c>
      <c r="AU31" s="13" t="str">
        <f>IF(AU$4="Yes",INDEX(List!$E$2:$CD$173,MATCH('Selection Pane Data'!$B31,List!$E$2:$E$173,0),MATCH('Selection Pane Data'!AU$3,List!$E$2:$CD$2,0)),"")</f>
        <v/>
      </c>
      <c r="AV31" s="13" t="str">
        <f>IF(AV$4="Yes",INDEX(List!$E$2:$CD$173,MATCH('Selection Pane Data'!$B31,List!$E$2:$E$173,0),MATCH('Selection Pane Data'!AV$3,List!$E$2:$CD$2,0)),"")</f>
        <v/>
      </c>
      <c r="AW31" s="13" t="str">
        <f>IF(AW$4="Yes",INDEX(List!$E$2:$CD$173,MATCH('Selection Pane Data'!$B31,List!$E$2:$E$173,0),MATCH('Selection Pane Data'!AW$3,List!$E$2:$CD$2,0)),"")</f>
        <v/>
      </c>
      <c r="AX31" s="13" t="str">
        <f>IF(AX$4="Yes",INDEX(List!$E$2:$CD$173,MATCH('Selection Pane Data'!$B31,List!$E$2:$E$173,0),MATCH('Selection Pane Data'!AX$3,List!$E$2:$CD$2,0)),"")</f>
        <v/>
      </c>
      <c r="AY31" s="13" t="str">
        <f>IF(AY$4="Yes",INDEX(List!$E$2:$CD$173,MATCH('Selection Pane Data'!$B31,List!$E$2:$E$173,0),MATCH('Selection Pane Data'!AY$3,List!$E$2:$CD$2,0)),"")</f>
        <v/>
      </c>
      <c r="AZ31" s="13" t="str">
        <f>IF(AZ$4="Yes",INDEX(List!$E$2:$CD$173,MATCH('Selection Pane Data'!$B31,List!$E$2:$E$173,0),MATCH('Selection Pane Data'!AZ$3,List!$E$2:$CD$2,0)),"")</f>
        <v/>
      </c>
      <c r="BA31" s="13" t="str">
        <f>IF(BA$4="Yes",INDEX(List!$E$2:$CD$173,MATCH('Selection Pane Data'!$B31,List!$E$2:$E$173,0),MATCH('Selection Pane Data'!BA$3,List!$E$2:$CD$2,0)),"")</f>
        <v/>
      </c>
      <c r="BB31" s="13" t="str">
        <f>IF(BB$4="Yes",INDEX(List!$E$2:$CD$173,MATCH('Selection Pane Data'!$B31,List!$E$2:$E$173,0),MATCH('Selection Pane Data'!BB$3,List!$E$2:$CD$2,0)),"")</f>
        <v/>
      </c>
      <c r="BC31" s="13" t="str">
        <f>IF(BC$4="Yes",INDEX(List!$E$2:$CD$173,MATCH('Selection Pane Data'!$B31,List!$E$2:$E$173,0),MATCH('Selection Pane Data'!BC$3,List!$E$2:$CD$2,0)),"")</f>
        <v/>
      </c>
      <c r="BD31" s="13" t="str">
        <f>IF(BD$4="Yes",INDEX(List!$E$2:$CD$173,MATCH('Selection Pane Data'!$B31,List!$E$2:$E$173,0),MATCH('Selection Pane Data'!BD$3,List!$E$2:$CD$2,0)),"")</f>
        <v/>
      </c>
      <c r="BE31" s="13" t="str">
        <f>IF(BE$4="Yes",INDEX(List!$E$2:$CD$173,MATCH('Selection Pane Data'!$B31,List!$E$2:$E$173,0),MATCH('Selection Pane Data'!BE$3,List!$E$2:$CD$2,0)),"")</f>
        <v/>
      </c>
      <c r="BF31" s="13" t="str">
        <f>IF(BF$4="Yes",INDEX(List!$E$2:$CD$173,MATCH('Selection Pane Data'!$B31,List!$E$2:$E$173,0),MATCH('Selection Pane Data'!BF$3,List!$E$2:$CD$2,0)),"")</f>
        <v/>
      </c>
      <c r="BG31" s="13" t="str">
        <f>IF(BG$4="Yes",INDEX(List!$E$2:$CD$173,MATCH('Selection Pane Data'!$B31,List!$E$2:$E$173,0),MATCH('Selection Pane Data'!BG$3,List!$E$2:$CD$2,0)),"")</f>
        <v/>
      </c>
      <c r="BH31" s="13" t="str">
        <f>IF(BH$4="Yes",INDEX(List!$E$2:$CD$173,MATCH('Selection Pane Data'!$B31,List!$E$2:$E$173,0),MATCH('Selection Pane Data'!BH$3,List!$E$2:$CD$2,0)),"")</f>
        <v/>
      </c>
      <c r="BI31" s="13" t="str">
        <f>IF(BI$4="Yes",INDEX(List!$E$2:$CD$173,MATCH('Selection Pane Data'!$B31,List!$E$2:$E$173,0),MATCH('Selection Pane Data'!BI$3,List!$E$2:$CD$2,0)),"")</f>
        <v/>
      </c>
      <c r="BJ31" s="13" t="str">
        <f>IF(BJ$4="Yes",INDEX(List!$E$2:$CD$173,MATCH('Selection Pane Data'!$B31,List!$E$2:$E$173,0),MATCH('Selection Pane Data'!BJ$3,List!$E$2:$CD$2,0)),"")</f>
        <v/>
      </c>
      <c r="BK31" s="13" t="str">
        <f>IF(BK$4="Yes",INDEX(List!$E$2:$CD$173,MATCH('Selection Pane Data'!$B31,List!$E$2:$E$173,0),MATCH('Selection Pane Data'!BK$3,List!$E$2:$CD$2,0)),"")</f>
        <v/>
      </c>
      <c r="BL31" s="13" t="str">
        <f>IF(BL$4="Yes",INDEX(List!$E$2:$CD$173,MATCH('Selection Pane Data'!$B31,List!$E$2:$E$173,0),MATCH('Selection Pane Data'!BL$3,List!$E$2:$CD$2,0)),"")</f>
        <v/>
      </c>
      <c r="BM31" s="13" t="str">
        <f>IF(BM$4="Yes",INDEX(List!$E$2:$CD$173,MATCH('Selection Pane Data'!$B31,List!$E$2:$E$173,0),MATCH('Selection Pane Data'!BM$3,List!$E$2:$CD$2,0)),"")</f>
        <v/>
      </c>
      <c r="BN31" s="13" t="str">
        <f>IF(BN$4="Yes",INDEX(List!$E$2:$CD$173,MATCH('Selection Pane Data'!$B31,List!$E$2:$E$173,0),MATCH('Selection Pane Data'!BN$3,List!$E$2:$CD$2,0)),"")</f>
        <v/>
      </c>
      <c r="BO31" s="13" t="str">
        <f>IF(BO$4="Yes",INDEX(List!$E$2:$CD$173,MATCH('Selection Pane Data'!$B31,List!$E$2:$E$173,0),MATCH('Selection Pane Data'!BO$3,List!$E$2:$CD$2,0)),"")</f>
        <v/>
      </c>
      <c r="BP31" s="13" t="str">
        <f>IF(BP$4="Yes",INDEX(List!$E$2:$CD$173,MATCH('Selection Pane Data'!$B31,List!$E$2:$E$173,0),MATCH('Selection Pane Data'!BP$3,List!$E$2:$CD$2,0)),"")</f>
        <v/>
      </c>
      <c r="BQ31" s="13" t="str">
        <f>IF(BQ$4="Yes",INDEX(List!$E$2:$CD$173,MATCH('Selection Pane Data'!$B31,List!$E$2:$E$173,0),MATCH('Selection Pane Data'!BQ$3,List!$E$2:$CD$2,0)),"")</f>
        <v/>
      </c>
      <c r="BR31" s="13" t="str">
        <f>IF(BR$4="Yes",INDEX(List!$E$2:$CD$173,MATCH('Selection Pane Data'!$B31,List!$E$2:$E$173,0),MATCH('Selection Pane Data'!BR$3,List!$E$2:$CD$2,0)),"")</f>
        <v/>
      </c>
      <c r="BS31" s="13" t="str">
        <f>IF(BS$4="Yes",INDEX(List!$E$2:$CD$173,MATCH('Selection Pane Data'!$B31,List!$E$2:$E$173,0),MATCH('Selection Pane Data'!BS$3,List!$E$2:$CD$2,0)),"")</f>
        <v/>
      </c>
      <c r="BT31" s="13" t="str">
        <f>IF(BT$4="Yes",INDEX(List!$E$2:$CD$173,MATCH('Selection Pane Data'!$B31,List!$E$2:$E$173,0),MATCH('Selection Pane Data'!BT$3,List!$E$2:$CD$2,0)),"")</f>
        <v/>
      </c>
      <c r="BU31" s="13" t="str">
        <f>IF(BU$4="Yes",INDEX(List!$E$2:$CD$173,MATCH('Selection Pane Data'!$B31,List!$E$2:$E$173,0),MATCH('Selection Pane Data'!BU$3,List!$E$2:$CD$2,0)),"")</f>
        <v/>
      </c>
      <c r="BV31" s="13" t="str">
        <f>IF(BV$4="Yes",INDEX(List!$E$2:$CD$173,MATCH('Selection Pane Data'!$B31,List!$E$2:$E$173,0),MATCH('Selection Pane Data'!BV$3,List!$E$2:$CD$2,0)),"")</f>
        <v/>
      </c>
      <c r="BW31" s="13" t="str">
        <f>IF(BW$4="Yes",INDEX(List!$E$2:$CD$173,MATCH('Selection Pane Data'!$B31,List!$E$2:$E$173,0),MATCH('Selection Pane Data'!BW$3,List!$E$2:$CD$2,0)),"")</f>
        <v/>
      </c>
      <c r="BX31" s="13" t="str">
        <f>IF(BX$4="Yes",INDEX(List!$E$2:$CD$173,MATCH('Selection Pane Data'!$B31,List!$E$2:$E$173,0),MATCH('Selection Pane Data'!BX$3,List!$E$2:$CD$2,0)),"")</f>
        <v/>
      </c>
      <c r="BY31" s="13" t="str">
        <f>IF(BY$4="Yes",INDEX(List!$E$2:$CD$173,MATCH('Selection Pane Data'!$B31,List!$E$2:$E$173,0),MATCH('Selection Pane Data'!BY$3,List!$E$2:$CD$2,0)),"")</f>
        <v/>
      </c>
      <c r="BZ31" s="13" t="str">
        <f>IF(BZ$4="Yes",INDEX(List!$E$2:$CD$173,MATCH('Selection Pane Data'!$B31,List!$E$2:$E$173,0),MATCH('Selection Pane Data'!BZ$3,List!$E$2:$CD$2,0)),"")</f>
        <v/>
      </c>
      <c r="CA31" s="13" t="str">
        <f>IF(CA$4="Yes",INDEX(List!$E$2:$CD$173,MATCH('Selection Pane Data'!$B31,List!$E$2:$E$173,0),MATCH('Selection Pane Data'!CA$3,List!$E$2:$CD$2,0)),"")</f>
        <v/>
      </c>
      <c r="CB31" s="13" t="str">
        <f>IF(CB$4="Yes",INDEX(List!$E$2:$CD$173,MATCH('Selection Pane Data'!$B31,List!$E$2:$E$173,0),MATCH('Selection Pane Data'!CB$3,List!$E$2:$CD$2,0)),"")</f>
        <v/>
      </c>
      <c r="CC31" s="13" t="str">
        <f>IF(CC$4="Yes",INDEX(List!$E$2:$CD$173,MATCH('Selection Pane Data'!$B31,List!$E$2:$E$173,0),MATCH('Selection Pane Data'!CC$3,List!$E$2:$CD$2,0)),"")</f>
        <v/>
      </c>
      <c r="CD31" s="13" t="str">
        <f>IF(CD$4="Yes",INDEX(List!$E$2:$CD$173,MATCH('Selection Pane Data'!$B31,List!$E$2:$E$173,0),MATCH('Selection Pane Data'!CD$3,List!$E$2:$CD$2,0)),"")</f>
        <v/>
      </c>
      <c r="CE31" s="13" t="str">
        <f>IF(CE$4="Yes",INDEX(List!$E$2:$CD$173,MATCH('Selection Pane Data'!$B31,List!$E$2:$E$173,0),MATCH('Selection Pane Data'!CE$3,List!$E$2:$CD$2,0)),"")</f>
        <v/>
      </c>
    </row>
    <row r="32" spans="2:83" x14ac:dyDescent="0.35">
      <c r="B32" s="21" t="s">
        <v>319</v>
      </c>
      <c r="C32" s="126" t="str">
        <f>VLOOKUP(B32,List!$E$2:$G$173,2,FALSE)</f>
        <v>N/A</v>
      </c>
      <c r="D32" s="31" t="str">
        <f>List!G30</f>
        <v>Not Applicable</v>
      </c>
      <c r="E32" s="31" t="str">
        <f>IF(Placemat!$F$4="All Practices","All Practices",IF(VLOOKUP(B32,Table7[#All],6,FALSE)="No Mapping","New CMMC Practices","Practices with NIST 800-171 Mappings"))</f>
        <v>Practices with NIST 800-171 Mappings</v>
      </c>
      <c r="F32" t="str">
        <f>INDEX('CMMC Levels'!$A$1:$F$172,MATCH('Selection Pane Data'!$C32,'CMMC Levels'!$A$1:$A$172,0),MATCH(Placemat!$F$4,'CMMC Levels'!$A$1:$F$1,0))</f>
        <v>N/A</v>
      </c>
      <c r="G32" s="77" t="str">
        <f>IF((COUNTIF(List!H30:CE30,"P")+COUNTIF(List!H30:CE30,"S"))=0,"N",IF(COUNTIF(H32:CE32,"P"),"P",IF(COUNTIF(H32:CE32,"S"),"S","U")))</f>
        <v>N</v>
      </c>
      <c r="H32" s="13" t="str">
        <f>IF(H$4="Yes",INDEX(List!$E$2:$CD$173,MATCH('Selection Pane Data'!$B32,List!$E$2:$E$173,0),MATCH('Selection Pane Data'!H$3,List!$E$2:$CD$2,0)),"")</f>
        <v/>
      </c>
      <c r="I32" s="13" t="str">
        <f>IF(I$4="Yes",INDEX(List!$E$2:$CD$173,MATCH('Selection Pane Data'!$B32,List!$E$2:$E$173,0),MATCH('Selection Pane Data'!I$3,List!$E$2:$CD$2,0)),"")</f>
        <v/>
      </c>
      <c r="J32" s="13" t="e">
        <f>IF(J$4="Yes",INDEX(List!$E$2:$CD$173,MATCH('Selection Pane Data'!$B32,List!$E$2:$E$173,0),MATCH('Selection Pane Data'!J$3,List!$E$2:$CD$2,0)),"")</f>
        <v>#N/A</v>
      </c>
      <c r="K32" s="13" t="str">
        <f>IF(K$4="Yes",INDEX(List!$E$2:$CD$173,MATCH('Selection Pane Data'!$B32,List!$E$2:$E$173,0),MATCH('Selection Pane Data'!K$3,List!$E$2:$CD$2,0)),"")</f>
        <v/>
      </c>
      <c r="L32" s="13" t="str">
        <f>IF(L$4="Yes",INDEX(List!$E$2:$CD$173,MATCH('Selection Pane Data'!$B32,List!$E$2:$E$173,0),MATCH('Selection Pane Data'!L$3,List!$E$2:$CD$2,0)),"")</f>
        <v/>
      </c>
      <c r="M32" s="13" t="str">
        <f>IF(M$4="Yes",INDEX(List!$E$2:$CD$173,MATCH('Selection Pane Data'!$B32,List!$E$2:$E$173,0),MATCH('Selection Pane Data'!M$3,List!$E$2:$CD$2,0)),"")</f>
        <v/>
      </c>
      <c r="N32" s="13" t="str">
        <f>IF(N$4="Yes",INDEX(List!$E$2:$CD$173,MATCH('Selection Pane Data'!$B32,List!$E$2:$E$173,0),MATCH('Selection Pane Data'!N$3,List!$E$2:$CD$2,0)),"")</f>
        <v/>
      </c>
      <c r="O32" s="13" t="str">
        <f>IF(O$4="Yes",INDEX(List!$E$2:$CD$173,MATCH('Selection Pane Data'!$B32,List!$E$2:$E$173,0),MATCH('Selection Pane Data'!O$3,List!$E$2:$CD$2,0)),"")</f>
        <v/>
      </c>
      <c r="P32" s="13" t="str">
        <f>IF(P$4="Yes",INDEX(List!$E$2:$CD$173,MATCH('Selection Pane Data'!$B32,List!$E$2:$E$173,0),MATCH('Selection Pane Data'!P$3,List!$E$2:$CD$2,0)),"")</f>
        <v/>
      </c>
      <c r="Q32" s="13" t="str">
        <f>IF(Q$4="Yes",INDEX(List!$E$2:$CD$173,MATCH('Selection Pane Data'!$B32,List!$E$2:$E$173,0),MATCH('Selection Pane Data'!Q$3,List!$E$2:$CD$2,0)),"")</f>
        <v/>
      </c>
      <c r="R32" s="13" t="str">
        <f>IF(R$4="Yes",INDEX(List!$E$2:$CD$173,MATCH('Selection Pane Data'!$B32,List!$E$2:$E$173,0),MATCH('Selection Pane Data'!R$3,List!$E$2:$CD$2,0)),"")</f>
        <v/>
      </c>
      <c r="S32" s="13" t="str">
        <f>IF(S$4="Yes",INDEX(List!$E$2:$CD$173,MATCH('Selection Pane Data'!$B32,List!$E$2:$E$173,0),MATCH('Selection Pane Data'!S$3,List!$E$2:$CD$2,0)),"")</f>
        <v/>
      </c>
      <c r="T32" s="13" t="str">
        <f>IF(T$4="Yes",INDEX(List!$E$2:$CD$173,MATCH('Selection Pane Data'!$B32,List!$E$2:$E$173,0),MATCH('Selection Pane Data'!T$3,List!$E$2:$CD$2,0)),"")</f>
        <v/>
      </c>
      <c r="U32" s="13" t="str">
        <f>IF(U$4="Yes",INDEX(List!$E$2:$CD$173,MATCH('Selection Pane Data'!$B32,List!$E$2:$E$173,0),MATCH('Selection Pane Data'!U$3,List!$E$2:$CD$2,0)),"")</f>
        <v/>
      </c>
      <c r="V32" s="13" t="str">
        <f>IF(V$4="Yes",INDEX(List!$E$2:$CD$173,MATCH('Selection Pane Data'!$B32,List!$E$2:$E$173,0),MATCH('Selection Pane Data'!V$3,List!$E$2:$CD$2,0)),"")</f>
        <v/>
      </c>
      <c r="W32" s="13" t="str">
        <f>IF(W$4="Yes",INDEX(List!$E$2:$CD$173,MATCH('Selection Pane Data'!$B32,List!$E$2:$E$173,0),MATCH('Selection Pane Data'!W$3,List!$E$2:$CD$2,0)),"")</f>
        <v/>
      </c>
      <c r="X32" s="13" t="str">
        <f>IF(X$4="Yes",INDEX(List!$E$2:$CD$173,MATCH('Selection Pane Data'!$B32,List!$E$2:$E$173,0),MATCH('Selection Pane Data'!X$3,List!$E$2:$CD$2,0)),"")</f>
        <v/>
      </c>
      <c r="Y32" s="13" t="str">
        <f>IF(Y$4="Yes",INDEX(List!$E$2:$CD$173,MATCH('Selection Pane Data'!$B32,List!$E$2:$E$173,0),MATCH('Selection Pane Data'!Y$3,List!$E$2:$CD$2,0)),"")</f>
        <v/>
      </c>
      <c r="Z32" s="13" t="str">
        <f>IF(Z$4="Yes",INDEX(List!$E$2:$CD$173,MATCH('Selection Pane Data'!$B32,List!$E$2:$E$173,0),MATCH('Selection Pane Data'!Z$3,List!$E$2:$CD$2,0)),"")</f>
        <v/>
      </c>
      <c r="AA32" s="13" t="e">
        <f>IF(AA$4="Yes",INDEX(List!$E$2:$CD$173,MATCH('Selection Pane Data'!$B32,List!$E$2:$E$173,0),MATCH('Selection Pane Data'!AA$3,List!$E$2:$CD$2,0)),"")</f>
        <v>#N/A</v>
      </c>
      <c r="AB32" s="13" t="str">
        <f>IF(AB$4="Yes",INDEX(List!$E$2:$CD$173,MATCH('Selection Pane Data'!$B32,List!$E$2:$E$173,0),MATCH('Selection Pane Data'!AB$3,List!$E$2:$CD$2,0)),"")</f>
        <v/>
      </c>
      <c r="AC32" s="13" t="str">
        <f>IF(AC$4="Yes",INDEX(List!$E$2:$CD$173,MATCH('Selection Pane Data'!$B32,List!$E$2:$E$173,0),MATCH('Selection Pane Data'!AC$3,List!$E$2:$CD$2,0)),"")</f>
        <v/>
      </c>
      <c r="AD32" s="13" t="str">
        <f>IF(AD$4="Yes",INDEX(List!$E$2:$CD$173,MATCH('Selection Pane Data'!$B32,List!$E$2:$E$173,0),MATCH('Selection Pane Data'!AD$3,List!$E$2:$CD$2,0)),"")</f>
        <v/>
      </c>
      <c r="AE32" s="13" t="str">
        <f>IF(AE$4="Yes",INDEX(List!$E$2:$CD$173,MATCH('Selection Pane Data'!$B32,List!$E$2:$E$173,0),MATCH('Selection Pane Data'!AE$3,List!$E$2:$CD$2,0)),"")</f>
        <v/>
      </c>
      <c r="AF32" s="13" t="str">
        <f>IF(AF$4="Yes",INDEX(List!$E$2:$CD$173,MATCH('Selection Pane Data'!$B32,List!$E$2:$E$173,0),MATCH('Selection Pane Data'!AF$3,List!$E$2:$CD$2,0)),"")</f>
        <v/>
      </c>
      <c r="AG32" s="13" t="str">
        <f>IF(AG$4="Yes",INDEX(List!$E$2:$CD$173,MATCH('Selection Pane Data'!$B32,List!$E$2:$E$173,0),MATCH('Selection Pane Data'!AG$3,List!$E$2:$CD$2,0)),"")</f>
        <v/>
      </c>
      <c r="AH32" s="13" t="str">
        <f>IF(AH$4="Yes",INDEX(List!$E$2:$CD$173,MATCH('Selection Pane Data'!$B32,List!$E$2:$E$173,0),MATCH('Selection Pane Data'!AH$3,List!$E$2:$CD$2,0)),"")</f>
        <v/>
      </c>
      <c r="AI32" s="13" t="str">
        <f>IF(AI$4="Yes",INDEX(List!$E$2:$CD$173,MATCH('Selection Pane Data'!$B32,List!$E$2:$E$173,0),MATCH('Selection Pane Data'!AI$3,List!$E$2:$CD$2,0)),"")</f>
        <v/>
      </c>
      <c r="AJ32" s="13" t="str">
        <f>IF(AJ$4="Yes",INDEX(List!$E$2:$CD$173,MATCH('Selection Pane Data'!$B32,List!$E$2:$E$173,0),MATCH('Selection Pane Data'!AJ$3,List!$E$2:$CD$2,0)),"")</f>
        <v/>
      </c>
      <c r="AK32" s="13" t="str">
        <f>IF(AK$4="Yes",INDEX(List!$E$2:$CD$173,MATCH('Selection Pane Data'!$B32,List!$E$2:$E$173,0),MATCH('Selection Pane Data'!AK$3,List!$E$2:$CD$2,0)),"")</f>
        <v/>
      </c>
      <c r="AL32" s="13" t="str">
        <f>IF(AL$4="Yes",INDEX(List!$E$2:$CD$173,MATCH('Selection Pane Data'!$B32,List!$E$2:$E$173,0),MATCH('Selection Pane Data'!AL$3,List!$E$2:$CD$2,0)),"")</f>
        <v/>
      </c>
      <c r="AM32" s="13" t="str">
        <f>IF(AM$4="Yes",INDEX(List!$E$2:$CD$173,MATCH('Selection Pane Data'!$B32,List!$E$2:$E$173,0),MATCH('Selection Pane Data'!AM$3,List!$E$2:$CD$2,0)),"")</f>
        <v/>
      </c>
      <c r="AN32" s="13" t="str">
        <f>IF(AN$4="Yes",INDEX(List!$E$2:$CD$173,MATCH('Selection Pane Data'!$B32,List!$E$2:$E$173,0),MATCH('Selection Pane Data'!AN$3,List!$E$2:$CD$2,0)),"")</f>
        <v/>
      </c>
      <c r="AO32" s="13" t="str">
        <f>IF(AO$4="Yes",INDEX(List!$E$2:$CD$173,MATCH('Selection Pane Data'!$B32,List!$E$2:$E$173,0),MATCH('Selection Pane Data'!AO$3,List!$E$2:$CD$2,0)),"")</f>
        <v/>
      </c>
      <c r="AP32" s="13" t="str">
        <f>IF(AP$4="Yes",INDEX(List!$E$2:$CD$173,MATCH('Selection Pane Data'!$B32,List!$E$2:$E$173,0),MATCH('Selection Pane Data'!AP$3,List!$E$2:$CD$2,0)),"")</f>
        <v/>
      </c>
      <c r="AQ32" s="13" t="str">
        <f>IF(AQ$4="Yes",INDEX(List!$E$2:$CD$173,MATCH('Selection Pane Data'!$B32,List!$E$2:$E$173,0),MATCH('Selection Pane Data'!AQ$3,List!$E$2:$CD$2,0)),"")</f>
        <v/>
      </c>
      <c r="AR32" s="13" t="str">
        <f>IF(AR$4="Yes",INDEX(List!$E$2:$CD$173,MATCH('Selection Pane Data'!$B32,List!$E$2:$E$173,0),MATCH('Selection Pane Data'!AR$3,List!$E$2:$CD$2,0)),"")</f>
        <v/>
      </c>
      <c r="AS32" s="13" t="str">
        <f>IF(AS$4="Yes",INDEX(List!$E$2:$CD$173,MATCH('Selection Pane Data'!$B32,List!$E$2:$E$173,0),MATCH('Selection Pane Data'!AS$3,List!$E$2:$CD$2,0)),"")</f>
        <v/>
      </c>
      <c r="AT32" s="13" t="str">
        <f>IF(AT$4="Yes",INDEX(List!$E$2:$CD$173,MATCH('Selection Pane Data'!$B32,List!$E$2:$E$173,0),MATCH('Selection Pane Data'!AT$3,List!$E$2:$CD$2,0)),"")</f>
        <v/>
      </c>
      <c r="AU32" s="13" t="str">
        <f>IF(AU$4="Yes",INDEX(List!$E$2:$CD$173,MATCH('Selection Pane Data'!$B32,List!$E$2:$E$173,0),MATCH('Selection Pane Data'!AU$3,List!$E$2:$CD$2,0)),"")</f>
        <v/>
      </c>
      <c r="AV32" s="13" t="str">
        <f>IF(AV$4="Yes",INDEX(List!$E$2:$CD$173,MATCH('Selection Pane Data'!$B32,List!$E$2:$E$173,0),MATCH('Selection Pane Data'!AV$3,List!$E$2:$CD$2,0)),"")</f>
        <v/>
      </c>
      <c r="AW32" s="13" t="str">
        <f>IF(AW$4="Yes",INDEX(List!$E$2:$CD$173,MATCH('Selection Pane Data'!$B32,List!$E$2:$E$173,0),MATCH('Selection Pane Data'!AW$3,List!$E$2:$CD$2,0)),"")</f>
        <v/>
      </c>
      <c r="AX32" s="13" t="str">
        <f>IF(AX$4="Yes",INDEX(List!$E$2:$CD$173,MATCH('Selection Pane Data'!$B32,List!$E$2:$E$173,0),MATCH('Selection Pane Data'!AX$3,List!$E$2:$CD$2,0)),"")</f>
        <v/>
      </c>
      <c r="AY32" s="13" t="str">
        <f>IF(AY$4="Yes",INDEX(List!$E$2:$CD$173,MATCH('Selection Pane Data'!$B32,List!$E$2:$E$173,0),MATCH('Selection Pane Data'!AY$3,List!$E$2:$CD$2,0)),"")</f>
        <v/>
      </c>
      <c r="AZ32" s="13" t="str">
        <f>IF(AZ$4="Yes",INDEX(List!$E$2:$CD$173,MATCH('Selection Pane Data'!$B32,List!$E$2:$E$173,0),MATCH('Selection Pane Data'!AZ$3,List!$E$2:$CD$2,0)),"")</f>
        <v/>
      </c>
      <c r="BA32" s="13" t="str">
        <f>IF(BA$4="Yes",INDEX(List!$E$2:$CD$173,MATCH('Selection Pane Data'!$B32,List!$E$2:$E$173,0),MATCH('Selection Pane Data'!BA$3,List!$E$2:$CD$2,0)),"")</f>
        <v/>
      </c>
      <c r="BB32" s="13" t="str">
        <f>IF(BB$4="Yes",INDEX(List!$E$2:$CD$173,MATCH('Selection Pane Data'!$B32,List!$E$2:$E$173,0),MATCH('Selection Pane Data'!BB$3,List!$E$2:$CD$2,0)),"")</f>
        <v/>
      </c>
      <c r="BC32" s="13" t="str">
        <f>IF(BC$4="Yes",INDEX(List!$E$2:$CD$173,MATCH('Selection Pane Data'!$B32,List!$E$2:$E$173,0),MATCH('Selection Pane Data'!BC$3,List!$E$2:$CD$2,0)),"")</f>
        <v/>
      </c>
      <c r="BD32" s="13" t="str">
        <f>IF(BD$4="Yes",INDEX(List!$E$2:$CD$173,MATCH('Selection Pane Data'!$B32,List!$E$2:$E$173,0),MATCH('Selection Pane Data'!BD$3,List!$E$2:$CD$2,0)),"")</f>
        <v/>
      </c>
      <c r="BE32" s="13" t="str">
        <f>IF(BE$4="Yes",INDEX(List!$E$2:$CD$173,MATCH('Selection Pane Data'!$B32,List!$E$2:$E$173,0),MATCH('Selection Pane Data'!BE$3,List!$E$2:$CD$2,0)),"")</f>
        <v/>
      </c>
      <c r="BF32" s="13" t="str">
        <f>IF(BF$4="Yes",INDEX(List!$E$2:$CD$173,MATCH('Selection Pane Data'!$B32,List!$E$2:$E$173,0),MATCH('Selection Pane Data'!BF$3,List!$E$2:$CD$2,0)),"")</f>
        <v/>
      </c>
      <c r="BG32" s="13" t="str">
        <f>IF(BG$4="Yes",INDEX(List!$E$2:$CD$173,MATCH('Selection Pane Data'!$B32,List!$E$2:$E$173,0),MATCH('Selection Pane Data'!BG$3,List!$E$2:$CD$2,0)),"")</f>
        <v/>
      </c>
      <c r="BH32" s="13" t="str">
        <f>IF(BH$4="Yes",INDEX(List!$E$2:$CD$173,MATCH('Selection Pane Data'!$B32,List!$E$2:$E$173,0),MATCH('Selection Pane Data'!BH$3,List!$E$2:$CD$2,0)),"")</f>
        <v/>
      </c>
      <c r="BI32" s="13" t="str">
        <f>IF(BI$4="Yes",INDEX(List!$E$2:$CD$173,MATCH('Selection Pane Data'!$B32,List!$E$2:$E$173,0),MATCH('Selection Pane Data'!BI$3,List!$E$2:$CD$2,0)),"")</f>
        <v/>
      </c>
      <c r="BJ32" s="13" t="str">
        <f>IF(BJ$4="Yes",INDEX(List!$E$2:$CD$173,MATCH('Selection Pane Data'!$B32,List!$E$2:$E$173,0),MATCH('Selection Pane Data'!BJ$3,List!$E$2:$CD$2,0)),"")</f>
        <v/>
      </c>
      <c r="BK32" s="13" t="str">
        <f>IF(BK$4="Yes",INDEX(List!$E$2:$CD$173,MATCH('Selection Pane Data'!$B32,List!$E$2:$E$173,0),MATCH('Selection Pane Data'!BK$3,List!$E$2:$CD$2,0)),"")</f>
        <v/>
      </c>
      <c r="BL32" s="13" t="str">
        <f>IF(BL$4="Yes",INDEX(List!$E$2:$CD$173,MATCH('Selection Pane Data'!$B32,List!$E$2:$E$173,0),MATCH('Selection Pane Data'!BL$3,List!$E$2:$CD$2,0)),"")</f>
        <v/>
      </c>
      <c r="BM32" s="13" t="str">
        <f>IF(BM$4="Yes",INDEX(List!$E$2:$CD$173,MATCH('Selection Pane Data'!$B32,List!$E$2:$E$173,0),MATCH('Selection Pane Data'!BM$3,List!$E$2:$CD$2,0)),"")</f>
        <v/>
      </c>
      <c r="BN32" s="13" t="str">
        <f>IF(BN$4="Yes",INDEX(List!$E$2:$CD$173,MATCH('Selection Pane Data'!$B32,List!$E$2:$E$173,0),MATCH('Selection Pane Data'!BN$3,List!$E$2:$CD$2,0)),"")</f>
        <v/>
      </c>
      <c r="BO32" s="13" t="str">
        <f>IF(BO$4="Yes",INDEX(List!$E$2:$CD$173,MATCH('Selection Pane Data'!$B32,List!$E$2:$E$173,0),MATCH('Selection Pane Data'!BO$3,List!$E$2:$CD$2,0)),"")</f>
        <v/>
      </c>
      <c r="BP32" s="13" t="str">
        <f>IF(BP$4="Yes",INDEX(List!$E$2:$CD$173,MATCH('Selection Pane Data'!$B32,List!$E$2:$E$173,0),MATCH('Selection Pane Data'!BP$3,List!$E$2:$CD$2,0)),"")</f>
        <v/>
      </c>
      <c r="BQ32" s="13" t="str">
        <f>IF(BQ$4="Yes",INDEX(List!$E$2:$CD$173,MATCH('Selection Pane Data'!$B32,List!$E$2:$E$173,0),MATCH('Selection Pane Data'!BQ$3,List!$E$2:$CD$2,0)),"")</f>
        <v/>
      </c>
      <c r="BR32" s="13" t="str">
        <f>IF(BR$4="Yes",INDEX(List!$E$2:$CD$173,MATCH('Selection Pane Data'!$B32,List!$E$2:$E$173,0),MATCH('Selection Pane Data'!BR$3,List!$E$2:$CD$2,0)),"")</f>
        <v/>
      </c>
      <c r="BS32" s="13" t="str">
        <f>IF(BS$4="Yes",INDEX(List!$E$2:$CD$173,MATCH('Selection Pane Data'!$B32,List!$E$2:$E$173,0),MATCH('Selection Pane Data'!BS$3,List!$E$2:$CD$2,0)),"")</f>
        <v/>
      </c>
      <c r="BT32" s="13" t="str">
        <f>IF(BT$4="Yes",INDEX(List!$E$2:$CD$173,MATCH('Selection Pane Data'!$B32,List!$E$2:$E$173,0),MATCH('Selection Pane Data'!BT$3,List!$E$2:$CD$2,0)),"")</f>
        <v/>
      </c>
      <c r="BU32" s="13" t="str">
        <f>IF(BU$4="Yes",INDEX(List!$E$2:$CD$173,MATCH('Selection Pane Data'!$B32,List!$E$2:$E$173,0),MATCH('Selection Pane Data'!BU$3,List!$E$2:$CD$2,0)),"")</f>
        <v/>
      </c>
      <c r="BV32" s="13" t="str">
        <f>IF(BV$4="Yes",INDEX(List!$E$2:$CD$173,MATCH('Selection Pane Data'!$B32,List!$E$2:$E$173,0),MATCH('Selection Pane Data'!BV$3,List!$E$2:$CD$2,0)),"")</f>
        <v/>
      </c>
      <c r="BW32" s="13" t="str">
        <f>IF(BW$4="Yes",INDEX(List!$E$2:$CD$173,MATCH('Selection Pane Data'!$B32,List!$E$2:$E$173,0),MATCH('Selection Pane Data'!BW$3,List!$E$2:$CD$2,0)),"")</f>
        <v/>
      </c>
      <c r="BX32" s="13" t="str">
        <f>IF(BX$4="Yes",INDEX(List!$E$2:$CD$173,MATCH('Selection Pane Data'!$B32,List!$E$2:$E$173,0),MATCH('Selection Pane Data'!BX$3,List!$E$2:$CD$2,0)),"")</f>
        <v/>
      </c>
      <c r="BY32" s="13" t="str">
        <f>IF(BY$4="Yes",INDEX(List!$E$2:$CD$173,MATCH('Selection Pane Data'!$B32,List!$E$2:$E$173,0),MATCH('Selection Pane Data'!BY$3,List!$E$2:$CD$2,0)),"")</f>
        <v/>
      </c>
      <c r="BZ32" s="13" t="str">
        <f>IF(BZ$4="Yes",INDEX(List!$E$2:$CD$173,MATCH('Selection Pane Data'!$B32,List!$E$2:$E$173,0),MATCH('Selection Pane Data'!BZ$3,List!$E$2:$CD$2,0)),"")</f>
        <v/>
      </c>
      <c r="CA32" s="13" t="str">
        <f>IF(CA$4="Yes",INDEX(List!$E$2:$CD$173,MATCH('Selection Pane Data'!$B32,List!$E$2:$E$173,0),MATCH('Selection Pane Data'!CA$3,List!$E$2:$CD$2,0)),"")</f>
        <v/>
      </c>
      <c r="CB32" s="13" t="str">
        <f>IF(CB$4="Yes",INDEX(List!$E$2:$CD$173,MATCH('Selection Pane Data'!$B32,List!$E$2:$E$173,0),MATCH('Selection Pane Data'!CB$3,List!$E$2:$CD$2,0)),"")</f>
        <v/>
      </c>
      <c r="CC32" s="13" t="str">
        <f>IF(CC$4="Yes",INDEX(List!$E$2:$CD$173,MATCH('Selection Pane Data'!$B32,List!$E$2:$E$173,0),MATCH('Selection Pane Data'!CC$3,List!$E$2:$CD$2,0)),"")</f>
        <v/>
      </c>
      <c r="CD32" s="13" t="str">
        <f>IF(CD$4="Yes",INDEX(List!$E$2:$CD$173,MATCH('Selection Pane Data'!$B32,List!$E$2:$E$173,0),MATCH('Selection Pane Data'!CD$3,List!$E$2:$CD$2,0)),"")</f>
        <v/>
      </c>
      <c r="CE32" s="13" t="str">
        <f>IF(CE$4="Yes",INDEX(List!$E$2:$CD$173,MATCH('Selection Pane Data'!$B32,List!$E$2:$E$173,0),MATCH('Selection Pane Data'!CE$3,List!$E$2:$CD$2,0)),"")</f>
        <v/>
      </c>
    </row>
    <row r="33" spans="2:83" x14ac:dyDescent="0.35">
      <c r="B33" s="21" t="s">
        <v>320</v>
      </c>
      <c r="C33" s="126" t="str">
        <f>VLOOKUP(B33,List!$E$2:$G$173,2,FALSE)</f>
        <v>AT.L2-3.2.1</v>
      </c>
      <c r="D33" s="31" t="str">
        <f>List!G31</f>
        <v>Customer Responsibility</v>
      </c>
      <c r="E33" s="31" t="str">
        <f>IF(Placemat!$F$4="All Practices","All Practices",IF(VLOOKUP(B33,Table7[#All],6,FALSE)="No Mapping","New CMMC Practices","Practices with NIST 800-171 Mappings"))</f>
        <v>Practices with NIST 800-171 Mappings</v>
      </c>
      <c r="F33" t="str">
        <f>INDEX('CMMC Levels'!$A$1:$F$172,MATCH('Selection Pane Data'!$C33,'CMMC Levels'!$A$1:$A$172,0),MATCH(Placemat!$F$4,'CMMC Levels'!$A$1:$F$1,0))</f>
        <v>X</v>
      </c>
      <c r="G33" s="77" t="str">
        <f>IF((COUNTIF(List!H31:CE31,"P")+COUNTIF(List!H31:CE31,"S"))=0,"N",IF(COUNTIF(H33:CE33,"P"),"P",IF(COUNTIF(H33:CE33,"S"),"S","U")))</f>
        <v>U</v>
      </c>
      <c r="H33" s="13" t="str">
        <f>IF(H$4="Yes",INDEX(List!$E$2:$CD$173,MATCH('Selection Pane Data'!$B33,List!$E$2:$E$173,0),MATCH('Selection Pane Data'!H$3,List!$E$2:$CD$2,0)),"")</f>
        <v/>
      </c>
      <c r="I33" s="13" t="str">
        <f>IF(I$4="Yes",INDEX(List!$E$2:$CD$173,MATCH('Selection Pane Data'!$B33,List!$E$2:$E$173,0),MATCH('Selection Pane Data'!I$3,List!$E$2:$CD$2,0)),"")</f>
        <v/>
      </c>
      <c r="J33" s="13" t="str">
        <f>IF(J$4="Yes",INDEX(List!$E$2:$CD$173,MATCH('Selection Pane Data'!$B33,List!$E$2:$E$173,0),MATCH('Selection Pane Data'!J$3,List!$E$2:$CD$2,0)),"")</f>
        <v>N</v>
      </c>
      <c r="K33" s="13" t="str">
        <f>IF(K$4="Yes",INDEX(List!$E$2:$CD$173,MATCH('Selection Pane Data'!$B33,List!$E$2:$E$173,0),MATCH('Selection Pane Data'!K$3,List!$E$2:$CD$2,0)),"")</f>
        <v/>
      </c>
      <c r="L33" s="13" t="str">
        <f>IF(L$4="Yes",INDEX(List!$E$2:$CD$173,MATCH('Selection Pane Data'!$B33,List!$E$2:$E$173,0),MATCH('Selection Pane Data'!L$3,List!$E$2:$CD$2,0)),"")</f>
        <v/>
      </c>
      <c r="M33" s="13" t="str">
        <f>IF(M$4="Yes",INDEX(List!$E$2:$CD$173,MATCH('Selection Pane Data'!$B33,List!$E$2:$E$173,0),MATCH('Selection Pane Data'!M$3,List!$E$2:$CD$2,0)),"")</f>
        <v/>
      </c>
      <c r="N33" s="13" t="str">
        <f>IF(N$4="Yes",INDEX(List!$E$2:$CD$173,MATCH('Selection Pane Data'!$B33,List!$E$2:$E$173,0),MATCH('Selection Pane Data'!N$3,List!$E$2:$CD$2,0)),"")</f>
        <v/>
      </c>
      <c r="O33" s="13" t="str">
        <f>IF(O$4="Yes",INDEX(List!$E$2:$CD$173,MATCH('Selection Pane Data'!$B33,List!$E$2:$E$173,0),MATCH('Selection Pane Data'!O$3,List!$E$2:$CD$2,0)),"")</f>
        <v/>
      </c>
      <c r="P33" s="13" t="str">
        <f>IF(P$4="Yes",INDEX(List!$E$2:$CD$173,MATCH('Selection Pane Data'!$B33,List!$E$2:$E$173,0),MATCH('Selection Pane Data'!P$3,List!$E$2:$CD$2,0)),"")</f>
        <v/>
      </c>
      <c r="Q33" s="13" t="str">
        <f>IF(Q$4="Yes",INDEX(List!$E$2:$CD$173,MATCH('Selection Pane Data'!$B33,List!$E$2:$E$173,0),MATCH('Selection Pane Data'!Q$3,List!$E$2:$CD$2,0)),"")</f>
        <v/>
      </c>
      <c r="R33" s="13" t="str">
        <f>IF(R$4="Yes",INDEX(List!$E$2:$CD$173,MATCH('Selection Pane Data'!$B33,List!$E$2:$E$173,0),MATCH('Selection Pane Data'!R$3,List!$E$2:$CD$2,0)),"")</f>
        <v/>
      </c>
      <c r="S33" s="13" t="str">
        <f>IF(S$4="Yes",INDEX(List!$E$2:$CD$173,MATCH('Selection Pane Data'!$B33,List!$E$2:$E$173,0),MATCH('Selection Pane Data'!S$3,List!$E$2:$CD$2,0)),"")</f>
        <v/>
      </c>
      <c r="T33" s="13" t="str">
        <f>IF(T$4="Yes",INDEX(List!$E$2:$CD$173,MATCH('Selection Pane Data'!$B33,List!$E$2:$E$173,0),MATCH('Selection Pane Data'!T$3,List!$E$2:$CD$2,0)),"")</f>
        <v/>
      </c>
      <c r="U33" s="13" t="str">
        <f>IF(U$4="Yes",INDEX(List!$E$2:$CD$173,MATCH('Selection Pane Data'!$B33,List!$E$2:$E$173,0),MATCH('Selection Pane Data'!U$3,List!$E$2:$CD$2,0)),"")</f>
        <v/>
      </c>
      <c r="V33" s="13" t="str">
        <f>IF(V$4="Yes",INDEX(List!$E$2:$CD$173,MATCH('Selection Pane Data'!$B33,List!$E$2:$E$173,0),MATCH('Selection Pane Data'!V$3,List!$E$2:$CD$2,0)),"")</f>
        <v/>
      </c>
      <c r="W33" s="13" t="str">
        <f>IF(W$4="Yes",INDEX(List!$E$2:$CD$173,MATCH('Selection Pane Data'!$B33,List!$E$2:$E$173,0),MATCH('Selection Pane Data'!W$3,List!$E$2:$CD$2,0)),"")</f>
        <v/>
      </c>
      <c r="X33" s="13" t="str">
        <f>IF(X$4="Yes",INDEX(List!$E$2:$CD$173,MATCH('Selection Pane Data'!$B33,List!$E$2:$E$173,0),MATCH('Selection Pane Data'!X$3,List!$E$2:$CD$2,0)),"")</f>
        <v/>
      </c>
      <c r="Y33" s="13" t="str">
        <f>IF(Y$4="Yes",INDEX(List!$E$2:$CD$173,MATCH('Selection Pane Data'!$B33,List!$E$2:$E$173,0),MATCH('Selection Pane Data'!Y$3,List!$E$2:$CD$2,0)),"")</f>
        <v/>
      </c>
      <c r="Z33" s="13" t="str">
        <f>IF(Z$4="Yes",INDEX(List!$E$2:$CD$173,MATCH('Selection Pane Data'!$B33,List!$E$2:$E$173,0),MATCH('Selection Pane Data'!Z$3,List!$E$2:$CD$2,0)),"")</f>
        <v/>
      </c>
      <c r="AA33" s="13" t="str">
        <f>IF(AA$4="Yes",INDEX(List!$E$2:$CD$173,MATCH('Selection Pane Data'!$B33,List!$E$2:$E$173,0),MATCH('Selection Pane Data'!AA$3,List!$E$2:$CD$2,0)),"")</f>
        <v>N</v>
      </c>
      <c r="AB33" s="13" t="str">
        <f>IF(AB$4="Yes",INDEX(List!$E$2:$CD$173,MATCH('Selection Pane Data'!$B33,List!$E$2:$E$173,0),MATCH('Selection Pane Data'!AB$3,List!$E$2:$CD$2,0)),"")</f>
        <v/>
      </c>
      <c r="AC33" s="13" t="str">
        <f>IF(AC$4="Yes",INDEX(List!$E$2:$CD$173,MATCH('Selection Pane Data'!$B33,List!$E$2:$E$173,0),MATCH('Selection Pane Data'!AC$3,List!$E$2:$CD$2,0)),"")</f>
        <v/>
      </c>
      <c r="AD33" s="13" t="str">
        <f>IF(AD$4="Yes",INDEX(List!$E$2:$CD$173,MATCH('Selection Pane Data'!$B33,List!$E$2:$E$173,0),MATCH('Selection Pane Data'!AD$3,List!$E$2:$CD$2,0)),"")</f>
        <v/>
      </c>
      <c r="AE33" s="13" t="str">
        <f>IF(AE$4="Yes",INDEX(List!$E$2:$CD$173,MATCH('Selection Pane Data'!$B33,List!$E$2:$E$173,0),MATCH('Selection Pane Data'!AE$3,List!$E$2:$CD$2,0)),"")</f>
        <v/>
      </c>
      <c r="AF33" s="13" t="str">
        <f>IF(AF$4="Yes",INDEX(List!$E$2:$CD$173,MATCH('Selection Pane Data'!$B33,List!$E$2:$E$173,0),MATCH('Selection Pane Data'!AF$3,List!$E$2:$CD$2,0)),"")</f>
        <v/>
      </c>
      <c r="AG33" s="13" t="str">
        <f>IF(AG$4="Yes",INDEX(List!$E$2:$CD$173,MATCH('Selection Pane Data'!$B33,List!$E$2:$E$173,0),MATCH('Selection Pane Data'!AG$3,List!$E$2:$CD$2,0)),"")</f>
        <v/>
      </c>
      <c r="AH33" s="13" t="str">
        <f>IF(AH$4="Yes",INDEX(List!$E$2:$CD$173,MATCH('Selection Pane Data'!$B33,List!$E$2:$E$173,0),MATCH('Selection Pane Data'!AH$3,List!$E$2:$CD$2,0)),"")</f>
        <v/>
      </c>
      <c r="AI33" s="13" t="str">
        <f>IF(AI$4="Yes",INDEX(List!$E$2:$CD$173,MATCH('Selection Pane Data'!$B33,List!$E$2:$E$173,0),MATCH('Selection Pane Data'!AI$3,List!$E$2:$CD$2,0)),"")</f>
        <v/>
      </c>
      <c r="AJ33" s="13" t="str">
        <f>IF(AJ$4="Yes",INDEX(List!$E$2:$CD$173,MATCH('Selection Pane Data'!$B33,List!$E$2:$E$173,0),MATCH('Selection Pane Data'!AJ$3,List!$E$2:$CD$2,0)),"")</f>
        <v/>
      </c>
      <c r="AK33" s="13" t="str">
        <f>IF(AK$4="Yes",INDEX(List!$E$2:$CD$173,MATCH('Selection Pane Data'!$B33,List!$E$2:$E$173,0),MATCH('Selection Pane Data'!AK$3,List!$E$2:$CD$2,0)),"")</f>
        <v/>
      </c>
      <c r="AL33" s="13" t="str">
        <f>IF(AL$4="Yes",INDEX(List!$E$2:$CD$173,MATCH('Selection Pane Data'!$B33,List!$E$2:$E$173,0),MATCH('Selection Pane Data'!AL$3,List!$E$2:$CD$2,0)),"")</f>
        <v/>
      </c>
      <c r="AM33" s="13" t="str">
        <f>IF(AM$4="Yes",INDEX(List!$E$2:$CD$173,MATCH('Selection Pane Data'!$B33,List!$E$2:$E$173,0),MATCH('Selection Pane Data'!AM$3,List!$E$2:$CD$2,0)),"")</f>
        <v/>
      </c>
      <c r="AN33" s="13" t="str">
        <f>IF(AN$4="Yes",INDEX(List!$E$2:$CD$173,MATCH('Selection Pane Data'!$B33,List!$E$2:$E$173,0),MATCH('Selection Pane Data'!AN$3,List!$E$2:$CD$2,0)),"")</f>
        <v/>
      </c>
      <c r="AO33" s="13" t="str">
        <f>IF(AO$4="Yes",INDEX(List!$E$2:$CD$173,MATCH('Selection Pane Data'!$B33,List!$E$2:$E$173,0),MATCH('Selection Pane Data'!AO$3,List!$E$2:$CD$2,0)),"")</f>
        <v/>
      </c>
      <c r="AP33" s="13" t="str">
        <f>IF(AP$4="Yes",INDEX(List!$E$2:$CD$173,MATCH('Selection Pane Data'!$B33,List!$E$2:$E$173,0),MATCH('Selection Pane Data'!AP$3,List!$E$2:$CD$2,0)),"")</f>
        <v/>
      </c>
      <c r="AQ33" s="13" t="str">
        <f>IF(AQ$4="Yes",INDEX(List!$E$2:$CD$173,MATCH('Selection Pane Data'!$B33,List!$E$2:$E$173,0),MATCH('Selection Pane Data'!AQ$3,List!$E$2:$CD$2,0)),"")</f>
        <v/>
      </c>
      <c r="AR33" s="13" t="str">
        <f>IF(AR$4="Yes",INDEX(List!$E$2:$CD$173,MATCH('Selection Pane Data'!$B33,List!$E$2:$E$173,0),MATCH('Selection Pane Data'!AR$3,List!$E$2:$CD$2,0)),"")</f>
        <v/>
      </c>
      <c r="AS33" s="13" t="str">
        <f>IF(AS$4="Yes",INDEX(List!$E$2:$CD$173,MATCH('Selection Pane Data'!$B33,List!$E$2:$E$173,0),MATCH('Selection Pane Data'!AS$3,List!$E$2:$CD$2,0)),"")</f>
        <v/>
      </c>
      <c r="AT33" s="13" t="str">
        <f>IF(AT$4="Yes",INDEX(List!$E$2:$CD$173,MATCH('Selection Pane Data'!$B33,List!$E$2:$E$173,0),MATCH('Selection Pane Data'!AT$3,List!$E$2:$CD$2,0)),"")</f>
        <v/>
      </c>
      <c r="AU33" s="13" t="str">
        <f>IF(AU$4="Yes",INDEX(List!$E$2:$CD$173,MATCH('Selection Pane Data'!$B33,List!$E$2:$E$173,0),MATCH('Selection Pane Data'!AU$3,List!$E$2:$CD$2,0)),"")</f>
        <v/>
      </c>
      <c r="AV33" s="13" t="str">
        <f>IF(AV$4="Yes",INDEX(List!$E$2:$CD$173,MATCH('Selection Pane Data'!$B33,List!$E$2:$E$173,0),MATCH('Selection Pane Data'!AV$3,List!$E$2:$CD$2,0)),"")</f>
        <v/>
      </c>
      <c r="AW33" s="13" t="str">
        <f>IF(AW$4="Yes",INDEX(List!$E$2:$CD$173,MATCH('Selection Pane Data'!$B33,List!$E$2:$E$173,0),MATCH('Selection Pane Data'!AW$3,List!$E$2:$CD$2,0)),"")</f>
        <v/>
      </c>
      <c r="AX33" s="13" t="str">
        <f>IF(AX$4="Yes",INDEX(List!$E$2:$CD$173,MATCH('Selection Pane Data'!$B33,List!$E$2:$E$173,0),MATCH('Selection Pane Data'!AX$3,List!$E$2:$CD$2,0)),"")</f>
        <v/>
      </c>
      <c r="AY33" s="13" t="str">
        <f>IF(AY$4="Yes",INDEX(List!$E$2:$CD$173,MATCH('Selection Pane Data'!$B33,List!$E$2:$E$173,0),MATCH('Selection Pane Data'!AY$3,List!$E$2:$CD$2,0)),"")</f>
        <v/>
      </c>
      <c r="AZ33" s="13" t="str">
        <f>IF(AZ$4="Yes",INDEX(List!$E$2:$CD$173,MATCH('Selection Pane Data'!$B33,List!$E$2:$E$173,0),MATCH('Selection Pane Data'!AZ$3,List!$E$2:$CD$2,0)),"")</f>
        <v/>
      </c>
      <c r="BA33" s="13" t="str">
        <f>IF(BA$4="Yes",INDEX(List!$E$2:$CD$173,MATCH('Selection Pane Data'!$B33,List!$E$2:$E$173,0),MATCH('Selection Pane Data'!BA$3,List!$E$2:$CD$2,0)),"")</f>
        <v/>
      </c>
      <c r="BB33" s="13" t="str">
        <f>IF(BB$4="Yes",INDEX(List!$E$2:$CD$173,MATCH('Selection Pane Data'!$B33,List!$E$2:$E$173,0),MATCH('Selection Pane Data'!BB$3,List!$E$2:$CD$2,0)),"")</f>
        <v/>
      </c>
      <c r="BC33" s="13" t="str">
        <f>IF(BC$4="Yes",INDEX(List!$E$2:$CD$173,MATCH('Selection Pane Data'!$B33,List!$E$2:$E$173,0),MATCH('Selection Pane Data'!BC$3,List!$E$2:$CD$2,0)),"")</f>
        <v/>
      </c>
      <c r="BD33" s="13" t="str">
        <f>IF(BD$4="Yes",INDEX(List!$E$2:$CD$173,MATCH('Selection Pane Data'!$B33,List!$E$2:$E$173,0),MATCH('Selection Pane Data'!BD$3,List!$E$2:$CD$2,0)),"")</f>
        <v/>
      </c>
      <c r="BE33" s="13" t="str">
        <f>IF(BE$4="Yes",INDEX(List!$E$2:$CD$173,MATCH('Selection Pane Data'!$B33,List!$E$2:$E$173,0),MATCH('Selection Pane Data'!BE$3,List!$E$2:$CD$2,0)),"")</f>
        <v/>
      </c>
      <c r="BF33" s="13" t="str">
        <f>IF(BF$4="Yes",INDEX(List!$E$2:$CD$173,MATCH('Selection Pane Data'!$B33,List!$E$2:$E$173,0),MATCH('Selection Pane Data'!BF$3,List!$E$2:$CD$2,0)),"")</f>
        <v/>
      </c>
      <c r="BG33" s="13" t="str">
        <f>IF(BG$4="Yes",INDEX(List!$E$2:$CD$173,MATCH('Selection Pane Data'!$B33,List!$E$2:$E$173,0),MATCH('Selection Pane Data'!BG$3,List!$E$2:$CD$2,0)),"")</f>
        <v/>
      </c>
      <c r="BH33" s="13" t="str">
        <f>IF(BH$4="Yes",INDEX(List!$E$2:$CD$173,MATCH('Selection Pane Data'!$B33,List!$E$2:$E$173,0),MATCH('Selection Pane Data'!BH$3,List!$E$2:$CD$2,0)),"")</f>
        <v/>
      </c>
      <c r="BI33" s="13" t="str">
        <f>IF(BI$4="Yes",INDEX(List!$E$2:$CD$173,MATCH('Selection Pane Data'!$B33,List!$E$2:$E$173,0),MATCH('Selection Pane Data'!BI$3,List!$E$2:$CD$2,0)),"")</f>
        <v/>
      </c>
      <c r="BJ33" s="13" t="str">
        <f>IF(BJ$4="Yes",INDEX(List!$E$2:$CD$173,MATCH('Selection Pane Data'!$B33,List!$E$2:$E$173,0),MATCH('Selection Pane Data'!BJ$3,List!$E$2:$CD$2,0)),"")</f>
        <v/>
      </c>
      <c r="BK33" s="13" t="str">
        <f>IF(BK$4="Yes",INDEX(List!$E$2:$CD$173,MATCH('Selection Pane Data'!$B33,List!$E$2:$E$173,0),MATCH('Selection Pane Data'!BK$3,List!$E$2:$CD$2,0)),"")</f>
        <v/>
      </c>
      <c r="BL33" s="13" t="str">
        <f>IF(BL$4="Yes",INDEX(List!$E$2:$CD$173,MATCH('Selection Pane Data'!$B33,List!$E$2:$E$173,0),MATCH('Selection Pane Data'!BL$3,List!$E$2:$CD$2,0)),"")</f>
        <v/>
      </c>
      <c r="BM33" s="13" t="str">
        <f>IF(BM$4="Yes",INDEX(List!$E$2:$CD$173,MATCH('Selection Pane Data'!$B33,List!$E$2:$E$173,0),MATCH('Selection Pane Data'!BM$3,List!$E$2:$CD$2,0)),"")</f>
        <v/>
      </c>
      <c r="BN33" s="13" t="str">
        <f>IF(BN$4="Yes",INDEX(List!$E$2:$CD$173,MATCH('Selection Pane Data'!$B33,List!$E$2:$E$173,0),MATCH('Selection Pane Data'!BN$3,List!$E$2:$CD$2,0)),"")</f>
        <v/>
      </c>
      <c r="BO33" s="13" t="str">
        <f>IF(BO$4="Yes",INDEX(List!$E$2:$CD$173,MATCH('Selection Pane Data'!$B33,List!$E$2:$E$173,0),MATCH('Selection Pane Data'!BO$3,List!$E$2:$CD$2,0)),"")</f>
        <v/>
      </c>
      <c r="BP33" s="13" t="str">
        <f>IF(BP$4="Yes",INDEX(List!$E$2:$CD$173,MATCH('Selection Pane Data'!$B33,List!$E$2:$E$173,0),MATCH('Selection Pane Data'!BP$3,List!$E$2:$CD$2,0)),"")</f>
        <v/>
      </c>
      <c r="BQ33" s="13" t="str">
        <f>IF(BQ$4="Yes",INDEX(List!$E$2:$CD$173,MATCH('Selection Pane Data'!$B33,List!$E$2:$E$173,0),MATCH('Selection Pane Data'!BQ$3,List!$E$2:$CD$2,0)),"")</f>
        <v/>
      </c>
      <c r="BR33" s="13" t="str">
        <f>IF(BR$4="Yes",INDEX(List!$E$2:$CD$173,MATCH('Selection Pane Data'!$B33,List!$E$2:$E$173,0),MATCH('Selection Pane Data'!BR$3,List!$E$2:$CD$2,0)),"")</f>
        <v/>
      </c>
      <c r="BS33" s="13" t="str">
        <f>IF(BS$4="Yes",INDEX(List!$E$2:$CD$173,MATCH('Selection Pane Data'!$B33,List!$E$2:$E$173,0),MATCH('Selection Pane Data'!BS$3,List!$E$2:$CD$2,0)),"")</f>
        <v/>
      </c>
      <c r="BT33" s="13" t="str">
        <f>IF(BT$4="Yes",INDEX(List!$E$2:$CD$173,MATCH('Selection Pane Data'!$B33,List!$E$2:$E$173,0),MATCH('Selection Pane Data'!BT$3,List!$E$2:$CD$2,0)),"")</f>
        <v/>
      </c>
      <c r="BU33" s="13" t="str">
        <f>IF(BU$4="Yes",INDEX(List!$E$2:$CD$173,MATCH('Selection Pane Data'!$B33,List!$E$2:$E$173,0),MATCH('Selection Pane Data'!BU$3,List!$E$2:$CD$2,0)),"")</f>
        <v/>
      </c>
      <c r="BV33" s="13" t="str">
        <f>IF(BV$4="Yes",INDEX(List!$E$2:$CD$173,MATCH('Selection Pane Data'!$B33,List!$E$2:$E$173,0),MATCH('Selection Pane Data'!BV$3,List!$E$2:$CD$2,0)),"")</f>
        <v/>
      </c>
      <c r="BW33" s="13" t="str">
        <f>IF(BW$4="Yes",INDEX(List!$E$2:$CD$173,MATCH('Selection Pane Data'!$B33,List!$E$2:$E$173,0),MATCH('Selection Pane Data'!BW$3,List!$E$2:$CD$2,0)),"")</f>
        <v/>
      </c>
      <c r="BX33" s="13" t="str">
        <f>IF(BX$4="Yes",INDEX(List!$E$2:$CD$173,MATCH('Selection Pane Data'!$B33,List!$E$2:$E$173,0),MATCH('Selection Pane Data'!BX$3,List!$E$2:$CD$2,0)),"")</f>
        <v/>
      </c>
      <c r="BY33" s="13" t="str">
        <f>IF(BY$4="Yes",INDEX(List!$E$2:$CD$173,MATCH('Selection Pane Data'!$B33,List!$E$2:$E$173,0),MATCH('Selection Pane Data'!BY$3,List!$E$2:$CD$2,0)),"")</f>
        <v/>
      </c>
      <c r="BZ33" s="13" t="str">
        <f>IF(BZ$4="Yes",INDEX(List!$E$2:$CD$173,MATCH('Selection Pane Data'!$B33,List!$E$2:$E$173,0),MATCH('Selection Pane Data'!BZ$3,List!$E$2:$CD$2,0)),"")</f>
        <v/>
      </c>
      <c r="CA33" s="13" t="str">
        <f>IF(CA$4="Yes",INDEX(List!$E$2:$CD$173,MATCH('Selection Pane Data'!$B33,List!$E$2:$E$173,0),MATCH('Selection Pane Data'!CA$3,List!$E$2:$CD$2,0)),"")</f>
        <v/>
      </c>
      <c r="CB33" s="13" t="str">
        <f>IF(CB$4="Yes",INDEX(List!$E$2:$CD$173,MATCH('Selection Pane Data'!$B33,List!$E$2:$E$173,0),MATCH('Selection Pane Data'!CB$3,List!$E$2:$CD$2,0)),"")</f>
        <v/>
      </c>
      <c r="CC33" s="13" t="str">
        <f>IF(CC$4="Yes",INDEX(List!$E$2:$CD$173,MATCH('Selection Pane Data'!$B33,List!$E$2:$E$173,0),MATCH('Selection Pane Data'!CC$3,List!$E$2:$CD$2,0)),"")</f>
        <v/>
      </c>
      <c r="CD33" s="13" t="str">
        <f>IF(CD$4="Yes",INDEX(List!$E$2:$CD$173,MATCH('Selection Pane Data'!$B33,List!$E$2:$E$173,0),MATCH('Selection Pane Data'!CD$3,List!$E$2:$CD$2,0)),"")</f>
        <v/>
      </c>
      <c r="CE33" s="13" t="str">
        <f>IF(CE$4="Yes",INDEX(List!$E$2:$CD$173,MATCH('Selection Pane Data'!$B33,List!$E$2:$E$173,0),MATCH('Selection Pane Data'!CE$3,List!$E$2:$CD$2,0)),"")</f>
        <v/>
      </c>
    </row>
    <row r="34" spans="2:83" x14ac:dyDescent="0.35">
      <c r="B34" s="21" t="s">
        <v>321</v>
      </c>
      <c r="C34" s="126" t="str">
        <f>VLOOKUP(B34,List!$E$2:$G$173,2,FALSE)</f>
        <v>AT.L2-3.2.2</v>
      </c>
      <c r="D34" s="31" t="str">
        <f>List!G32</f>
        <v>Customer Responsibility</v>
      </c>
      <c r="E34" s="31" t="str">
        <f>IF(Placemat!$F$4="All Practices","All Practices",IF(VLOOKUP(B34,Table7[#All],6,FALSE)="No Mapping","New CMMC Practices","Practices with NIST 800-171 Mappings"))</f>
        <v>Practices with NIST 800-171 Mappings</v>
      </c>
      <c r="F34" t="str">
        <f>INDEX('CMMC Levels'!$A$1:$F$172,MATCH('Selection Pane Data'!$C34,'CMMC Levels'!$A$1:$A$172,0),MATCH(Placemat!$F$4,'CMMC Levels'!$A$1:$F$1,0))</f>
        <v>X</v>
      </c>
      <c r="G34" s="77" t="str">
        <f>IF((COUNTIF(List!H32:CE32,"P")+COUNTIF(List!H32:CE32,"S"))=0,"N",IF(COUNTIF(H34:CE34,"P"),"P",IF(COUNTIF(H34:CE34,"S"),"S","U")))</f>
        <v>U</v>
      </c>
      <c r="H34" s="13" t="str">
        <f>IF(H$4="Yes",INDEX(List!$E$2:$CD$173,MATCH('Selection Pane Data'!$B34,List!$E$2:$E$173,0),MATCH('Selection Pane Data'!H$3,List!$E$2:$CD$2,0)),"")</f>
        <v/>
      </c>
      <c r="I34" s="13" t="str">
        <f>IF(I$4="Yes",INDEX(List!$E$2:$CD$173,MATCH('Selection Pane Data'!$B34,List!$E$2:$E$173,0),MATCH('Selection Pane Data'!I$3,List!$E$2:$CD$2,0)),"")</f>
        <v/>
      </c>
      <c r="J34" s="13" t="str">
        <f>IF(J$4="Yes",INDEX(List!$E$2:$CD$173,MATCH('Selection Pane Data'!$B34,List!$E$2:$E$173,0),MATCH('Selection Pane Data'!J$3,List!$E$2:$CD$2,0)),"")</f>
        <v>N</v>
      </c>
      <c r="K34" s="13" t="str">
        <f>IF(K$4="Yes",INDEX(List!$E$2:$CD$173,MATCH('Selection Pane Data'!$B34,List!$E$2:$E$173,0),MATCH('Selection Pane Data'!K$3,List!$E$2:$CD$2,0)),"")</f>
        <v/>
      </c>
      <c r="L34" s="13" t="str">
        <f>IF(L$4="Yes",INDEX(List!$E$2:$CD$173,MATCH('Selection Pane Data'!$B34,List!$E$2:$E$173,0),MATCH('Selection Pane Data'!L$3,List!$E$2:$CD$2,0)),"")</f>
        <v/>
      </c>
      <c r="M34" s="13" t="str">
        <f>IF(M$4="Yes",INDEX(List!$E$2:$CD$173,MATCH('Selection Pane Data'!$B34,List!$E$2:$E$173,0),MATCH('Selection Pane Data'!M$3,List!$E$2:$CD$2,0)),"")</f>
        <v/>
      </c>
      <c r="N34" s="13" t="str">
        <f>IF(N$4="Yes",INDEX(List!$E$2:$CD$173,MATCH('Selection Pane Data'!$B34,List!$E$2:$E$173,0),MATCH('Selection Pane Data'!N$3,List!$E$2:$CD$2,0)),"")</f>
        <v/>
      </c>
      <c r="O34" s="13" t="str">
        <f>IF(O$4="Yes",INDEX(List!$E$2:$CD$173,MATCH('Selection Pane Data'!$B34,List!$E$2:$E$173,0),MATCH('Selection Pane Data'!O$3,List!$E$2:$CD$2,0)),"")</f>
        <v/>
      </c>
      <c r="P34" s="13" t="str">
        <f>IF(P$4="Yes",INDEX(List!$E$2:$CD$173,MATCH('Selection Pane Data'!$B34,List!$E$2:$E$173,0),MATCH('Selection Pane Data'!P$3,List!$E$2:$CD$2,0)),"")</f>
        <v/>
      </c>
      <c r="Q34" s="13" t="str">
        <f>IF(Q$4="Yes",INDEX(List!$E$2:$CD$173,MATCH('Selection Pane Data'!$B34,List!$E$2:$E$173,0),MATCH('Selection Pane Data'!Q$3,List!$E$2:$CD$2,0)),"")</f>
        <v/>
      </c>
      <c r="R34" s="13" t="str">
        <f>IF(R$4="Yes",INDEX(List!$E$2:$CD$173,MATCH('Selection Pane Data'!$B34,List!$E$2:$E$173,0),MATCH('Selection Pane Data'!R$3,List!$E$2:$CD$2,0)),"")</f>
        <v/>
      </c>
      <c r="S34" s="13" t="str">
        <f>IF(S$4="Yes",INDEX(List!$E$2:$CD$173,MATCH('Selection Pane Data'!$B34,List!$E$2:$E$173,0),MATCH('Selection Pane Data'!S$3,List!$E$2:$CD$2,0)),"")</f>
        <v/>
      </c>
      <c r="T34" s="13" t="str">
        <f>IF(T$4="Yes",INDEX(List!$E$2:$CD$173,MATCH('Selection Pane Data'!$B34,List!$E$2:$E$173,0),MATCH('Selection Pane Data'!T$3,List!$E$2:$CD$2,0)),"")</f>
        <v/>
      </c>
      <c r="U34" s="13" t="str">
        <f>IF(U$4="Yes",INDEX(List!$E$2:$CD$173,MATCH('Selection Pane Data'!$B34,List!$E$2:$E$173,0),MATCH('Selection Pane Data'!U$3,List!$E$2:$CD$2,0)),"")</f>
        <v/>
      </c>
      <c r="V34" s="13" t="str">
        <f>IF(V$4="Yes",INDEX(List!$E$2:$CD$173,MATCH('Selection Pane Data'!$B34,List!$E$2:$E$173,0),MATCH('Selection Pane Data'!V$3,List!$E$2:$CD$2,0)),"")</f>
        <v/>
      </c>
      <c r="W34" s="13" t="str">
        <f>IF(W$4="Yes",INDEX(List!$E$2:$CD$173,MATCH('Selection Pane Data'!$B34,List!$E$2:$E$173,0),MATCH('Selection Pane Data'!W$3,List!$E$2:$CD$2,0)),"")</f>
        <v/>
      </c>
      <c r="X34" s="13" t="str">
        <f>IF(X$4="Yes",INDEX(List!$E$2:$CD$173,MATCH('Selection Pane Data'!$B34,List!$E$2:$E$173,0),MATCH('Selection Pane Data'!X$3,List!$E$2:$CD$2,0)),"")</f>
        <v/>
      </c>
      <c r="Y34" s="13" t="str">
        <f>IF(Y$4="Yes",INDEX(List!$E$2:$CD$173,MATCH('Selection Pane Data'!$B34,List!$E$2:$E$173,0),MATCH('Selection Pane Data'!Y$3,List!$E$2:$CD$2,0)),"")</f>
        <v/>
      </c>
      <c r="Z34" s="13" t="str">
        <f>IF(Z$4="Yes",INDEX(List!$E$2:$CD$173,MATCH('Selection Pane Data'!$B34,List!$E$2:$E$173,0),MATCH('Selection Pane Data'!Z$3,List!$E$2:$CD$2,0)),"")</f>
        <v/>
      </c>
      <c r="AA34" s="13" t="str">
        <f>IF(AA$4="Yes",INDEX(List!$E$2:$CD$173,MATCH('Selection Pane Data'!$B34,List!$E$2:$E$173,0),MATCH('Selection Pane Data'!AA$3,List!$E$2:$CD$2,0)),"")</f>
        <v>N</v>
      </c>
      <c r="AB34" s="13" t="str">
        <f>IF(AB$4="Yes",INDEX(List!$E$2:$CD$173,MATCH('Selection Pane Data'!$B34,List!$E$2:$E$173,0),MATCH('Selection Pane Data'!AB$3,List!$E$2:$CD$2,0)),"")</f>
        <v/>
      </c>
      <c r="AC34" s="13" t="str">
        <f>IF(AC$4="Yes",INDEX(List!$E$2:$CD$173,MATCH('Selection Pane Data'!$B34,List!$E$2:$E$173,0),MATCH('Selection Pane Data'!AC$3,List!$E$2:$CD$2,0)),"")</f>
        <v/>
      </c>
      <c r="AD34" s="13" t="str">
        <f>IF(AD$4="Yes",INDEX(List!$E$2:$CD$173,MATCH('Selection Pane Data'!$B34,List!$E$2:$E$173,0),MATCH('Selection Pane Data'!AD$3,List!$E$2:$CD$2,0)),"")</f>
        <v/>
      </c>
      <c r="AE34" s="13" t="str">
        <f>IF(AE$4="Yes",INDEX(List!$E$2:$CD$173,MATCH('Selection Pane Data'!$B34,List!$E$2:$E$173,0),MATCH('Selection Pane Data'!AE$3,List!$E$2:$CD$2,0)),"")</f>
        <v/>
      </c>
      <c r="AF34" s="13" t="str">
        <f>IF(AF$4="Yes",INDEX(List!$E$2:$CD$173,MATCH('Selection Pane Data'!$B34,List!$E$2:$E$173,0),MATCH('Selection Pane Data'!AF$3,List!$E$2:$CD$2,0)),"")</f>
        <v/>
      </c>
      <c r="AG34" s="13" t="str">
        <f>IF(AG$4="Yes",INDEX(List!$E$2:$CD$173,MATCH('Selection Pane Data'!$B34,List!$E$2:$E$173,0),MATCH('Selection Pane Data'!AG$3,List!$E$2:$CD$2,0)),"")</f>
        <v/>
      </c>
      <c r="AH34" s="13" t="str">
        <f>IF(AH$4="Yes",INDEX(List!$E$2:$CD$173,MATCH('Selection Pane Data'!$B34,List!$E$2:$E$173,0),MATCH('Selection Pane Data'!AH$3,List!$E$2:$CD$2,0)),"")</f>
        <v/>
      </c>
      <c r="AI34" s="13" t="str">
        <f>IF(AI$4="Yes",INDEX(List!$E$2:$CD$173,MATCH('Selection Pane Data'!$B34,List!$E$2:$E$173,0),MATCH('Selection Pane Data'!AI$3,List!$E$2:$CD$2,0)),"")</f>
        <v/>
      </c>
      <c r="AJ34" s="13" t="str">
        <f>IF(AJ$4="Yes",INDEX(List!$E$2:$CD$173,MATCH('Selection Pane Data'!$B34,List!$E$2:$E$173,0),MATCH('Selection Pane Data'!AJ$3,List!$E$2:$CD$2,0)),"")</f>
        <v/>
      </c>
      <c r="AK34" s="13" t="str">
        <f>IF(AK$4="Yes",INDEX(List!$E$2:$CD$173,MATCH('Selection Pane Data'!$B34,List!$E$2:$E$173,0),MATCH('Selection Pane Data'!AK$3,List!$E$2:$CD$2,0)),"")</f>
        <v/>
      </c>
      <c r="AL34" s="13" t="str">
        <f>IF(AL$4="Yes",INDEX(List!$E$2:$CD$173,MATCH('Selection Pane Data'!$B34,List!$E$2:$E$173,0),MATCH('Selection Pane Data'!AL$3,List!$E$2:$CD$2,0)),"")</f>
        <v/>
      </c>
      <c r="AM34" s="13" t="str">
        <f>IF(AM$4="Yes",INDEX(List!$E$2:$CD$173,MATCH('Selection Pane Data'!$B34,List!$E$2:$E$173,0),MATCH('Selection Pane Data'!AM$3,List!$E$2:$CD$2,0)),"")</f>
        <v/>
      </c>
      <c r="AN34" s="13" t="str">
        <f>IF(AN$4="Yes",INDEX(List!$E$2:$CD$173,MATCH('Selection Pane Data'!$B34,List!$E$2:$E$173,0),MATCH('Selection Pane Data'!AN$3,List!$E$2:$CD$2,0)),"")</f>
        <v/>
      </c>
      <c r="AO34" s="13" t="str">
        <f>IF(AO$4="Yes",INDEX(List!$E$2:$CD$173,MATCH('Selection Pane Data'!$B34,List!$E$2:$E$173,0),MATCH('Selection Pane Data'!AO$3,List!$E$2:$CD$2,0)),"")</f>
        <v/>
      </c>
      <c r="AP34" s="13" t="str">
        <f>IF(AP$4="Yes",INDEX(List!$E$2:$CD$173,MATCH('Selection Pane Data'!$B34,List!$E$2:$E$173,0),MATCH('Selection Pane Data'!AP$3,List!$E$2:$CD$2,0)),"")</f>
        <v/>
      </c>
      <c r="AQ34" s="13" t="str">
        <f>IF(AQ$4="Yes",INDEX(List!$E$2:$CD$173,MATCH('Selection Pane Data'!$B34,List!$E$2:$E$173,0),MATCH('Selection Pane Data'!AQ$3,List!$E$2:$CD$2,0)),"")</f>
        <v/>
      </c>
      <c r="AR34" s="13" t="str">
        <f>IF(AR$4="Yes",INDEX(List!$E$2:$CD$173,MATCH('Selection Pane Data'!$B34,List!$E$2:$E$173,0),MATCH('Selection Pane Data'!AR$3,List!$E$2:$CD$2,0)),"")</f>
        <v/>
      </c>
      <c r="AS34" s="13" t="str">
        <f>IF(AS$4="Yes",INDEX(List!$E$2:$CD$173,MATCH('Selection Pane Data'!$B34,List!$E$2:$E$173,0),MATCH('Selection Pane Data'!AS$3,List!$E$2:$CD$2,0)),"")</f>
        <v/>
      </c>
      <c r="AT34" s="13" t="str">
        <f>IF(AT$4="Yes",INDEX(List!$E$2:$CD$173,MATCH('Selection Pane Data'!$B34,List!$E$2:$E$173,0),MATCH('Selection Pane Data'!AT$3,List!$E$2:$CD$2,0)),"")</f>
        <v/>
      </c>
      <c r="AU34" s="13" t="str">
        <f>IF(AU$4="Yes",INDEX(List!$E$2:$CD$173,MATCH('Selection Pane Data'!$B34,List!$E$2:$E$173,0),MATCH('Selection Pane Data'!AU$3,List!$E$2:$CD$2,0)),"")</f>
        <v/>
      </c>
      <c r="AV34" s="13" t="str">
        <f>IF(AV$4="Yes",INDEX(List!$E$2:$CD$173,MATCH('Selection Pane Data'!$B34,List!$E$2:$E$173,0),MATCH('Selection Pane Data'!AV$3,List!$E$2:$CD$2,0)),"")</f>
        <v/>
      </c>
      <c r="AW34" s="13" t="str">
        <f>IF(AW$4="Yes",INDEX(List!$E$2:$CD$173,MATCH('Selection Pane Data'!$B34,List!$E$2:$E$173,0),MATCH('Selection Pane Data'!AW$3,List!$E$2:$CD$2,0)),"")</f>
        <v/>
      </c>
      <c r="AX34" s="13" t="str">
        <f>IF(AX$4="Yes",INDEX(List!$E$2:$CD$173,MATCH('Selection Pane Data'!$B34,List!$E$2:$E$173,0),MATCH('Selection Pane Data'!AX$3,List!$E$2:$CD$2,0)),"")</f>
        <v/>
      </c>
      <c r="AY34" s="13" t="str">
        <f>IF(AY$4="Yes",INDEX(List!$E$2:$CD$173,MATCH('Selection Pane Data'!$B34,List!$E$2:$E$173,0),MATCH('Selection Pane Data'!AY$3,List!$E$2:$CD$2,0)),"")</f>
        <v/>
      </c>
      <c r="AZ34" s="13" t="str">
        <f>IF(AZ$4="Yes",INDEX(List!$E$2:$CD$173,MATCH('Selection Pane Data'!$B34,List!$E$2:$E$173,0),MATCH('Selection Pane Data'!AZ$3,List!$E$2:$CD$2,0)),"")</f>
        <v/>
      </c>
      <c r="BA34" s="13" t="str">
        <f>IF(BA$4="Yes",INDEX(List!$E$2:$CD$173,MATCH('Selection Pane Data'!$B34,List!$E$2:$E$173,0),MATCH('Selection Pane Data'!BA$3,List!$E$2:$CD$2,0)),"")</f>
        <v/>
      </c>
      <c r="BB34" s="13" t="str">
        <f>IF(BB$4="Yes",INDEX(List!$E$2:$CD$173,MATCH('Selection Pane Data'!$B34,List!$E$2:$E$173,0),MATCH('Selection Pane Data'!BB$3,List!$E$2:$CD$2,0)),"")</f>
        <v/>
      </c>
      <c r="BC34" s="13" t="str">
        <f>IF(BC$4="Yes",INDEX(List!$E$2:$CD$173,MATCH('Selection Pane Data'!$B34,List!$E$2:$E$173,0),MATCH('Selection Pane Data'!BC$3,List!$E$2:$CD$2,0)),"")</f>
        <v/>
      </c>
      <c r="BD34" s="13" t="str">
        <f>IF(BD$4="Yes",INDEX(List!$E$2:$CD$173,MATCH('Selection Pane Data'!$B34,List!$E$2:$E$173,0),MATCH('Selection Pane Data'!BD$3,List!$E$2:$CD$2,0)),"")</f>
        <v/>
      </c>
      <c r="BE34" s="13" t="str">
        <f>IF(BE$4="Yes",INDEX(List!$E$2:$CD$173,MATCH('Selection Pane Data'!$B34,List!$E$2:$E$173,0),MATCH('Selection Pane Data'!BE$3,List!$E$2:$CD$2,0)),"")</f>
        <v/>
      </c>
      <c r="BF34" s="13" t="str">
        <f>IF(BF$4="Yes",INDEX(List!$E$2:$CD$173,MATCH('Selection Pane Data'!$B34,List!$E$2:$E$173,0),MATCH('Selection Pane Data'!BF$3,List!$E$2:$CD$2,0)),"")</f>
        <v/>
      </c>
      <c r="BG34" s="13" t="str">
        <f>IF(BG$4="Yes",INDEX(List!$E$2:$CD$173,MATCH('Selection Pane Data'!$B34,List!$E$2:$E$173,0),MATCH('Selection Pane Data'!BG$3,List!$E$2:$CD$2,0)),"")</f>
        <v/>
      </c>
      <c r="BH34" s="13" t="str">
        <f>IF(BH$4="Yes",INDEX(List!$E$2:$CD$173,MATCH('Selection Pane Data'!$B34,List!$E$2:$E$173,0),MATCH('Selection Pane Data'!BH$3,List!$E$2:$CD$2,0)),"")</f>
        <v/>
      </c>
      <c r="BI34" s="13" t="str">
        <f>IF(BI$4="Yes",INDEX(List!$E$2:$CD$173,MATCH('Selection Pane Data'!$B34,List!$E$2:$E$173,0),MATCH('Selection Pane Data'!BI$3,List!$E$2:$CD$2,0)),"")</f>
        <v/>
      </c>
      <c r="BJ34" s="13" t="str">
        <f>IF(BJ$4="Yes",INDEX(List!$E$2:$CD$173,MATCH('Selection Pane Data'!$B34,List!$E$2:$E$173,0),MATCH('Selection Pane Data'!BJ$3,List!$E$2:$CD$2,0)),"")</f>
        <v/>
      </c>
      <c r="BK34" s="13" t="str">
        <f>IF(BK$4="Yes",INDEX(List!$E$2:$CD$173,MATCH('Selection Pane Data'!$B34,List!$E$2:$E$173,0),MATCH('Selection Pane Data'!BK$3,List!$E$2:$CD$2,0)),"")</f>
        <v/>
      </c>
      <c r="BL34" s="13" t="str">
        <f>IF(BL$4="Yes",INDEX(List!$E$2:$CD$173,MATCH('Selection Pane Data'!$B34,List!$E$2:$E$173,0),MATCH('Selection Pane Data'!BL$3,List!$E$2:$CD$2,0)),"")</f>
        <v/>
      </c>
      <c r="BM34" s="13" t="str">
        <f>IF(BM$4="Yes",INDEX(List!$E$2:$CD$173,MATCH('Selection Pane Data'!$B34,List!$E$2:$E$173,0),MATCH('Selection Pane Data'!BM$3,List!$E$2:$CD$2,0)),"")</f>
        <v/>
      </c>
      <c r="BN34" s="13" t="str">
        <f>IF(BN$4="Yes",INDEX(List!$E$2:$CD$173,MATCH('Selection Pane Data'!$B34,List!$E$2:$E$173,0),MATCH('Selection Pane Data'!BN$3,List!$E$2:$CD$2,0)),"")</f>
        <v/>
      </c>
      <c r="BO34" s="13" t="str">
        <f>IF(BO$4="Yes",INDEX(List!$E$2:$CD$173,MATCH('Selection Pane Data'!$B34,List!$E$2:$E$173,0),MATCH('Selection Pane Data'!BO$3,List!$E$2:$CD$2,0)),"")</f>
        <v/>
      </c>
      <c r="BP34" s="13" t="str">
        <f>IF(BP$4="Yes",INDEX(List!$E$2:$CD$173,MATCH('Selection Pane Data'!$B34,List!$E$2:$E$173,0),MATCH('Selection Pane Data'!BP$3,List!$E$2:$CD$2,0)),"")</f>
        <v/>
      </c>
      <c r="BQ34" s="13" t="str">
        <f>IF(BQ$4="Yes",INDEX(List!$E$2:$CD$173,MATCH('Selection Pane Data'!$B34,List!$E$2:$E$173,0),MATCH('Selection Pane Data'!BQ$3,List!$E$2:$CD$2,0)),"")</f>
        <v/>
      </c>
      <c r="BR34" s="13" t="str">
        <f>IF(BR$4="Yes",INDEX(List!$E$2:$CD$173,MATCH('Selection Pane Data'!$B34,List!$E$2:$E$173,0),MATCH('Selection Pane Data'!BR$3,List!$E$2:$CD$2,0)),"")</f>
        <v/>
      </c>
      <c r="BS34" s="13" t="str">
        <f>IF(BS$4="Yes",INDEX(List!$E$2:$CD$173,MATCH('Selection Pane Data'!$B34,List!$E$2:$E$173,0),MATCH('Selection Pane Data'!BS$3,List!$E$2:$CD$2,0)),"")</f>
        <v/>
      </c>
      <c r="BT34" s="13" t="str">
        <f>IF(BT$4="Yes",INDEX(List!$E$2:$CD$173,MATCH('Selection Pane Data'!$B34,List!$E$2:$E$173,0),MATCH('Selection Pane Data'!BT$3,List!$E$2:$CD$2,0)),"")</f>
        <v/>
      </c>
      <c r="BU34" s="13" t="str">
        <f>IF(BU$4="Yes",INDEX(List!$E$2:$CD$173,MATCH('Selection Pane Data'!$B34,List!$E$2:$E$173,0),MATCH('Selection Pane Data'!BU$3,List!$E$2:$CD$2,0)),"")</f>
        <v/>
      </c>
      <c r="BV34" s="13" t="str">
        <f>IF(BV$4="Yes",INDEX(List!$E$2:$CD$173,MATCH('Selection Pane Data'!$B34,List!$E$2:$E$173,0),MATCH('Selection Pane Data'!BV$3,List!$E$2:$CD$2,0)),"")</f>
        <v/>
      </c>
      <c r="BW34" s="13" t="str">
        <f>IF(BW$4="Yes",INDEX(List!$E$2:$CD$173,MATCH('Selection Pane Data'!$B34,List!$E$2:$E$173,0),MATCH('Selection Pane Data'!BW$3,List!$E$2:$CD$2,0)),"")</f>
        <v/>
      </c>
      <c r="BX34" s="13" t="str">
        <f>IF(BX$4="Yes",INDEX(List!$E$2:$CD$173,MATCH('Selection Pane Data'!$B34,List!$E$2:$E$173,0),MATCH('Selection Pane Data'!BX$3,List!$E$2:$CD$2,0)),"")</f>
        <v/>
      </c>
      <c r="BY34" s="13" t="str">
        <f>IF(BY$4="Yes",INDEX(List!$E$2:$CD$173,MATCH('Selection Pane Data'!$B34,List!$E$2:$E$173,0),MATCH('Selection Pane Data'!BY$3,List!$E$2:$CD$2,0)),"")</f>
        <v/>
      </c>
      <c r="BZ34" s="13" t="str">
        <f>IF(BZ$4="Yes",INDEX(List!$E$2:$CD$173,MATCH('Selection Pane Data'!$B34,List!$E$2:$E$173,0),MATCH('Selection Pane Data'!BZ$3,List!$E$2:$CD$2,0)),"")</f>
        <v/>
      </c>
      <c r="CA34" s="13" t="str">
        <f>IF(CA$4="Yes",INDEX(List!$E$2:$CD$173,MATCH('Selection Pane Data'!$B34,List!$E$2:$E$173,0),MATCH('Selection Pane Data'!CA$3,List!$E$2:$CD$2,0)),"")</f>
        <v/>
      </c>
      <c r="CB34" s="13" t="str">
        <f>IF(CB$4="Yes",INDEX(List!$E$2:$CD$173,MATCH('Selection Pane Data'!$B34,List!$E$2:$E$173,0),MATCH('Selection Pane Data'!CB$3,List!$E$2:$CD$2,0)),"")</f>
        <v/>
      </c>
      <c r="CC34" s="13" t="str">
        <f>IF(CC$4="Yes",INDEX(List!$E$2:$CD$173,MATCH('Selection Pane Data'!$B34,List!$E$2:$E$173,0),MATCH('Selection Pane Data'!CC$3,List!$E$2:$CD$2,0)),"")</f>
        <v/>
      </c>
      <c r="CD34" s="13" t="str">
        <f>IF(CD$4="Yes",INDEX(List!$E$2:$CD$173,MATCH('Selection Pane Data'!$B34,List!$E$2:$E$173,0),MATCH('Selection Pane Data'!CD$3,List!$E$2:$CD$2,0)),"")</f>
        <v/>
      </c>
      <c r="CE34" s="13" t="str">
        <f>IF(CE$4="Yes",INDEX(List!$E$2:$CD$173,MATCH('Selection Pane Data'!$B34,List!$E$2:$E$173,0),MATCH('Selection Pane Data'!CE$3,List!$E$2:$CD$2,0)),"")</f>
        <v/>
      </c>
    </row>
    <row r="35" spans="2:83" x14ac:dyDescent="0.35">
      <c r="B35" s="21" t="s">
        <v>322</v>
      </c>
      <c r="C35" s="126" t="str">
        <f>VLOOKUP(B35,List!$E$2:$G$173,2,FALSE)</f>
        <v>AT.L2-3.2.3</v>
      </c>
      <c r="D35" s="31" t="str">
        <f>List!G33</f>
        <v>Customer Responsibility</v>
      </c>
      <c r="E35" s="31" t="str">
        <f>IF(Placemat!$F$4="All Practices","All Practices",IF(VLOOKUP(B35,Table7[#All],6,FALSE)="No Mapping","New CMMC Practices","Practices with NIST 800-171 Mappings"))</f>
        <v>Practices with NIST 800-171 Mappings</v>
      </c>
      <c r="F35" t="str">
        <f>INDEX('CMMC Levels'!$A$1:$F$172,MATCH('Selection Pane Data'!$C35,'CMMC Levels'!$A$1:$A$172,0),MATCH(Placemat!$F$4,'CMMC Levels'!$A$1:$F$1,0))</f>
        <v>X</v>
      </c>
      <c r="G35" s="77" t="str">
        <f>IF((COUNTIF(List!H33:CE33,"P")+COUNTIF(List!H33:CE33,"S"))=0,"N",IF(COUNTIF(H35:CE35,"P"),"P",IF(COUNTIF(H35:CE35,"S"),"S","U")))</f>
        <v>U</v>
      </c>
      <c r="H35" s="13" t="str">
        <f>IF(H$4="Yes",INDEX(List!$E$2:$CD$173,MATCH('Selection Pane Data'!$B35,List!$E$2:$E$173,0),MATCH('Selection Pane Data'!H$3,List!$E$2:$CD$2,0)),"")</f>
        <v/>
      </c>
      <c r="I35" s="13" t="str">
        <f>IF(I$4="Yes",INDEX(List!$E$2:$CD$173,MATCH('Selection Pane Data'!$B35,List!$E$2:$E$173,0),MATCH('Selection Pane Data'!I$3,List!$E$2:$CD$2,0)),"")</f>
        <v/>
      </c>
      <c r="J35" s="13" t="str">
        <f>IF(J$4="Yes",INDEX(List!$E$2:$CD$173,MATCH('Selection Pane Data'!$B35,List!$E$2:$E$173,0),MATCH('Selection Pane Data'!J$3,List!$E$2:$CD$2,0)),"")</f>
        <v>N</v>
      </c>
      <c r="K35" s="13" t="str">
        <f>IF(K$4="Yes",INDEX(List!$E$2:$CD$173,MATCH('Selection Pane Data'!$B35,List!$E$2:$E$173,0),MATCH('Selection Pane Data'!K$3,List!$E$2:$CD$2,0)),"")</f>
        <v/>
      </c>
      <c r="L35" s="13" t="str">
        <f>IF(L$4="Yes",INDEX(List!$E$2:$CD$173,MATCH('Selection Pane Data'!$B35,List!$E$2:$E$173,0),MATCH('Selection Pane Data'!L$3,List!$E$2:$CD$2,0)),"")</f>
        <v/>
      </c>
      <c r="M35" s="13" t="str">
        <f>IF(M$4="Yes",INDEX(List!$E$2:$CD$173,MATCH('Selection Pane Data'!$B35,List!$E$2:$E$173,0),MATCH('Selection Pane Data'!M$3,List!$E$2:$CD$2,0)),"")</f>
        <v/>
      </c>
      <c r="N35" s="13" t="str">
        <f>IF(N$4="Yes",INDEX(List!$E$2:$CD$173,MATCH('Selection Pane Data'!$B35,List!$E$2:$E$173,0),MATCH('Selection Pane Data'!N$3,List!$E$2:$CD$2,0)),"")</f>
        <v/>
      </c>
      <c r="O35" s="13" t="str">
        <f>IF(O$4="Yes",INDEX(List!$E$2:$CD$173,MATCH('Selection Pane Data'!$B35,List!$E$2:$E$173,0),MATCH('Selection Pane Data'!O$3,List!$E$2:$CD$2,0)),"")</f>
        <v/>
      </c>
      <c r="P35" s="13" t="str">
        <f>IF(P$4="Yes",INDEX(List!$E$2:$CD$173,MATCH('Selection Pane Data'!$B35,List!$E$2:$E$173,0),MATCH('Selection Pane Data'!P$3,List!$E$2:$CD$2,0)),"")</f>
        <v/>
      </c>
      <c r="Q35" s="13" t="str">
        <f>IF(Q$4="Yes",INDEX(List!$E$2:$CD$173,MATCH('Selection Pane Data'!$B35,List!$E$2:$E$173,0),MATCH('Selection Pane Data'!Q$3,List!$E$2:$CD$2,0)),"")</f>
        <v/>
      </c>
      <c r="R35" s="13" t="str">
        <f>IF(R$4="Yes",INDEX(List!$E$2:$CD$173,MATCH('Selection Pane Data'!$B35,List!$E$2:$E$173,0),MATCH('Selection Pane Data'!R$3,List!$E$2:$CD$2,0)),"")</f>
        <v/>
      </c>
      <c r="S35" s="13" t="str">
        <f>IF(S$4="Yes",INDEX(List!$E$2:$CD$173,MATCH('Selection Pane Data'!$B35,List!$E$2:$E$173,0),MATCH('Selection Pane Data'!S$3,List!$E$2:$CD$2,0)),"")</f>
        <v/>
      </c>
      <c r="T35" s="13" t="str">
        <f>IF(T$4="Yes",INDEX(List!$E$2:$CD$173,MATCH('Selection Pane Data'!$B35,List!$E$2:$E$173,0),MATCH('Selection Pane Data'!T$3,List!$E$2:$CD$2,0)),"")</f>
        <v/>
      </c>
      <c r="U35" s="13" t="str">
        <f>IF(U$4="Yes",INDEX(List!$E$2:$CD$173,MATCH('Selection Pane Data'!$B35,List!$E$2:$E$173,0),MATCH('Selection Pane Data'!U$3,List!$E$2:$CD$2,0)),"")</f>
        <v/>
      </c>
      <c r="V35" s="13" t="str">
        <f>IF(V$4="Yes",INDEX(List!$E$2:$CD$173,MATCH('Selection Pane Data'!$B35,List!$E$2:$E$173,0),MATCH('Selection Pane Data'!V$3,List!$E$2:$CD$2,0)),"")</f>
        <v/>
      </c>
      <c r="W35" s="13" t="str">
        <f>IF(W$4="Yes",INDEX(List!$E$2:$CD$173,MATCH('Selection Pane Data'!$B35,List!$E$2:$E$173,0),MATCH('Selection Pane Data'!W$3,List!$E$2:$CD$2,0)),"")</f>
        <v/>
      </c>
      <c r="X35" s="13" t="str">
        <f>IF(X$4="Yes",INDEX(List!$E$2:$CD$173,MATCH('Selection Pane Data'!$B35,List!$E$2:$E$173,0),MATCH('Selection Pane Data'!X$3,List!$E$2:$CD$2,0)),"")</f>
        <v/>
      </c>
      <c r="Y35" s="13" t="str">
        <f>IF(Y$4="Yes",INDEX(List!$E$2:$CD$173,MATCH('Selection Pane Data'!$B35,List!$E$2:$E$173,0),MATCH('Selection Pane Data'!Y$3,List!$E$2:$CD$2,0)),"")</f>
        <v/>
      </c>
      <c r="Z35" s="13" t="str">
        <f>IF(Z$4="Yes",INDEX(List!$E$2:$CD$173,MATCH('Selection Pane Data'!$B35,List!$E$2:$E$173,0),MATCH('Selection Pane Data'!Z$3,List!$E$2:$CD$2,0)),"")</f>
        <v/>
      </c>
      <c r="AA35" s="13" t="str">
        <f>IF(AA$4="Yes",INDEX(List!$E$2:$CD$173,MATCH('Selection Pane Data'!$B35,List!$E$2:$E$173,0),MATCH('Selection Pane Data'!AA$3,List!$E$2:$CD$2,0)),"")</f>
        <v>N</v>
      </c>
      <c r="AB35" s="13" t="str">
        <f>IF(AB$4="Yes",INDEX(List!$E$2:$CD$173,MATCH('Selection Pane Data'!$B35,List!$E$2:$E$173,0),MATCH('Selection Pane Data'!AB$3,List!$E$2:$CD$2,0)),"")</f>
        <v/>
      </c>
      <c r="AC35" s="13" t="str">
        <f>IF(AC$4="Yes",INDEX(List!$E$2:$CD$173,MATCH('Selection Pane Data'!$B35,List!$E$2:$E$173,0),MATCH('Selection Pane Data'!AC$3,List!$E$2:$CD$2,0)),"")</f>
        <v/>
      </c>
      <c r="AD35" s="13" t="str">
        <f>IF(AD$4="Yes",INDEX(List!$E$2:$CD$173,MATCH('Selection Pane Data'!$B35,List!$E$2:$E$173,0),MATCH('Selection Pane Data'!AD$3,List!$E$2:$CD$2,0)),"")</f>
        <v/>
      </c>
      <c r="AE35" s="13" t="str">
        <f>IF(AE$4="Yes",INDEX(List!$E$2:$CD$173,MATCH('Selection Pane Data'!$B35,List!$E$2:$E$173,0),MATCH('Selection Pane Data'!AE$3,List!$E$2:$CD$2,0)),"")</f>
        <v/>
      </c>
      <c r="AF35" s="13" t="str">
        <f>IF(AF$4="Yes",INDEX(List!$E$2:$CD$173,MATCH('Selection Pane Data'!$B35,List!$E$2:$E$173,0),MATCH('Selection Pane Data'!AF$3,List!$E$2:$CD$2,0)),"")</f>
        <v/>
      </c>
      <c r="AG35" s="13" t="str">
        <f>IF(AG$4="Yes",INDEX(List!$E$2:$CD$173,MATCH('Selection Pane Data'!$B35,List!$E$2:$E$173,0),MATCH('Selection Pane Data'!AG$3,List!$E$2:$CD$2,0)),"")</f>
        <v/>
      </c>
      <c r="AH35" s="13" t="str">
        <f>IF(AH$4="Yes",INDEX(List!$E$2:$CD$173,MATCH('Selection Pane Data'!$B35,List!$E$2:$E$173,0),MATCH('Selection Pane Data'!AH$3,List!$E$2:$CD$2,0)),"")</f>
        <v/>
      </c>
      <c r="AI35" s="13" t="str">
        <f>IF(AI$4="Yes",INDEX(List!$E$2:$CD$173,MATCH('Selection Pane Data'!$B35,List!$E$2:$E$173,0),MATCH('Selection Pane Data'!AI$3,List!$E$2:$CD$2,0)),"")</f>
        <v/>
      </c>
      <c r="AJ35" s="13" t="str">
        <f>IF(AJ$4="Yes",INDEX(List!$E$2:$CD$173,MATCH('Selection Pane Data'!$B35,List!$E$2:$E$173,0),MATCH('Selection Pane Data'!AJ$3,List!$E$2:$CD$2,0)),"")</f>
        <v/>
      </c>
      <c r="AK35" s="13" t="str">
        <f>IF(AK$4="Yes",INDEX(List!$E$2:$CD$173,MATCH('Selection Pane Data'!$B35,List!$E$2:$E$173,0),MATCH('Selection Pane Data'!AK$3,List!$E$2:$CD$2,0)),"")</f>
        <v/>
      </c>
      <c r="AL35" s="13" t="str">
        <f>IF(AL$4="Yes",INDEX(List!$E$2:$CD$173,MATCH('Selection Pane Data'!$B35,List!$E$2:$E$173,0),MATCH('Selection Pane Data'!AL$3,List!$E$2:$CD$2,0)),"")</f>
        <v/>
      </c>
      <c r="AM35" s="13" t="str">
        <f>IF(AM$4="Yes",INDEX(List!$E$2:$CD$173,MATCH('Selection Pane Data'!$B35,List!$E$2:$E$173,0),MATCH('Selection Pane Data'!AM$3,List!$E$2:$CD$2,0)),"")</f>
        <v/>
      </c>
      <c r="AN35" s="13" t="str">
        <f>IF(AN$4="Yes",INDEX(List!$E$2:$CD$173,MATCH('Selection Pane Data'!$B35,List!$E$2:$E$173,0),MATCH('Selection Pane Data'!AN$3,List!$E$2:$CD$2,0)),"")</f>
        <v/>
      </c>
      <c r="AO35" s="13" t="str">
        <f>IF(AO$4="Yes",INDEX(List!$E$2:$CD$173,MATCH('Selection Pane Data'!$B35,List!$E$2:$E$173,0),MATCH('Selection Pane Data'!AO$3,List!$E$2:$CD$2,0)),"")</f>
        <v/>
      </c>
      <c r="AP35" s="13" t="str">
        <f>IF(AP$4="Yes",INDEX(List!$E$2:$CD$173,MATCH('Selection Pane Data'!$B35,List!$E$2:$E$173,0),MATCH('Selection Pane Data'!AP$3,List!$E$2:$CD$2,0)),"")</f>
        <v/>
      </c>
      <c r="AQ35" s="13" t="str">
        <f>IF(AQ$4="Yes",INDEX(List!$E$2:$CD$173,MATCH('Selection Pane Data'!$B35,List!$E$2:$E$173,0),MATCH('Selection Pane Data'!AQ$3,List!$E$2:$CD$2,0)),"")</f>
        <v/>
      </c>
      <c r="AR35" s="13" t="str">
        <f>IF(AR$4="Yes",INDEX(List!$E$2:$CD$173,MATCH('Selection Pane Data'!$B35,List!$E$2:$E$173,0),MATCH('Selection Pane Data'!AR$3,List!$E$2:$CD$2,0)),"")</f>
        <v/>
      </c>
      <c r="AS35" s="13" t="str">
        <f>IF(AS$4="Yes",INDEX(List!$E$2:$CD$173,MATCH('Selection Pane Data'!$B35,List!$E$2:$E$173,0),MATCH('Selection Pane Data'!AS$3,List!$E$2:$CD$2,0)),"")</f>
        <v/>
      </c>
      <c r="AT35" s="13" t="str">
        <f>IF(AT$4="Yes",INDEX(List!$E$2:$CD$173,MATCH('Selection Pane Data'!$B35,List!$E$2:$E$173,0),MATCH('Selection Pane Data'!AT$3,List!$E$2:$CD$2,0)),"")</f>
        <v/>
      </c>
      <c r="AU35" s="13" t="str">
        <f>IF(AU$4="Yes",INDEX(List!$E$2:$CD$173,MATCH('Selection Pane Data'!$B35,List!$E$2:$E$173,0),MATCH('Selection Pane Data'!AU$3,List!$E$2:$CD$2,0)),"")</f>
        <v/>
      </c>
      <c r="AV35" s="13" t="str">
        <f>IF(AV$4="Yes",INDEX(List!$E$2:$CD$173,MATCH('Selection Pane Data'!$B35,List!$E$2:$E$173,0),MATCH('Selection Pane Data'!AV$3,List!$E$2:$CD$2,0)),"")</f>
        <v/>
      </c>
      <c r="AW35" s="13" t="str">
        <f>IF(AW$4="Yes",INDEX(List!$E$2:$CD$173,MATCH('Selection Pane Data'!$B35,List!$E$2:$E$173,0),MATCH('Selection Pane Data'!AW$3,List!$E$2:$CD$2,0)),"")</f>
        <v/>
      </c>
      <c r="AX35" s="13" t="str">
        <f>IF(AX$4="Yes",INDEX(List!$E$2:$CD$173,MATCH('Selection Pane Data'!$B35,List!$E$2:$E$173,0),MATCH('Selection Pane Data'!AX$3,List!$E$2:$CD$2,0)),"")</f>
        <v/>
      </c>
      <c r="AY35" s="13" t="str">
        <f>IF(AY$4="Yes",INDEX(List!$E$2:$CD$173,MATCH('Selection Pane Data'!$B35,List!$E$2:$E$173,0),MATCH('Selection Pane Data'!AY$3,List!$E$2:$CD$2,0)),"")</f>
        <v/>
      </c>
      <c r="AZ35" s="13" t="str">
        <f>IF(AZ$4="Yes",INDEX(List!$E$2:$CD$173,MATCH('Selection Pane Data'!$B35,List!$E$2:$E$173,0),MATCH('Selection Pane Data'!AZ$3,List!$E$2:$CD$2,0)),"")</f>
        <v/>
      </c>
      <c r="BA35" s="13" t="str">
        <f>IF(BA$4="Yes",INDEX(List!$E$2:$CD$173,MATCH('Selection Pane Data'!$B35,List!$E$2:$E$173,0),MATCH('Selection Pane Data'!BA$3,List!$E$2:$CD$2,0)),"")</f>
        <v/>
      </c>
      <c r="BB35" s="13" t="str">
        <f>IF(BB$4="Yes",INDEX(List!$E$2:$CD$173,MATCH('Selection Pane Data'!$B35,List!$E$2:$E$173,0),MATCH('Selection Pane Data'!BB$3,List!$E$2:$CD$2,0)),"")</f>
        <v/>
      </c>
      <c r="BC35" s="13" t="str">
        <f>IF(BC$4="Yes",INDEX(List!$E$2:$CD$173,MATCH('Selection Pane Data'!$B35,List!$E$2:$E$173,0),MATCH('Selection Pane Data'!BC$3,List!$E$2:$CD$2,0)),"")</f>
        <v/>
      </c>
      <c r="BD35" s="13" t="str">
        <f>IF(BD$4="Yes",INDEX(List!$E$2:$CD$173,MATCH('Selection Pane Data'!$B35,List!$E$2:$E$173,0),MATCH('Selection Pane Data'!BD$3,List!$E$2:$CD$2,0)),"")</f>
        <v/>
      </c>
      <c r="BE35" s="13" t="str">
        <f>IF(BE$4="Yes",INDEX(List!$E$2:$CD$173,MATCH('Selection Pane Data'!$B35,List!$E$2:$E$173,0),MATCH('Selection Pane Data'!BE$3,List!$E$2:$CD$2,0)),"")</f>
        <v/>
      </c>
      <c r="BF35" s="13" t="str">
        <f>IF(BF$4="Yes",INDEX(List!$E$2:$CD$173,MATCH('Selection Pane Data'!$B35,List!$E$2:$E$173,0),MATCH('Selection Pane Data'!BF$3,List!$E$2:$CD$2,0)),"")</f>
        <v/>
      </c>
      <c r="BG35" s="13" t="str">
        <f>IF(BG$4="Yes",INDEX(List!$E$2:$CD$173,MATCH('Selection Pane Data'!$B35,List!$E$2:$E$173,0),MATCH('Selection Pane Data'!BG$3,List!$E$2:$CD$2,0)),"")</f>
        <v/>
      </c>
      <c r="BH35" s="13" t="str">
        <f>IF(BH$4="Yes",INDEX(List!$E$2:$CD$173,MATCH('Selection Pane Data'!$B35,List!$E$2:$E$173,0),MATCH('Selection Pane Data'!BH$3,List!$E$2:$CD$2,0)),"")</f>
        <v/>
      </c>
      <c r="BI35" s="13" t="str">
        <f>IF(BI$4="Yes",INDEX(List!$E$2:$CD$173,MATCH('Selection Pane Data'!$B35,List!$E$2:$E$173,0),MATCH('Selection Pane Data'!BI$3,List!$E$2:$CD$2,0)),"")</f>
        <v/>
      </c>
      <c r="BJ35" s="13" t="str">
        <f>IF(BJ$4="Yes",INDEX(List!$E$2:$CD$173,MATCH('Selection Pane Data'!$B35,List!$E$2:$E$173,0),MATCH('Selection Pane Data'!BJ$3,List!$E$2:$CD$2,0)),"")</f>
        <v/>
      </c>
      <c r="BK35" s="13" t="str">
        <f>IF(BK$4="Yes",INDEX(List!$E$2:$CD$173,MATCH('Selection Pane Data'!$B35,List!$E$2:$E$173,0),MATCH('Selection Pane Data'!BK$3,List!$E$2:$CD$2,0)),"")</f>
        <v/>
      </c>
      <c r="BL35" s="13" t="str">
        <f>IF(BL$4="Yes",INDEX(List!$E$2:$CD$173,MATCH('Selection Pane Data'!$B35,List!$E$2:$E$173,0),MATCH('Selection Pane Data'!BL$3,List!$E$2:$CD$2,0)),"")</f>
        <v/>
      </c>
      <c r="BM35" s="13" t="str">
        <f>IF(BM$4="Yes",INDEX(List!$E$2:$CD$173,MATCH('Selection Pane Data'!$B35,List!$E$2:$E$173,0),MATCH('Selection Pane Data'!BM$3,List!$E$2:$CD$2,0)),"")</f>
        <v/>
      </c>
      <c r="BN35" s="13" t="str">
        <f>IF(BN$4="Yes",INDEX(List!$E$2:$CD$173,MATCH('Selection Pane Data'!$B35,List!$E$2:$E$173,0),MATCH('Selection Pane Data'!BN$3,List!$E$2:$CD$2,0)),"")</f>
        <v/>
      </c>
      <c r="BO35" s="13" t="str">
        <f>IF(BO$4="Yes",INDEX(List!$E$2:$CD$173,MATCH('Selection Pane Data'!$B35,List!$E$2:$E$173,0),MATCH('Selection Pane Data'!BO$3,List!$E$2:$CD$2,0)),"")</f>
        <v/>
      </c>
      <c r="BP35" s="13" t="str">
        <f>IF(BP$4="Yes",INDEX(List!$E$2:$CD$173,MATCH('Selection Pane Data'!$B35,List!$E$2:$E$173,0),MATCH('Selection Pane Data'!BP$3,List!$E$2:$CD$2,0)),"")</f>
        <v/>
      </c>
      <c r="BQ35" s="13" t="str">
        <f>IF(BQ$4="Yes",INDEX(List!$E$2:$CD$173,MATCH('Selection Pane Data'!$B35,List!$E$2:$E$173,0),MATCH('Selection Pane Data'!BQ$3,List!$E$2:$CD$2,0)),"")</f>
        <v/>
      </c>
      <c r="BR35" s="13" t="str">
        <f>IF(BR$4="Yes",INDEX(List!$E$2:$CD$173,MATCH('Selection Pane Data'!$B35,List!$E$2:$E$173,0),MATCH('Selection Pane Data'!BR$3,List!$E$2:$CD$2,0)),"")</f>
        <v/>
      </c>
      <c r="BS35" s="13" t="str">
        <f>IF(BS$4="Yes",INDEX(List!$E$2:$CD$173,MATCH('Selection Pane Data'!$B35,List!$E$2:$E$173,0),MATCH('Selection Pane Data'!BS$3,List!$E$2:$CD$2,0)),"")</f>
        <v/>
      </c>
      <c r="BT35" s="13" t="str">
        <f>IF(BT$4="Yes",INDEX(List!$E$2:$CD$173,MATCH('Selection Pane Data'!$B35,List!$E$2:$E$173,0),MATCH('Selection Pane Data'!BT$3,List!$E$2:$CD$2,0)),"")</f>
        <v/>
      </c>
      <c r="BU35" s="13" t="str">
        <f>IF(BU$4="Yes",INDEX(List!$E$2:$CD$173,MATCH('Selection Pane Data'!$B35,List!$E$2:$E$173,0),MATCH('Selection Pane Data'!BU$3,List!$E$2:$CD$2,0)),"")</f>
        <v/>
      </c>
      <c r="BV35" s="13" t="str">
        <f>IF(BV$4="Yes",INDEX(List!$E$2:$CD$173,MATCH('Selection Pane Data'!$B35,List!$E$2:$E$173,0),MATCH('Selection Pane Data'!BV$3,List!$E$2:$CD$2,0)),"")</f>
        <v/>
      </c>
      <c r="BW35" s="13" t="str">
        <f>IF(BW$4="Yes",INDEX(List!$E$2:$CD$173,MATCH('Selection Pane Data'!$B35,List!$E$2:$E$173,0),MATCH('Selection Pane Data'!BW$3,List!$E$2:$CD$2,0)),"")</f>
        <v/>
      </c>
      <c r="BX35" s="13" t="str">
        <f>IF(BX$4="Yes",INDEX(List!$E$2:$CD$173,MATCH('Selection Pane Data'!$B35,List!$E$2:$E$173,0),MATCH('Selection Pane Data'!BX$3,List!$E$2:$CD$2,0)),"")</f>
        <v/>
      </c>
      <c r="BY35" s="13" t="str">
        <f>IF(BY$4="Yes",INDEX(List!$E$2:$CD$173,MATCH('Selection Pane Data'!$B35,List!$E$2:$E$173,0),MATCH('Selection Pane Data'!BY$3,List!$E$2:$CD$2,0)),"")</f>
        <v/>
      </c>
      <c r="BZ35" s="13" t="str">
        <f>IF(BZ$4="Yes",INDEX(List!$E$2:$CD$173,MATCH('Selection Pane Data'!$B35,List!$E$2:$E$173,0),MATCH('Selection Pane Data'!BZ$3,List!$E$2:$CD$2,0)),"")</f>
        <v/>
      </c>
      <c r="CA35" s="13" t="str">
        <f>IF(CA$4="Yes",INDEX(List!$E$2:$CD$173,MATCH('Selection Pane Data'!$B35,List!$E$2:$E$173,0),MATCH('Selection Pane Data'!CA$3,List!$E$2:$CD$2,0)),"")</f>
        <v/>
      </c>
      <c r="CB35" s="13" t="str">
        <f>IF(CB$4="Yes",INDEX(List!$E$2:$CD$173,MATCH('Selection Pane Data'!$B35,List!$E$2:$E$173,0),MATCH('Selection Pane Data'!CB$3,List!$E$2:$CD$2,0)),"")</f>
        <v/>
      </c>
      <c r="CC35" s="13" t="str">
        <f>IF(CC$4="Yes",INDEX(List!$E$2:$CD$173,MATCH('Selection Pane Data'!$B35,List!$E$2:$E$173,0),MATCH('Selection Pane Data'!CC$3,List!$E$2:$CD$2,0)),"")</f>
        <v/>
      </c>
      <c r="CD35" s="13" t="str">
        <f>IF(CD$4="Yes",INDEX(List!$E$2:$CD$173,MATCH('Selection Pane Data'!$B35,List!$E$2:$E$173,0),MATCH('Selection Pane Data'!CD$3,List!$E$2:$CD$2,0)),"")</f>
        <v/>
      </c>
      <c r="CE35" s="13" t="str">
        <f>IF(CE$4="Yes",INDEX(List!$E$2:$CD$173,MATCH('Selection Pane Data'!$B35,List!$E$2:$E$173,0),MATCH('Selection Pane Data'!CE$3,List!$E$2:$CD$2,0)),"")</f>
        <v/>
      </c>
    </row>
    <row r="36" spans="2:83" x14ac:dyDescent="0.35">
      <c r="B36" s="21" t="s">
        <v>323</v>
      </c>
      <c r="C36" s="126" t="str">
        <f>VLOOKUP(B36,List!$E$2:$G$173,2,FALSE)</f>
        <v>AT.L3-2</v>
      </c>
      <c r="D36" s="31" t="str">
        <f>List!G34</f>
        <v>Not Applicable</v>
      </c>
      <c r="E36" s="31" t="str">
        <f>IF(Placemat!$F$4="All Practices","All Practices",IF(VLOOKUP(B36,Table7[#All],6,FALSE)="No Mapping","New CMMC Practices","Practices with NIST 800-171 Mappings"))</f>
        <v>Practices with NIST 800-171 Mappings</v>
      </c>
      <c r="F36" t="str">
        <f>INDEX('CMMC Levels'!$A$1:$F$172,MATCH('Selection Pane Data'!$C36,'CMMC Levels'!$A$1:$A$172,0),MATCH(Placemat!$F$4,'CMMC Levels'!$A$1:$F$1,0))</f>
        <v>N/A</v>
      </c>
      <c r="G36" s="77" t="str">
        <f>IF((COUNTIF(List!H34:CE34,"P")+COUNTIF(List!H34:CE34,"S"))=0,"N",IF(COUNTIF(H36:CE36,"P"),"P",IF(COUNTIF(H36:CE36,"S"),"S","U")))</f>
        <v>N</v>
      </c>
      <c r="H36" s="13" t="str">
        <f>IF(H$4="Yes",INDEX(List!$E$2:$CD$173,MATCH('Selection Pane Data'!$B36,List!$E$2:$E$173,0),MATCH('Selection Pane Data'!H$3,List!$E$2:$CD$2,0)),"")</f>
        <v/>
      </c>
      <c r="I36" s="13" t="str">
        <f>IF(I$4="Yes",INDEX(List!$E$2:$CD$173,MATCH('Selection Pane Data'!$B36,List!$E$2:$E$173,0),MATCH('Selection Pane Data'!I$3,List!$E$2:$CD$2,0)),"")</f>
        <v/>
      </c>
      <c r="J36" s="13" t="str">
        <f>IF(J$4="Yes",INDEX(List!$E$2:$CD$173,MATCH('Selection Pane Data'!$B36,List!$E$2:$E$173,0),MATCH('Selection Pane Data'!J$3,List!$E$2:$CD$2,0)),"")</f>
        <v>N</v>
      </c>
      <c r="K36" s="13" t="str">
        <f>IF(K$4="Yes",INDEX(List!$E$2:$CD$173,MATCH('Selection Pane Data'!$B36,List!$E$2:$E$173,0),MATCH('Selection Pane Data'!K$3,List!$E$2:$CD$2,0)),"")</f>
        <v/>
      </c>
      <c r="L36" s="13" t="str">
        <f>IF(L$4="Yes",INDEX(List!$E$2:$CD$173,MATCH('Selection Pane Data'!$B36,List!$E$2:$E$173,0),MATCH('Selection Pane Data'!L$3,List!$E$2:$CD$2,0)),"")</f>
        <v/>
      </c>
      <c r="M36" s="13" t="str">
        <f>IF(M$4="Yes",INDEX(List!$E$2:$CD$173,MATCH('Selection Pane Data'!$B36,List!$E$2:$E$173,0),MATCH('Selection Pane Data'!M$3,List!$E$2:$CD$2,0)),"")</f>
        <v/>
      </c>
      <c r="N36" s="13" t="str">
        <f>IF(N$4="Yes",INDEX(List!$E$2:$CD$173,MATCH('Selection Pane Data'!$B36,List!$E$2:$E$173,0),MATCH('Selection Pane Data'!N$3,List!$E$2:$CD$2,0)),"")</f>
        <v/>
      </c>
      <c r="O36" s="13" t="str">
        <f>IF(O$4="Yes",INDEX(List!$E$2:$CD$173,MATCH('Selection Pane Data'!$B36,List!$E$2:$E$173,0),MATCH('Selection Pane Data'!O$3,List!$E$2:$CD$2,0)),"")</f>
        <v/>
      </c>
      <c r="P36" s="13" t="str">
        <f>IF(P$4="Yes",INDEX(List!$E$2:$CD$173,MATCH('Selection Pane Data'!$B36,List!$E$2:$E$173,0),MATCH('Selection Pane Data'!P$3,List!$E$2:$CD$2,0)),"")</f>
        <v/>
      </c>
      <c r="Q36" s="13" t="str">
        <f>IF(Q$4="Yes",INDEX(List!$E$2:$CD$173,MATCH('Selection Pane Data'!$B36,List!$E$2:$E$173,0),MATCH('Selection Pane Data'!Q$3,List!$E$2:$CD$2,0)),"")</f>
        <v/>
      </c>
      <c r="R36" s="13" t="str">
        <f>IF(R$4="Yes",INDEX(List!$E$2:$CD$173,MATCH('Selection Pane Data'!$B36,List!$E$2:$E$173,0),MATCH('Selection Pane Data'!R$3,List!$E$2:$CD$2,0)),"")</f>
        <v/>
      </c>
      <c r="S36" s="13" t="str">
        <f>IF(S$4="Yes",INDEX(List!$E$2:$CD$173,MATCH('Selection Pane Data'!$B36,List!$E$2:$E$173,0),MATCH('Selection Pane Data'!S$3,List!$E$2:$CD$2,0)),"")</f>
        <v/>
      </c>
      <c r="T36" s="13" t="str">
        <f>IF(T$4="Yes",INDEX(List!$E$2:$CD$173,MATCH('Selection Pane Data'!$B36,List!$E$2:$E$173,0),MATCH('Selection Pane Data'!T$3,List!$E$2:$CD$2,0)),"")</f>
        <v/>
      </c>
      <c r="U36" s="13" t="str">
        <f>IF(U$4="Yes",INDEX(List!$E$2:$CD$173,MATCH('Selection Pane Data'!$B36,List!$E$2:$E$173,0),MATCH('Selection Pane Data'!U$3,List!$E$2:$CD$2,0)),"")</f>
        <v/>
      </c>
      <c r="V36" s="13" t="str">
        <f>IF(V$4="Yes",INDEX(List!$E$2:$CD$173,MATCH('Selection Pane Data'!$B36,List!$E$2:$E$173,0),MATCH('Selection Pane Data'!V$3,List!$E$2:$CD$2,0)),"")</f>
        <v/>
      </c>
      <c r="W36" s="13" t="str">
        <f>IF(W$4="Yes",INDEX(List!$E$2:$CD$173,MATCH('Selection Pane Data'!$B36,List!$E$2:$E$173,0),MATCH('Selection Pane Data'!W$3,List!$E$2:$CD$2,0)),"")</f>
        <v/>
      </c>
      <c r="X36" s="13" t="str">
        <f>IF(X$4="Yes",INDEX(List!$E$2:$CD$173,MATCH('Selection Pane Data'!$B36,List!$E$2:$E$173,0),MATCH('Selection Pane Data'!X$3,List!$E$2:$CD$2,0)),"")</f>
        <v/>
      </c>
      <c r="Y36" s="13" t="str">
        <f>IF(Y$4="Yes",INDEX(List!$E$2:$CD$173,MATCH('Selection Pane Data'!$B36,List!$E$2:$E$173,0),MATCH('Selection Pane Data'!Y$3,List!$E$2:$CD$2,0)),"")</f>
        <v/>
      </c>
      <c r="Z36" s="13" t="str">
        <f>IF(Z$4="Yes",INDEX(List!$E$2:$CD$173,MATCH('Selection Pane Data'!$B36,List!$E$2:$E$173,0),MATCH('Selection Pane Data'!Z$3,List!$E$2:$CD$2,0)),"")</f>
        <v/>
      </c>
      <c r="AA36" s="13" t="str">
        <f>IF(AA$4="Yes",INDEX(List!$E$2:$CD$173,MATCH('Selection Pane Data'!$B36,List!$E$2:$E$173,0),MATCH('Selection Pane Data'!AA$3,List!$E$2:$CD$2,0)),"")</f>
        <v>N</v>
      </c>
      <c r="AB36" s="13" t="str">
        <f>IF(AB$4="Yes",INDEX(List!$E$2:$CD$173,MATCH('Selection Pane Data'!$B36,List!$E$2:$E$173,0),MATCH('Selection Pane Data'!AB$3,List!$E$2:$CD$2,0)),"")</f>
        <v/>
      </c>
      <c r="AC36" s="13" t="str">
        <f>IF(AC$4="Yes",INDEX(List!$E$2:$CD$173,MATCH('Selection Pane Data'!$B36,List!$E$2:$E$173,0),MATCH('Selection Pane Data'!AC$3,List!$E$2:$CD$2,0)),"")</f>
        <v/>
      </c>
      <c r="AD36" s="13" t="str">
        <f>IF(AD$4="Yes",INDEX(List!$E$2:$CD$173,MATCH('Selection Pane Data'!$B36,List!$E$2:$E$173,0),MATCH('Selection Pane Data'!AD$3,List!$E$2:$CD$2,0)),"")</f>
        <v/>
      </c>
      <c r="AE36" s="13" t="str">
        <f>IF(AE$4="Yes",INDEX(List!$E$2:$CD$173,MATCH('Selection Pane Data'!$B36,List!$E$2:$E$173,0),MATCH('Selection Pane Data'!AE$3,List!$E$2:$CD$2,0)),"")</f>
        <v/>
      </c>
      <c r="AF36" s="13" t="str">
        <f>IF(AF$4="Yes",INDEX(List!$E$2:$CD$173,MATCH('Selection Pane Data'!$B36,List!$E$2:$E$173,0),MATCH('Selection Pane Data'!AF$3,List!$E$2:$CD$2,0)),"")</f>
        <v/>
      </c>
      <c r="AG36" s="13" t="str">
        <f>IF(AG$4="Yes",INDEX(List!$E$2:$CD$173,MATCH('Selection Pane Data'!$B36,List!$E$2:$E$173,0),MATCH('Selection Pane Data'!AG$3,List!$E$2:$CD$2,0)),"")</f>
        <v/>
      </c>
      <c r="AH36" s="13" t="str">
        <f>IF(AH$4="Yes",INDEX(List!$E$2:$CD$173,MATCH('Selection Pane Data'!$B36,List!$E$2:$E$173,0),MATCH('Selection Pane Data'!AH$3,List!$E$2:$CD$2,0)),"")</f>
        <v/>
      </c>
      <c r="AI36" s="13" t="str">
        <f>IF(AI$4="Yes",INDEX(List!$E$2:$CD$173,MATCH('Selection Pane Data'!$B36,List!$E$2:$E$173,0),MATCH('Selection Pane Data'!AI$3,List!$E$2:$CD$2,0)),"")</f>
        <v/>
      </c>
      <c r="AJ36" s="13" t="str">
        <f>IF(AJ$4="Yes",INDEX(List!$E$2:$CD$173,MATCH('Selection Pane Data'!$B36,List!$E$2:$E$173,0),MATCH('Selection Pane Data'!AJ$3,List!$E$2:$CD$2,0)),"")</f>
        <v/>
      </c>
      <c r="AK36" s="13" t="str">
        <f>IF(AK$4="Yes",INDEX(List!$E$2:$CD$173,MATCH('Selection Pane Data'!$B36,List!$E$2:$E$173,0),MATCH('Selection Pane Data'!AK$3,List!$E$2:$CD$2,0)),"")</f>
        <v/>
      </c>
      <c r="AL36" s="13" t="str">
        <f>IF(AL$4="Yes",INDEX(List!$E$2:$CD$173,MATCH('Selection Pane Data'!$B36,List!$E$2:$E$173,0),MATCH('Selection Pane Data'!AL$3,List!$E$2:$CD$2,0)),"")</f>
        <v/>
      </c>
      <c r="AM36" s="13" t="str">
        <f>IF(AM$4="Yes",INDEX(List!$E$2:$CD$173,MATCH('Selection Pane Data'!$B36,List!$E$2:$E$173,0),MATCH('Selection Pane Data'!AM$3,List!$E$2:$CD$2,0)),"")</f>
        <v/>
      </c>
      <c r="AN36" s="13" t="str">
        <f>IF(AN$4="Yes",INDEX(List!$E$2:$CD$173,MATCH('Selection Pane Data'!$B36,List!$E$2:$E$173,0),MATCH('Selection Pane Data'!AN$3,List!$E$2:$CD$2,0)),"")</f>
        <v/>
      </c>
      <c r="AO36" s="13" t="str">
        <f>IF(AO$4="Yes",INDEX(List!$E$2:$CD$173,MATCH('Selection Pane Data'!$B36,List!$E$2:$E$173,0),MATCH('Selection Pane Data'!AO$3,List!$E$2:$CD$2,0)),"")</f>
        <v/>
      </c>
      <c r="AP36" s="13" t="str">
        <f>IF(AP$4="Yes",INDEX(List!$E$2:$CD$173,MATCH('Selection Pane Data'!$B36,List!$E$2:$E$173,0),MATCH('Selection Pane Data'!AP$3,List!$E$2:$CD$2,0)),"")</f>
        <v/>
      </c>
      <c r="AQ36" s="13" t="str">
        <f>IF(AQ$4="Yes",INDEX(List!$E$2:$CD$173,MATCH('Selection Pane Data'!$B36,List!$E$2:$E$173,0),MATCH('Selection Pane Data'!AQ$3,List!$E$2:$CD$2,0)),"")</f>
        <v/>
      </c>
      <c r="AR36" s="13" t="str">
        <f>IF(AR$4="Yes",INDEX(List!$E$2:$CD$173,MATCH('Selection Pane Data'!$B36,List!$E$2:$E$173,0),MATCH('Selection Pane Data'!AR$3,List!$E$2:$CD$2,0)),"")</f>
        <v/>
      </c>
      <c r="AS36" s="13" t="str">
        <f>IF(AS$4="Yes",INDEX(List!$E$2:$CD$173,MATCH('Selection Pane Data'!$B36,List!$E$2:$E$173,0),MATCH('Selection Pane Data'!AS$3,List!$E$2:$CD$2,0)),"")</f>
        <v/>
      </c>
      <c r="AT36" s="13" t="str">
        <f>IF(AT$4="Yes",INDEX(List!$E$2:$CD$173,MATCH('Selection Pane Data'!$B36,List!$E$2:$E$173,0),MATCH('Selection Pane Data'!AT$3,List!$E$2:$CD$2,0)),"")</f>
        <v/>
      </c>
      <c r="AU36" s="13" t="str">
        <f>IF(AU$4="Yes",INDEX(List!$E$2:$CD$173,MATCH('Selection Pane Data'!$B36,List!$E$2:$E$173,0),MATCH('Selection Pane Data'!AU$3,List!$E$2:$CD$2,0)),"")</f>
        <v/>
      </c>
      <c r="AV36" s="13" t="str">
        <f>IF(AV$4="Yes",INDEX(List!$E$2:$CD$173,MATCH('Selection Pane Data'!$B36,List!$E$2:$E$173,0),MATCH('Selection Pane Data'!AV$3,List!$E$2:$CD$2,0)),"")</f>
        <v/>
      </c>
      <c r="AW36" s="13" t="str">
        <f>IF(AW$4="Yes",INDEX(List!$E$2:$CD$173,MATCH('Selection Pane Data'!$B36,List!$E$2:$E$173,0),MATCH('Selection Pane Data'!AW$3,List!$E$2:$CD$2,0)),"")</f>
        <v/>
      </c>
      <c r="AX36" s="13" t="str">
        <f>IF(AX$4="Yes",INDEX(List!$E$2:$CD$173,MATCH('Selection Pane Data'!$B36,List!$E$2:$E$173,0),MATCH('Selection Pane Data'!AX$3,List!$E$2:$CD$2,0)),"")</f>
        <v/>
      </c>
      <c r="AY36" s="13" t="str">
        <f>IF(AY$4="Yes",INDEX(List!$E$2:$CD$173,MATCH('Selection Pane Data'!$B36,List!$E$2:$E$173,0),MATCH('Selection Pane Data'!AY$3,List!$E$2:$CD$2,0)),"")</f>
        <v/>
      </c>
      <c r="AZ36" s="13" t="str">
        <f>IF(AZ$4="Yes",INDEX(List!$E$2:$CD$173,MATCH('Selection Pane Data'!$B36,List!$E$2:$E$173,0),MATCH('Selection Pane Data'!AZ$3,List!$E$2:$CD$2,0)),"")</f>
        <v/>
      </c>
      <c r="BA36" s="13" t="str">
        <f>IF(BA$4="Yes",INDEX(List!$E$2:$CD$173,MATCH('Selection Pane Data'!$B36,List!$E$2:$E$173,0),MATCH('Selection Pane Data'!BA$3,List!$E$2:$CD$2,0)),"")</f>
        <v/>
      </c>
      <c r="BB36" s="13" t="str">
        <f>IF(BB$4="Yes",INDEX(List!$E$2:$CD$173,MATCH('Selection Pane Data'!$B36,List!$E$2:$E$173,0),MATCH('Selection Pane Data'!BB$3,List!$E$2:$CD$2,0)),"")</f>
        <v/>
      </c>
      <c r="BC36" s="13" t="str">
        <f>IF(BC$4="Yes",INDEX(List!$E$2:$CD$173,MATCH('Selection Pane Data'!$B36,List!$E$2:$E$173,0),MATCH('Selection Pane Data'!BC$3,List!$E$2:$CD$2,0)),"")</f>
        <v/>
      </c>
      <c r="BD36" s="13" t="str">
        <f>IF(BD$4="Yes",INDEX(List!$E$2:$CD$173,MATCH('Selection Pane Data'!$B36,List!$E$2:$E$173,0),MATCH('Selection Pane Data'!BD$3,List!$E$2:$CD$2,0)),"")</f>
        <v/>
      </c>
      <c r="BE36" s="13" t="str">
        <f>IF(BE$4="Yes",INDEX(List!$E$2:$CD$173,MATCH('Selection Pane Data'!$B36,List!$E$2:$E$173,0),MATCH('Selection Pane Data'!BE$3,List!$E$2:$CD$2,0)),"")</f>
        <v/>
      </c>
      <c r="BF36" s="13" t="str">
        <f>IF(BF$4="Yes",INDEX(List!$E$2:$CD$173,MATCH('Selection Pane Data'!$B36,List!$E$2:$E$173,0),MATCH('Selection Pane Data'!BF$3,List!$E$2:$CD$2,0)),"")</f>
        <v/>
      </c>
      <c r="BG36" s="13" t="str">
        <f>IF(BG$4="Yes",INDEX(List!$E$2:$CD$173,MATCH('Selection Pane Data'!$B36,List!$E$2:$E$173,0),MATCH('Selection Pane Data'!BG$3,List!$E$2:$CD$2,0)),"")</f>
        <v/>
      </c>
      <c r="BH36" s="13" t="str">
        <f>IF(BH$4="Yes",INDEX(List!$E$2:$CD$173,MATCH('Selection Pane Data'!$B36,List!$E$2:$E$173,0),MATCH('Selection Pane Data'!BH$3,List!$E$2:$CD$2,0)),"")</f>
        <v/>
      </c>
      <c r="BI36" s="13" t="str">
        <f>IF(BI$4="Yes",INDEX(List!$E$2:$CD$173,MATCH('Selection Pane Data'!$B36,List!$E$2:$E$173,0),MATCH('Selection Pane Data'!BI$3,List!$E$2:$CD$2,0)),"")</f>
        <v/>
      </c>
      <c r="BJ36" s="13" t="str">
        <f>IF(BJ$4="Yes",INDEX(List!$E$2:$CD$173,MATCH('Selection Pane Data'!$B36,List!$E$2:$E$173,0),MATCH('Selection Pane Data'!BJ$3,List!$E$2:$CD$2,0)),"")</f>
        <v/>
      </c>
      <c r="BK36" s="13" t="str">
        <f>IF(BK$4="Yes",INDEX(List!$E$2:$CD$173,MATCH('Selection Pane Data'!$B36,List!$E$2:$E$173,0),MATCH('Selection Pane Data'!BK$3,List!$E$2:$CD$2,0)),"")</f>
        <v/>
      </c>
      <c r="BL36" s="13" t="str">
        <f>IF(BL$4="Yes",INDEX(List!$E$2:$CD$173,MATCH('Selection Pane Data'!$B36,List!$E$2:$E$173,0),MATCH('Selection Pane Data'!BL$3,List!$E$2:$CD$2,0)),"")</f>
        <v/>
      </c>
      <c r="BM36" s="13" t="str">
        <f>IF(BM$4="Yes",INDEX(List!$E$2:$CD$173,MATCH('Selection Pane Data'!$B36,List!$E$2:$E$173,0),MATCH('Selection Pane Data'!BM$3,List!$E$2:$CD$2,0)),"")</f>
        <v/>
      </c>
      <c r="BN36" s="13" t="str">
        <f>IF(BN$4="Yes",INDEX(List!$E$2:$CD$173,MATCH('Selection Pane Data'!$B36,List!$E$2:$E$173,0),MATCH('Selection Pane Data'!BN$3,List!$E$2:$CD$2,0)),"")</f>
        <v/>
      </c>
      <c r="BO36" s="13" t="str">
        <f>IF(BO$4="Yes",INDEX(List!$E$2:$CD$173,MATCH('Selection Pane Data'!$B36,List!$E$2:$E$173,0),MATCH('Selection Pane Data'!BO$3,List!$E$2:$CD$2,0)),"")</f>
        <v/>
      </c>
      <c r="BP36" s="13" t="str">
        <f>IF(BP$4="Yes",INDEX(List!$E$2:$CD$173,MATCH('Selection Pane Data'!$B36,List!$E$2:$E$173,0),MATCH('Selection Pane Data'!BP$3,List!$E$2:$CD$2,0)),"")</f>
        <v/>
      </c>
      <c r="BQ36" s="13" t="str">
        <f>IF(BQ$4="Yes",INDEX(List!$E$2:$CD$173,MATCH('Selection Pane Data'!$B36,List!$E$2:$E$173,0),MATCH('Selection Pane Data'!BQ$3,List!$E$2:$CD$2,0)),"")</f>
        <v/>
      </c>
      <c r="BR36" s="13" t="str">
        <f>IF(BR$4="Yes",INDEX(List!$E$2:$CD$173,MATCH('Selection Pane Data'!$B36,List!$E$2:$E$173,0),MATCH('Selection Pane Data'!BR$3,List!$E$2:$CD$2,0)),"")</f>
        <v/>
      </c>
      <c r="BS36" s="13" t="str">
        <f>IF(BS$4="Yes",INDEX(List!$E$2:$CD$173,MATCH('Selection Pane Data'!$B36,List!$E$2:$E$173,0),MATCH('Selection Pane Data'!BS$3,List!$E$2:$CD$2,0)),"")</f>
        <v/>
      </c>
      <c r="BT36" s="13" t="str">
        <f>IF(BT$4="Yes",INDEX(List!$E$2:$CD$173,MATCH('Selection Pane Data'!$B36,List!$E$2:$E$173,0),MATCH('Selection Pane Data'!BT$3,List!$E$2:$CD$2,0)),"")</f>
        <v/>
      </c>
      <c r="BU36" s="13" t="str">
        <f>IF(BU$4="Yes",INDEX(List!$E$2:$CD$173,MATCH('Selection Pane Data'!$B36,List!$E$2:$E$173,0),MATCH('Selection Pane Data'!BU$3,List!$E$2:$CD$2,0)),"")</f>
        <v/>
      </c>
      <c r="BV36" s="13" t="str">
        <f>IF(BV$4="Yes",INDEX(List!$E$2:$CD$173,MATCH('Selection Pane Data'!$B36,List!$E$2:$E$173,0),MATCH('Selection Pane Data'!BV$3,List!$E$2:$CD$2,0)),"")</f>
        <v/>
      </c>
      <c r="BW36" s="13" t="str">
        <f>IF(BW$4="Yes",INDEX(List!$E$2:$CD$173,MATCH('Selection Pane Data'!$B36,List!$E$2:$E$173,0),MATCH('Selection Pane Data'!BW$3,List!$E$2:$CD$2,0)),"")</f>
        <v/>
      </c>
      <c r="BX36" s="13" t="str">
        <f>IF(BX$4="Yes",INDEX(List!$E$2:$CD$173,MATCH('Selection Pane Data'!$B36,List!$E$2:$E$173,0),MATCH('Selection Pane Data'!BX$3,List!$E$2:$CD$2,0)),"")</f>
        <v/>
      </c>
      <c r="BY36" s="13" t="str">
        <f>IF(BY$4="Yes",INDEX(List!$E$2:$CD$173,MATCH('Selection Pane Data'!$B36,List!$E$2:$E$173,0),MATCH('Selection Pane Data'!BY$3,List!$E$2:$CD$2,0)),"")</f>
        <v/>
      </c>
      <c r="BZ36" s="13" t="str">
        <f>IF(BZ$4="Yes",INDEX(List!$E$2:$CD$173,MATCH('Selection Pane Data'!$B36,List!$E$2:$E$173,0),MATCH('Selection Pane Data'!BZ$3,List!$E$2:$CD$2,0)),"")</f>
        <v/>
      </c>
      <c r="CA36" s="13" t="str">
        <f>IF(CA$4="Yes",INDEX(List!$E$2:$CD$173,MATCH('Selection Pane Data'!$B36,List!$E$2:$E$173,0),MATCH('Selection Pane Data'!CA$3,List!$E$2:$CD$2,0)),"")</f>
        <v/>
      </c>
      <c r="CB36" s="13" t="str">
        <f>IF(CB$4="Yes",INDEX(List!$E$2:$CD$173,MATCH('Selection Pane Data'!$B36,List!$E$2:$E$173,0),MATCH('Selection Pane Data'!CB$3,List!$E$2:$CD$2,0)),"")</f>
        <v/>
      </c>
      <c r="CC36" s="13" t="str">
        <f>IF(CC$4="Yes",INDEX(List!$E$2:$CD$173,MATCH('Selection Pane Data'!$B36,List!$E$2:$E$173,0),MATCH('Selection Pane Data'!CC$3,List!$E$2:$CD$2,0)),"")</f>
        <v/>
      </c>
      <c r="CD36" s="13" t="str">
        <f>IF(CD$4="Yes",INDEX(List!$E$2:$CD$173,MATCH('Selection Pane Data'!$B36,List!$E$2:$E$173,0),MATCH('Selection Pane Data'!CD$3,List!$E$2:$CD$2,0)),"")</f>
        <v/>
      </c>
      <c r="CE36" s="13" t="str">
        <f>IF(CE$4="Yes",INDEX(List!$E$2:$CD$173,MATCH('Selection Pane Data'!$B36,List!$E$2:$E$173,0),MATCH('Selection Pane Data'!CE$3,List!$E$2:$CD$2,0)),"")</f>
        <v/>
      </c>
    </row>
    <row r="37" spans="2:83" x14ac:dyDescent="0.35">
      <c r="B37" s="21" t="s">
        <v>324</v>
      </c>
      <c r="C37" s="126" t="str">
        <f>VLOOKUP(B37,List!$E$2:$G$173,2,FALSE)</f>
        <v>AT.L3-3</v>
      </c>
      <c r="D37" s="31" t="str">
        <f>List!G35</f>
        <v>Not Applicable</v>
      </c>
      <c r="E37" s="31" t="str">
        <f>IF(Placemat!$F$4="All Practices","All Practices",IF(VLOOKUP(B37,Table7[#All],6,FALSE)="No Mapping","New CMMC Practices","Practices with NIST 800-171 Mappings"))</f>
        <v>Practices with NIST 800-171 Mappings</v>
      </c>
      <c r="F37" t="str">
        <f>INDEX('CMMC Levels'!$A$1:$F$172,MATCH('Selection Pane Data'!$C37,'CMMC Levels'!$A$1:$A$172,0),MATCH(Placemat!$F$4,'CMMC Levels'!$A$1:$F$1,0))</f>
        <v>N/A</v>
      </c>
      <c r="G37" s="77" t="str">
        <f>IF((COUNTIF(List!H35:CE35,"P")+COUNTIF(List!H35:CE35,"S"))=0,"N",IF(COUNTIF(H37:CE37,"P"),"P",IF(COUNTIF(H37:CE37,"S"),"S","U")))</f>
        <v>N</v>
      </c>
      <c r="H37" s="13" t="str">
        <f>IF(H$4="Yes",INDEX(List!$E$2:$CD$173,MATCH('Selection Pane Data'!$B37,List!$E$2:$E$173,0),MATCH('Selection Pane Data'!H$3,List!$E$2:$CD$2,0)),"")</f>
        <v/>
      </c>
      <c r="I37" s="13" t="str">
        <f>IF(I$4="Yes",INDEX(List!$E$2:$CD$173,MATCH('Selection Pane Data'!$B37,List!$E$2:$E$173,0),MATCH('Selection Pane Data'!I$3,List!$E$2:$CD$2,0)),"")</f>
        <v/>
      </c>
      <c r="J37" s="13" t="str">
        <f>IF(J$4="Yes",INDEX(List!$E$2:$CD$173,MATCH('Selection Pane Data'!$B37,List!$E$2:$E$173,0),MATCH('Selection Pane Data'!J$3,List!$E$2:$CD$2,0)),"")</f>
        <v>N</v>
      </c>
      <c r="K37" s="13" t="str">
        <f>IF(K$4="Yes",INDEX(List!$E$2:$CD$173,MATCH('Selection Pane Data'!$B37,List!$E$2:$E$173,0),MATCH('Selection Pane Data'!K$3,List!$E$2:$CD$2,0)),"")</f>
        <v/>
      </c>
      <c r="L37" s="13" t="str">
        <f>IF(L$4="Yes",INDEX(List!$E$2:$CD$173,MATCH('Selection Pane Data'!$B37,List!$E$2:$E$173,0),MATCH('Selection Pane Data'!L$3,List!$E$2:$CD$2,0)),"")</f>
        <v/>
      </c>
      <c r="M37" s="13" t="str">
        <f>IF(M$4="Yes",INDEX(List!$E$2:$CD$173,MATCH('Selection Pane Data'!$B37,List!$E$2:$E$173,0),MATCH('Selection Pane Data'!M$3,List!$E$2:$CD$2,0)),"")</f>
        <v/>
      </c>
      <c r="N37" s="13" t="str">
        <f>IF(N$4="Yes",INDEX(List!$E$2:$CD$173,MATCH('Selection Pane Data'!$B37,List!$E$2:$E$173,0),MATCH('Selection Pane Data'!N$3,List!$E$2:$CD$2,0)),"")</f>
        <v/>
      </c>
      <c r="O37" s="13" t="str">
        <f>IF(O$4="Yes",INDEX(List!$E$2:$CD$173,MATCH('Selection Pane Data'!$B37,List!$E$2:$E$173,0),MATCH('Selection Pane Data'!O$3,List!$E$2:$CD$2,0)),"")</f>
        <v/>
      </c>
      <c r="P37" s="13" t="str">
        <f>IF(P$4="Yes",INDEX(List!$E$2:$CD$173,MATCH('Selection Pane Data'!$B37,List!$E$2:$E$173,0),MATCH('Selection Pane Data'!P$3,List!$E$2:$CD$2,0)),"")</f>
        <v/>
      </c>
      <c r="Q37" s="13" t="str">
        <f>IF(Q$4="Yes",INDEX(List!$E$2:$CD$173,MATCH('Selection Pane Data'!$B37,List!$E$2:$E$173,0),MATCH('Selection Pane Data'!Q$3,List!$E$2:$CD$2,0)),"")</f>
        <v/>
      </c>
      <c r="R37" s="13" t="str">
        <f>IF(R$4="Yes",INDEX(List!$E$2:$CD$173,MATCH('Selection Pane Data'!$B37,List!$E$2:$E$173,0),MATCH('Selection Pane Data'!R$3,List!$E$2:$CD$2,0)),"")</f>
        <v/>
      </c>
      <c r="S37" s="13" t="str">
        <f>IF(S$4="Yes",INDEX(List!$E$2:$CD$173,MATCH('Selection Pane Data'!$B37,List!$E$2:$E$173,0),MATCH('Selection Pane Data'!S$3,List!$E$2:$CD$2,0)),"")</f>
        <v/>
      </c>
      <c r="T37" s="13" t="str">
        <f>IF(T$4="Yes",INDEX(List!$E$2:$CD$173,MATCH('Selection Pane Data'!$B37,List!$E$2:$E$173,0),MATCH('Selection Pane Data'!T$3,List!$E$2:$CD$2,0)),"")</f>
        <v/>
      </c>
      <c r="U37" s="13" t="str">
        <f>IF(U$4="Yes",INDEX(List!$E$2:$CD$173,MATCH('Selection Pane Data'!$B37,List!$E$2:$E$173,0),MATCH('Selection Pane Data'!U$3,List!$E$2:$CD$2,0)),"")</f>
        <v/>
      </c>
      <c r="V37" s="13" t="str">
        <f>IF(V$4="Yes",INDEX(List!$E$2:$CD$173,MATCH('Selection Pane Data'!$B37,List!$E$2:$E$173,0),MATCH('Selection Pane Data'!V$3,List!$E$2:$CD$2,0)),"")</f>
        <v/>
      </c>
      <c r="W37" s="13" t="str">
        <f>IF(W$4="Yes",INDEX(List!$E$2:$CD$173,MATCH('Selection Pane Data'!$B37,List!$E$2:$E$173,0),MATCH('Selection Pane Data'!W$3,List!$E$2:$CD$2,0)),"")</f>
        <v/>
      </c>
      <c r="X37" s="13" t="str">
        <f>IF(X$4="Yes",INDEX(List!$E$2:$CD$173,MATCH('Selection Pane Data'!$B37,List!$E$2:$E$173,0),MATCH('Selection Pane Data'!X$3,List!$E$2:$CD$2,0)),"")</f>
        <v/>
      </c>
      <c r="Y37" s="13" t="str">
        <f>IF(Y$4="Yes",INDEX(List!$E$2:$CD$173,MATCH('Selection Pane Data'!$B37,List!$E$2:$E$173,0),MATCH('Selection Pane Data'!Y$3,List!$E$2:$CD$2,0)),"")</f>
        <v/>
      </c>
      <c r="Z37" s="13" t="str">
        <f>IF(Z$4="Yes",INDEX(List!$E$2:$CD$173,MATCH('Selection Pane Data'!$B37,List!$E$2:$E$173,0),MATCH('Selection Pane Data'!Z$3,List!$E$2:$CD$2,0)),"")</f>
        <v/>
      </c>
      <c r="AA37" s="13" t="str">
        <f>IF(AA$4="Yes",INDEX(List!$E$2:$CD$173,MATCH('Selection Pane Data'!$B37,List!$E$2:$E$173,0),MATCH('Selection Pane Data'!AA$3,List!$E$2:$CD$2,0)),"")</f>
        <v>N</v>
      </c>
      <c r="AB37" s="13" t="str">
        <f>IF(AB$4="Yes",INDEX(List!$E$2:$CD$173,MATCH('Selection Pane Data'!$B37,List!$E$2:$E$173,0),MATCH('Selection Pane Data'!AB$3,List!$E$2:$CD$2,0)),"")</f>
        <v/>
      </c>
      <c r="AC37" s="13" t="str">
        <f>IF(AC$4="Yes",INDEX(List!$E$2:$CD$173,MATCH('Selection Pane Data'!$B37,List!$E$2:$E$173,0),MATCH('Selection Pane Data'!AC$3,List!$E$2:$CD$2,0)),"")</f>
        <v/>
      </c>
      <c r="AD37" s="13" t="str">
        <f>IF(AD$4="Yes",INDEX(List!$E$2:$CD$173,MATCH('Selection Pane Data'!$B37,List!$E$2:$E$173,0),MATCH('Selection Pane Data'!AD$3,List!$E$2:$CD$2,0)),"")</f>
        <v/>
      </c>
      <c r="AE37" s="13" t="str">
        <f>IF(AE$4="Yes",INDEX(List!$E$2:$CD$173,MATCH('Selection Pane Data'!$B37,List!$E$2:$E$173,0),MATCH('Selection Pane Data'!AE$3,List!$E$2:$CD$2,0)),"")</f>
        <v/>
      </c>
      <c r="AF37" s="13" t="str">
        <f>IF(AF$4="Yes",INDEX(List!$E$2:$CD$173,MATCH('Selection Pane Data'!$B37,List!$E$2:$E$173,0),MATCH('Selection Pane Data'!AF$3,List!$E$2:$CD$2,0)),"")</f>
        <v/>
      </c>
      <c r="AG37" s="13" t="str">
        <f>IF(AG$4="Yes",INDEX(List!$E$2:$CD$173,MATCH('Selection Pane Data'!$B37,List!$E$2:$E$173,0),MATCH('Selection Pane Data'!AG$3,List!$E$2:$CD$2,0)),"")</f>
        <v/>
      </c>
      <c r="AH37" s="13" t="str">
        <f>IF(AH$4="Yes",INDEX(List!$E$2:$CD$173,MATCH('Selection Pane Data'!$B37,List!$E$2:$E$173,0),MATCH('Selection Pane Data'!AH$3,List!$E$2:$CD$2,0)),"")</f>
        <v/>
      </c>
      <c r="AI37" s="13" t="str">
        <f>IF(AI$4="Yes",INDEX(List!$E$2:$CD$173,MATCH('Selection Pane Data'!$B37,List!$E$2:$E$173,0),MATCH('Selection Pane Data'!AI$3,List!$E$2:$CD$2,0)),"")</f>
        <v/>
      </c>
      <c r="AJ37" s="13" t="str">
        <f>IF(AJ$4="Yes",INDEX(List!$E$2:$CD$173,MATCH('Selection Pane Data'!$B37,List!$E$2:$E$173,0),MATCH('Selection Pane Data'!AJ$3,List!$E$2:$CD$2,0)),"")</f>
        <v/>
      </c>
      <c r="AK37" s="13" t="str">
        <f>IF(AK$4="Yes",INDEX(List!$E$2:$CD$173,MATCH('Selection Pane Data'!$B37,List!$E$2:$E$173,0),MATCH('Selection Pane Data'!AK$3,List!$E$2:$CD$2,0)),"")</f>
        <v/>
      </c>
      <c r="AL37" s="13" t="str">
        <f>IF(AL$4="Yes",INDEX(List!$E$2:$CD$173,MATCH('Selection Pane Data'!$B37,List!$E$2:$E$173,0),MATCH('Selection Pane Data'!AL$3,List!$E$2:$CD$2,0)),"")</f>
        <v/>
      </c>
      <c r="AM37" s="13" t="str">
        <f>IF(AM$4="Yes",INDEX(List!$E$2:$CD$173,MATCH('Selection Pane Data'!$B37,List!$E$2:$E$173,0),MATCH('Selection Pane Data'!AM$3,List!$E$2:$CD$2,0)),"")</f>
        <v/>
      </c>
      <c r="AN37" s="13" t="str">
        <f>IF(AN$4="Yes",INDEX(List!$E$2:$CD$173,MATCH('Selection Pane Data'!$B37,List!$E$2:$E$173,0),MATCH('Selection Pane Data'!AN$3,List!$E$2:$CD$2,0)),"")</f>
        <v/>
      </c>
      <c r="AO37" s="13" t="str">
        <f>IF(AO$4="Yes",INDEX(List!$E$2:$CD$173,MATCH('Selection Pane Data'!$B37,List!$E$2:$E$173,0),MATCH('Selection Pane Data'!AO$3,List!$E$2:$CD$2,0)),"")</f>
        <v/>
      </c>
      <c r="AP37" s="13" t="str">
        <f>IF(AP$4="Yes",INDEX(List!$E$2:$CD$173,MATCH('Selection Pane Data'!$B37,List!$E$2:$E$173,0),MATCH('Selection Pane Data'!AP$3,List!$E$2:$CD$2,0)),"")</f>
        <v/>
      </c>
      <c r="AQ37" s="13" t="str">
        <f>IF(AQ$4="Yes",INDEX(List!$E$2:$CD$173,MATCH('Selection Pane Data'!$B37,List!$E$2:$E$173,0),MATCH('Selection Pane Data'!AQ$3,List!$E$2:$CD$2,0)),"")</f>
        <v/>
      </c>
      <c r="AR37" s="13" t="str">
        <f>IF(AR$4="Yes",INDEX(List!$E$2:$CD$173,MATCH('Selection Pane Data'!$B37,List!$E$2:$E$173,0),MATCH('Selection Pane Data'!AR$3,List!$E$2:$CD$2,0)),"")</f>
        <v/>
      </c>
      <c r="AS37" s="13" t="str">
        <f>IF(AS$4="Yes",INDEX(List!$E$2:$CD$173,MATCH('Selection Pane Data'!$B37,List!$E$2:$E$173,0),MATCH('Selection Pane Data'!AS$3,List!$E$2:$CD$2,0)),"")</f>
        <v/>
      </c>
      <c r="AT37" s="13" t="str">
        <f>IF(AT$4="Yes",INDEX(List!$E$2:$CD$173,MATCH('Selection Pane Data'!$B37,List!$E$2:$E$173,0),MATCH('Selection Pane Data'!AT$3,List!$E$2:$CD$2,0)),"")</f>
        <v/>
      </c>
      <c r="AU37" s="13" t="str">
        <f>IF(AU$4="Yes",INDEX(List!$E$2:$CD$173,MATCH('Selection Pane Data'!$B37,List!$E$2:$E$173,0),MATCH('Selection Pane Data'!AU$3,List!$E$2:$CD$2,0)),"")</f>
        <v/>
      </c>
      <c r="AV37" s="13" t="str">
        <f>IF(AV$4="Yes",INDEX(List!$E$2:$CD$173,MATCH('Selection Pane Data'!$B37,List!$E$2:$E$173,0),MATCH('Selection Pane Data'!AV$3,List!$E$2:$CD$2,0)),"")</f>
        <v/>
      </c>
      <c r="AW37" s="13" t="str">
        <f>IF(AW$4="Yes",INDEX(List!$E$2:$CD$173,MATCH('Selection Pane Data'!$B37,List!$E$2:$E$173,0),MATCH('Selection Pane Data'!AW$3,List!$E$2:$CD$2,0)),"")</f>
        <v/>
      </c>
      <c r="AX37" s="13" t="str">
        <f>IF(AX$4="Yes",INDEX(List!$E$2:$CD$173,MATCH('Selection Pane Data'!$B37,List!$E$2:$E$173,0),MATCH('Selection Pane Data'!AX$3,List!$E$2:$CD$2,0)),"")</f>
        <v/>
      </c>
      <c r="AY37" s="13" t="str">
        <f>IF(AY$4="Yes",INDEX(List!$E$2:$CD$173,MATCH('Selection Pane Data'!$B37,List!$E$2:$E$173,0),MATCH('Selection Pane Data'!AY$3,List!$E$2:$CD$2,0)),"")</f>
        <v/>
      </c>
      <c r="AZ37" s="13" t="str">
        <f>IF(AZ$4="Yes",INDEX(List!$E$2:$CD$173,MATCH('Selection Pane Data'!$B37,List!$E$2:$E$173,0),MATCH('Selection Pane Data'!AZ$3,List!$E$2:$CD$2,0)),"")</f>
        <v/>
      </c>
      <c r="BA37" s="13" t="str">
        <f>IF(BA$4="Yes",INDEX(List!$E$2:$CD$173,MATCH('Selection Pane Data'!$B37,List!$E$2:$E$173,0),MATCH('Selection Pane Data'!BA$3,List!$E$2:$CD$2,0)),"")</f>
        <v/>
      </c>
      <c r="BB37" s="13" t="str">
        <f>IF(BB$4="Yes",INDEX(List!$E$2:$CD$173,MATCH('Selection Pane Data'!$B37,List!$E$2:$E$173,0),MATCH('Selection Pane Data'!BB$3,List!$E$2:$CD$2,0)),"")</f>
        <v/>
      </c>
      <c r="BC37" s="13" t="str">
        <f>IF(BC$4="Yes",INDEX(List!$E$2:$CD$173,MATCH('Selection Pane Data'!$B37,List!$E$2:$E$173,0),MATCH('Selection Pane Data'!BC$3,List!$E$2:$CD$2,0)),"")</f>
        <v/>
      </c>
      <c r="BD37" s="13" t="str">
        <f>IF(BD$4="Yes",INDEX(List!$E$2:$CD$173,MATCH('Selection Pane Data'!$B37,List!$E$2:$E$173,0),MATCH('Selection Pane Data'!BD$3,List!$E$2:$CD$2,0)),"")</f>
        <v/>
      </c>
      <c r="BE37" s="13" t="str">
        <f>IF(BE$4="Yes",INDEX(List!$E$2:$CD$173,MATCH('Selection Pane Data'!$B37,List!$E$2:$E$173,0),MATCH('Selection Pane Data'!BE$3,List!$E$2:$CD$2,0)),"")</f>
        <v/>
      </c>
      <c r="BF37" s="13" t="str">
        <f>IF(BF$4="Yes",INDEX(List!$E$2:$CD$173,MATCH('Selection Pane Data'!$B37,List!$E$2:$E$173,0),MATCH('Selection Pane Data'!BF$3,List!$E$2:$CD$2,0)),"")</f>
        <v/>
      </c>
      <c r="BG37" s="13" t="str">
        <f>IF(BG$4="Yes",INDEX(List!$E$2:$CD$173,MATCH('Selection Pane Data'!$B37,List!$E$2:$E$173,0),MATCH('Selection Pane Data'!BG$3,List!$E$2:$CD$2,0)),"")</f>
        <v/>
      </c>
      <c r="BH37" s="13" t="str">
        <f>IF(BH$4="Yes",INDEX(List!$E$2:$CD$173,MATCH('Selection Pane Data'!$B37,List!$E$2:$E$173,0),MATCH('Selection Pane Data'!BH$3,List!$E$2:$CD$2,0)),"")</f>
        <v/>
      </c>
      <c r="BI37" s="13" t="str">
        <f>IF(BI$4="Yes",INDEX(List!$E$2:$CD$173,MATCH('Selection Pane Data'!$B37,List!$E$2:$E$173,0),MATCH('Selection Pane Data'!BI$3,List!$E$2:$CD$2,0)),"")</f>
        <v/>
      </c>
      <c r="BJ37" s="13" t="str">
        <f>IF(BJ$4="Yes",INDEX(List!$E$2:$CD$173,MATCH('Selection Pane Data'!$B37,List!$E$2:$E$173,0),MATCH('Selection Pane Data'!BJ$3,List!$E$2:$CD$2,0)),"")</f>
        <v/>
      </c>
      <c r="BK37" s="13" t="str">
        <f>IF(BK$4="Yes",INDEX(List!$E$2:$CD$173,MATCH('Selection Pane Data'!$B37,List!$E$2:$E$173,0),MATCH('Selection Pane Data'!BK$3,List!$E$2:$CD$2,0)),"")</f>
        <v/>
      </c>
      <c r="BL37" s="13" t="str">
        <f>IF(BL$4="Yes",INDEX(List!$E$2:$CD$173,MATCH('Selection Pane Data'!$B37,List!$E$2:$E$173,0),MATCH('Selection Pane Data'!BL$3,List!$E$2:$CD$2,0)),"")</f>
        <v/>
      </c>
      <c r="BM37" s="13" t="str">
        <f>IF(BM$4="Yes",INDEX(List!$E$2:$CD$173,MATCH('Selection Pane Data'!$B37,List!$E$2:$E$173,0),MATCH('Selection Pane Data'!BM$3,List!$E$2:$CD$2,0)),"")</f>
        <v/>
      </c>
      <c r="BN37" s="13" t="str">
        <f>IF(BN$4="Yes",INDEX(List!$E$2:$CD$173,MATCH('Selection Pane Data'!$B37,List!$E$2:$E$173,0),MATCH('Selection Pane Data'!BN$3,List!$E$2:$CD$2,0)),"")</f>
        <v/>
      </c>
      <c r="BO37" s="13" t="str">
        <f>IF(BO$4="Yes",INDEX(List!$E$2:$CD$173,MATCH('Selection Pane Data'!$B37,List!$E$2:$E$173,0),MATCH('Selection Pane Data'!BO$3,List!$E$2:$CD$2,0)),"")</f>
        <v/>
      </c>
      <c r="BP37" s="13" t="str">
        <f>IF(BP$4="Yes",INDEX(List!$E$2:$CD$173,MATCH('Selection Pane Data'!$B37,List!$E$2:$E$173,0),MATCH('Selection Pane Data'!BP$3,List!$E$2:$CD$2,0)),"")</f>
        <v/>
      </c>
      <c r="BQ37" s="13" t="str">
        <f>IF(BQ$4="Yes",INDEX(List!$E$2:$CD$173,MATCH('Selection Pane Data'!$B37,List!$E$2:$E$173,0),MATCH('Selection Pane Data'!BQ$3,List!$E$2:$CD$2,0)),"")</f>
        <v/>
      </c>
      <c r="BR37" s="13" t="str">
        <f>IF(BR$4="Yes",INDEX(List!$E$2:$CD$173,MATCH('Selection Pane Data'!$B37,List!$E$2:$E$173,0),MATCH('Selection Pane Data'!BR$3,List!$E$2:$CD$2,0)),"")</f>
        <v/>
      </c>
      <c r="BS37" s="13" t="str">
        <f>IF(BS$4="Yes",INDEX(List!$E$2:$CD$173,MATCH('Selection Pane Data'!$B37,List!$E$2:$E$173,0),MATCH('Selection Pane Data'!BS$3,List!$E$2:$CD$2,0)),"")</f>
        <v/>
      </c>
      <c r="BT37" s="13" t="str">
        <f>IF(BT$4="Yes",INDEX(List!$E$2:$CD$173,MATCH('Selection Pane Data'!$B37,List!$E$2:$E$173,0),MATCH('Selection Pane Data'!BT$3,List!$E$2:$CD$2,0)),"")</f>
        <v/>
      </c>
      <c r="BU37" s="13" t="str">
        <f>IF(BU$4="Yes",INDEX(List!$E$2:$CD$173,MATCH('Selection Pane Data'!$B37,List!$E$2:$E$173,0),MATCH('Selection Pane Data'!BU$3,List!$E$2:$CD$2,0)),"")</f>
        <v/>
      </c>
      <c r="BV37" s="13" t="str">
        <f>IF(BV$4="Yes",INDEX(List!$E$2:$CD$173,MATCH('Selection Pane Data'!$B37,List!$E$2:$E$173,0),MATCH('Selection Pane Data'!BV$3,List!$E$2:$CD$2,0)),"")</f>
        <v/>
      </c>
      <c r="BW37" s="13" t="str">
        <f>IF(BW$4="Yes",INDEX(List!$E$2:$CD$173,MATCH('Selection Pane Data'!$B37,List!$E$2:$E$173,0),MATCH('Selection Pane Data'!BW$3,List!$E$2:$CD$2,0)),"")</f>
        <v/>
      </c>
      <c r="BX37" s="13" t="str">
        <f>IF(BX$4="Yes",INDEX(List!$E$2:$CD$173,MATCH('Selection Pane Data'!$B37,List!$E$2:$E$173,0),MATCH('Selection Pane Data'!BX$3,List!$E$2:$CD$2,0)),"")</f>
        <v/>
      </c>
      <c r="BY37" s="13" t="str">
        <f>IF(BY$4="Yes",INDEX(List!$E$2:$CD$173,MATCH('Selection Pane Data'!$B37,List!$E$2:$E$173,0),MATCH('Selection Pane Data'!BY$3,List!$E$2:$CD$2,0)),"")</f>
        <v/>
      </c>
      <c r="BZ37" s="13" t="str">
        <f>IF(BZ$4="Yes",INDEX(List!$E$2:$CD$173,MATCH('Selection Pane Data'!$B37,List!$E$2:$E$173,0),MATCH('Selection Pane Data'!BZ$3,List!$E$2:$CD$2,0)),"")</f>
        <v/>
      </c>
      <c r="CA37" s="13" t="str">
        <f>IF(CA$4="Yes",INDEX(List!$E$2:$CD$173,MATCH('Selection Pane Data'!$B37,List!$E$2:$E$173,0),MATCH('Selection Pane Data'!CA$3,List!$E$2:$CD$2,0)),"")</f>
        <v/>
      </c>
      <c r="CB37" s="13" t="str">
        <f>IF(CB$4="Yes",INDEX(List!$E$2:$CD$173,MATCH('Selection Pane Data'!$B37,List!$E$2:$E$173,0),MATCH('Selection Pane Data'!CB$3,List!$E$2:$CD$2,0)),"")</f>
        <v/>
      </c>
      <c r="CC37" s="13" t="str">
        <f>IF(CC$4="Yes",INDEX(List!$E$2:$CD$173,MATCH('Selection Pane Data'!$B37,List!$E$2:$E$173,0),MATCH('Selection Pane Data'!CC$3,List!$E$2:$CD$2,0)),"")</f>
        <v/>
      </c>
      <c r="CD37" s="13" t="str">
        <f>IF(CD$4="Yes",INDEX(List!$E$2:$CD$173,MATCH('Selection Pane Data'!$B37,List!$E$2:$E$173,0),MATCH('Selection Pane Data'!CD$3,List!$E$2:$CD$2,0)),"")</f>
        <v/>
      </c>
      <c r="CE37" s="13" t="str">
        <f>IF(CE$4="Yes",INDEX(List!$E$2:$CD$173,MATCH('Selection Pane Data'!$B37,List!$E$2:$E$173,0),MATCH('Selection Pane Data'!CE$3,List!$E$2:$CD$2,0)),"")</f>
        <v/>
      </c>
    </row>
    <row r="38" spans="2:83" x14ac:dyDescent="0.35">
      <c r="B38" s="21" t="s">
        <v>325</v>
      </c>
      <c r="C38" s="126" t="str">
        <f>VLOOKUP(B38,List!$E$2:$G$173,2,FALSE)</f>
        <v>AU.L2-3.3.2</v>
      </c>
      <c r="D38" s="31" t="str">
        <f>List!G36</f>
        <v>Shared Coverage</v>
      </c>
      <c r="E38" s="31" t="str">
        <f>IF(Placemat!$F$4="All Practices","All Practices",IF(VLOOKUP(B38,Table7[#All],6,FALSE)="No Mapping","New CMMC Practices","Practices with NIST 800-171 Mappings"))</f>
        <v>Practices with NIST 800-171 Mappings</v>
      </c>
      <c r="F38" t="str">
        <f>INDEX('CMMC Levels'!$A$1:$F$172,MATCH('Selection Pane Data'!$C38,'CMMC Levels'!$A$1:$A$172,0),MATCH(Placemat!$F$4,'CMMC Levels'!$A$1:$F$1,0))</f>
        <v>X</v>
      </c>
      <c r="G38" s="77" t="str">
        <f>IF((COUNTIF(List!H36:CE36,"P")+COUNTIF(List!H36:CE36,"S"))=0,"N",IF(COUNTIF(H38:CE38,"P"),"P",IF(COUNTIF(H38:CE38,"S"),"S","U")))</f>
        <v>U</v>
      </c>
      <c r="H38" s="13" t="str">
        <f>IF(H$4="Yes",INDEX(List!$E$2:$CD$173,MATCH('Selection Pane Data'!$B38,List!$E$2:$E$173,0),MATCH('Selection Pane Data'!H$3,List!$E$2:$CD$2,0)),"")</f>
        <v/>
      </c>
      <c r="I38" s="13" t="str">
        <f>IF(I$4="Yes",INDEX(List!$E$2:$CD$173,MATCH('Selection Pane Data'!$B38,List!$E$2:$E$173,0),MATCH('Selection Pane Data'!I$3,List!$E$2:$CD$2,0)),"")</f>
        <v/>
      </c>
      <c r="J38" s="13" t="str">
        <f>IF(J$4="Yes",INDEX(List!$E$2:$CD$173,MATCH('Selection Pane Data'!$B38,List!$E$2:$E$173,0),MATCH('Selection Pane Data'!J$3,List!$E$2:$CD$2,0)),"")</f>
        <v>N</v>
      </c>
      <c r="K38" s="13" t="str">
        <f>IF(K$4="Yes",INDEX(List!$E$2:$CD$173,MATCH('Selection Pane Data'!$B38,List!$E$2:$E$173,0),MATCH('Selection Pane Data'!K$3,List!$E$2:$CD$2,0)),"")</f>
        <v/>
      </c>
      <c r="L38" s="13" t="str">
        <f>IF(L$4="Yes",INDEX(List!$E$2:$CD$173,MATCH('Selection Pane Data'!$B38,List!$E$2:$E$173,0),MATCH('Selection Pane Data'!L$3,List!$E$2:$CD$2,0)),"")</f>
        <v/>
      </c>
      <c r="M38" s="13" t="str">
        <f>IF(M$4="Yes",INDEX(List!$E$2:$CD$173,MATCH('Selection Pane Data'!$B38,List!$E$2:$E$173,0),MATCH('Selection Pane Data'!M$3,List!$E$2:$CD$2,0)),"")</f>
        <v/>
      </c>
      <c r="N38" s="13" t="str">
        <f>IF(N$4="Yes",INDEX(List!$E$2:$CD$173,MATCH('Selection Pane Data'!$B38,List!$E$2:$E$173,0),MATCH('Selection Pane Data'!N$3,List!$E$2:$CD$2,0)),"")</f>
        <v/>
      </c>
      <c r="O38" s="13" t="str">
        <f>IF(O$4="Yes",INDEX(List!$E$2:$CD$173,MATCH('Selection Pane Data'!$B38,List!$E$2:$E$173,0),MATCH('Selection Pane Data'!O$3,List!$E$2:$CD$2,0)),"")</f>
        <v/>
      </c>
      <c r="P38" s="13" t="str">
        <f>IF(P$4="Yes",INDEX(List!$E$2:$CD$173,MATCH('Selection Pane Data'!$B38,List!$E$2:$E$173,0),MATCH('Selection Pane Data'!P$3,List!$E$2:$CD$2,0)),"")</f>
        <v/>
      </c>
      <c r="Q38" s="13" t="str">
        <f>IF(Q$4="Yes",INDEX(List!$E$2:$CD$173,MATCH('Selection Pane Data'!$B38,List!$E$2:$E$173,0),MATCH('Selection Pane Data'!Q$3,List!$E$2:$CD$2,0)),"")</f>
        <v/>
      </c>
      <c r="R38" s="13" t="str">
        <f>IF(R$4="Yes",INDEX(List!$E$2:$CD$173,MATCH('Selection Pane Data'!$B38,List!$E$2:$E$173,0),MATCH('Selection Pane Data'!R$3,List!$E$2:$CD$2,0)),"")</f>
        <v/>
      </c>
      <c r="S38" s="13" t="str">
        <f>IF(S$4="Yes",INDEX(List!$E$2:$CD$173,MATCH('Selection Pane Data'!$B38,List!$E$2:$E$173,0),MATCH('Selection Pane Data'!S$3,List!$E$2:$CD$2,0)),"")</f>
        <v/>
      </c>
      <c r="T38" s="13" t="str">
        <f>IF(T$4="Yes",INDEX(List!$E$2:$CD$173,MATCH('Selection Pane Data'!$B38,List!$E$2:$E$173,0),MATCH('Selection Pane Data'!T$3,List!$E$2:$CD$2,0)),"")</f>
        <v/>
      </c>
      <c r="U38" s="13" t="str">
        <f>IF(U$4="Yes",INDEX(List!$E$2:$CD$173,MATCH('Selection Pane Data'!$B38,List!$E$2:$E$173,0),MATCH('Selection Pane Data'!U$3,List!$E$2:$CD$2,0)),"")</f>
        <v/>
      </c>
      <c r="V38" s="13" t="str">
        <f>IF(V$4="Yes",INDEX(List!$E$2:$CD$173,MATCH('Selection Pane Data'!$B38,List!$E$2:$E$173,0),MATCH('Selection Pane Data'!V$3,List!$E$2:$CD$2,0)),"")</f>
        <v/>
      </c>
      <c r="W38" s="13" t="str">
        <f>IF(W$4="Yes",INDEX(List!$E$2:$CD$173,MATCH('Selection Pane Data'!$B38,List!$E$2:$E$173,0),MATCH('Selection Pane Data'!W$3,List!$E$2:$CD$2,0)),"")</f>
        <v/>
      </c>
      <c r="X38" s="13" t="str">
        <f>IF(X$4="Yes",INDEX(List!$E$2:$CD$173,MATCH('Selection Pane Data'!$B38,List!$E$2:$E$173,0),MATCH('Selection Pane Data'!X$3,List!$E$2:$CD$2,0)),"")</f>
        <v/>
      </c>
      <c r="Y38" s="13" t="str">
        <f>IF(Y$4="Yes",INDEX(List!$E$2:$CD$173,MATCH('Selection Pane Data'!$B38,List!$E$2:$E$173,0),MATCH('Selection Pane Data'!Y$3,List!$E$2:$CD$2,0)),"")</f>
        <v/>
      </c>
      <c r="Z38" s="13" t="str">
        <f>IF(Z$4="Yes",INDEX(List!$E$2:$CD$173,MATCH('Selection Pane Data'!$B38,List!$E$2:$E$173,0),MATCH('Selection Pane Data'!Z$3,List!$E$2:$CD$2,0)),"")</f>
        <v/>
      </c>
      <c r="AA38" s="13" t="str">
        <f>IF(AA$4="Yes",INDEX(List!$E$2:$CD$173,MATCH('Selection Pane Data'!$B38,List!$E$2:$E$173,0),MATCH('Selection Pane Data'!AA$3,List!$E$2:$CD$2,0)),"")</f>
        <v>N</v>
      </c>
      <c r="AB38" s="13" t="str">
        <f>IF(AB$4="Yes",INDEX(List!$E$2:$CD$173,MATCH('Selection Pane Data'!$B38,List!$E$2:$E$173,0),MATCH('Selection Pane Data'!AB$3,List!$E$2:$CD$2,0)),"")</f>
        <v/>
      </c>
      <c r="AC38" s="13" t="str">
        <f>IF(AC$4="Yes",INDEX(List!$E$2:$CD$173,MATCH('Selection Pane Data'!$B38,List!$E$2:$E$173,0),MATCH('Selection Pane Data'!AC$3,List!$E$2:$CD$2,0)),"")</f>
        <v/>
      </c>
      <c r="AD38" s="13" t="str">
        <f>IF(AD$4="Yes",INDEX(List!$E$2:$CD$173,MATCH('Selection Pane Data'!$B38,List!$E$2:$E$173,0),MATCH('Selection Pane Data'!AD$3,List!$E$2:$CD$2,0)),"")</f>
        <v/>
      </c>
      <c r="AE38" s="13" t="str">
        <f>IF(AE$4="Yes",INDEX(List!$E$2:$CD$173,MATCH('Selection Pane Data'!$B38,List!$E$2:$E$173,0),MATCH('Selection Pane Data'!AE$3,List!$E$2:$CD$2,0)),"")</f>
        <v/>
      </c>
      <c r="AF38" s="13" t="str">
        <f>IF(AF$4="Yes",INDEX(List!$E$2:$CD$173,MATCH('Selection Pane Data'!$B38,List!$E$2:$E$173,0),MATCH('Selection Pane Data'!AF$3,List!$E$2:$CD$2,0)),"")</f>
        <v/>
      </c>
      <c r="AG38" s="13" t="str">
        <f>IF(AG$4="Yes",INDEX(List!$E$2:$CD$173,MATCH('Selection Pane Data'!$B38,List!$E$2:$E$173,0),MATCH('Selection Pane Data'!AG$3,List!$E$2:$CD$2,0)),"")</f>
        <v/>
      </c>
      <c r="AH38" s="13" t="str">
        <f>IF(AH$4="Yes",INDEX(List!$E$2:$CD$173,MATCH('Selection Pane Data'!$B38,List!$E$2:$E$173,0),MATCH('Selection Pane Data'!AH$3,List!$E$2:$CD$2,0)),"")</f>
        <v/>
      </c>
      <c r="AI38" s="13" t="str">
        <f>IF(AI$4="Yes",INDEX(List!$E$2:$CD$173,MATCH('Selection Pane Data'!$B38,List!$E$2:$E$173,0),MATCH('Selection Pane Data'!AI$3,List!$E$2:$CD$2,0)),"")</f>
        <v/>
      </c>
      <c r="AJ38" s="13" t="str">
        <f>IF(AJ$4="Yes",INDEX(List!$E$2:$CD$173,MATCH('Selection Pane Data'!$B38,List!$E$2:$E$173,0),MATCH('Selection Pane Data'!AJ$3,List!$E$2:$CD$2,0)),"")</f>
        <v/>
      </c>
      <c r="AK38" s="13" t="str">
        <f>IF(AK$4="Yes",INDEX(List!$E$2:$CD$173,MATCH('Selection Pane Data'!$B38,List!$E$2:$E$173,0),MATCH('Selection Pane Data'!AK$3,List!$E$2:$CD$2,0)),"")</f>
        <v/>
      </c>
      <c r="AL38" s="13" t="str">
        <f>IF(AL$4="Yes",INDEX(List!$E$2:$CD$173,MATCH('Selection Pane Data'!$B38,List!$E$2:$E$173,0),MATCH('Selection Pane Data'!AL$3,List!$E$2:$CD$2,0)),"")</f>
        <v/>
      </c>
      <c r="AM38" s="13" t="str">
        <f>IF(AM$4="Yes",INDEX(List!$E$2:$CD$173,MATCH('Selection Pane Data'!$B38,List!$E$2:$E$173,0),MATCH('Selection Pane Data'!AM$3,List!$E$2:$CD$2,0)),"")</f>
        <v/>
      </c>
      <c r="AN38" s="13" t="str">
        <f>IF(AN$4="Yes",INDEX(List!$E$2:$CD$173,MATCH('Selection Pane Data'!$B38,List!$E$2:$E$173,0),MATCH('Selection Pane Data'!AN$3,List!$E$2:$CD$2,0)),"")</f>
        <v/>
      </c>
      <c r="AO38" s="13" t="str">
        <f>IF(AO$4="Yes",INDEX(List!$E$2:$CD$173,MATCH('Selection Pane Data'!$B38,List!$E$2:$E$173,0),MATCH('Selection Pane Data'!AO$3,List!$E$2:$CD$2,0)),"")</f>
        <v/>
      </c>
      <c r="AP38" s="13" t="str">
        <f>IF(AP$4="Yes",INDEX(List!$E$2:$CD$173,MATCH('Selection Pane Data'!$B38,List!$E$2:$E$173,0),MATCH('Selection Pane Data'!AP$3,List!$E$2:$CD$2,0)),"")</f>
        <v/>
      </c>
      <c r="AQ38" s="13" t="str">
        <f>IF(AQ$4="Yes",INDEX(List!$E$2:$CD$173,MATCH('Selection Pane Data'!$B38,List!$E$2:$E$173,0),MATCH('Selection Pane Data'!AQ$3,List!$E$2:$CD$2,0)),"")</f>
        <v/>
      </c>
      <c r="AR38" s="13" t="str">
        <f>IF(AR$4="Yes",INDEX(List!$E$2:$CD$173,MATCH('Selection Pane Data'!$B38,List!$E$2:$E$173,0),MATCH('Selection Pane Data'!AR$3,List!$E$2:$CD$2,0)),"")</f>
        <v/>
      </c>
      <c r="AS38" s="13" t="str">
        <f>IF(AS$4="Yes",INDEX(List!$E$2:$CD$173,MATCH('Selection Pane Data'!$B38,List!$E$2:$E$173,0),MATCH('Selection Pane Data'!AS$3,List!$E$2:$CD$2,0)),"")</f>
        <v/>
      </c>
      <c r="AT38" s="13" t="str">
        <f>IF(AT$4="Yes",INDEX(List!$E$2:$CD$173,MATCH('Selection Pane Data'!$B38,List!$E$2:$E$173,0),MATCH('Selection Pane Data'!AT$3,List!$E$2:$CD$2,0)),"")</f>
        <v/>
      </c>
      <c r="AU38" s="13" t="str">
        <f>IF(AU$4="Yes",INDEX(List!$E$2:$CD$173,MATCH('Selection Pane Data'!$B38,List!$E$2:$E$173,0),MATCH('Selection Pane Data'!AU$3,List!$E$2:$CD$2,0)),"")</f>
        <v/>
      </c>
      <c r="AV38" s="13" t="str">
        <f>IF(AV$4="Yes",INDEX(List!$E$2:$CD$173,MATCH('Selection Pane Data'!$B38,List!$E$2:$E$173,0),MATCH('Selection Pane Data'!AV$3,List!$E$2:$CD$2,0)),"")</f>
        <v/>
      </c>
      <c r="AW38" s="13" t="str">
        <f>IF(AW$4="Yes",INDEX(List!$E$2:$CD$173,MATCH('Selection Pane Data'!$B38,List!$E$2:$E$173,0),MATCH('Selection Pane Data'!AW$3,List!$E$2:$CD$2,0)),"")</f>
        <v/>
      </c>
      <c r="AX38" s="13" t="str">
        <f>IF(AX$4="Yes",INDEX(List!$E$2:$CD$173,MATCH('Selection Pane Data'!$B38,List!$E$2:$E$173,0),MATCH('Selection Pane Data'!AX$3,List!$E$2:$CD$2,0)),"")</f>
        <v/>
      </c>
      <c r="AY38" s="13" t="str">
        <f>IF(AY$4="Yes",INDEX(List!$E$2:$CD$173,MATCH('Selection Pane Data'!$B38,List!$E$2:$E$173,0),MATCH('Selection Pane Data'!AY$3,List!$E$2:$CD$2,0)),"")</f>
        <v/>
      </c>
      <c r="AZ38" s="13" t="str">
        <f>IF(AZ$4="Yes",INDEX(List!$E$2:$CD$173,MATCH('Selection Pane Data'!$B38,List!$E$2:$E$173,0),MATCH('Selection Pane Data'!AZ$3,List!$E$2:$CD$2,0)),"")</f>
        <v/>
      </c>
      <c r="BA38" s="13" t="str">
        <f>IF(BA$4="Yes",INDEX(List!$E$2:$CD$173,MATCH('Selection Pane Data'!$B38,List!$E$2:$E$173,0),MATCH('Selection Pane Data'!BA$3,List!$E$2:$CD$2,0)),"")</f>
        <v/>
      </c>
      <c r="BB38" s="13" t="str">
        <f>IF(BB$4="Yes",INDEX(List!$E$2:$CD$173,MATCH('Selection Pane Data'!$B38,List!$E$2:$E$173,0),MATCH('Selection Pane Data'!BB$3,List!$E$2:$CD$2,0)),"")</f>
        <v/>
      </c>
      <c r="BC38" s="13" t="str">
        <f>IF(BC$4="Yes",INDEX(List!$E$2:$CD$173,MATCH('Selection Pane Data'!$B38,List!$E$2:$E$173,0),MATCH('Selection Pane Data'!BC$3,List!$E$2:$CD$2,0)),"")</f>
        <v/>
      </c>
      <c r="BD38" s="13" t="str">
        <f>IF(BD$4="Yes",INDEX(List!$E$2:$CD$173,MATCH('Selection Pane Data'!$B38,List!$E$2:$E$173,0),MATCH('Selection Pane Data'!BD$3,List!$E$2:$CD$2,0)),"")</f>
        <v/>
      </c>
      <c r="BE38" s="13" t="str">
        <f>IF(BE$4="Yes",INDEX(List!$E$2:$CD$173,MATCH('Selection Pane Data'!$B38,List!$E$2:$E$173,0),MATCH('Selection Pane Data'!BE$3,List!$E$2:$CD$2,0)),"")</f>
        <v/>
      </c>
      <c r="BF38" s="13" t="str">
        <f>IF(BF$4="Yes",INDEX(List!$E$2:$CD$173,MATCH('Selection Pane Data'!$B38,List!$E$2:$E$173,0),MATCH('Selection Pane Data'!BF$3,List!$E$2:$CD$2,0)),"")</f>
        <v/>
      </c>
      <c r="BG38" s="13" t="str">
        <f>IF(BG$4="Yes",INDEX(List!$E$2:$CD$173,MATCH('Selection Pane Data'!$B38,List!$E$2:$E$173,0),MATCH('Selection Pane Data'!BG$3,List!$E$2:$CD$2,0)),"")</f>
        <v/>
      </c>
      <c r="BH38" s="13" t="str">
        <f>IF(BH$4="Yes",INDEX(List!$E$2:$CD$173,MATCH('Selection Pane Data'!$B38,List!$E$2:$E$173,0),MATCH('Selection Pane Data'!BH$3,List!$E$2:$CD$2,0)),"")</f>
        <v/>
      </c>
      <c r="BI38" s="13" t="str">
        <f>IF(BI$4="Yes",INDEX(List!$E$2:$CD$173,MATCH('Selection Pane Data'!$B38,List!$E$2:$E$173,0),MATCH('Selection Pane Data'!BI$3,List!$E$2:$CD$2,0)),"")</f>
        <v/>
      </c>
      <c r="BJ38" s="13" t="str">
        <f>IF(BJ$4="Yes",INDEX(List!$E$2:$CD$173,MATCH('Selection Pane Data'!$B38,List!$E$2:$E$173,0),MATCH('Selection Pane Data'!BJ$3,List!$E$2:$CD$2,0)),"")</f>
        <v/>
      </c>
      <c r="BK38" s="13" t="str">
        <f>IF(BK$4="Yes",INDEX(List!$E$2:$CD$173,MATCH('Selection Pane Data'!$B38,List!$E$2:$E$173,0),MATCH('Selection Pane Data'!BK$3,List!$E$2:$CD$2,0)),"")</f>
        <v/>
      </c>
      <c r="BL38" s="13" t="str">
        <f>IF(BL$4="Yes",INDEX(List!$E$2:$CD$173,MATCH('Selection Pane Data'!$B38,List!$E$2:$E$173,0),MATCH('Selection Pane Data'!BL$3,List!$E$2:$CD$2,0)),"")</f>
        <v/>
      </c>
      <c r="BM38" s="13" t="str">
        <f>IF(BM$4="Yes",INDEX(List!$E$2:$CD$173,MATCH('Selection Pane Data'!$B38,List!$E$2:$E$173,0),MATCH('Selection Pane Data'!BM$3,List!$E$2:$CD$2,0)),"")</f>
        <v/>
      </c>
      <c r="BN38" s="13" t="str">
        <f>IF(BN$4="Yes",INDEX(List!$E$2:$CD$173,MATCH('Selection Pane Data'!$B38,List!$E$2:$E$173,0),MATCH('Selection Pane Data'!BN$3,List!$E$2:$CD$2,0)),"")</f>
        <v/>
      </c>
      <c r="BO38" s="13" t="str">
        <f>IF(BO$4="Yes",INDEX(List!$E$2:$CD$173,MATCH('Selection Pane Data'!$B38,List!$E$2:$E$173,0),MATCH('Selection Pane Data'!BO$3,List!$E$2:$CD$2,0)),"")</f>
        <v/>
      </c>
      <c r="BP38" s="13" t="str">
        <f>IF(BP$4="Yes",INDEX(List!$E$2:$CD$173,MATCH('Selection Pane Data'!$B38,List!$E$2:$E$173,0),MATCH('Selection Pane Data'!BP$3,List!$E$2:$CD$2,0)),"")</f>
        <v/>
      </c>
      <c r="BQ38" s="13" t="str">
        <f>IF(BQ$4="Yes",INDEX(List!$E$2:$CD$173,MATCH('Selection Pane Data'!$B38,List!$E$2:$E$173,0),MATCH('Selection Pane Data'!BQ$3,List!$E$2:$CD$2,0)),"")</f>
        <v/>
      </c>
      <c r="BR38" s="13" t="str">
        <f>IF(BR$4="Yes",INDEX(List!$E$2:$CD$173,MATCH('Selection Pane Data'!$B38,List!$E$2:$E$173,0),MATCH('Selection Pane Data'!BR$3,List!$E$2:$CD$2,0)),"")</f>
        <v/>
      </c>
      <c r="BS38" s="13" t="str">
        <f>IF(BS$4="Yes",INDEX(List!$E$2:$CD$173,MATCH('Selection Pane Data'!$B38,List!$E$2:$E$173,0),MATCH('Selection Pane Data'!BS$3,List!$E$2:$CD$2,0)),"")</f>
        <v/>
      </c>
      <c r="BT38" s="13" t="str">
        <f>IF(BT$4="Yes",INDEX(List!$E$2:$CD$173,MATCH('Selection Pane Data'!$B38,List!$E$2:$E$173,0),MATCH('Selection Pane Data'!BT$3,List!$E$2:$CD$2,0)),"")</f>
        <v/>
      </c>
      <c r="BU38" s="13" t="str">
        <f>IF(BU$4="Yes",INDEX(List!$E$2:$CD$173,MATCH('Selection Pane Data'!$B38,List!$E$2:$E$173,0),MATCH('Selection Pane Data'!BU$3,List!$E$2:$CD$2,0)),"")</f>
        <v/>
      </c>
      <c r="BV38" s="13" t="str">
        <f>IF(BV$4="Yes",INDEX(List!$E$2:$CD$173,MATCH('Selection Pane Data'!$B38,List!$E$2:$E$173,0),MATCH('Selection Pane Data'!BV$3,List!$E$2:$CD$2,0)),"")</f>
        <v/>
      </c>
      <c r="BW38" s="13" t="str">
        <f>IF(BW$4="Yes",INDEX(List!$E$2:$CD$173,MATCH('Selection Pane Data'!$B38,List!$E$2:$E$173,0),MATCH('Selection Pane Data'!BW$3,List!$E$2:$CD$2,0)),"")</f>
        <v/>
      </c>
      <c r="BX38" s="13" t="str">
        <f>IF(BX$4="Yes",INDEX(List!$E$2:$CD$173,MATCH('Selection Pane Data'!$B38,List!$E$2:$E$173,0),MATCH('Selection Pane Data'!BX$3,List!$E$2:$CD$2,0)),"")</f>
        <v/>
      </c>
      <c r="BY38" s="13" t="str">
        <f>IF(BY$4="Yes",INDEX(List!$E$2:$CD$173,MATCH('Selection Pane Data'!$B38,List!$E$2:$E$173,0),MATCH('Selection Pane Data'!BY$3,List!$E$2:$CD$2,0)),"")</f>
        <v/>
      </c>
      <c r="BZ38" s="13" t="str">
        <f>IF(BZ$4="Yes",INDEX(List!$E$2:$CD$173,MATCH('Selection Pane Data'!$B38,List!$E$2:$E$173,0),MATCH('Selection Pane Data'!BZ$3,List!$E$2:$CD$2,0)),"")</f>
        <v/>
      </c>
      <c r="CA38" s="13" t="str">
        <f>IF(CA$4="Yes",INDEX(List!$E$2:$CD$173,MATCH('Selection Pane Data'!$B38,List!$E$2:$E$173,0),MATCH('Selection Pane Data'!CA$3,List!$E$2:$CD$2,0)),"")</f>
        <v/>
      </c>
      <c r="CB38" s="13" t="str">
        <f>IF(CB$4="Yes",INDEX(List!$E$2:$CD$173,MATCH('Selection Pane Data'!$B38,List!$E$2:$E$173,0),MATCH('Selection Pane Data'!CB$3,List!$E$2:$CD$2,0)),"")</f>
        <v/>
      </c>
      <c r="CC38" s="13" t="str">
        <f>IF(CC$4="Yes",INDEX(List!$E$2:$CD$173,MATCH('Selection Pane Data'!$B38,List!$E$2:$E$173,0),MATCH('Selection Pane Data'!CC$3,List!$E$2:$CD$2,0)),"")</f>
        <v/>
      </c>
      <c r="CD38" s="13" t="str">
        <f>IF(CD$4="Yes",INDEX(List!$E$2:$CD$173,MATCH('Selection Pane Data'!$B38,List!$E$2:$E$173,0),MATCH('Selection Pane Data'!CD$3,List!$E$2:$CD$2,0)),"")</f>
        <v/>
      </c>
      <c r="CE38" s="13" t="str">
        <f>IF(CE$4="Yes",INDEX(List!$E$2:$CD$173,MATCH('Selection Pane Data'!$B38,List!$E$2:$E$173,0),MATCH('Selection Pane Data'!CE$3,List!$E$2:$CD$2,0)),"")</f>
        <v/>
      </c>
    </row>
    <row r="39" spans="2:83" x14ac:dyDescent="0.35">
      <c r="B39" s="21" t="s">
        <v>326</v>
      </c>
      <c r="C39" s="126" t="str">
        <f>VLOOKUP(B39,List!$E$2:$G$173,2,FALSE)</f>
        <v>AU.L2-3.3.1</v>
      </c>
      <c r="D39" s="31" t="str">
        <f>List!G37</f>
        <v>Shared Coverage</v>
      </c>
      <c r="E39" s="31" t="str">
        <f>IF(Placemat!$F$4="All Practices","All Practices",IF(VLOOKUP(B39,Table7[#All],6,FALSE)="No Mapping","New CMMC Practices","Practices with NIST 800-171 Mappings"))</f>
        <v>Practices with NIST 800-171 Mappings</v>
      </c>
      <c r="F39" t="str">
        <f>INDEX('CMMC Levels'!$A$1:$F$172,MATCH('Selection Pane Data'!$C39,'CMMC Levels'!$A$1:$A$172,0),MATCH(Placemat!$F$4,'CMMC Levels'!$A$1:$F$1,0))</f>
        <v>X</v>
      </c>
      <c r="G39" s="77" t="str">
        <f>IF((COUNTIF(List!H37:CE37,"P")+COUNTIF(List!H37:CE37,"S"))=0,"N",IF(COUNTIF(H39:CE39,"P"),"P",IF(COUNTIF(H39:CE39,"S"),"S","U")))</f>
        <v>U</v>
      </c>
      <c r="H39" s="13" t="str">
        <f>IF(H$4="Yes",INDEX(List!$E$2:$CD$173,MATCH('Selection Pane Data'!$B39,List!$E$2:$E$173,0),MATCH('Selection Pane Data'!H$3,List!$E$2:$CD$2,0)),"")</f>
        <v/>
      </c>
      <c r="I39" s="13" t="str">
        <f>IF(I$4="Yes",INDEX(List!$E$2:$CD$173,MATCH('Selection Pane Data'!$B39,List!$E$2:$E$173,0),MATCH('Selection Pane Data'!I$3,List!$E$2:$CD$2,0)),"")</f>
        <v/>
      </c>
      <c r="J39" s="13" t="str">
        <f>IF(J$4="Yes",INDEX(List!$E$2:$CD$173,MATCH('Selection Pane Data'!$B39,List!$E$2:$E$173,0),MATCH('Selection Pane Data'!J$3,List!$E$2:$CD$2,0)),"")</f>
        <v>N</v>
      </c>
      <c r="K39" s="13" t="str">
        <f>IF(K$4="Yes",INDEX(List!$E$2:$CD$173,MATCH('Selection Pane Data'!$B39,List!$E$2:$E$173,0),MATCH('Selection Pane Data'!K$3,List!$E$2:$CD$2,0)),"")</f>
        <v/>
      </c>
      <c r="L39" s="13" t="str">
        <f>IF(L$4="Yes",INDEX(List!$E$2:$CD$173,MATCH('Selection Pane Data'!$B39,List!$E$2:$E$173,0),MATCH('Selection Pane Data'!L$3,List!$E$2:$CD$2,0)),"")</f>
        <v/>
      </c>
      <c r="M39" s="13" t="str">
        <f>IF(M$4="Yes",INDEX(List!$E$2:$CD$173,MATCH('Selection Pane Data'!$B39,List!$E$2:$E$173,0),MATCH('Selection Pane Data'!M$3,List!$E$2:$CD$2,0)),"")</f>
        <v/>
      </c>
      <c r="N39" s="13" t="str">
        <f>IF(N$4="Yes",INDEX(List!$E$2:$CD$173,MATCH('Selection Pane Data'!$B39,List!$E$2:$E$173,0),MATCH('Selection Pane Data'!N$3,List!$E$2:$CD$2,0)),"")</f>
        <v/>
      </c>
      <c r="O39" s="13" t="str">
        <f>IF(O$4="Yes",INDEX(List!$E$2:$CD$173,MATCH('Selection Pane Data'!$B39,List!$E$2:$E$173,0),MATCH('Selection Pane Data'!O$3,List!$E$2:$CD$2,0)),"")</f>
        <v/>
      </c>
      <c r="P39" s="13" t="str">
        <f>IF(P$4="Yes",INDEX(List!$E$2:$CD$173,MATCH('Selection Pane Data'!$B39,List!$E$2:$E$173,0),MATCH('Selection Pane Data'!P$3,List!$E$2:$CD$2,0)),"")</f>
        <v/>
      </c>
      <c r="Q39" s="13" t="str">
        <f>IF(Q$4="Yes",INDEX(List!$E$2:$CD$173,MATCH('Selection Pane Data'!$B39,List!$E$2:$E$173,0),MATCH('Selection Pane Data'!Q$3,List!$E$2:$CD$2,0)),"")</f>
        <v/>
      </c>
      <c r="R39" s="13" t="str">
        <f>IF(R$4="Yes",INDEX(List!$E$2:$CD$173,MATCH('Selection Pane Data'!$B39,List!$E$2:$E$173,0),MATCH('Selection Pane Data'!R$3,List!$E$2:$CD$2,0)),"")</f>
        <v/>
      </c>
      <c r="S39" s="13" t="str">
        <f>IF(S$4="Yes",INDEX(List!$E$2:$CD$173,MATCH('Selection Pane Data'!$B39,List!$E$2:$E$173,0),MATCH('Selection Pane Data'!S$3,List!$E$2:$CD$2,0)),"")</f>
        <v/>
      </c>
      <c r="T39" s="13" t="str">
        <f>IF(T$4="Yes",INDEX(List!$E$2:$CD$173,MATCH('Selection Pane Data'!$B39,List!$E$2:$E$173,0),MATCH('Selection Pane Data'!T$3,List!$E$2:$CD$2,0)),"")</f>
        <v/>
      </c>
      <c r="U39" s="13" t="str">
        <f>IF(U$4="Yes",INDEX(List!$E$2:$CD$173,MATCH('Selection Pane Data'!$B39,List!$E$2:$E$173,0),MATCH('Selection Pane Data'!U$3,List!$E$2:$CD$2,0)),"")</f>
        <v/>
      </c>
      <c r="V39" s="13" t="str">
        <f>IF(V$4="Yes",INDEX(List!$E$2:$CD$173,MATCH('Selection Pane Data'!$B39,List!$E$2:$E$173,0),MATCH('Selection Pane Data'!V$3,List!$E$2:$CD$2,0)),"")</f>
        <v/>
      </c>
      <c r="W39" s="13" t="str">
        <f>IF(W$4="Yes",INDEX(List!$E$2:$CD$173,MATCH('Selection Pane Data'!$B39,List!$E$2:$E$173,0),MATCH('Selection Pane Data'!W$3,List!$E$2:$CD$2,0)),"")</f>
        <v/>
      </c>
      <c r="X39" s="13" t="str">
        <f>IF(X$4="Yes",INDEX(List!$E$2:$CD$173,MATCH('Selection Pane Data'!$B39,List!$E$2:$E$173,0),MATCH('Selection Pane Data'!X$3,List!$E$2:$CD$2,0)),"")</f>
        <v/>
      </c>
      <c r="Y39" s="13" t="str">
        <f>IF(Y$4="Yes",INDEX(List!$E$2:$CD$173,MATCH('Selection Pane Data'!$B39,List!$E$2:$E$173,0),MATCH('Selection Pane Data'!Y$3,List!$E$2:$CD$2,0)),"")</f>
        <v/>
      </c>
      <c r="Z39" s="13" t="str">
        <f>IF(Z$4="Yes",INDEX(List!$E$2:$CD$173,MATCH('Selection Pane Data'!$B39,List!$E$2:$E$173,0),MATCH('Selection Pane Data'!Z$3,List!$E$2:$CD$2,0)),"")</f>
        <v/>
      </c>
      <c r="AA39" s="13" t="str">
        <f>IF(AA$4="Yes",INDEX(List!$E$2:$CD$173,MATCH('Selection Pane Data'!$B39,List!$E$2:$E$173,0),MATCH('Selection Pane Data'!AA$3,List!$E$2:$CD$2,0)),"")</f>
        <v>N</v>
      </c>
      <c r="AB39" s="13" t="str">
        <f>IF(AB$4="Yes",INDEX(List!$E$2:$CD$173,MATCH('Selection Pane Data'!$B39,List!$E$2:$E$173,0),MATCH('Selection Pane Data'!AB$3,List!$E$2:$CD$2,0)),"")</f>
        <v/>
      </c>
      <c r="AC39" s="13" t="str">
        <f>IF(AC$4="Yes",INDEX(List!$E$2:$CD$173,MATCH('Selection Pane Data'!$B39,List!$E$2:$E$173,0),MATCH('Selection Pane Data'!AC$3,List!$E$2:$CD$2,0)),"")</f>
        <v/>
      </c>
      <c r="AD39" s="13" t="str">
        <f>IF(AD$4="Yes",INDEX(List!$E$2:$CD$173,MATCH('Selection Pane Data'!$B39,List!$E$2:$E$173,0),MATCH('Selection Pane Data'!AD$3,List!$E$2:$CD$2,0)),"")</f>
        <v/>
      </c>
      <c r="AE39" s="13" t="str">
        <f>IF(AE$4="Yes",INDEX(List!$E$2:$CD$173,MATCH('Selection Pane Data'!$B39,List!$E$2:$E$173,0),MATCH('Selection Pane Data'!AE$3,List!$E$2:$CD$2,0)),"")</f>
        <v/>
      </c>
      <c r="AF39" s="13" t="str">
        <f>IF(AF$4="Yes",INDEX(List!$E$2:$CD$173,MATCH('Selection Pane Data'!$B39,List!$E$2:$E$173,0),MATCH('Selection Pane Data'!AF$3,List!$E$2:$CD$2,0)),"")</f>
        <v/>
      </c>
      <c r="AG39" s="13" t="str">
        <f>IF(AG$4="Yes",INDEX(List!$E$2:$CD$173,MATCH('Selection Pane Data'!$B39,List!$E$2:$E$173,0),MATCH('Selection Pane Data'!AG$3,List!$E$2:$CD$2,0)),"")</f>
        <v/>
      </c>
      <c r="AH39" s="13" t="str">
        <f>IF(AH$4="Yes",INDEX(List!$E$2:$CD$173,MATCH('Selection Pane Data'!$B39,List!$E$2:$E$173,0),MATCH('Selection Pane Data'!AH$3,List!$E$2:$CD$2,0)),"")</f>
        <v/>
      </c>
      <c r="AI39" s="13" t="str">
        <f>IF(AI$4="Yes",INDEX(List!$E$2:$CD$173,MATCH('Selection Pane Data'!$B39,List!$E$2:$E$173,0),MATCH('Selection Pane Data'!AI$3,List!$E$2:$CD$2,0)),"")</f>
        <v/>
      </c>
      <c r="AJ39" s="13" t="str">
        <f>IF(AJ$4="Yes",INDEX(List!$E$2:$CD$173,MATCH('Selection Pane Data'!$B39,List!$E$2:$E$173,0),MATCH('Selection Pane Data'!AJ$3,List!$E$2:$CD$2,0)),"")</f>
        <v/>
      </c>
      <c r="AK39" s="13" t="str">
        <f>IF(AK$4="Yes",INDEX(List!$E$2:$CD$173,MATCH('Selection Pane Data'!$B39,List!$E$2:$E$173,0),MATCH('Selection Pane Data'!AK$3,List!$E$2:$CD$2,0)),"")</f>
        <v/>
      </c>
      <c r="AL39" s="13" t="str">
        <f>IF(AL$4="Yes",INDEX(List!$E$2:$CD$173,MATCH('Selection Pane Data'!$B39,List!$E$2:$E$173,0),MATCH('Selection Pane Data'!AL$3,List!$E$2:$CD$2,0)),"")</f>
        <v/>
      </c>
      <c r="AM39" s="13" t="str">
        <f>IF(AM$4="Yes",INDEX(List!$E$2:$CD$173,MATCH('Selection Pane Data'!$B39,List!$E$2:$E$173,0),MATCH('Selection Pane Data'!AM$3,List!$E$2:$CD$2,0)),"")</f>
        <v/>
      </c>
      <c r="AN39" s="13" t="str">
        <f>IF(AN$4="Yes",INDEX(List!$E$2:$CD$173,MATCH('Selection Pane Data'!$B39,List!$E$2:$E$173,0),MATCH('Selection Pane Data'!AN$3,List!$E$2:$CD$2,0)),"")</f>
        <v/>
      </c>
      <c r="AO39" s="13" t="str">
        <f>IF(AO$4="Yes",INDEX(List!$E$2:$CD$173,MATCH('Selection Pane Data'!$B39,List!$E$2:$E$173,0),MATCH('Selection Pane Data'!AO$3,List!$E$2:$CD$2,0)),"")</f>
        <v/>
      </c>
      <c r="AP39" s="13" t="str">
        <f>IF(AP$4="Yes",INDEX(List!$E$2:$CD$173,MATCH('Selection Pane Data'!$B39,List!$E$2:$E$173,0),MATCH('Selection Pane Data'!AP$3,List!$E$2:$CD$2,0)),"")</f>
        <v/>
      </c>
      <c r="AQ39" s="13" t="str">
        <f>IF(AQ$4="Yes",INDEX(List!$E$2:$CD$173,MATCH('Selection Pane Data'!$B39,List!$E$2:$E$173,0),MATCH('Selection Pane Data'!AQ$3,List!$E$2:$CD$2,0)),"")</f>
        <v/>
      </c>
      <c r="AR39" s="13" t="str">
        <f>IF(AR$4="Yes",INDEX(List!$E$2:$CD$173,MATCH('Selection Pane Data'!$B39,List!$E$2:$E$173,0),MATCH('Selection Pane Data'!AR$3,List!$E$2:$CD$2,0)),"")</f>
        <v/>
      </c>
      <c r="AS39" s="13" t="str">
        <f>IF(AS$4="Yes",INDEX(List!$E$2:$CD$173,MATCH('Selection Pane Data'!$B39,List!$E$2:$E$173,0),MATCH('Selection Pane Data'!AS$3,List!$E$2:$CD$2,0)),"")</f>
        <v/>
      </c>
      <c r="AT39" s="13" t="str">
        <f>IF(AT$4="Yes",INDEX(List!$E$2:$CD$173,MATCH('Selection Pane Data'!$B39,List!$E$2:$E$173,0),MATCH('Selection Pane Data'!AT$3,List!$E$2:$CD$2,0)),"")</f>
        <v/>
      </c>
      <c r="AU39" s="13" t="str">
        <f>IF(AU$4="Yes",INDEX(List!$E$2:$CD$173,MATCH('Selection Pane Data'!$B39,List!$E$2:$E$173,0),MATCH('Selection Pane Data'!AU$3,List!$E$2:$CD$2,0)),"")</f>
        <v/>
      </c>
      <c r="AV39" s="13" t="str">
        <f>IF(AV$4="Yes",INDEX(List!$E$2:$CD$173,MATCH('Selection Pane Data'!$B39,List!$E$2:$E$173,0),MATCH('Selection Pane Data'!AV$3,List!$E$2:$CD$2,0)),"")</f>
        <v/>
      </c>
      <c r="AW39" s="13" t="str">
        <f>IF(AW$4="Yes",INDEX(List!$E$2:$CD$173,MATCH('Selection Pane Data'!$B39,List!$E$2:$E$173,0),MATCH('Selection Pane Data'!AW$3,List!$E$2:$CD$2,0)),"")</f>
        <v/>
      </c>
      <c r="AX39" s="13" t="str">
        <f>IF(AX$4="Yes",INDEX(List!$E$2:$CD$173,MATCH('Selection Pane Data'!$B39,List!$E$2:$E$173,0),MATCH('Selection Pane Data'!AX$3,List!$E$2:$CD$2,0)),"")</f>
        <v/>
      </c>
      <c r="AY39" s="13" t="str">
        <f>IF(AY$4="Yes",INDEX(List!$E$2:$CD$173,MATCH('Selection Pane Data'!$B39,List!$E$2:$E$173,0),MATCH('Selection Pane Data'!AY$3,List!$E$2:$CD$2,0)),"")</f>
        <v/>
      </c>
      <c r="AZ39" s="13" t="str">
        <f>IF(AZ$4="Yes",INDEX(List!$E$2:$CD$173,MATCH('Selection Pane Data'!$B39,List!$E$2:$E$173,0),MATCH('Selection Pane Data'!AZ$3,List!$E$2:$CD$2,0)),"")</f>
        <v/>
      </c>
      <c r="BA39" s="13" t="str">
        <f>IF(BA$4="Yes",INDEX(List!$E$2:$CD$173,MATCH('Selection Pane Data'!$B39,List!$E$2:$E$173,0),MATCH('Selection Pane Data'!BA$3,List!$E$2:$CD$2,0)),"")</f>
        <v/>
      </c>
      <c r="BB39" s="13" t="str">
        <f>IF(BB$4="Yes",INDEX(List!$E$2:$CD$173,MATCH('Selection Pane Data'!$B39,List!$E$2:$E$173,0),MATCH('Selection Pane Data'!BB$3,List!$E$2:$CD$2,0)),"")</f>
        <v/>
      </c>
      <c r="BC39" s="13" t="str">
        <f>IF(BC$4="Yes",INDEX(List!$E$2:$CD$173,MATCH('Selection Pane Data'!$B39,List!$E$2:$E$173,0),MATCH('Selection Pane Data'!BC$3,List!$E$2:$CD$2,0)),"")</f>
        <v/>
      </c>
      <c r="BD39" s="13" t="str">
        <f>IF(BD$4="Yes",INDEX(List!$E$2:$CD$173,MATCH('Selection Pane Data'!$B39,List!$E$2:$E$173,0),MATCH('Selection Pane Data'!BD$3,List!$E$2:$CD$2,0)),"")</f>
        <v/>
      </c>
      <c r="BE39" s="13" t="str">
        <f>IF(BE$4="Yes",INDEX(List!$E$2:$CD$173,MATCH('Selection Pane Data'!$B39,List!$E$2:$E$173,0),MATCH('Selection Pane Data'!BE$3,List!$E$2:$CD$2,0)),"")</f>
        <v/>
      </c>
      <c r="BF39" s="13" t="str">
        <f>IF(BF$4="Yes",INDEX(List!$E$2:$CD$173,MATCH('Selection Pane Data'!$B39,List!$E$2:$E$173,0),MATCH('Selection Pane Data'!BF$3,List!$E$2:$CD$2,0)),"")</f>
        <v/>
      </c>
      <c r="BG39" s="13" t="str">
        <f>IF(BG$4="Yes",INDEX(List!$E$2:$CD$173,MATCH('Selection Pane Data'!$B39,List!$E$2:$E$173,0),MATCH('Selection Pane Data'!BG$3,List!$E$2:$CD$2,0)),"")</f>
        <v/>
      </c>
      <c r="BH39" s="13" t="str">
        <f>IF(BH$4="Yes",INDEX(List!$E$2:$CD$173,MATCH('Selection Pane Data'!$B39,List!$E$2:$E$173,0),MATCH('Selection Pane Data'!BH$3,List!$E$2:$CD$2,0)),"")</f>
        <v/>
      </c>
      <c r="BI39" s="13" t="str">
        <f>IF(BI$4="Yes",INDEX(List!$E$2:$CD$173,MATCH('Selection Pane Data'!$B39,List!$E$2:$E$173,0),MATCH('Selection Pane Data'!BI$3,List!$E$2:$CD$2,0)),"")</f>
        <v/>
      </c>
      <c r="BJ39" s="13" t="str">
        <f>IF(BJ$4="Yes",INDEX(List!$E$2:$CD$173,MATCH('Selection Pane Data'!$B39,List!$E$2:$E$173,0),MATCH('Selection Pane Data'!BJ$3,List!$E$2:$CD$2,0)),"")</f>
        <v/>
      </c>
      <c r="BK39" s="13" t="str">
        <f>IF(BK$4="Yes",INDEX(List!$E$2:$CD$173,MATCH('Selection Pane Data'!$B39,List!$E$2:$E$173,0),MATCH('Selection Pane Data'!BK$3,List!$E$2:$CD$2,0)),"")</f>
        <v/>
      </c>
      <c r="BL39" s="13" t="str">
        <f>IF(BL$4="Yes",INDEX(List!$E$2:$CD$173,MATCH('Selection Pane Data'!$B39,List!$E$2:$E$173,0),MATCH('Selection Pane Data'!BL$3,List!$E$2:$CD$2,0)),"")</f>
        <v/>
      </c>
      <c r="BM39" s="13" t="str">
        <f>IF(BM$4="Yes",INDEX(List!$E$2:$CD$173,MATCH('Selection Pane Data'!$B39,List!$E$2:$E$173,0),MATCH('Selection Pane Data'!BM$3,List!$E$2:$CD$2,0)),"")</f>
        <v/>
      </c>
      <c r="BN39" s="13" t="str">
        <f>IF(BN$4="Yes",INDEX(List!$E$2:$CD$173,MATCH('Selection Pane Data'!$B39,List!$E$2:$E$173,0),MATCH('Selection Pane Data'!BN$3,List!$E$2:$CD$2,0)),"")</f>
        <v/>
      </c>
      <c r="BO39" s="13" t="str">
        <f>IF(BO$4="Yes",INDEX(List!$E$2:$CD$173,MATCH('Selection Pane Data'!$B39,List!$E$2:$E$173,0),MATCH('Selection Pane Data'!BO$3,List!$E$2:$CD$2,0)),"")</f>
        <v/>
      </c>
      <c r="BP39" s="13" t="str">
        <f>IF(BP$4="Yes",INDEX(List!$E$2:$CD$173,MATCH('Selection Pane Data'!$B39,List!$E$2:$E$173,0),MATCH('Selection Pane Data'!BP$3,List!$E$2:$CD$2,0)),"")</f>
        <v/>
      </c>
      <c r="BQ39" s="13" t="str">
        <f>IF(BQ$4="Yes",INDEX(List!$E$2:$CD$173,MATCH('Selection Pane Data'!$B39,List!$E$2:$E$173,0),MATCH('Selection Pane Data'!BQ$3,List!$E$2:$CD$2,0)),"")</f>
        <v/>
      </c>
      <c r="BR39" s="13" t="str">
        <f>IF(BR$4="Yes",INDEX(List!$E$2:$CD$173,MATCH('Selection Pane Data'!$B39,List!$E$2:$E$173,0),MATCH('Selection Pane Data'!BR$3,List!$E$2:$CD$2,0)),"")</f>
        <v/>
      </c>
      <c r="BS39" s="13" t="str">
        <f>IF(BS$4="Yes",INDEX(List!$E$2:$CD$173,MATCH('Selection Pane Data'!$B39,List!$E$2:$E$173,0),MATCH('Selection Pane Data'!BS$3,List!$E$2:$CD$2,0)),"")</f>
        <v/>
      </c>
      <c r="BT39" s="13" t="str">
        <f>IF(BT$4="Yes",INDEX(List!$E$2:$CD$173,MATCH('Selection Pane Data'!$B39,List!$E$2:$E$173,0),MATCH('Selection Pane Data'!BT$3,List!$E$2:$CD$2,0)),"")</f>
        <v/>
      </c>
      <c r="BU39" s="13" t="str">
        <f>IF(BU$4="Yes",INDEX(List!$E$2:$CD$173,MATCH('Selection Pane Data'!$B39,List!$E$2:$E$173,0),MATCH('Selection Pane Data'!BU$3,List!$E$2:$CD$2,0)),"")</f>
        <v/>
      </c>
      <c r="BV39" s="13" t="str">
        <f>IF(BV$4="Yes",INDEX(List!$E$2:$CD$173,MATCH('Selection Pane Data'!$B39,List!$E$2:$E$173,0),MATCH('Selection Pane Data'!BV$3,List!$E$2:$CD$2,0)),"")</f>
        <v/>
      </c>
      <c r="BW39" s="13" t="str">
        <f>IF(BW$4="Yes",INDEX(List!$E$2:$CD$173,MATCH('Selection Pane Data'!$B39,List!$E$2:$E$173,0),MATCH('Selection Pane Data'!BW$3,List!$E$2:$CD$2,0)),"")</f>
        <v/>
      </c>
      <c r="BX39" s="13" t="str">
        <f>IF(BX$4="Yes",INDEX(List!$E$2:$CD$173,MATCH('Selection Pane Data'!$B39,List!$E$2:$E$173,0),MATCH('Selection Pane Data'!BX$3,List!$E$2:$CD$2,0)),"")</f>
        <v/>
      </c>
      <c r="BY39" s="13" t="str">
        <f>IF(BY$4="Yes",INDEX(List!$E$2:$CD$173,MATCH('Selection Pane Data'!$B39,List!$E$2:$E$173,0),MATCH('Selection Pane Data'!BY$3,List!$E$2:$CD$2,0)),"")</f>
        <v/>
      </c>
      <c r="BZ39" s="13" t="str">
        <f>IF(BZ$4="Yes",INDEX(List!$E$2:$CD$173,MATCH('Selection Pane Data'!$B39,List!$E$2:$E$173,0),MATCH('Selection Pane Data'!BZ$3,List!$E$2:$CD$2,0)),"")</f>
        <v/>
      </c>
      <c r="CA39" s="13" t="str">
        <f>IF(CA$4="Yes",INDEX(List!$E$2:$CD$173,MATCH('Selection Pane Data'!$B39,List!$E$2:$E$173,0),MATCH('Selection Pane Data'!CA$3,List!$E$2:$CD$2,0)),"")</f>
        <v/>
      </c>
      <c r="CB39" s="13" t="str">
        <f>IF(CB$4="Yes",INDEX(List!$E$2:$CD$173,MATCH('Selection Pane Data'!$B39,List!$E$2:$E$173,0),MATCH('Selection Pane Data'!CB$3,List!$E$2:$CD$2,0)),"")</f>
        <v/>
      </c>
      <c r="CC39" s="13" t="str">
        <f>IF(CC$4="Yes",INDEX(List!$E$2:$CD$173,MATCH('Selection Pane Data'!$B39,List!$E$2:$E$173,0),MATCH('Selection Pane Data'!CC$3,List!$E$2:$CD$2,0)),"")</f>
        <v/>
      </c>
      <c r="CD39" s="13" t="str">
        <f>IF(CD$4="Yes",INDEX(List!$E$2:$CD$173,MATCH('Selection Pane Data'!$B39,List!$E$2:$E$173,0),MATCH('Selection Pane Data'!CD$3,List!$E$2:$CD$2,0)),"")</f>
        <v/>
      </c>
      <c r="CE39" s="13" t="str">
        <f>IF(CE$4="Yes",INDEX(List!$E$2:$CD$173,MATCH('Selection Pane Data'!$B39,List!$E$2:$E$173,0),MATCH('Selection Pane Data'!CE$3,List!$E$2:$CD$2,0)),"")</f>
        <v/>
      </c>
    </row>
    <row r="40" spans="2:83" x14ac:dyDescent="0.35">
      <c r="B40" s="21" t="s">
        <v>327</v>
      </c>
      <c r="C40" s="126" t="str">
        <f>VLOOKUP(B40,List!$E$2:$G$173,2,FALSE)</f>
        <v>AU.L2-3.3.7</v>
      </c>
      <c r="D40" s="31" t="str">
        <f>List!G38</f>
        <v>Shared Coverage</v>
      </c>
      <c r="E40" s="31" t="str">
        <f>IF(Placemat!$F$4="All Practices","All Practices",IF(VLOOKUP(B40,Table7[#All],6,FALSE)="No Mapping","New CMMC Practices","Practices with NIST 800-171 Mappings"))</f>
        <v>Practices with NIST 800-171 Mappings</v>
      </c>
      <c r="F40" t="str">
        <f>INDEX('CMMC Levels'!$A$1:$F$172,MATCH('Selection Pane Data'!$C40,'CMMC Levels'!$A$1:$A$172,0),MATCH(Placemat!$F$4,'CMMC Levels'!$A$1:$F$1,0))</f>
        <v>X</v>
      </c>
      <c r="G40" s="77" t="str">
        <f>IF((COUNTIF(List!H38:CE38,"P")+COUNTIF(List!H38:CE38,"S"))=0,"N",IF(COUNTIF(H40:CE40,"P"),"P",IF(COUNTIF(H40:CE40,"S"),"S","U")))</f>
        <v>U</v>
      </c>
      <c r="H40" s="13" t="str">
        <f>IF(H$4="Yes",INDEX(List!$E$2:$CD$173,MATCH('Selection Pane Data'!$B40,List!$E$2:$E$173,0),MATCH('Selection Pane Data'!H$3,List!$E$2:$CD$2,0)),"")</f>
        <v/>
      </c>
      <c r="I40" s="13" t="str">
        <f>IF(I$4="Yes",INDEX(List!$E$2:$CD$173,MATCH('Selection Pane Data'!$B40,List!$E$2:$E$173,0),MATCH('Selection Pane Data'!I$3,List!$E$2:$CD$2,0)),"")</f>
        <v/>
      </c>
      <c r="J40" s="13" t="str">
        <f>IF(J$4="Yes",INDEX(List!$E$2:$CD$173,MATCH('Selection Pane Data'!$B40,List!$E$2:$E$173,0),MATCH('Selection Pane Data'!J$3,List!$E$2:$CD$2,0)),"")</f>
        <v>N</v>
      </c>
      <c r="K40" s="13" t="str">
        <f>IF(K$4="Yes",INDEX(List!$E$2:$CD$173,MATCH('Selection Pane Data'!$B40,List!$E$2:$E$173,0),MATCH('Selection Pane Data'!K$3,List!$E$2:$CD$2,0)),"")</f>
        <v/>
      </c>
      <c r="L40" s="13" t="str">
        <f>IF(L$4="Yes",INDEX(List!$E$2:$CD$173,MATCH('Selection Pane Data'!$B40,List!$E$2:$E$173,0),MATCH('Selection Pane Data'!L$3,List!$E$2:$CD$2,0)),"")</f>
        <v/>
      </c>
      <c r="M40" s="13" t="str">
        <f>IF(M$4="Yes",INDEX(List!$E$2:$CD$173,MATCH('Selection Pane Data'!$B40,List!$E$2:$E$173,0),MATCH('Selection Pane Data'!M$3,List!$E$2:$CD$2,0)),"")</f>
        <v/>
      </c>
      <c r="N40" s="13" t="str">
        <f>IF(N$4="Yes",INDEX(List!$E$2:$CD$173,MATCH('Selection Pane Data'!$B40,List!$E$2:$E$173,0),MATCH('Selection Pane Data'!N$3,List!$E$2:$CD$2,0)),"")</f>
        <v/>
      </c>
      <c r="O40" s="13" t="str">
        <f>IF(O$4="Yes",INDEX(List!$E$2:$CD$173,MATCH('Selection Pane Data'!$B40,List!$E$2:$E$173,0),MATCH('Selection Pane Data'!O$3,List!$E$2:$CD$2,0)),"")</f>
        <v/>
      </c>
      <c r="P40" s="13" t="str">
        <f>IF(P$4="Yes",INDEX(List!$E$2:$CD$173,MATCH('Selection Pane Data'!$B40,List!$E$2:$E$173,0),MATCH('Selection Pane Data'!P$3,List!$E$2:$CD$2,0)),"")</f>
        <v/>
      </c>
      <c r="Q40" s="13" t="str">
        <f>IF(Q$4="Yes",INDEX(List!$E$2:$CD$173,MATCH('Selection Pane Data'!$B40,List!$E$2:$E$173,0),MATCH('Selection Pane Data'!Q$3,List!$E$2:$CD$2,0)),"")</f>
        <v/>
      </c>
      <c r="R40" s="13" t="str">
        <f>IF(R$4="Yes",INDEX(List!$E$2:$CD$173,MATCH('Selection Pane Data'!$B40,List!$E$2:$E$173,0),MATCH('Selection Pane Data'!R$3,List!$E$2:$CD$2,0)),"")</f>
        <v/>
      </c>
      <c r="S40" s="13" t="str">
        <f>IF(S$4="Yes",INDEX(List!$E$2:$CD$173,MATCH('Selection Pane Data'!$B40,List!$E$2:$E$173,0),MATCH('Selection Pane Data'!S$3,List!$E$2:$CD$2,0)),"")</f>
        <v/>
      </c>
      <c r="T40" s="13" t="str">
        <f>IF(T$4="Yes",INDEX(List!$E$2:$CD$173,MATCH('Selection Pane Data'!$B40,List!$E$2:$E$173,0),MATCH('Selection Pane Data'!T$3,List!$E$2:$CD$2,0)),"")</f>
        <v/>
      </c>
      <c r="U40" s="13" t="str">
        <f>IF(U$4="Yes",INDEX(List!$E$2:$CD$173,MATCH('Selection Pane Data'!$B40,List!$E$2:$E$173,0),MATCH('Selection Pane Data'!U$3,List!$E$2:$CD$2,0)),"")</f>
        <v/>
      </c>
      <c r="V40" s="13" t="str">
        <f>IF(V$4="Yes",INDEX(List!$E$2:$CD$173,MATCH('Selection Pane Data'!$B40,List!$E$2:$E$173,0),MATCH('Selection Pane Data'!V$3,List!$E$2:$CD$2,0)),"")</f>
        <v/>
      </c>
      <c r="W40" s="13" t="str">
        <f>IF(W$4="Yes",INDEX(List!$E$2:$CD$173,MATCH('Selection Pane Data'!$B40,List!$E$2:$E$173,0),MATCH('Selection Pane Data'!W$3,List!$E$2:$CD$2,0)),"")</f>
        <v/>
      </c>
      <c r="X40" s="13" t="str">
        <f>IF(X$4="Yes",INDEX(List!$E$2:$CD$173,MATCH('Selection Pane Data'!$B40,List!$E$2:$E$173,0),MATCH('Selection Pane Data'!X$3,List!$E$2:$CD$2,0)),"")</f>
        <v/>
      </c>
      <c r="Y40" s="13" t="str">
        <f>IF(Y$4="Yes",INDEX(List!$E$2:$CD$173,MATCH('Selection Pane Data'!$B40,List!$E$2:$E$173,0),MATCH('Selection Pane Data'!Y$3,List!$E$2:$CD$2,0)),"")</f>
        <v/>
      </c>
      <c r="Z40" s="13" t="str">
        <f>IF(Z$4="Yes",INDEX(List!$E$2:$CD$173,MATCH('Selection Pane Data'!$B40,List!$E$2:$E$173,0),MATCH('Selection Pane Data'!Z$3,List!$E$2:$CD$2,0)),"")</f>
        <v/>
      </c>
      <c r="AA40" s="13" t="str">
        <f>IF(AA$4="Yes",INDEX(List!$E$2:$CD$173,MATCH('Selection Pane Data'!$B40,List!$E$2:$E$173,0),MATCH('Selection Pane Data'!AA$3,List!$E$2:$CD$2,0)),"")</f>
        <v>N</v>
      </c>
      <c r="AB40" s="13" t="str">
        <f>IF(AB$4="Yes",INDEX(List!$E$2:$CD$173,MATCH('Selection Pane Data'!$B40,List!$E$2:$E$173,0),MATCH('Selection Pane Data'!AB$3,List!$E$2:$CD$2,0)),"")</f>
        <v/>
      </c>
      <c r="AC40" s="13" t="str">
        <f>IF(AC$4="Yes",INDEX(List!$E$2:$CD$173,MATCH('Selection Pane Data'!$B40,List!$E$2:$E$173,0),MATCH('Selection Pane Data'!AC$3,List!$E$2:$CD$2,0)),"")</f>
        <v/>
      </c>
      <c r="AD40" s="13" t="str">
        <f>IF(AD$4="Yes",INDEX(List!$E$2:$CD$173,MATCH('Selection Pane Data'!$B40,List!$E$2:$E$173,0),MATCH('Selection Pane Data'!AD$3,List!$E$2:$CD$2,0)),"")</f>
        <v/>
      </c>
      <c r="AE40" s="13" t="str">
        <f>IF(AE$4="Yes",INDEX(List!$E$2:$CD$173,MATCH('Selection Pane Data'!$B40,List!$E$2:$E$173,0),MATCH('Selection Pane Data'!AE$3,List!$E$2:$CD$2,0)),"")</f>
        <v/>
      </c>
      <c r="AF40" s="13" t="str">
        <f>IF(AF$4="Yes",INDEX(List!$E$2:$CD$173,MATCH('Selection Pane Data'!$B40,List!$E$2:$E$173,0),MATCH('Selection Pane Data'!AF$3,List!$E$2:$CD$2,0)),"")</f>
        <v/>
      </c>
      <c r="AG40" s="13" t="str">
        <f>IF(AG$4="Yes",INDEX(List!$E$2:$CD$173,MATCH('Selection Pane Data'!$B40,List!$E$2:$E$173,0),MATCH('Selection Pane Data'!AG$3,List!$E$2:$CD$2,0)),"")</f>
        <v/>
      </c>
      <c r="AH40" s="13" t="str">
        <f>IF(AH$4="Yes",INDEX(List!$E$2:$CD$173,MATCH('Selection Pane Data'!$B40,List!$E$2:$E$173,0),MATCH('Selection Pane Data'!AH$3,List!$E$2:$CD$2,0)),"")</f>
        <v/>
      </c>
      <c r="AI40" s="13" t="str">
        <f>IF(AI$4="Yes",INDEX(List!$E$2:$CD$173,MATCH('Selection Pane Data'!$B40,List!$E$2:$E$173,0),MATCH('Selection Pane Data'!AI$3,List!$E$2:$CD$2,0)),"")</f>
        <v/>
      </c>
      <c r="AJ40" s="13" t="str">
        <f>IF(AJ$4="Yes",INDEX(List!$E$2:$CD$173,MATCH('Selection Pane Data'!$B40,List!$E$2:$E$173,0),MATCH('Selection Pane Data'!AJ$3,List!$E$2:$CD$2,0)),"")</f>
        <v/>
      </c>
      <c r="AK40" s="13" t="str">
        <f>IF(AK$4="Yes",INDEX(List!$E$2:$CD$173,MATCH('Selection Pane Data'!$B40,List!$E$2:$E$173,0),MATCH('Selection Pane Data'!AK$3,List!$E$2:$CD$2,0)),"")</f>
        <v/>
      </c>
      <c r="AL40" s="13" t="str">
        <f>IF(AL$4="Yes",INDEX(List!$E$2:$CD$173,MATCH('Selection Pane Data'!$B40,List!$E$2:$E$173,0),MATCH('Selection Pane Data'!AL$3,List!$E$2:$CD$2,0)),"")</f>
        <v/>
      </c>
      <c r="AM40" s="13" t="str">
        <f>IF(AM$4="Yes",INDEX(List!$E$2:$CD$173,MATCH('Selection Pane Data'!$B40,List!$E$2:$E$173,0),MATCH('Selection Pane Data'!AM$3,List!$E$2:$CD$2,0)),"")</f>
        <v/>
      </c>
      <c r="AN40" s="13" t="str">
        <f>IF(AN$4="Yes",INDEX(List!$E$2:$CD$173,MATCH('Selection Pane Data'!$B40,List!$E$2:$E$173,0),MATCH('Selection Pane Data'!AN$3,List!$E$2:$CD$2,0)),"")</f>
        <v/>
      </c>
      <c r="AO40" s="13" t="str">
        <f>IF(AO$4="Yes",INDEX(List!$E$2:$CD$173,MATCH('Selection Pane Data'!$B40,List!$E$2:$E$173,0),MATCH('Selection Pane Data'!AO$3,List!$E$2:$CD$2,0)),"")</f>
        <v/>
      </c>
      <c r="AP40" s="13" t="str">
        <f>IF(AP$4="Yes",INDEX(List!$E$2:$CD$173,MATCH('Selection Pane Data'!$B40,List!$E$2:$E$173,0),MATCH('Selection Pane Data'!AP$3,List!$E$2:$CD$2,0)),"")</f>
        <v/>
      </c>
      <c r="AQ40" s="13" t="str">
        <f>IF(AQ$4="Yes",INDEX(List!$E$2:$CD$173,MATCH('Selection Pane Data'!$B40,List!$E$2:$E$173,0),MATCH('Selection Pane Data'!AQ$3,List!$E$2:$CD$2,0)),"")</f>
        <v/>
      </c>
      <c r="AR40" s="13" t="str">
        <f>IF(AR$4="Yes",INDEX(List!$E$2:$CD$173,MATCH('Selection Pane Data'!$B40,List!$E$2:$E$173,0),MATCH('Selection Pane Data'!AR$3,List!$E$2:$CD$2,0)),"")</f>
        <v/>
      </c>
      <c r="AS40" s="13" t="str">
        <f>IF(AS$4="Yes",INDEX(List!$E$2:$CD$173,MATCH('Selection Pane Data'!$B40,List!$E$2:$E$173,0),MATCH('Selection Pane Data'!AS$3,List!$E$2:$CD$2,0)),"")</f>
        <v/>
      </c>
      <c r="AT40" s="13" t="str">
        <f>IF(AT$4="Yes",INDEX(List!$E$2:$CD$173,MATCH('Selection Pane Data'!$B40,List!$E$2:$E$173,0),MATCH('Selection Pane Data'!AT$3,List!$E$2:$CD$2,0)),"")</f>
        <v/>
      </c>
      <c r="AU40" s="13" t="str">
        <f>IF(AU$4="Yes",INDEX(List!$E$2:$CD$173,MATCH('Selection Pane Data'!$B40,List!$E$2:$E$173,0),MATCH('Selection Pane Data'!AU$3,List!$E$2:$CD$2,0)),"")</f>
        <v/>
      </c>
      <c r="AV40" s="13" t="str">
        <f>IF(AV$4="Yes",INDEX(List!$E$2:$CD$173,MATCH('Selection Pane Data'!$B40,List!$E$2:$E$173,0),MATCH('Selection Pane Data'!AV$3,List!$E$2:$CD$2,0)),"")</f>
        <v/>
      </c>
      <c r="AW40" s="13" t="str">
        <f>IF(AW$4="Yes",INDEX(List!$E$2:$CD$173,MATCH('Selection Pane Data'!$B40,List!$E$2:$E$173,0),MATCH('Selection Pane Data'!AW$3,List!$E$2:$CD$2,0)),"")</f>
        <v/>
      </c>
      <c r="AX40" s="13" t="str">
        <f>IF(AX$4="Yes",INDEX(List!$E$2:$CD$173,MATCH('Selection Pane Data'!$B40,List!$E$2:$E$173,0),MATCH('Selection Pane Data'!AX$3,List!$E$2:$CD$2,0)),"")</f>
        <v/>
      </c>
      <c r="AY40" s="13" t="str">
        <f>IF(AY$4="Yes",INDEX(List!$E$2:$CD$173,MATCH('Selection Pane Data'!$B40,List!$E$2:$E$173,0),MATCH('Selection Pane Data'!AY$3,List!$E$2:$CD$2,0)),"")</f>
        <v/>
      </c>
      <c r="AZ40" s="13" t="str">
        <f>IF(AZ$4="Yes",INDEX(List!$E$2:$CD$173,MATCH('Selection Pane Data'!$B40,List!$E$2:$E$173,0),MATCH('Selection Pane Data'!AZ$3,List!$E$2:$CD$2,0)),"")</f>
        <v/>
      </c>
      <c r="BA40" s="13" t="str">
        <f>IF(BA$4="Yes",INDEX(List!$E$2:$CD$173,MATCH('Selection Pane Data'!$B40,List!$E$2:$E$173,0),MATCH('Selection Pane Data'!BA$3,List!$E$2:$CD$2,0)),"")</f>
        <v/>
      </c>
      <c r="BB40" s="13" t="str">
        <f>IF(BB$4="Yes",INDEX(List!$E$2:$CD$173,MATCH('Selection Pane Data'!$B40,List!$E$2:$E$173,0),MATCH('Selection Pane Data'!BB$3,List!$E$2:$CD$2,0)),"")</f>
        <v/>
      </c>
      <c r="BC40" s="13" t="str">
        <f>IF(BC$4="Yes",INDEX(List!$E$2:$CD$173,MATCH('Selection Pane Data'!$B40,List!$E$2:$E$173,0),MATCH('Selection Pane Data'!BC$3,List!$E$2:$CD$2,0)),"")</f>
        <v/>
      </c>
      <c r="BD40" s="13" t="str">
        <f>IF(BD$4="Yes",INDEX(List!$E$2:$CD$173,MATCH('Selection Pane Data'!$B40,List!$E$2:$E$173,0),MATCH('Selection Pane Data'!BD$3,List!$E$2:$CD$2,0)),"")</f>
        <v/>
      </c>
      <c r="BE40" s="13" t="str">
        <f>IF(BE$4="Yes",INDEX(List!$E$2:$CD$173,MATCH('Selection Pane Data'!$B40,List!$E$2:$E$173,0),MATCH('Selection Pane Data'!BE$3,List!$E$2:$CD$2,0)),"")</f>
        <v/>
      </c>
      <c r="BF40" s="13" t="str">
        <f>IF(BF$4="Yes",INDEX(List!$E$2:$CD$173,MATCH('Selection Pane Data'!$B40,List!$E$2:$E$173,0),MATCH('Selection Pane Data'!BF$3,List!$E$2:$CD$2,0)),"")</f>
        <v/>
      </c>
      <c r="BG40" s="13" t="str">
        <f>IF(BG$4="Yes",INDEX(List!$E$2:$CD$173,MATCH('Selection Pane Data'!$B40,List!$E$2:$E$173,0),MATCH('Selection Pane Data'!BG$3,List!$E$2:$CD$2,0)),"")</f>
        <v/>
      </c>
      <c r="BH40" s="13" t="str">
        <f>IF(BH$4="Yes",INDEX(List!$E$2:$CD$173,MATCH('Selection Pane Data'!$B40,List!$E$2:$E$173,0),MATCH('Selection Pane Data'!BH$3,List!$E$2:$CD$2,0)),"")</f>
        <v/>
      </c>
      <c r="BI40" s="13" t="str">
        <f>IF(BI$4="Yes",INDEX(List!$E$2:$CD$173,MATCH('Selection Pane Data'!$B40,List!$E$2:$E$173,0),MATCH('Selection Pane Data'!BI$3,List!$E$2:$CD$2,0)),"")</f>
        <v/>
      </c>
      <c r="BJ40" s="13" t="str">
        <f>IF(BJ$4="Yes",INDEX(List!$E$2:$CD$173,MATCH('Selection Pane Data'!$B40,List!$E$2:$E$173,0),MATCH('Selection Pane Data'!BJ$3,List!$E$2:$CD$2,0)),"")</f>
        <v/>
      </c>
      <c r="BK40" s="13" t="str">
        <f>IF(BK$4="Yes",INDEX(List!$E$2:$CD$173,MATCH('Selection Pane Data'!$B40,List!$E$2:$E$173,0),MATCH('Selection Pane Data'!BK$3,List!$E$2:$CD$2,0)),"")</f>
        <v/>
      </c>
      <c r="BL40" s="13" t="str">
        <f>IF(BL$4="Yes",INDEX(List!$E$2:$CD$173,MATCH('Selection Pane Data'!$B40,List!$E$2:$E$173,0),MATCH('Selection Pane Data'!BL$3,List!$E$2:$CD$2,0)),"")</f>
        <v/>
      </c>
      <c r="BM40" s="13" t="str">
        <f>IF(BM$4="Yes",INDEX(List!$E$2:$CD$173,MATCH('Selection Pane Data'!$B40,List!$E$2:$E$173,0),MATCH('Selection Pane Data'!BM$3,List!$E$2:$CD$2,0)),"")</f>
        <v/>
      </c>
      <c r="BN40" s="13" t="str">
        <f>IF(BN$4="Yes",INDEX(List!$E$2:$CD$173,MATCH('Selection Pane Data'!$B40,List!$E$2:$E$173,0),MATCH('Selection Pane Data'!BN$3,List!$E$2:$CD$2,0)),"")</f>
        <v/>
      </c>
      <c r="BO40" s="13" t="str">
        <f>IF(BO$4="Yes",INDEX(List!$E$2:$CD$173,MATCH('Selection Pane Data'!$B40,List!$E$2:$E$173,0),MATCH('Selection Pane Data'!BO$3,List!$E$2:$CD$2,0)),"")</f>
        <v/>
      </c>
      <c r="BP40" s="13" t="str">
        <f>IF(BP$4="Yes",INDEX(List!$E$2:$CD$173,MATCH('Selection Pane Data'!$B40,List!$E$2:$E$173,0),MATCH('Selection Pane Data'!BP$3,List!$E$2:$CD$2,0)),"")</f>
        <v/>
      </c>
      <c r="BQ40" s="13" t="str">
        <f>IF(BQ$4="Yes",INDEX(List!$E$2:$CD$173,MATCH('Selection Pane Data'!$B40,List!$E$2:$E$173,0),MATCH('Selection Pane Data'!BQ$3,List!$E$2:$CD$2,0)),"")</f>
        <v/>
      </c>
      <c r="BR40" s="13" t="str">
        <f>IF(BR$4="Yes",INDEX(List!$E$2:$CD$173,MATCH('Selection Pane Data'!$B40,List!$E$2:$E$173,0),MATCH('Selection Pane Data'!BR$3,List!$E$2:$CD$2,0)),"")</f>
        <v/>
      </c>
      <c r="BS40" s="13" t="str">
        <f>IF(BS$4="Yes",INDEX(List!$E$2:$CD$173,MATCH('Selection Pane Data'!$B40,List!$E$2:$E$173,0),MATCH('Selection Pane Data'!BS$3,List!$E$2:$CD$2,0)),"")</f>
        <v/>
      </c>
      <c r="BT40" s="13" t="str">
        <f>IF(BT$4="Yes",INDEX(List!$E$2:$CD$173,MATCH('Selection Pane Data'!$B40,List!$E$2:$E$173,0),MATCH('Selection Pane Data'!BT$3,List!$E$2:$CD$2,0)),"")</f>
        <v/>
      </c>
      <c r="BU40" s="13" t="str">
        <f>IF(BU$4="Yes",INDEX(List!$E$2:$CD$173,MATCH('Selection Pane Data'!$B40,List!$E$2:$E$173,0),MATCH('Selection Pane Data'!BU$3,List!$E$2:$CD$2,0)),"")</f>
        <v/>
      </c>
      <c r="BV40" s="13" t="str">
        <f>IF(BV$4="Yes",INDEX(List!$E$2:$CD$173,MATCH('Selection Pane Data'!$B40,List!$E$2:$E$173,0),MATCH('Selection Pane Data'!BV$3,List!$E$2:$CD$2,0)),"")</f>
        <v/>
      </c>
      <c r="BW40" s="13" t="str">
        <f>IF(BW$4="Yes",INDEX(List!$E$2:$CD$173,MATCH('Selection Pane Data'!$B40,List!$E$2:$E$173,0),MATCH('Selection Pane Data'!BW$3,List!$E$2:$CD$2,0)),"")</f>
        <v/>
      </c>
      <c r="BX40" s="13" t="str">
        <f>IF(BX$4="Yes",INDEX(List!$E$2:$CD$173,MATCH('Selection Pane Data'!$B40,List!$E$2:$E$173,0),MATCH('Selection Pane Data'!BX$3,List!$E$2:$CD$2,0)),"")</f>
        <v/>
      </c>
      <c r="BY40" s="13" t="str">
        <f>IF(BY$4="Yes",INDEX(List!$E$2:$CD$173,MATCH('Selection Pane Data'!$B40,List!$E$2:$E$173,0),MATCH('Selection Pane Data'!BY$3,List!$E$2:$CD$2,0)),"")</f>
        <v/>
      </c>
      <c r="BZ40" s="13" t="str">
        <f>IF(BZ$4="Yes",INDEX(List!$E$2:$CD$173,MATCH('Selection Pane Data'!$B40,List!$E$2:$E$173,0),MATCH('Selection Pane Data'!BZ$3,List!$E$2:$CD$2,0)),"")</f>
        <v/>
      </c>
      <c r="CA40" s="13" t="str">
        <f>IF(CA$4="Yes",INDEX(List!$E$2:$CD$173,MATCH('Selection Pane Data'!$B40,List!$E$2:$E$173,0),MATCH('Selection Pane Data'!CA$3,List!$E$2:$CD$2,0)),"")</f>
        <v/>
      </c>
      <c r="CB40" s="13" t="str">
        <f>IF(CB$4="Yes",INDEX(List!$E$2:$CD$173,MATCH('Selection Pane Data'!$B40,List!$E$2:$E$173,0),MATCH('Selection Pane Data'!CB$3,List!$E$2:$CD$2,0)),"")</f>
        <v/>
      </c>
      <c r="CC40" s="13" t="str">
        <f>IF(CC$4="Yes",INDEX(List!$E$2:$CD$173,MATCH('Selection Pane Data'!$B40,List!$E$2:$E$173,0),MATCH('Selection Pane Data'!CC$3,List!$E$2:$CD$2,0)),"")</f>
        <v/>
      </c>
      <c r="CD40" s="13" t="str">
        <f>IF(CD$4="Yes",INDEX(List!$E$2:$CD$173,MATCH('Selection Pane Data'!$B40,List!$E$2:$E$173,0),MATCH('Selection Pane Data'!CD$3,List!$E$2:$CD$2,0)),"")</f>
        <v/>
      </c>
      <c r="CE40" s="13" t="str">
        <f>IF(CE$4="Yes",INDEX(List!$E$2:$CD$173,MATCH('Selection Pane Data'!$B40,List!$E$2:$E$173,0),MATCH('Selection Pane Data'!CE$3,List!$E$2:$CD$2,0)),"")</f>
        <v/>
      </c>
    </row>
    <row r="41" spans="2:83" x14ac:dyDescent="0.35">
      <c r="B41" s="21" t="s">
        <v>328</v>
      </c>
      <c r="C41" s="126" t="str">
        <f>VLOOKUP(B41,List!$E$2:$G$173,2,FALSE)</f>
        <v>N/A</v>
      </c>
      <c r="D41" s="31" t="str">
        <f>List!G39</f>
        <v>Customer Responsibility</v>
      </c>
      <c r="E41" s="31" t="str">
        <f>IF(Placemat!$F$4="All Practices","All Practices",IF(VLOOKUP(B41,Table7[#All],6,FALSE)="No Mapping","New CMMC Practices","Practices with NIST 800-171 Mappings"))</f>
        <v>Practices with NIST 800-171 Mappings</v>
      </c>
      <c r="F41" t="str">
        <f>INDEX('CMMC Levels'!$A$1:$F$172,MATCH('Selection Pane Data'!$C41,'CMMC Levels'!$A$1:$A$172,0),MATCH(Placemat!$F$4,'CMMC Levels'!$A$1:$F$1,0))</f>
        <v>N/A</v>
      </c>
      <c r="G41" s="77" t="str">
        <f>IF((COUNTIF(List!H39:CE39,"P")+COUNTIF(List!H39:CE39,"S"))=0,"N",IF(COUNTIF(H41:CE41,"P"),"P",IF(COUNTIF(H41:CE41,"S"),"S","U")))</f>
        <v>N</v>
      </c>
      <c r="H41" s="13" t="str">
        <f>IF(H$4="Yes",INDEX(List!$E$2:$CD$173,MATCH('Selection Pane Data'!$B41,List!$E$2:$E$173,0),MATCH('Selection Pane Data'!H$3,List!$E$2:$CD$2,0)),"")</f>
        <v/>
      </c>
      <c r="I41" s="13" t="str">
        <f>IF(I$4="Yes",INDEX(List!$E$2:$CD$173,MATCH('Selection Pane Data'!$B41,List!$E$2:$E$173,0),MATCH('Selection Pane Data'!I$3,List!$E$2:$CD$2,0)),"")</f>
        <v/>
      </c>
      <c r="J41" s="13" t="e">
        <f>IF(J$4="Yes",INDEX(List!$E$2:$CD$173,MATCH('Selection Pane Data'!$B41,List!$E$2:$E$173,0),MATCH('Selection Pane Data'!J$3,List!$E$2:$CD$2,0)),"")</f>
        <v>#N/A</v>
      </c>
      <c r="K41" s="13" t="str">
        <f>IF(K$4="Yes",INDEX(List!$E$2:$CD$173,MATCH('Selection Pane Data'!$B41,List!$E$2:$E$173,0),MATCH('Selection Pane Data'!K$3,List!$E$2:$CD$2,0)),"")</f>
        <v/>
      </c>
      <c r="L41" s="13" t="str">
        <f>IF(L$4="Yes",INDEX(List!$E$2:$CD$173,MATCH('Selection Pane Data'!$B41,List!$E$2:$E$173,0),MATCH('Selection Pane Data'!L$3,List!$E$2:$CD$2,0)),"")</f>
        <v/>
      </c>
      <c r="M41" s="13" t="str">
        <f>IF(M$4="Yes",INDEX(List!$E$2:$CD$173,MATCH('Selection Pane Data'!$B41,List!$E$2:$E$173,0),MATCH('Selection Pane Data'!M$3,List!$E$2:$CD$2,0)),"")</f>
        <v/>
      </c>
      <c r="N41" s="13" t="str">
        <f>IF(N$4="Yes",INDEX(List!$E$2:$CD$173,MATCH('Selection Pane Data'!$B41,List!$E$2:$E$173,0),MATCH('Selection Pane Data'!N$3,List!$E$2:$CD$2,0)),"")</f>
        <v/>
      </c>
      <c r="O41" s="13" t="str">
        <f>IF(O$4="Yes",INDEX(List!$E$2:$CD$173,MATCH('Selection Pane Data'!$B41,List!$E$2:$E$173,0),MATCH('Selection Pane Data'!O$3,List!$E$2:$CD$2,0)),"")</f>
        <v/>
      </c>
      <c r="P41" s="13" t="str">
        <f>IF(P$4="Yes",INDEX(List!$E$2:$CD$173,MATCH('Selection Pane Data'!$B41,List!$E$2:$E$173,0),MATCH('Selection Pane Data'!P$3,List!$E$2:$CD$2,0)),"")</f>
        <v/>
      </c>
      <c r="Q41" s="13" t="str">
        <f>IF(Q$4="Yes",INDEX(List!$E$2:$CD$173,MATCH('Selection Pane Data'!$B41,List!$E$2:$E$173,0),MATCH('Selection Pane Data'!Q$3,List!$E$2:$CD$2,0)),"")</f>
        <v/>
      </c>
      <c r="R41" s="13" t="str">
        <f>IF(R$4="Yes",INDEX(List!$E$2:$CD$173,MATCH('Selection Pane Data'!$B41,List!$E$2:$E$173,0),MATCH('Selection Pane Data'!R$3,List!$E$2:$CD$2,0)),"")</f>
        <v/>
      </c>
      <c r="S41" s="13" t="str">
        <f>IF(S$4="Yes",INDEX(List!$E$2:$CD$173,MATCH('Selection Pane Data'!$B41,List!$E$2:$E$173,0),MATCH('Selection Pane Data'!S$3,List!$E$2:$CD$2,0)),"")</f>
        <v/>
      </c>
      <c r="T41" s="13" t="str">
        <f>IF(T$4="Yes",INDEX(List!$E$2:$CD$173,MATCH('Selection Pane Data'!$B41,List!$E$2:$E$173,0),MATCH('Selection Pane Data'!T$3,List!$E$2:$CD$2,0)),"")</f>
        <v/>
      </c>
      <c r="U41" s="13" t="str">
        <f>IF(U$4="Yes",INDEX(List!$E$2:$CD$173,MATCH('Selection Pane Data'!$B41,List!$E$2:$E$173,0),MATCH('Selection Pane Data'!U$3,List!$E$2:$CD$2,0)),"")</f>
        <v/>
      </c>
      <c r="V41" s="13" t="str">
        <f>IF(V$4="Yes",INDEX(List!$E$2:$CD$173,MATCH('Selection Pane Data'!$B41,List!$E$2:$E$173,0),MATCH('Selection Pane Data'!V$3,List!$E$2:$CD$2,0)),"")</f>
        <v/>
      </c>
      <c r="W41" s="13" t="str">
        <f>IF(W$4="Yes",INDEX(List!$E$2:$CD$173,MATCH('Selection Pane Data'!$B41,List!$E$2:$E$173,0),MATCH('Selection Pane Data'!W$3,List!$E$2:$CD$2,0)),"")</f>
        <v/>
      </c>
      <c r="X41" s="13" t="str">
        <f>IF(X$4="Yes",INDEX(List!$E$2:$CD$173,MATCH('Selection Pane Data'!$B41,List!$E$2:$E$173,0),MATCH('Selection Pane Data'!X$3,List!$E$2:$CD$2,0)),"")</f>
        <v/>
      </c>
      <c r="Y41" s="13" t="str">
        <f>IF(Y$4="Yes",INDEX(List!$E$2:$CD$173,MATCH('Selection Pane Data'!$B41,List!$E$2:$E$173,0),MATCH('Selection Pane Data'!Y$3,List!$E$2:$CD$2,0)),"")</f>
        <v/>
      </c>
      <c r="Z41" s="13" t="str">
        <f>IF(Z$4="Yes",INDEX(List!$E$2:$CD$173,MATCH('Selection Pane Data'!$B41,List!$E$2:$E$173,0),MATCH('Selection Pane Data'!Z$3,List!$E$2:$CD$2,0)),"")</f>
        <v/>
      </c>
      <c r="AA41" s="13" t="e">
        <f>IF(AA$4="Yes",INDEX(List!$E$2:$CD$173,MATCH('Selection Pane Data'!$B41,List!$E$2:$E$173,0),MATCH('Selection Pane Data'!AA$3,List!$E$2:$CD$2,0)),"")</f>
        <v>#N/A</v>
      </c>
      <c r="AB41" s="13" t="str">
        <f>IF(AB$4="Yes",INDEX(List!$E$2:$CD$173,MATCH('Selection Pane Data'!$B41,List!$E$2:$E$173,0),MATCH('Selection Pane Data'!AB$3,List!$E$2:$CD$2,0)),"")</f>
        <v/>
      </c>
      <c r="AC41" s="13" t="str">
        <f>IF(AC$4="Yes",INDEX(List!$E$2:$CD$173,MATCH('Selection Pane Data'!$B41,List!$E$2:$E$173,0),MATCH('Selection Pane Data'!AC$3,List!$E$2:$CD$2,0)),"")</f>
        <v/>
      </c>
      <c r="AD41" s="13" t="str">
        <f>IF(AD$4="Yes",INDEX(List!$E$2:$CD$173,MATCH('Selection Pane Data'!$B41,List!$E$2:$E$173,0),MATCH('Selection Pane Data'!AD$3,List!$E$2:$CD$2,0)),"")</f>
        <v/>
      </c>
      <c r="AE41" s="13" t="str">
        <f>IF(AE$4="Yes",INDEX(List!$E$2:$CD$173,MATCH('Selection Pane Data'!$B41,List!$E$2:$E$173,0),MATCH('Selection Pane Data'!AE$3,List!$E$2:$CD$2,0)),"")</f>
        <v/>
      </c>
      <c r="AF41" s="13" t="str">
        <f>IF(AF$4="Yes",INDEX(List!$E$2:$CD$173,MATCH('Selection Pane Data'!$B41,List!$E$2:$E$173,0),MATCH('Selection Pane Data'!AF$3,List!$E$2:$CD$2,0)),"")</f>
        <v/>
      </c>
      <c r="AG41" s="13" t="str">
        <f>IF(AG$4="Yes",INDEX(List!$E$2:$CD$173,MATCH('Selection Pane Data'!$B41,List!$E$2:$E$173,0),MATCH('Selection Pane Data'!AG$3,List!$E$2:$CD$2,0)),"")</f>
        <v/>
      </c>
      <c r="AH41" s="13" t="str">
        <f>IF(AH$4="Yes",INDEX(List!$E$2:$CD$173,MATCH('Selection Pane Data'!$B41,List!$E$2:$E$173,0),MATCH('Selection Pane Data'!AH$3,List!$E$2:$CD$2,0)),"")</f>
        <v/>
      </c>
      <c r="AI41" s="13" t="str">
        <f>IF(AI$4="Yes",INDEX(List!$E$2:$CD$173,MATCH('Selection Pane Data'!$B41,List!$E$2:$E$173,0),MATCH('Selection Pane Data'!AI$3,List!$E$2:$CD$2,0)),"")</f>
        <v/>
      </c>
      <c r="AJ41" s="13" t="str">
        <f>IF(AJ$4="Yes",INDEX(List!$E$2:$CD$173,MATCH('Selection Pane Data'!$B41,List!$E$2:$E$173,0),MATCH('Selection Pane Data'!AJ$3,List!$E$2:$CD$2,0)),"")</f>
        <v/>
      </c>
      <c r="AK41" s="13" t="str">
        <f>IF(AK$4="Yes",INDEX(List!$E$2:$CD$173,MATCH('Selection Pane Data'!$B41,List!$E$2:$E$173,0),MATCH('Selection Pane Data'!AK$3,List!$E$2:$CD$2,0)),"")</f>
        <v/>
      </c>
      <c r="AL41" s="13" t="str">
        <f>IF(AL$4="Yes",INDEX(List!$E$2:$CD$173,MATCH('Selection Pane Data'!$B41,List!$E$2:$E$173,0),MATCH('Selection Pane Data'!AL$3,List!$E$2:$CD$2,0)),"")</f>
        <v/>
      </c>
      <c r="AM41" s="13" t="str">
        <f>IF(AM$4="Yes",INDEX(List!$E$2:$CD$173,MATCH('Selection Pane Data'!$B41,List!$E$2:$E$173,0),MATCH('Selection Pane Data'!AM$3,List!$E$2:$CD$2,0)),"")</f>
        <v/>
      </c>
      <c r="AN41" s="13" t="str">
        <f>IF(AN$4="Yes",INDEX(List!$E$2:$CD$173,MATCH('Selection Pane Data'!$B41,List!$E$2:$E$173,0),MATCH('Selection Pane Data'!AN$3,List!$E$2:$CD$2,0)),"")</f>
        <v/>
      </c>
      <c r="AO41" s="13" t="str">
        <f>IF(AO$4="Yes",INDEX(List!$E$2:$CD$173,MATCH('Selection Pane Data'!$B41,List!$E$2:$E$173,0),MATCH('Selection Pane Data'!AO$3,List!$E$2:$CD$2,0)),"")</f>
        <v/>
      </c>
      <c r="AP41" s="13" t="str">
        <f>IF(AP$4="Yes",INDEX(List!$E$2:$CD$173,MATCH('Selection Pane Data'!$B41,List!$E$2:$E$173,0),MATCH('Selection Pane Data'!AP$3,List!$E$2:$CD$2,0)),"")</f>
        <v/>
      </c>
      <c r="AQ41" s="13" t="str">
        <f>IF(AQ$4="Yes",INDEX(List!$E$2:$CD$173,MATCH('Selection Pane Data'!$B41,List!$E$2:$E$173,0),MATCH('Selection Pane Data'!AQ$3,List!$E$2:$CD$2,0)),"")</f>
        <v/>
      </c>
      <c r="AR41" s="13" t="str">
        <f>IF(AR$4="Yes",INDEX(List!$E$2:$CD$173,MATCH('Selection Pane Data'!$B41,List!$E$2:$E$173,0),MATCH('Selection Pane Data'!AR$3,List!$E$2:$CD$2,0)),"")</f>
        <v/>
      </c>
      <c r="AS41" s="13" t="str">
        <f>IF(AS$4="Yes",INDEX(List!$E$2:$CD$173,MATCH('Selection Pane Data'!$B41,List!$E$2:$E$173,0),MATCH('Selection Pane Data'!AS$3,List!$E$2:$CD$2,0)),"")</f>
        <v/>
      </c>
      <c r="AT41" s="13" t="str">
        <f>IF(AT$4="Yes",INDEX(List!$E$2:$CD$173,MATCH('Selection Pane Data'!$B41,List!$E$2:$E$173,0),MATCH('Selection Pane Data'!AT$3,List!$E$2:$CD$2,0)),"")</f>
        <v/>
      </c>
      <c r="AU41" s="13" t="str">
        <f>IF(AU$4="Yes",INDEX(List!$E$2:$CD$173,MATCH('Selection Pane Data'!$B41,List!$E$2:$E$173,0),MATCH('Selection Pane Data'!AU$3,List!$E$2:$CD$2,0)),"")</f>
        <v/>
      </c>
      <c r="AV41" s="13" t="str">
        <f>IF(AV$4="Yes",INDEX(List!$E$2:$CD$173,MATCH('Selection Pane Data'!$B41,List!$E$2:$E$173,0),MATCH('Selection Pane Data'!AV$3,List!$E$2:$CD$2,0)),"")</f>
        <v/>
      </c>
      <c r="AW41" s="13" t="str">
        <f>IF(AW$4="Yes",INDEX(List!$E$2:$CD$173,MATCH('Selection Pane Data'!$B41,List!$E$2:$E$173,0),MATCH('Selection Pane Data'!AW$3,List!$E$2:$CD$2,0)),"")</f>
        <v/>
      </c>
      <c r="AX41" s="13" t="str">
        <f>IF(AX$4="Yes",INDEX(List!$E$2:$CD$173,MATCH('Selection Pane Data'!$B41,List!$E$2:$E$173,0),MATCH('Selection Pane Data'!AX$3,List!$E$2:$CD$2,0)),"")</f>
        <v/>
      </c>
      <c r="AY41" s="13" t="str">
        <f>IF(AY$4="Yes",INDEX(List!$E$2:$CD$173,MATCH('Selection Pane Data'!$B41,List!$E$2:$E$173,0),MATCH('Selection Pane Data'!AY$3,List!$E$2:$CD$2,0)),"")</f>
        <v/>
      </c>
      <c r="AZ41" s="13" t="str">
        <f>IF(AZ$4="Yes",INDEX(List!$E$2:$CD$173,MATCH('Selection Pane Data'!$B41,List!$E$2:$E$173,0),MATCH('Selection Pane Data'!AZ$3,List!$E$2:$CD$2,0)),"")</f>
        <v/>
      </c>
      <c r="BA41" s="13" t="str">
        <f>IF(BA$4="Yes",INDEX(List!$E$2:$CD$173,MATCH('Selection Pane Data'!$B41,List!$E$2:$E$173,0),MATCH('Selection Pane Data'!BA$3,List!$E$2:$CD$2,0)),"")</f>
        <v/>
      </c>
      <c r="BB41" s="13" t="str">
        <f>IF(BB$4="Yes",INDEX(List!$E$2:$CD$173,MATCH('Selection Pane Data'!$B41,List!$E$2:$E$173,0),MATCH('Selection Pane Data'!BB$3,List!$E$2:$CD$2,0)),"")</f>
        <v/>
      </c>
      <c r="BC41" s="13" t="str">
        <f>IF(BC$4="Yes",INDEX(List!$E$2:$CD$173,MATCH('Selection Pane Data'!$B41,List!$E$2:$E$173,0),MATCH('Selection Pane Data'!BC$3,List!$E$2:$CD$2,0)),"")</f>
        <v/>
      </c>
      <c r="BD41" s="13" t="str">
        <f>IF(BD$4="Yes",INDEX(List!$E$2:$CD$173,MATCH('Selection Pane Data'!$B41,List!$E$2:$E$173,0),MATCH('Selection Pane Data'!BD$3,List!$E$2:$CD$2,0)),"")</f>
        <v/>
      </c>
      <c r="BE41" s="13" t="str">
        <f>IF(BE$4="Yes",INDEX(List!$E$2:$CD$173,MATCH('Selection Pane Data'!$B41,List!$E$2:$E$173,0),MATCH('Selection Pane Data'!BE$3,List!$E$2:$CD$2,0)),"")</f>
        <v/>
      </c>
      <c r="BF41" s="13" t="str">
        <f>IF(BF$4="Yes",INDEX(List!$E$2:$CD$173,MATCH('Selection Pane Data'!$B41,List!$E$2:$E$173,0),MATCH('Selection Pane Data'!BF$3,List!$E$2:$CD$2,0)),"")</f>
        <v/>
      </c>
      <c r="BG41" s="13" t="str">
        <f>IF(BG$4="Yes",INDEX(List!$E$2:$CD$173,MATCH('Selection Pane Data'!$B41,List!$E$2:$E$173,0),MATCH('Selection Pane Data'!BG$3,List!$E$2:$CD$2,0)),"")</f>
        <v/>
      </c>
      <c r="BH41" s="13" t="str">
        <f>IF(BH$4="Yes",INDEX(List!$E$2:$CD$173,MATCH('Selection Pane Data'!$B41,List!$E$2:$E$173,0),MATCH('Selection Pane Data'!BH$3,List!$E$2:$CD$2,0)),"")</f>
        <v/>
      </c>
      <c r="BI41" s="13" t="str">
        <f>IF(BI$4="Yes",INDEX(List!$E$2:$CD$173,MATCH('Selection Pane Data'!$B41,List!$E$2:$E$173,0),MATCH('Selection Pane Data'!BI$3,List!$E$2:$CD$2,0)),"")</f>
        <v/>
      </c>
      <c r="BJ41" s="13" t="str">
        <f>IF(BJ$4="Yes",INDEX(List!$E$2:$CD$173,MATCH('Selection Pane Data'!$B41,List!$E$2:$E$173,0),MATCH('Selection Pane Data'!BJ$3,List!$E$2:$CD$2,0)),"")</f>
        <v/>
      </c>
      <c r="BK41" s="13" t="str">
        <f>IF(BK$4="Yes",INDEX(List!$E$2:$CD$173,MATCH('Selection Pane Data'!$B41,List!$E$2:$E$173,0),MATCH('Selection Pane Data'!BK$3,List!$E$2:$CD$2,0)),"")</f>
        <v/>
      </c>
      <c r="BL41" s="13" t="str">
        <f>IF(BL$4="Yes",INDEX(List!$E$2:$CD$173,MATCH('Selection Pane Data'!$B41,List!$E$2:$E$173,0),MATCH('Selection Pane Data'!BL$3,List!$E$2:$CD$2,0)),"")</f>
        <v/>
      </c>
      <c r="BM41" s="13" t="str">
        <f>IF(BM$4="Yes",INDEX(List!$E$2:$CD$173,MATCH('Selection Pane Data'!$B41,List!$E$2:$E$173,0),MATCH('Selection Pane Data'!BM$3,List!$E$2:$CD$2,0)),"")</f>
        <v/>
      </c>
      <c r="BN41" s="13" t="str">
        <f>IF(BN$4="Yes",INDEX(List!$E$2:$CD$173,MATCH('Selection Pane Data'!$B41,List!$E$2:$E$173,0),MATCH('Selection Pane Data'!BN$3,List!$E$2:$CD$2,0)),"")</f>
        <v/>
      </c>
      <c r="BO41" s="13" t="str">
        <f>IF(BO$4="Yes",INDEX(List!$E$2:$CD$173,MATCH('Selection Pane Data'!$B41,List!$E$2:$E$173,0),MATCH('Selection Pane Data'!BO$3,List!$E$2:$CD$2,0)),"")</f>
        <v/>
      </c>
      <c r="BP41" s="13" t="str">
        <f>IF(BP$4="Yes",INDEX(List!$E$2:$CD$173,MATCH('Selection Pane Data'!$B41,List!$E$2:$E$173,0),MATCH('Selection Pane Data'!BP$3,List!$E$2:$CD$2,0)),"")</f>
        <v/>
      </c>
      <c r="BQ41" s="13" t="str">
        <f>IF(BQ$4="Yes",INDEX(List!$E$2:$CD$173,MATCH('Selection Pane Data'!$B41,List!$E$2:$E$173,0),MATCH('Selection Pane Data'!BQ$3,List!$E$2:$CD$2,0)),"")</f>
        <v/>
      </c>
      <c r="BR41" s="13" t="str">
        <f>IF(BR$4="Yes",INDEX(List!$E$2:$CD$173,MATCH('Selection Pane Data'!$B41,List!$E$2:$E$173,0),MATCH('Selection Pane Data'!BR$3,List!$E$2:$CD$2,0)),"")</f>
        <v/>
      </c>
      <c r="BS41" s="13" t="str">
        <f>IF(BS$4="Yes",INDEX(List!$E$2:$CD$173,MATCH('Selection Pane Data'!$B41,List!$E$2:$E$173,0),MATCH('Selection Pane Data'!BS$3,List!$E$2:$CD$2,0)),"")</f>
        <v/>
      </c>
      <c r="BT41" s="13" t="str">
        <f>IF(BT$4="Yes",INDEX(List!$E$2:$CD$173,MATCH('Selection Pane Data'!$B41,List!$E$2:$E$173,0),MATCH('Selection Pane Data'!BT$3,List!$E$2:$CD$2,0)),"")</f>
        <v/>
      </c>
      <c r="BU41" s="13" t="str">
        <f>IF(BU$4="Yes",INDEX(List!$E$2:$CD$173,MATCH('Selection Pane Data'!$B41,List!$E$2:$E$173,0),MATCH('Selection Pane Data'!BU$3,List!$E$2:$CD$2,0)),"")</f>
        <v/>
      </c>
      <c r="BV41" s="13" t="str">
        <f>IF(BV$4="Yes",INDEX(List!$E$2:$CD$173,MATCH('Selection Pane Data'!$B41,List!$E$2:$E$173,0),MATCH('Selection Pane Data'!BV$3,List!$E$2:$CD$2,0)),"")</f>
        <v/>
      </c>
      <c r="BW41" s="13" t="str">
        <f>IF(BW$4="Yes",INDEX(List!$E$2:$CD$173,MATCH('Selection Pane Data'!$B41,List!$E$2:$E$173,0),MATCH('Selection Pane Data'!BW$3,List!$E$2:$CD$2,0)),"")</f>
        <v/>
      </c>
      <c r="BX41" s="13" t="str">
        <f>IF(BX$4="Yes",INDEX(List!$E$2:$CD$173,MATCH('Selection Pane Data'!$B41,List!$E$2:$E$173,0),MATCH('Selection Pane Data'!BX$3,List!$E$2:$CD$2,0)),"")</f>
        <v/>
      </c>
      <c r="BY41" s="13" t="str">
        <f>IF(BY$4="Yes",INDEX(List!$E$2:$CD$173,MATCH('Selection Pane Data'!$B41,List!$E$2:$E$173,0),MATCH('Selection Pane Data'!BY$3,List!$E$2:$CD$2,0)),"")</f>
        <v/>
      </c>
      <c r="BZ41" s="13" t="str">
        <f>IF(BZ$4="Yes",INDEX(List!$E$2:$CD$173,MATCH('Selection Pane Data'!$B41,List!$E$2:$E$173,0),MATCH('Selection Pane Data'!BZ$3,List!$E$2:$CD$2,0)),"")</f>
        <v/>
      </c>
      <c r="CA41" s="13" t="str">
        <f>IF(CA$4="Yes",INDEX(List!$E$2:$CD$173,MATCH('Selection Pane Data'!$B41,List!$E$2:$E$173,0),MATCH('Selection Pane Data'!CA$3,List!$E$2:$CD$2,0)),"")</f>
        <v/>
      </c>
      <c r="CB41" s="13" t="str">
        <f>IF(CB$4="Yes",INDEX(List!$E$2:$CD$173,MATCH('Selection Pane Data'!$B41,List!$E$2:$E$173,0),MATCH('Selection Pane Data'!CB$3,List!$E$2:$CD$2,0)),"")</f>
        <v/>
      </c>
      <c r="CC41" s="13" t="str">
        <f>IF(CC$4="Yes",INDEX(List!$E$2:$CD$173,MATCH('Selection Pane Data'!$B41,List!$E$2:$E$173,0),MATCH('Selection Pane Data'!CC$3,List!$E$2:$CD$2,0)),"")</f>
        <v/>
      </c>
      <c r="CD41" s="13" t="str">
        <f>IF(CD$4="Yes",INDEX(List!$E$2:$CD$173,MATCH('Selection Pane Data'!$B41,List!$E$2:$E$173,0),MATCH('Selection Pane Data'!CD$3,List!$E$2:$CD$2,0)),"")</f>
        <v/>
      </c>
      <c r="CE41" s="13" t="str">
        <f>IF(CE$4="Yes",INDEX(List!$E$2:$CD$173,MATCH('Selection Pane Data'!$B41,List!$E$2:$E$173,0),MATCH('Selection Pane Data'!CE$3,List!$E$2:$CD$2,0)),"")</f>
        <v/>
      </c>
    </row>
    <row r="42" spans="2:83" x14ac:dyDescent="0.35">
      <c r="B42" s="21" t="s">
        <v>329</v>
      </c>
      <c r="C42" s="126" t="str">
        <f>VLOOKUP(B42,List!$E$2:$G$173,2,FALSE)</f>
        <v>AU.L2-3.3.3</v>
      </c>
      <c r="D42" s="31" t="str">
        <f>List!G40</f>
        <v>Customer Responsibility</v>
      </c>
      <c r="E42" s="31" t="str">
        <f>IF(Placemat!$F$4="All Practices","All Practices",IF(VLOOKUP(B42,Table7[#All],6,FALSE)="No Mapping","New CMMC Practices","Practices with NIST 800-171 Mappings"))</f>
        <v>Practices with NIST 800-171 Mappings</v>
      </c>
      <c r="F42" t="str">
        <f>INDEX('CMMC Levels'!$A$1:$F$172,MATCH('Selection Pane Data'!$C42,'CMMC Levels'!$A$1:$A$172,0),MATCH(Placemat!$F$4,'CMMC Levels'!$A$1:$F$1,0))</f>
        <v>X</v>
      </c>
      <c r="G42" s="77" t="str">
        <f>IF((COUNTIF(List!H40:CE40,"P")+COUNTIF(List!H40:CE40,"S"))=0,"N",IF(COUNTIF(H42:CE42,"P"),"P",IF(COUNTIF(H42:CE42,"S"),"S","U")))</f>
        <v>U</v>
      </c>
      <c r="H42" s="13" t="str">
        <f>IF(H$4="Yes",INDEX(List!$E$2:$CD$173,MATCH('Selection Pane Data'!$B42,List!$E$2:$E$173,0),MATCH('Selection Pane Data'!H$3,List!$E$2:$CD$2,0)),"")</f>
        <v/>
      </c>
      <c r="I42" s="13" t="str">
        <f>IF(I$4="Yes",INDEX(List!$E$2:$CD$173,MATCH('Selection Pane Data'!$B42,List!$E$2:$E$173,0),MATCH('Selection Pane Data'!I$3,List!$E$2:$CD$2,0)),"")</f>
        <v/>
      </c>
      <c r="J42" s="13" t="str">
        <f>IF(J$4="Yes",INDEX(List!$E$2:$CD$173,MATCH('Selection Pane Data'!$B42,List!$E$2:$E$173,0),MATCH('Selection Pane Data'!J$3,List!$E$2:$CD$2,0)),"")</f>
        <v>N</v>
      </c>
      <c r="K42" s="13" t="str">
        <f>IF(K$4="Yes",INDEX(List!$E$2:$CD$173,MATCH('Selection Pane Data'!$B42,List!$E$2:$E$173,0),MATCH('Selection Pane Data'!K$3,List!$E$2:$CD$2,0)),"")</f>
        <v/>
      </c>
      <c r="L42" s="13" t="str">
        <f>IF(L$4="Yes",INDEX(List!$E$2:$CD$173,MATCH('Selection Pane Data'!$B42,List!$E$2:$E$173,0),MATCH('Selection Pane Data'!L$3,List!$E$2:$CD$2,0)),"")</f>
        <v/>
      </c>
      <c r="M42" s="13" t="str">
        <f>IF(M$4="Yes",INDEX(List!$E$2:$CD$173,MATCH('Selection Pane Data'!$B42,List!$E$2:$E$173,0),MATCH('Selection Pane Data'!M$3,List!$E$2:$CD$2,0)),"")</f>
        <v/>
      </c>
      <c r="N42" s="13" t="str">
        <f>IF(N$4="Yes",INDEX(List!$E$2:$CD$173,MATCH('Selection Pane Data'!$B42,List!$E$2:$E$173,0),MATCH('Selection Pane Data'!N$3,List!$E$2:$CD$2,0)),"")</f>
        <v/>
      </c>
      <c r="O42" s="13" t="str">
        <f>IF(O$4="Yes",INDEX(List!$E$2:$CD$173,MATCH('Selection Pane Data'!$B42,List!$E$2:$E$173,0),MATCH('Selection Pane Data'!O$3,List!$E$2:$CD$2,0)),"")</f>
        <v/>
      </c>
      <c r="P42" s="13" t="str">
        <f>IF(P$4="Yes",INDEX(List!$E$2:$CD$173,MATCH('Selection Pane Data'!$B42,List!$E$2:$E$173,0),MATCH('Selection Pane Data'!P$3,List!$E$2:$CD$2,0)),"")</f>
        <v/>
      </c>
      <c r="Q42" s="13" t="str">
        <f>IF(Q$4="Yes",INDEX(List!$E$2:$CD$173,MATCH('Selection Pane Data'!$B42,List!$E$2:$E$173,0),MATCH('Selection Pane Data'!Q$3,List!$E$2:$CD$2,0)),"")</f>
        <v/>
      </c>
      <c r="R42" s="13" t="str">
        <f>IF(R$4="Yes",INDEX(List!$E$2:$CD$173,MATCH('Selection Pane Data'!$B42,List!$E$2:$E$173,0),MATCH('Selection Pane Data'!R$3,List!$E$2:$CD$2,0)),"")</f>
        <v/>
      </c>
      <c r="S42" s="13" t="str">
        <f>IF(S$4="Yes",INDEX(List!$E$2:$CD$173,MATCH('Selection Pane Data'!$B42,List!$E$2:$E$173,0),MATCH('Selection Pane Data'!S$3,List!$E$2:$CD$2,0)),"")</f>
        <v/>
      </c>
      <c r="T42" s="13" t="str">
        <f>IF(T$4="Yes",INDEX(List!$E$2:$CD$173,MATCH('Selection Pane Data'!$B42,List!$E$2:$E$173,0),MATCH('Selection Pane Data'!T$3,List!$E$2:$CD$2,0)),"")</f>
        <v/>
      </c>
      <c r="U42" s="13" t="str">
        <f>IF(U$4="Yes",INDEX(List!$E$2:$CD$173,MATCH('Selection Pane Data'!$B42,List!$E$2:$E$173,0),MATCH('Selection Pane Data'!U$3,List!$E$2:$CD$2,0)),"")</f>
        <v/>
      </c>
      <c r="V42" s="13" t="str">
        <f>IF(V$4="Yes",INDEX(List!$E$2:$CD$173,MATCH('Selection Pane Data'!$B42,List!$E$2:$E$173,0),MATCH('Selection Pane Data'!V$3,List!$E$2:$CD$2,0)),"")</f>
        <v/>
      </c>
      <c r="W42" s="13" t="str">
        <f>IF(W$4="Yes",INDEX(List!$E$2:$CD$173,MATCH('Selection Pane Data'!$B42,List!$E$2:$E$173,0),MATCH('Selection Pane Data'!W$3,List!$E$2:$CD$2,0)),"")</f>
        <v/>
      </c>
      <c r="X42" s="13" t="str">
        <f>IF(X$4="Yes",INDEX(List!$E$2:$CD$173,MATCH('Selection Pane Data'!$B42,List!$E$2:$E$173,0),MATCH('Selection Pane Data'!X$3,List!$E$2:$CD$2,0)),"")</f>
        <v/>
      </c>
      <c r="Y42" s="13" t="str">
        <f>IF(Y$4="Yes",INDEX(List!$E$2:$CD$173,MATCH('Selection Pane Data'!$B42,List!$E$2:$E$173,0),MATCH('Selection Pane Data'!Y$3,List!$E$2:$CD$2,0)),"")</f>
        <v/>
      </c>
      <c r="Z42" s="13" t="str">
        <f>IF(Z$4="Yes",INDEX(List!$E$2:$CD$173,MATCH('Selection Pane Data'!$B42,List!$E$2:$E$173,0),MATCH('Selection Pane Data'!Z$3,List!$E$2:$CD$2,0)),"")</f>
        <v/>
      </c>
      <c r="AA42" s="13" t="str">
        <f>IF(AA$4="Yes",INDEX(List!$E$2:$CD$173,MATCH('Selection Pane Data'!$B42,List!$E$2:$E$173,0),MATCH('Selection Pane Data'!AA$3,List!$E$2:$CD$2,0)),"")</f>
        <v>N</v>
      </c>
      <c r="AB42" s="13" t="str">
        <f>IF(AB$4="Yes",INDEX(List!$E$2:$CD$173,MATCH('Selection Pane Data'!$B42,List!$E$2:$E$173,0),MATCH('Selection Pane Data'!AB$3,List!$E$2:$CD$2,0)),"")</f>
        <v/>
      </c>
      <c r="AC42" s="13" t="str">
        <f>IF(AC$4="Yes",INDEX(List!$E$2:$CD$173,MATCH('Selection Pane Data'!$B42,List!$E$2:$E$173,0),MATCH('Selection Pane Data'!AC$3,List!$E$2:$CD$2,0)),"")</f>
        <v/>
      </c>
      <c r="AD42" s="13" t="str">
        <f>IF(AD$4="Yes",INDEX(List!$E$2:$CD$173,MATCH('Selection Pane Data'!$B42,List!$E$2:$E$173,0),MATCH('Selection Pane Data'!AD$3,List!$E$2:$CD$2,0)),"")</f>
        <v/>
      </c>
      <c r="AE42" s="13" t="str">
        <f>IF(AE$4="Yes",INDEX(List!$E$2:$CD$173,MATCH('Selection Pane Data'!$B42,List!$E$2:$E$173,0),MATCH('Selection Pane Data'!AE$3,List!$E$2:$CD$2,0)),"")</f>
        <v/>
      </c>
      <c r="AF42" s="13" t="str">
        <f>IF(AF$4="Yes",INDEX(List!$E$2:$CD$173,MATCH('Selection Pane Data'!$B42,List!$E$2:$E$173,0),MATCH('Selection Pane Data'!AF$3,List!$E$2:$CD$2,0)),"")</f>
        <v/>
      </c>
      <c r="AG42" s="13" t="str">
        <f>IF(AG$4="Yes",INDEX(List!$E$2:$CD$173,MATCH('Selection Pane Data'!$B42,List!$E$2:$E$173,0),MATCH('Selection Pane Data'!AG$3,List!$E$2:$CD$2,0)),"")</f>
        <v/>
      </c>
      <c r="AH42" s="13" t="str">
        <f>IF(AH$4="Yes",INDEX(List!$E$2:$CD$173,MATCH('Selection Pane Data'!$B42,List!$E$2:$E$173,0),MATCH('Selection Pane Data'!AH$3,List!$E$2:$CD$2,0)),"")</f>
        <v/>
      </c>
      <c r="AI42" s="13" t="str">
        <f>IF(AI$4="Yes",INDEX(List!$E$2:$CD$173,MATCH('Selection Pane Data'!$B42,List!$E$2:$E$173,0),MATCH('Selection Pane Data'!AI$3,List!$E$2:$CD$2,0)),"")</f>
        <v/>
      </c>
      <c r="AJ42" s="13" t="str">
        <f>IF(AJ$4="Yes",INDEX(List!$E$2:$CD$173,MATCH('Selection Pane Data'!$B42,List!$E$2:$E$173,0),MATCH('Selection Pane Data'!AJ$3,List!$E$2:$CD$2,0)),"")</f>
        <v/>
      </c>
      <c r="AK42" s="13" t="str">
        <f>IF(AK$4="Yes",INDEX(List!$E$2:$CD$173,MATCH('Selection Pane Data'!$B42,List!$E$2:$E$173,0),MATCH('Selection Pane Data'!AK$3,List!$E$2:$CD$2,0)),"")</f>
        <v/>
      </c>
      <c r="AL42" s="13" t="str">
        <f>IF(AL$4="Yes",INDEX(List!$E$2:$CD$173,MATCH('Selection Pane Data'!$B42,List!$E$2:$E$173,0),MATCH('Selection Pane Data'!AL$3,List!$E$2:$CD$2,0)),"")</f>
        <v/>
      </c>
      <c r="AM42" s="13" t="str">
        <f>IF(AM$4="Yes",INDEX(List!$E$2:$CD$173,MATCH('Selection Pane Data'!$B42,List!$E$2:$E$173,0),MATCH('Selection Pane Data'!AM$3,List!$E$2:$CD$2,0)),"")</f>
        <v/>
      </c>
      <c r="AN42" s="13" t="str">
        <f>IF(AN$4="Yes",INDEX(List!$E$2:$CD$173,MATCH('Selection Pane Data'!$B42,List!$E$2:$E$173,0),MATCH('Selection Pane Data'!AN$3,List!$E$2:$CD$2,0)),"")</f>
        <v/>
      </c>
      <c r="AO42" s="13" t="str">
        <f>IF(AO$4="Yes",INDEX(List!$E$2:$CD$173,MATCH('Selection Pane Data'!$B42,List!$E$2:$E$173,0),MATCH('Selection Pane Data'!AO$3,List!$E$2:$CD$2,0)),"")</f>
        <v/>
      </c>
      <c r="AP42" s="13" t="str">
        <f>IF(AP$4="Yes",INDEX(List!$E$2:$CD$173,MATCH('Selection Pane Data'!$B42,List!$E$2:$E$173,0),MATCH('Selection Pane Data'!AP$3,List!$E$2:$CD$2,0)),"")</f>
        <v/>
      </c>
      <c r="AQ42" s="13" t="str">
        <f>IF(AQ$4="Yes",INDEX(List!$E$2:$CD$173,MATCH('Selection Pane Data'!$B42,List!$E$2:$E$173,0),MATCH('Selection Pane Data'!AQ$3,List!$E$2:$CD$2,0)),"")</f>
        <v/>
      </c>
      <c r="AR42" s="13" t="str">
        <f>IF(AR$4="Yes",INDEX(List!$E$2:$CD$173,MATCH('Selection Pane Data'!$B42,List!$E$2:$E$173,0),MATCH('Selection Pane Data'!AR$3,List!$E$2:$CD$2,0)),"")</f>
        <v/>
      </c>
      <c r="AS42" s="13" t="str">
        <f>IF(AS$4="Yes",INDEX(List!$E$2:$CD$173,MATCH('Selection Pane Data'!$B42,List!$E$2:$E$173,0),MATCH('Selection Pane Data'!AS$3,List!$E$2:$CD$2,0)),"")</f>
        <v/>
      </c>
      <c r="AT42" s="13" t="str">
        <f>IF(AT$4="Yes",INDEX(List!$E$2:$CD$173,MATCH('Selection Pane Data'!$B42,List!$E$2:$E$173,0),MATCH('Selection Pane Data'!AT$3,List!$E$2:$CD$2,0)),"")</f>
        <v/>
      </c>
      <c r="AU42" s="13" t="str">
        <f>IF(AU$4="Yes",INDEX(List!$E$2:$CD$173,MATCH('Selection Pane Data'!$B42,List!$E$2:$E$173,0),MATCH('Selection Pane Data'!AU$3,List!$E$2:$CD$2,0)),"")</f>
        <v/>
      </c>
      <c r="AV42" s="13" t="str">
        <f>IF(AV$4="Yes",INDEX(List!$E$2:$CD$173,MATCH('Selection Pane Data'!$B42,List!$E$2:$E$173,0),MATCH('Selection Pane Data'!AV$3,List!$E$2:$CD$2,0)),"")</f>
        <v/>
      </c>
      <c r="AW42" s="13" t="str">
        <f>IF(AW$4="Yes",INDEX(List!$E$2:$CD$173,MATCH('Selection Pane Data'!$B42,List!$E$2:$E$173,0),MATCH('Selection Pane Data'!AW$3,List!$E$2:$CD$2,0)),"")</f>
        <v/>
      </c>
      <c r="AX42" s="13" t="str">
        <f>IF(AX$4="Yes",INDEX(List!$E$2:$CD$173,MATCH('Selection Pane Data'!$B42,List!$E$2:$E$173,0),MATCH('Selection Pane Data'!AX$3,List!$E$2:$CD$2,0)),"")</f>
        <v/>
      </c>
      <c r="AY42" s="13" t="str">
        <f>IF(AY$4="Yes",INDEX(List!$E$2:$CD$173,MATCH('Selection Pane Data'!$B42,List!$E$2:$E$173,0),MATCH('Selection Pane Data'!AY$3,List!$E$2:$CD$2,0)),"")</f>
        <v/>
      </c>
      <c r="AZ42" s="13" t="str">
        <f>IF(AZ$4="Yes",INDEX(List!$E$2:$CD$173,MATCH('Selection Pane Data'!$B42,List!$E$2:$E$173,0),MATCH('Selection Pane Data'!AZ$3,List!$E$2:$CD$2,0)),"")</f>
        <v/>
      </c>
      <c r="BA42" s="13" t="str">
        <f>IF(BA$4="Yes",INDEX(List!$E$2:$CD$173,MATCH('Selection Pane Data'!$B42,List!$E$2:$E$173,0),MATCH('Selection Pane Data'!BA$3,List!$E$2:$CD$2,0)),"")</f>
        <v/>
      </c>
      <c r="BB42" s="13" t="str">
        <f>IF(BB$4="Yes",INDEX(List!$E$2:$CD$173,MATCH('Selection Pane Data'!$B42,List!$E$2:$E$173,0),MATCH('Selection Pane Data'!BB$3,List!$E$2:$CD$2,0)),"")</f>
        <v/>
      </c>
      <c r="BC42" s="13" t="str">
        <f>IF(BC$4="Yes",INDEX(List!$E$2:$CD$173,MATCH('Selection Pane Data'!$B42,List!$E$2:$E$173,0),MATCH('Selection Pane Data'!BC$3,List!$E$2:$CD$2,0)),"")</f>
        <v/>
      </c>
      <c r="BD42" s="13" t="str">
        <f>IF(BD$4="Yes",INDEX(List!$E$2:$CD$173,MATCH('Selection Pane Data'!$B42,List!$E$2:$E$173,0),MATCH('Selection Pane Data'!BD$3,List!$E$2:$CD$2,0)),"")</f>
        <v/>
      </c>
      <c r="BE42" s="13" t="str">
        <f>IF(BE$4="Yes",INDEX(List!$E$2:$CD$173,MATCH('Selection Pane Data'!$B42,List!$E$2:$E$173,0),MATCH('Selection Pane Data'!BE$3,List!$E$2:$CD$2,0)),"")</f>
        <v/>
      </c>
      <c r="BF42" s="13" t="str">
        <f>IF(BF$4="Yes",INDEX(List!$E$2:$CD$173,MATCH('Selection Pane Data'!$B42,List!$E$2:$E$173,0),MATCH('Selection Pane Data'!BF$3,List!$E$2:$CD$2,0)),"")</f>
        <v/>
      </c>
      <c r="BG42" s="13" t="str">
        <f>IF(BG$4="Yes",INDEX(List!$E$2:$CD$173,MATCH('Selection Pane Data'!$B42,List!$E$2:$E$173,0),MATCH('Selection Pane Data'!BG$3,List!$E$2:$CD$2,0)),"")</f>
        <v/>
      </c>
      <c r="BH42" s="13" t="str">
        <f>IF(BH$4="Yes",INDEX(List!$E$2:$CD$173,MATCH('Selection Pane Data'!$B42,List!$E$2:$E$173,0),MATCH('Selection Pane Data'!BH$3,List!$E$2:$CD$2,0)),"")</f>
        <v/>
      </c>
      <c r="BI42" s="13" t="str">
        <f>IF(BI$4="Yes",INDEX(List!$E$2:$CD$173,MATCH('Selection Pane Data'!$B42,List!$E$2:$E$173,0),MATCH('Selection Pane Data'!BI$3,List!$E$2:$CD$2,0)),"")</f>
        <v/>
      </c>
      <c r="BJ42" s="13" t="str">
        <f>IF(BJ$4="Yes",INDEX(List!$E$2:$CD$173,MATCH('Selection Pane Data'!$B42,List!$E$2:$E$173,0),MATCH('Selection Pane Data'!BJ$3,List!$E$2:$CD$2,0)),"")</f>
        <v/>
      </c>
      <c r="BK42" s="13" t="str">
        <f>IF(BK$4="Yes",INDEX(List!$E$2:$CD$173,MATCH('Selection Pane Data'!$B42,List!$E$2:$E$173,0),MATCH('Selection Pane Data'!BK$3,List!$E$2:$CD$2,0)),"")</f>
        <v/>
      </c>
      <c r="BL42" s="13" t="str">
        <f>IF(BL$4="Yes",INDEX(List!$E$2:$CD$173,MATCH('Selection Pane Data'!$B42,List!$E$2:$E$173,0),MATCH('Selection Pane Data'!BL$3,List!$E$2:$CD$2,0)),"")</f>
        <v/>
      </c>
      <c r="BM42" s="13" t="str">
        <f>IF(BM$4="Yes",INDEX(List!$E$2:$CD$173,MATCH('Selection Pane Data'!$B42,List!$E$2:$E$173,0),MATCH('Selection Pane Data'!BM$3,List!$E$2:$CD$2,0)),"")</f>
        <v/>
      </c>
      <c r="BN42" s="13" t="str">
        <f>IF(BN$4="Yes",INDEX(List!$E$2:$CD$173,MATCH('Selection Pane Data'!$B42,List!$E$2:$E$173,0),MATCH('Selection Pane Data'!BN$3,List!$E$2:$CD$2,0)),"")</f>
        <v/>
      </c>
      <c r="BO42" s="13" t="str">
        <f>IF(BO$4="Yes",INDEX(List!$E$2:$CD$173,MATCH('Selection Pane Data'!$B42,List!$E$2:$E$173,0),MATCH('Selection Pane Data'!BO$3,List!$E$2:$CD$2,0)),"")</f>
        <v/>
      </c>
      <c r="BP42" s="13" t="str">
        <f>IF(BP$4="Yes",INDEX(List!$E$2:$CD$173,MATCH('Selection Pane Data'!$B42,List!$E$2:$E$173,0),MATCH('Selection Pane Data'!BP$3,List!$E$2:$CD$2,0)),"")</f>
        <v/>
      </c>
      <c r="BQ42" s="13" t="str">
        <f>IF(BQ$4="Yes",INDEX(List!$E$2:$CD$173,MATCH('Selection Pane Data'!$B42,List!$E$2:$E$173,0),MATCH('Selection Pane Data'!BQ$3,List!$E$2:$CD$2,0)),"")</f>
        <v/>
      </c>
      <c r="BR42" s="13" t="str">
        <f>IF(BR$4="Yes",INDEX(List!$E$2:$CD$173,MATCH('Selection Pane Data'!$B42,List!$E$2:$E$173,0),MATCH('Selection Pane Data'!BR$3,List!$E$2:$CD$2,0)),"")</f>
        <v/>
      </c>
      <c r="BS42" s="13" t="str">
        <f>IF(BS$4="Yes",INDEX(List!$E$2:$CD$173,MATCH('Selection Pane Data'!$B42,List!$E$2:$E$173,0),MATCH('Selection Pane Data'!BS$3,List!$E$2:$CD$2,0)),"")</f>
        <v/>
      </c>
      <c r="BT42" s="13" t="str">
        <f>IF(BT$4="Yes",INDEX(List!$E$2:$CD$173,MATCH('Selection Pane Data'!$B42,List!$E$2:$E$173,0),MATCH('Selection Pane Data'!BT$3,List!$E$2:$CD$2,0)),"")</f>
        <v/>
      </c>
      <c r="BU42" s="13" t="str">
        <f>IF(BU$4="Yes",INDEX(List!$E$2:$CD$173,MATCH('Selection Pane Data'!$B42,List!$E$2:$E$173,0),MATCH('Selection Pane Data'!BU$3,List!$E$2:$CD$2,0)),"")</f>
        <v/>
      </c>
      <c r="BV42" s="13" t="str">
        <f>IF(BV$4="Yes",INDEX(List!$E$2:$CD$173,MATCH('Selection Pane Data'!$B42,List!$E$2:$E$173,0),MATCH('Selection Pane Data'!BV$3,List!$E$2:$CD$2,0)),"")</f>
        <v/>
      </c>
      <c r="BW42" s="13" t="str">
        <f>IF(BW$4="Yes",INDEX(List!$E$2:$CD$173,MATCH('Selection Pane Data'!$B42,List!$E$2:$E$173,0),MATCH('Selection Pane Data'!BW$3,List!$E$2:$CD$2,0)),"")</f>
        <v/>
      </c>
      <c r="BX42" s="13" t="str">
        <f>IF(BX$4="Yes",INDEX(List!$E$2:$CD$173,MATCH('Selection Pane Data'!$B42,List!$E$2:$E$173,0),MATCH('Selection Pane Data'!BX$3,List!$E$2:$CD$2,0)),"")</f>
        <v/>
      </c>
      <c r="BY42" s="13" t="str">
        <f>IF(BY$4="Yes",INDEX(List!$E$2:$CD$173,MATCH('Selection Pane Data'!$B42,List!$E$2:$E$173,0),MATCH('Selection Pane Data'!BY$3,List!$E$2:$CD$2,0)),"")</f>
        <v/>
      </c>
      <c r="BZ42" s="13" t="str">
        <f>IF(BZ$4="Yes",INDEX(List!$E$2:$CD$173,MATCH('Selection Pane Data'!$B42,List!$E$2:$E$173,0),MATCH('Selection Pane Data'!BZ$3,List!$E$2:$CD$2,0)),"")</f>
        <v/>
      </c>
      <c r="CA42" s="13" t="str">
        <f>IF(CA$4="Yes",INDEX(List!$E$2:$CD$173,MATCH('Selection Pane Data'!$B42,List!$E$2:$E$173,0),MATCH('Selection Pane Data'!CA$3,List!$E$2:$CD$2,0)),"")</f>
        <v/>
      </c>
      <c r="CB42" s="13" t="str">
        <f>IF(CB$4="Yes",INDEX(List!$E$2:$CD$173,MATCH('Selection Pane Data'!$B42,List!$E$2:$E$173,0),MATCH('Selection Pane Data'!CB$3,List!$E$2:$CD$2,0)),"")</f>
        <v/>
      </c>
      <c r="CC42" s="13" t="str">
        <f>IF(CC$4="Yes",INDEX(List!$E$2:$CD$173,MATCH('Selection Pane Data'!$B42,List!$E$2:$E$173,0),MATCH('Selection Pane Data'!CC$3,List!$E$2:$CD$2,0)),"")</f>
        <v/>
      </c>
      <c r="CD42" s="13" t="str">
        <f>IF(CD$4="Yes",INDEX(List!$E$2:$CD$173,MATCH('Selection Pane Data'!$B42,List!$E$2:$E$173,0),MATCH('Selection Pane Data'!CD$3,List!$E$2:$CD$2,0)),"")</f>
        <v/>
      </c>
      <c r="CE42" s="13" t="str">
        <f>IF(CE$4="Yes",INDEX(List!$E$2:$CD$173,MATCH('Selection Pane Data'!$B42,List!$E$2:$E$173,0),MATCH('Selection Pane Data'!CE$3,List!$E$2:$CD$2,0)),"")</f>
        <v/>
      </c>
    </row>
    <row r="43" spans="2:83" x14ac:dyDescent="0.35">
      <c r="B43" s="21" t="s">
        <v>330</v>
      </c>
      <c r="C43" s="126" t="str">
        <f>VLOOKUP(B43,List!$E$2:$G$173,2,FALSE)</f>
        <v>AU.L2-3.3.4</v>
      </c>
      <c r="D43" s="31" t="str">
        <f>List!G41</f>
        <v>Shared Coverage</v>
      </c>
      <c r="E43" s="31" t="str">
        <f>IF(Placemat!$F$4="All Practices","All Practices",IF(VLOOKUP(B43,Table7[#All],6,FALSE)="No Mapping","New CMMC Practices","Practices with NIST 800-171 Mappings"))</f>
        <v>Practices with NIST 800-171 Mappings</v>
      </c>
      <c r="F43" t="str">
        <f>INDEX('CMMC Levels'!$A$1:$F$172,MATCH('Selection Pane Data'!$C43,'CMMC Levels'!$A$1:$A$172,0),MATCH(Placemat!$F$4,'CMMC Levels'!$A$1:$F$1,0))</f>
        <v>X</v>
      </c>
      <c r="G43" s="77" t="str">
        <f>IF((COUNTIF(List!H41:CE41,"P")+COUNTIF(List!H41:CE41,"S"))=0,"N",IF(COUNTIF(H43:CE43,"P"),"P",IF(COUNTIF(H43:CE43,"S"),"S","U")))</f>
        <v>U</v>
      </c>
      <c r="H43" s="13" t="str">
        <f>IF(H$4="Yes",INDEX(List!$E$2:$CD$173,MATCH('Selection Pane Data'!$B43,List!$E$2:$E$173,0),MATCH('Selection Pane Data'!H$3,List!$E$2:$CD$2,0)),"")</f>
        <v/>
      </c>
      <c r="I43" s="13" t="str">
        <f>IF(I$4="Yes",INDEX(List!$E$2:$CD$173,MATCH('Selection Pane Data'!$B43,List!$E$2:$E$173,0),MATCH('Selection Pane Data'!I$3,List!$E$2:$CD$2,0)),"")</f>
        <v/>
      </c>
      <c r="J43" s="13" t="str">
        <f>IF(J$4="Yes",INDEX(List!$E$2:$CD$173,MATCH('Selection Pane Data'!$B43,List!$E$2:$E$173,0),MATCH('Selection Pane Data'!J$3,List!$E$2:$CD$2,0)),"")</f>
        <v>N</v>
      </c>
      <c r="K43" s="13" t="str">
        <f>IF(K$4="Yes",INDEX(List!$E$2:$CD$173,MATCH('Selection Pane Data'!$B43,List!$E$2:$E$173,0),MATCH('Selection Pane Data'!K$3,List!$E$2:$CD$2,0)),"")</f>
        <v/>
      </c>
      <c r="L43" s="13" t="str">
        <f>IF(L$4="Yes",INDEX(List!$E$2:$CD$173,MATCH('Selection Pane Data'!$B43,List!$E$2:$E$173,0),MATCH('Selection Pane Data'!L$3,List!$E$2:$CD$2,0)),"")</f>
        <v/>
      </c>
      <c r="M43" s="13" t="str">
        <f>IF(M$4="Yes",INDEX(List!$E$2:$CD$173,MATCH('Selection Pane Data'!$B43,List!$E$2:$E$173,0),MATCH('Selection Pane Data'!M$3,List!$E$2:$CD$2,0)),"")</f>
        <v/>
      </c>
      <c r="N43" s="13" t="str">
        <f>IF(N$4="Yes",INDEX(List!$E$2:$CD$173,MATCH('Selection Pane Data'!$B43,List!$E$2:$E$173,0),MATCH('Selection Pane Data'!N$3,List!$E$2:$CD$2,0)),"")</f>
        <v/>
      </c>
      <c r="O43" s="13" t="str">
        <f>IF(O$4="Yes",INDEX(List!$E$2:$CD$173,MATCH('Selection Pane Data'!$B43,List!$E$2:$E$173,0),MATCH('Selection Pane Data'!O$3,List!$E$2:$CD$2,0)),"")</f>
        <v/>
      </c>
      <c r="P43" s="13" t="str">
        <f>IF(P$4="Yes",INDEX(List!$E$2:$CD$173,MATCH('Selection Pane Data'!$B43,List!$E$2:$E$173,0),MATCH('Selection Pane Data'!P$3,List!$E$2:$CD$2,0)),"")</f>
        <v/>
      </c>
      <c r="Q43" s="13" t="str">
        <f>IF(Q$4="Yes",INDEX(List!$E$2:$CD$173,MATCH('Selection Pane Data'!$B43,List!$E$2:$E$173,0),MATCH('Selection Pane Data'!Q$3,List!$E$2:$CD$2,0)),"")</f>
        <v/>
      </c>
      <c r="R43" s="13" t="str">
        <f>IF(R$4="Yes",INDEX(List!$E$2:$CD$173,MATCH('Selection Pane Data'!$B43,List!$E$2:$E$173,0),MATCH('Selection Pane Data'!R$3,List!$E$2:$CD$2,0)),"")</f>
        <v/>
      </c>
      <c r="S43" s="13" t="str">
        <f>IF(S$4="Yes",INDEX(List!$E$2:$CD$173,MATCH('Selection Pane Data'!$B43,List!$E$2:$E$173,0),MATCH('Selection Pane Data'!S$3,List!$E$2:$CD$2,0)),"")</f>
        <v/>
      </c>
      <c r="T43" s="13" t="str">
        <f>IF(T$4="Yes",INDEX(List!$E$2:$CD$173,MATCH('Selection Pane Data'!$B43,List!$E$2:$E$173,0),MATCH('Selection Pane Data'!T$3,List!$E$2:$CD$2,0)),"")</f>
        <v/>
      </c>
      <c r="U43" s="13" t="str">
        <f>IF(U$4="Yes",INDEX(List!$E$2:$CD$173,MATCH('Selection Pane Data'!$B43,List!$E$2:$E$173,0),MATCH('Selection Pane Data'!U$3,List!$E$2:$CD$2,0)),"")</f>
        <v/>
      </c>
      <c r="V43" s="13" t="str">
        <f>IF(V$4="Yes",INDEX(List!$E$2:$CD$173,MATCH('Selection Pane Data'!$B43,List!$E$2:$E$173,0),MATCH('Selection Pane Data'!V$3,List!$E$2:$CD$2,0)),"")</f>
        <v/>
      </c>
      <c r="W43" s="13" t="str">
        <f>IF(W$4="Yes",INDEX(List!$E$2:$CD$173,MATCH('Selection Pane Data'!$B43,List!$E$2:$E$173,0),MATCH('Selection Pane Data'!W$3,List!$E$2:$CD$2,0)),"")</f>
        <v/>
      </c>
      <c r="X43" s="13" t="str">
        <f>IF(X$4="Yes",INDEX(List!$E$2:$CD$173,MATCH('Selection Pane Data'!$B43,List!$E$2:$E$173,0),MATCH('Selection Pane Data'!X$3,List!$E$2:$CD$2,0)),"")</f>
        <v/>
      </c>
      <c r="Y43" s="13" t="str">
        <f>IF(Y$4="Yes",INDEX(List!$E$2:$CD$173,MATCH('Selection Pane Data'!$B43,List!$E$2:$E$173,0),MATCH('Selection Pane Data'!Y$3,List!$E$2:$CD$2,0)),"")</f>
        <v/>
      </c>
      <c r="Z43" s="13" t="str">
        <f>IF(Z$4="Yes",INDEX(List!$E$2:$CD$173,MATCH('Selection Pane Data'!$B43,List!$E$2:$E$173,0),MATCH('Selection Pane Data'!Z$3,List!$E$2:$CD$2,0)),"")</f>
        <v/>
      </c>
      <c r="AA43" s="13" t="str">
        <f>IF(AA$4="Yes",INDEX(List!$E$2:$CD$173,MATCH('Selection Pane Data'!$B43,List!$E$2:$E$173,0),MATCH('Selection Pane Data'!AA$3,List!$E$2:$CD$2,0)),"")</f>
        <v>N</v>
      </c>
      <c r="AB43" s="13" t="str">
        <f>IF(AB$4="Yes",INDEX(List!$E$2:$CD$173,MATCH('Selection Pane Data'!$B43,List!$E$2:$E$173,0),MATCH('Selection Pane Data'!AB$3,List!$E$2:$CD$2,0)),"")</f>
        <v/>
      </c>
      <c r="AC43" s="13" t="str">
        <f>IF(AC$4="Yes",INDEX(List!$E$2:$CD$173,MATCH('Selection Pane Data'!$B43,List!$E$2:$E$173,0),MATCH('Selection Pane Data'!AC$3,List!$E$2:$CD$2,0)),"")</f>
        <v/>
      </c>
      <c r="AD43" s="13" t="str">
        <f>IF(AD$4="Yes",INDEX(List!$E$2:$CD$173,MATCH('Selection Pane Data'!$B43,List!$E$2:$E$173,0),MATCH('Selection Pane Data'!AD$3,List!$E$2:$CD$2,0)),"")</f>
        <v/>
      </c>
      <c r="AE43" s="13" t="str">
        <f>IF(AE$4="Yes",INDEX(List!$E$2:$CD$173,MATCH('Selection Pane Data'!$B43,List!$E$2:$E$173,0),MATCH('Selection Pane Data'!AE$3,List!$E$2:$CD$2,0)),"")</f>
        <v/>
      </c>
      <c r="AF43" s="13" t="str">
        <f>IF(AF$4="Yes",INDEX(List!$E$2:$CD$173,MATCH('Selection Pane Data'!$B43,List!$E$2:$E$173,0),MATCH('Selection Pane Data'!AF$3,List!$E$2:$CD$2,0)),"")</f>
        <v/>
      </c>
      <c r="AG43" s="13" t="str">
        <f>IF(AG$4="Yes",INDEX(List!$E$2:$CD$173,MATCH('Selection Pane Data'!$B43,List!$E$2:$E$173,0),MATCH('Selection Pane Data'!AG$3,List!$E$2:$CD$2,0)),"")</f>
        <v/>
      </c>
      <c r="AH43" s="13" t="str">
        <f>IF(AH$4="Yes",INDEX(List!$E$2:$CD$173,MATCH('Selection Pane Data'!$B43,List!$E$2:$E$173,0),MATCH('Selection Pane Data'!AH$3,List!$E$2:$CD$2,0)),"")</f>
        <v/>
      </c>
      <c r="AI43" s="13" t="str">
        <f>IF(AI$4="Yes",INDEX(List!$E$2:$CD$173,MATCH('Selection Pane Data'!$B43,List!$E$2:$E$173,0),MATCH('Selection Pane Data'!AI$3,List!$E$2:$CD$2,0)),"")</f>
        <v/>
      </c>
      <c r="AJ43" s="13" t="str">
        <f>IF(AJ$4="Yes",INDEX(List!$E$2:$CD$173,MATCH('Selection Pane Data'!$B43,List!$E$2:$E$173,0),MATCH('Selection Pane Data'!AJ$3,List!$E$2:$CD$2,0)),"")</f>
        <v/>
      </c>
      <c r="AK43" s="13" t="str">
        <f>IF(AK$4="Yes",INDEX(List!$E$2:$CD$173,MATCH('Selection Pane Data'!$B43,List!$E$2:$E$173,0),MATCH('Selection Pane Data'!AK$3,List!$E$2:$CD$2,0)),"")</f>
        <v/>
      </c>
      <c r="AL43" s="13" t="str">
        <f>IF(AL$4="Yes",INDEX(List!$E$2:$CD$173,MATCH('Selection Pane Data'!$B43,List!$E$2:$E$173,0),MATCH('Selection Pane Data'!AL$3,List!$E$2:$CD$2,0)),"")</f>
        <v/>
      </c>
      <c r="AM43" s="13" t="str">
        <f>IF(AM$4="Yes",INDEX(List!$E$2:$CD$173,MATCH('Selection Pane Data'!$B43,List!$E$2:$E$173,0),MATCH('Selection Pane Data'!AM$3,List!$E$2:$CD$2,0)),"")</f>
        <v/>
      </c>
      <c r="AN43" s="13" t="str">
        <f>IF(AN$4="Yes",INDEX(List!$E$2:$CD$173,MATCH('Selection Pane Data'!$B43,List!$E$2:$E$173,0),MATCH('Selection Pane Data'!AN$3,List!$E$2:$CD$2,0)),"")</f>
        <v/>
      </c>
      <c r="AO43" s="13" t="str">
        <f>IF(AO$4="Yes",INDEX(List!$E$2:$CD$173,MATCH('Selection Pane Data'!$B43,List!$E$2:$E$173,0),MATCH('Selection Pane Data'!AO$3,List!$E$2:$CD$2,0)),"")</f>
        <v/>
      </c>
      <c r="AP43" s="13" t="str">
        <f>IF(AP$4="Yes",INDEX(List!$E$2:$CD$173,MATCH('Selection Pane Data'!$B43,List!$E$2:$E$173,0),MATCH('Selection Pane Data'!AP$3,List!$E$2:$CD$2,0)),"")</f>
        <v/>
      </c>
      <c r="AQ43" s="13" t="str">
        <f>IF(AQ$4="Yes",INDEX(List!$E$2:$CD$173,MATCH('Selection Pane Data'!$B43,List!$E$2:$E$173,0),MATCH('Selection Pane Data'!AQ$3,List!$E$2:$CD$2,0)),"")</f>
        <v/>
      </c>
      <c r="AR43" s="13" t="str">
        <f>IF(AR$4="Yes",INDEX(List!$E$2:$CD$173,MATCH('Selection Pane Data'!$B43,List!$E$2:$E$173,0),MATCH('Selection Pane Data'!AR$3,List!$E$2:$CD$2,0)),"")</f>
        <v/>
      </c>
      <c r="AS43" s="13" t="str">
        <f>IF(AS$4="Yes",INDEX(List!$E$2:$CD$173,MATCH('Selection Pane Data'!$B43,List!$E$2:$E$173,0),MATCH('Selection Pane Data'!AS$3,List!$E$2:$CD$2,0)),"")</f>
        <v/>
      </c>
      <c r="AT43" s="13" t="str">
        <f>IF(AT$4="Yes",INDEX(List!$E$2:$CD$173,MATCH('Selection Pane Data'!$B43,List!$E$2:$E$173,0),MATCH('Selection Pane Data'!AT$3,List!$E$2:$CD$2,0)),"")</f>
        <v/>
      </c>
      <c r="AU43" s="13" t="str">
        <f>IF(AU$4="Yes",INDEX(List!$E$2:$CD$173,MATCH('Selection Pane Data'!$B43,List!$E$2:$E$173,0),MATCH('Selection Pane Data'!AU$3,List!$E$2:$CD$2,0)),"")</f>
        <v/>
      </c>
      <c r="AV43" s="13" t="str">
        <f>IF(AV$4="Yes",INDEX(List!$E$2:$CD$173,MATCH('Selection Pane Data'!$B43,List!$E$2:$E$173,0),MATCH('Selection Pane Data'!AV$3,List!$E$2:$CD$2,0)),"")</f>
        <v/>
      </c>
      <c r="AW43" s="13" t="str">
        <f>IF(AW$4="Yes",INDEX(List!$E$2:$CD$173,MATCH('Selection Pane Data'!$B43,List!$E$2:$E$173,0),MATCH('Selection Pane Data'!AW$3,List!$E$2:$CD$2,0)),"")</f>
        <v/>
      </c>
      <c r="AX43" s="13" t="str">
        <f>IF(AX$4="Yes",INDEX(List!$E$2:$CD$173,MATCH('Selection Pane Data'!$B43,List!$E$2:$E$173,0),MATCH('Selection Pane Data'!AX$3,List!$E$2:$CD$2,0)),"")</f>
        <v/>
      </c>
      <c r="AY43" s="13" t="str">
        <f>IF(AY$4="Yes",INDEX(List!$E$2:$CD$173,MATCH('Selection Pane Data'!$B43,List!$E$2:$E$173,0),MATCH('Selection Pane Data'!AY$3,List!$E$2:$CD$2,0)),"")</f>
        <v/>
      </c>
      <c r="AZ43" s="13" t="str">
        <f>IF(AZ$4="Yes",INDEX(List!$E$2:$CD$173,MATCH('Selection Pane Data'!$B43,List!$E$2:$E$173,0),MATCH('Selection Pane Data'!AZ$3,List!$E$2:$CD$2,0)),"")</f>
        <v/>
      </c>
      <c r="BA43" s="13" t="str">
        <f>IF(BA$4="Yes",INDEX(List!$E$2:$CD$173,MATCH('Selection Pane Data'!$B43,List!$E$2:$E$173,0),MATCH('Selection Pane Data'!BA$3,List!$E$2:$CD$2,0)),"")</f>
        <v/>
      </c>
      <c r="BB43" s="13" t="str">
        <f>IF(BB$4="Yes",INDEX(List!$E$2:$CD$173,MATCH('Selection Pane Data'!$B43,List!$E$2:$E$173,0),MATCH('Selection Pane Data'!BB$3,List!$E$2:$CD$2,0)),"")</f>
        <v/>
      </c>
      <c r="BC43" s="13" t="str">
        <f>IF(BC$4="Yes",INDEX(List!$E$2:$CD$173,MATCH('Selection Pane Data'!$B43,List!$E$2:$E$173,0),MATCH('Selection Pane Data'!BC$3,List!$E$2:$CD$2,0)),"")</f>
        <v/>
      </c>
      <c r="BD43" s="13" t="str">
        <f>IF(BD$4="Yes",INDEX(List!$E$2:$CD$173,MATCH('Selection Pane Data'!$B43,List!$E$2:$E$173,0),MATCH('Selection Pane Data'!BD$3,List!$E$2:$CD$2,0)),"")</f>
        <v/>
      </c>
      <c r="BE43" s="13" t="str">
        <f>IF(BE$4="Yes",INDEX(List!$E$2:$CD$173,MATCH('Selection Pane Data'!$B43,List!$E$2:$E$173,0),MATCH('Selection Pane Data'!BE$3,List!$E$2:$CD$2,0)),"")</f>
        <v/>
      </c>
      <c r="BF43" s="13" t="str">
        <f>IF(BF$4="Yes",INDEX(List!$E$2:$CD$173,MATCH('Selection Pane Data'!$B43,List!$E$2:$E$173,0),MATCH('Selection Pane Data'!BF$3,List!$E$2:$CD$2,0)),"")</f>
        <v/>
      </c>
      <c r="BG43" s="13" t="str">
        <f>IF(BG$4="Yes",INDEX(List!$E$2:$CD$173,MATCH('Selection Pane Data'!$B43,List!$E$2:$E$173,0),MATCH('Selection Pane Data'!BG$3,List!$E$2:$CD$2,0)),"")</f>
        <v/>
      </c>
      <c r="BH43" s="13" t="str">
        <f>IF(BH$4="Yes",INDEX(List!$E$2:$CD$173,MATCH('Selection Pane Data'!$B43,List!$E$2:$E$173,0),MATCH('Selection Pane Data'!BH$3,List!$E$2:$CD$2,0)),"")</f>
        <v/>
      </c>
      <c r="BI43" s="13" t="str">
        <f>IF(BI$4="Yes",INDEX(List!$E$2:$CD$173,MATCH('Selection Pane Data'!$B43,List!$E$2:$E$173,0),MATCH('Selection Pane Data'!BI$3,List!$E$2:$CD$2,0)),"")</f>
        <v/>
      </c>
      <c r="BJ43" s="13" t="str">
        <f>IF(BJ$4="Yes",INDEX(List!$E$2:$CD$173,MATCH('Selection Pane Data'!$B43,List!$E$2:$E$173,0),MATCH('Selection Pane Data'!BJ$3,List!$E$2:$CD$2,0)),"")</f>
        <v/>
      </c>
      <c r="BK43" s="13" t="str">
        <f>IF(BK$4="Yes",INDEX(List!$E$2:$CD$173,MATCH('Selection Pane Data'!$B43,List!$E$2:$E$173,0),MATCH('Selection Pane Data'!BK$3,List!$E$2:$CD$2,0)),"")</f>
        <v/>
      </c>
      <c r="BL43" s="13" t="str">
        <f>IF(BL$4="Yes",INDEX(List!$E$2:$CD$173,MATCH('Selection Pane Data'!$B43,List!$E$2:$E$173,0),MATCH('Selection Pane Data'!BL$3,List!$E$2:$CD$2,0)),"")</f>
        <v/>
      </c>
      <c r="BM43" s="13" t="str">
        <f>IF(BM$4="Yes",INDEX(List!$E$2:$CD$173,MATCH('Selection Pane Data'!$B43,List!$E$2:$E$173,0),MATCH('Selection Pane Data'!BM$3,List!$E$2:$CD$2,0)),"")</f>
        <v/>
      </c>
      <c r="BN43" s="13" t="str">
        <f>IF(BN$4="Yes",INDEX(List!$E$2:$CD$173,MATCH('Selection Pane Data'!$B43,List!$E$2:$E$173,0),MATCH('Selection Pane Data'!BN$3,List!$E$2:$CD$2,0)),"")</f>
        <v/>
      </c>
      <c r="BO43" s="13" t="str">
        <f>IF(BO$4="Yes",INDEX(List!$E$2:$CD$173,MATCH('Selection Pane Data'!$B43,List!$E$2:$E$173,0),MATCH('Selection Pane Data'!BO$3,List!$E$2:$CD$2,0)),"")</f>
        <v/>
      </c>
      <c r="BP43" s="13" t="str">
        <f>IF(BP$4="Yes",INDEX(List!$E$2:$CD$173,MATCH('Selection Pane Data'!$B43,List!$E$2:$E$173,0),MATCH('Selection Pane Data'!BP$3,List!$E$2:$CD$2,0)),"")</f>
        <v/>
      </c>
      <c r="BQ43" s="13" t="str">
        <f>IF(BQ$4="Yes",INDEX(List!$E$2:$CD$173,MATCH('Selection Pane Data'!$B43,List!$E$2:$E$173,0),MATCH('Selection Pane Data'!BQ$3,List!$E$2:$CD$2,0)),"")</f>
        <v/>
      </c>
      <c r="BR43" s="13" t="str">
        <f>IF(BR$4="Yes",INDEX(List!$E$2:$CD$173,MATCH('Selection Pane Data'!$B43,List!$E$2:$E$173,0),MATCH('Selection Pane Data'!BR$3,List!$E$2:$CD$2,0)),"")</f>
        <v/>
      </c>
      <c r="BS43" s="13" t="str">
        <f>IF(BS$4="Yes",INDEX(List!$E$2:$CD$173,MATCH('Selection Pane Data'!$B43,List!$E$2:$E$173,0),MATCH('Selection Pane Data'!BS$3,List!$E$2:$CD$2,0)),"")</f>
        <v/>
      </c>
      <c r="BT43" s="13" t="str">
        <f>IF(BT$4="Yes",INDEX(List!$E$2:$CD$173,MATCH('Selection Pane Data'!$B43,List!$E$2:$E$173,0),MATCH('Selection Pane Data'!BT$3,List!$E$2:$CD$2,0)),"")</f>
        <v/>
      </c>
      <c r="BU43" s="13" t="str">
        <f>IF(BU$4="Yes",INDEX(List!$E$2:$CD$173,MATCH('Selection Pane Data'!$B43,List!$E$2:$E$173,0),MATCH('Selection Pane Data'!BU$3,List!$E$2:$CD$2,0)),"")</f>
        <v/>
      </c>
      <c r="BV43" s="13" t="str">
        <f>IF(BV$4="Yes",INDEX(List!$E$2:$CD$173,MATCH('Selection Pane Data'!$B43,List!$E$2:$E$173,0),MATCH('Selection Pane Data'!BV$3,List!$E$2:$CD$2,0)),"")</f>
        <v/>
      </c>
      <c r="BW43" s="13" t="str">
        <f>IF(BW$4="Yes",INDEX(List!$E$2:$CD$173,MATCH('Selection Pane Data'!$B43,List!$E$2:$E$173,0),MATCH('Selection Pane Data'!BW$3,List!$E$2:$CD$2,0)),"")</f>
        <v/>
      </c>
      <c r="BX43" s="13" t="str">
        <f>IF(BX$4="Yes",INDEX(List!$E$2:$CD$173,MATCH('Selection Pane Data'!$B43,List!$E$2:$E$173,0),MATCH('Selection Pane Data'!BX$3,List!$E$2:$CD$2,0)),"")</f>
        <v/>
      </c>
      <c r="BY43" s="13" t="str">
        <f>IF(BY$4="Yes",INDEX(List!$E$2:$CD$173,MATCH('Selection Pane Data'!$B43,List!$E$2:$E$173,0),MATCH('Selection Pane Data'!BY$3,List!$E$2:$CD$2,0)),"")</f>
        <v/>
      </c>
      <c r="BZ43" s="13" t="str">
        <f>IF(BZ$4="Yes",INDEX(List!$E$2:$CD$173,MATCH('Selection Pane Data'!$B43,List!$E$2:$E$173,0),MATCH('Selection Pane Data'!BZ$3,List!$E$2:$CD$2,0)),"")</f>
        <v/>
      </c>
      <c r="CA43" s="13" t="str">
        <f>IF(CA$4="Yes",INDEX(List!$E$2:$CD$173,MATCH('Selection Pane Data'!$B43,List!$E$2:$E$173,0),MATCH('Selection Pane Data'!CA$3,List!$E$2:$CD$2,0)),"")</f>
        <v/>
      </c>
      <c r="CB43" s="13" t="str">
        <f>IF(CB$4="Yes",INDEX(List!$E$2:$CD$173,MATCH('Selection Pane Data'!$B43,List!$E$2:$E$173,0),MATCH('Selection Pane Data'!CB$3,List!$E$2:$CD$2,0)),"")</f>
        <v/>
      </c>
      <c r="CC43" s="13" t="str">
        <f>IF(CC$4="Yes",INDEX(List!$E$2:$CD$173,MATCH('Selection Pane Data'!$B43,List!$E$2:$E$173,0),MATCH('Selection Pane Data'!CC$3,List!$E$2:$CD$2,0)),"")</f>
        <v/>
      </c>
      <c r="CD43" s="13" t="str">
        <f>IF(CD$4="Yes",INDEX(List!$E$2:$CD$173,MATCH('Selection Pane Data'!$B43,List!$E$2:$E$173,0),MATCH('Selection Pane Data'!CD$3,List!$E$2:$CD$2,0)),"")</f>
        <v/>
      </c>
      <c r="CE43" s="13" t="str">
        <f>IF(CE$4="Yes",INDEX(List!$E$2:$CD$173,MATCH('Selection Pane Data'!$B43,List!$E$2:$E$173,0),MATCH('Selection Pane Data'!CE$3,List!$E$2:$CD$2,0)),"")</f>
        <v/>
      </c>
    </row>
    <row r="44" spans="2:83" x14ac:dyDescent="0.35">
      <c r="B44" s="21" t="s">
        <v>331</v>
      </c>
      <c r="C44" s="126" t="str">
        <f>VLOOKUP(B44,List!$E$2:$G$173,2,FALSE)</f>
        <v>N/A</v>
      </c>
      <c r="D44" s="31" t="str">
        <f>List!G42</f>
        <v>Shared Coverage</v>
      </c>
      <c r="E44" s="31" t="str">
        <f>IF(Placemat!$F$4="All Practices","All Practices",IF(VLOOKUP(B44,Table7[#All],6,FALSE)="No Mapping","New CMMC Practices","Practices with NIST 800-171 Mappings"))</f>
        <v>Practices with NIST 800-171 Mappings</v>
      </c>
      <c r="F44" t="str">
        <f>INDEX('CMMC Levels'!$A$1:$F$172,MATCH('Selection Pane Data'!$C44,'CMMC Levels'!$A$1:$A$172,0),MATCH(Placemat!$F$4,'CMMC Levels'!$A$1:$F$1,0))</f>
        <v>N/A</v>
      </c>
      <c r="G44" s="77" t="str">
        <f>IF((COUNTIF(List!H42:CE42,"P")+COUNTIF(List!H42:CE42,"S"))=0,"N",IF(COUNTIF(H44:CE44,"P"),"P",IF(COUNTIF(H44:CE44,"S"),"S","U")))</f>
        <v>N</v>
      </c>
      <c r="H44" s="13" t="str">
        <f>IF(H$4="Yes",INDEX(List!$E$2:$CD$173,MATCH('Selection Pane Data'!$B44,List!$E$2:$E$173,0),MATCH('Selection Pane Data'!H$3,List!$E$2:$CD$2,0)),"")</f>
        <v/>
      </c>
      <c r="I44" s="13" t="str">
        <f>IF(I$4="Yes",INDEX(List!$E$2:$CD$173,MATCH('Selection Pane Data'!$B44,List!$E$2:$E$173,0),MATCH('Selection Pane Data'!I$3,List!$E$2:$CD$2,0)),"")</f>
        <v/>
      </c>
      <c r="J44" s="13" t="e">
        <f>IF(J$4="Yes",INDEX(List!$E$2:$CD$173,MATCH('Selection Pane Data'!$B44,List!$E$2:$E$173,0),MATCH('Selection Pane Data'!J$3,List!$E$2:$CD$2,0)),"")</f>
        <v>#N/A</v>
      </c>
      <c r="K44" s="13" t="str">
        <f>IF(K$4="Yes",INDEX(List!$E$2:$CD$173,MATCH('Selection Pane Data'!$B44,List!$E$2:$E$173,0),MATCH('Selection Pane Data'!K$3,List!$E$2:$CD$2,0)),"")</f>
        <v/>
      </c>
      <c r="L44" s="13" t="str">
        <f>IF(L$4="Yes",INDEX(List!$E$2:$CD$173,MATCH('Selection Pane Data'!$B44,List!$E$2:$E$173,0),MATCH('Selection Pane Data'!L$3,List!$E$2:$CD$2,0)),"")</f>
        <v/>
      </c>
      <c r="M44" s="13" t="str">
        <f>IF(M$4="Yes",INDEX(List!$E$2:$CD$173,MATCH('Selection Pane Data'!$B44,List!$E$2:$E$173,0),MATCH('Selection Pane Data'!M$3,List!$E$2:$CD$2,0)),"")</f>
        <v/>
      </c>
      <c r="N44" s="13" t="str">
        <f>IF(N$4="Yes",INDEX(List!$E$2:$CD$173,MATCH('Selection Pane Data'!$B44,List!$E$2:$E$173,0),MATCH('Selection Pane Data'!N$3,List!$E$2:$CD$2,0)),"")</f>
        <v/>
      </c>
      <c r="O44" s="13" t="str">
        <f>IF(O$4="Yes",INDEX(List!$E$2:$CD$173,MATCH('Selection Pane Data'!$B44,List!$E$2:$E$173,0),MATCH('Selection Pane Data'!O$3,List!$E$2:$CD$2,0)),"")</f>
        <v/>
      </c>
      <c r="P44" s="13" t="str">
        <f>IF(P$4="Yes",INDEX(List!$E$2:$CD$173,MATCH('Selection Pane Data'!$B44,List!$E$2:$E$173,0),MATCH('Selection Pane Data'!P$3,List!$E$2:$CD$2,0)),"")</f>
        <v/>
      </c>
      <c r="Q44" s="13" t="str">
        <f>IF(Q$4="Yes",INDEX(List!$E$2:$CD$173,MATCH('Selection Pane Data'!$B44,List!$E$2:$E$173,0),MATCH('Selection Pane Data'!Q$3,List!$E$2:$CD$2,0)),"")</f>
        <v/>
      </c>
      <c r="R44" s="13" t="str">
        <f>IF(R$4="Yes",INDEX(List!$E$2:$CD$173,MATCH('Selection Pane Data'!$B44,List!$E$2:$E$173,0),MATCH('Selection Pane Data'!R$3,List!$E$2:$CD$2,0)),"")</f>
        <v/>
      </c>
      <c r="S44" s="13" t="str">
        <f>IF(S$4="Yes",INDEX(List!$E$2:$CD$173,MATCH('Selection Pane Data'!$B44,List!$E$2:$E$173,0),MATCH('Selection Pane Data'!S$3,List!$E$2:$CD$2,0)),"")</f>
        <v/>
      </c>
      <c r="T44" s="13" t="str">
        <f>IF(T$4="Yes",INDEX(List!$E$2:$CD$173,MATCH('Selection Pane Data'!$B44,List!$E$2:$E$173,0),MATCH('Selection Pane Data'!T$3,List!$E$2:$CD$2,0)),"")</f>
        <v/>
      </c>
      <c r="U44" s="13" t="str">
        <f>IF(U$4="Yes",INDEX(List!$E$2:$CD$173,MATCH('Selection Pane Data'!$B44,List!$E$2:$E$173,0),MATCH('Selection Pane Data'!U$3,List!$E$2:$CD$2,0)),"")</f>
        <v/>
      </c>
      <c r="V44" s="13" t="str">
        <f>IF(V$4="Yes",INDEX(List!$E$2:$CD$173,MATCH('Selection Pane Data'!$B44,List!$E$2:$E$173,0),MATCH('Selection Pane Data'!V$3,List!$E$2:$CD$2,0)),"")</f>
        <v/>
      </c>
      <c r="W44" s="13" t="str">
        <f>IF(W$4="Yes",INDEX(List!$E$2:$CD$173,MATCH('Selection Pane Data'!$B44,List!$E$2:$E$173,0),MATCH('Selection Pane Data'!W$3,List!$E$2:$CD$2,0)),"")</f>
        <v/>
      </c>
      <c r="X44" s="13" t="str">
        <f>IF(X$4="Yes",INDEX(List!$E$2:$CD$173,MATCH('Selection Pane Data'!$B44,List!$E$2:$E$173,0),MATCH('Selection Pane Data'!X$3,List!$E$2:$CD$2,0)),"")</f>
        <v/>
      </c>
      <c r="Y44" s="13" t="str">
        <f>IF(Y$4="Yes",INDEX(List!$E$2:$CD$173,MATCH('Selection Pane Data'!$B44,List!$E$2:$E$173,0),MATCH('Selection Pane Data'!Y$3,List!$E$2:$CD$2,0)),"")</f>
        <v/>
      </c>
      <c r="Z44" s="13" t="str">
        <f>IF(Z$4="Yes",INDEX(List!$E$2:$CD$173,MATCH('Selection Pane Data'!$B44,List!$E$2:$E$173,0),MATCH('Selection Pane Data'!Z$3,List!$E$2:$CD$2,0)),"")</f>
        <v/>
      </c>
      <c r="AA44" s="13" t="e">
        <f>IF(AA$4="Yes",INDEX(List!$E$2:$CD$173,MATCH('Selection Pane Data'!$B44,List!$E$2:$E$173,0),MATCH('Selection Pane Data'!AA$3,List!$E$2:$CD$2,0)),"")</f>
        <v>#N/A</v>
      </c>
      <c r="AB44" s="13" t="str">
        <f>IF(AB$4="Yes",INDEX(List!$E$2:$CD$173,MATCH('Selection Pane Data'!$B44,List!$E$2:$E$173,0),MATCH('Selection Pane Data'!AB$3,List!$E$2:$CD$2,0)),"")</f>
        <v/>
      </c>
      <c r="AC44" s="13" t="str">
        <f>IF(AC$4="Yes",INDEX(List!$E$2:$CD$173,MATCH('Selection Pane Data'!$B44,List!$E$2:$E$173,0),MATCH('Selection Pane Data'!AC$3,List!$E$2:$CD$2,0)),"")</f>
        <v/>
      </c>
      <c r="AD44" s="13" t="str">
        <f>IF(AD$4="Yes",INDEX(List!$E$2:$CD$173,MATCH('Selection Pane Data'!$B44,List!$E$2:$E$173,0),MATCH('Selection Pane Data'!AD$3,List!$E$2:$CD$2,0)),"")</f>
        <v/>
      </c>
      <c r="AE44" s="13" t="str">
        <f>IF(AE$4="Yes",INDEX(List!$E$2:$CD$173,MATCH('Selection Pane Data'!$B44,List!$E$2:$E$173,0),MATCH('Selection Pane Data'!AE$3,List!$E$2:$CD$2,0)),"")</f>
        <v/>
      </c>
      <c r="AF44" s="13" t="str">
        <f>IF(AF$4="Yes",INDEX(List!$E$2:$CD$173,MATCH('Selection Pane Data'!$B44,List!$E$2:$E$173,0),MATCH('Selection Pane Data'!AF$3,List!$E$2:$CD$2,0)),"")</f>
        <v/>
      </c>
      <c r="AG44" s="13" t="str">
        <f>IF(AG$4="Yes",INDEX(List!$E$2:$CD$173,MATCH('Selection Pane Data'!$B44,List!$E$2:$E$173,0),MATCH('Selection Pane Data'!AG$3,List!$E$2:$CD$2,0)),"")</f>
        <v/>
      </c>
      <c r="AH44" s="13" t="str">
        <f>IF(AH$4="Yes",INDEX(List!$E$2:$CD$173,MATCH('Selection Pane Data'!$B44,List!$E$2:$E$173,0),MATCH('Selection Pane Data'!AH$3,List!$E$2:$CD$2,0)),"")</f>
        <v/>
      </c>
      <c r="AI44" s="13" t="str">
        <f>IF(AI$4="Yes",INDEX(List!$E$2:$CD$173,MATCH('Selection Pane Data'!$B44,List!$E$2:$E$173,0),MATCH('Selection Pane Data'!AI$3,List!$E$2:$CD$2,0)),"")</f>
        <v/>
      </c>
      <c r="AJ44" s="13" t="str">
        <f>IF(AJ$4="Yes",INDEX(List!$E$2:$CD$173,MATCH('Selection Pane Data'!$B44,List!$E$2:$E$173,0),MATCH('Selection Pane Data'!AJ$3,List!$E$2:$CD$2,0)),"")</f>
        <v/>
      </c>
      <c r="AK44" s="13" t="str">
        <f>IF(AK$4="Yes",INDEX(List!$E$2:$CD$173,MATCH('Selection Pane Data'!$B44,List!$E$2:$E$173,0),MATCH('Selection Pane Data'!AK$3,List!$E$2:$CD$2,0)),"")</f>
        <v/>
      </c>
      <c r="AL44" s="13" t="str">
        <f>IF(AL$4="Yes",INDEX(List!$E$2:$CD$173,MATCH('Selection Pane Data'!$B44,List!$E$2:$E$173,0),MATCH('Selection Pane Data'!AL$3,List!$E$2:$CD$2,0)),"")</f>
        <v/>
      </c>
      <c r="AM44" s="13" t="str">
        <f>IF(AM$4="Yes",INDEX(List!$E$2:$CD$173,MATCH('Selection Pane Data'!$B44,List!$E$2:$E$173,0),MATCH('Selection Pane Data'!AM$3,List!$E$2:$CD$2,0)),"")</f>
        <v/>
      </c>
      <c r="AN44" s="13" t="str">
        <f>IF(AN$4="Yes",INDEX(List!$E$2:$CD$173,MATCH('Selection Pane Data'!$B44,List!$E$2:$E$173,0),MATCH('Selection Pane Data'!AN$3,List!$E$2:$CD$2,0)),"")</f>
        <v/>
      </c>
      <c r="AO44" s="13" t="str">
        <f>IF(AO$4="Yes",INDEX(List!$E$2:$CD$173,MATCH('Selection Pane Data'!$B44,List!$E$2:$E$173,0),MATCH('Selection Pane Data'!AO$3,List!$E$2:$CD$2,0)),"")</f>
        <v/>
      </c>
      <c r="AP44" s="13" t="str">
        <f>IF(AP$4="Yes",INDEX(List!$E$2:$CD$173,MATCH('Selection Pane Data'!$B44,List!$E$2:$E$173,0),MATCH('Selection Pane Data'!AP$3,List!$E$2:$CD$2,0)),"")</f>
        <v/>
      </c>
      <c r="AQ44" s="13" t="str">
        <f>IF(AQ$4="Yes",INDEX(List!$E$2:$CD$173,MATCH('Selection Pane Data'!$B44,List!$E$2:$E$173,0),MATCH('Selection Pane Data'!AQ$3,List!$E$2:$CD$2,0)),"")</f>
        <v/>
      </c>
      <c r="AR44" s="13" t="str">
        <f>IF(AR$4="Yes",INDEX(List!$E$2:$CD$173,MATCH('Selection Pane Data'!$B44,List!$E$2:$E$173,0),MATCH('Selection Pane Data'!AR$3,List!$E$2:$CD$2,0)),"")</f>
        <v/>
      </c>
      <c r="AS44" s="13" t="str">
        <f>IF(AS$4="Yes",INDEX(List!$E$2:$CD$173,MATCH('Selection Pane Data'!$B44,List!$E$2:$E$173,0),MATCH('Selection Pane Data'!AS$3,List!$E$2:$CD$2,0)),"")</f>
        <v/>
      </c>
      <c r="AT44" s="13" t="str">
        <f>IF(AT$4="Yes",INDEX(List!$E$2:$CD$173,MATCH('Selection Pane Data'!$B44,List!$E$2:$E$173,0),MATCH('Selection Pane Data'!AT$3,List!$E$2:$CD$2,0)),"")</f>
        <v/>
      </c>
      <c r="AU44" s="13" t="str">
        <f>IF(AU$4="Yes",INDEX(List!$E$2:$CD$173,MATCH('Selection Pane Data'!$B44,List!$E$2:$E$173,0),MATCH('Selection Pane Data'!AU$3,List!$E$2:$CD$2,0)),"")</f>
        <v/>
      </c>
      <c r="AV44" s="13" t="str">
        <f>IF(AV$4="Yes",INDEX(List!$E$2:$CD$173,MATCH('Selection Pane Data'!$B44,List!$E$2:$E$173,0),MATCH('Selection Pane Data'!AV$3,List!$E$2:$CD$2,0)),"")</f>
        <v/>
      </c>
      <c r="AW44" s="13" t="str">
        <f>IF(AW$4="Yes",INDEX(List!$E$2:$CD$173,MATCH('Selection Pane Data'!$B44,List!$E$2:$E$173,0),MATCH('Selection Pane Data'!AW$3,List!$E$2:$CD$2,0)),"")</f>
        <v/>
      </c>
      <c r="AX44" s="13" t="str">
        <f>IF(AX$4="Yes",INDEX(List!$E$2:$CD$173,MATCH('Selection Pane Data'!$B44,List!$E$2:$E$173,0),MATCH('Selection Pane Data'!AX$3,List!$E$2:$CD$2,0)),"")</f>
        <v/>
      </c>
      <c r="AY44" s="13" t="str">
        <f>IF(AY$4="Yes",INDEX(List!$E$2:$CD$173,MATCH('Selection Pane Data'!$B44,List!$E$2:$E$173,0),MATCH('Selection Pane Data'!AY$3,List!$E$2:$CD$2,0)),"")</f>
        <v/>
      </c>
      <c r="AZ44" s="13" t="str">
        <f>IF(AZ$4="Yes",INDEX(List!$E$2:$CD$173,MATCH('Selection Pane Data'!$B44,List!$E$2:$E$173,0),MATCH('Selection Pane Data'!AZ$3,List!$E$2:$CD$2,0)),"")</f>
        <v/>
      </c>
      <c r="BA44" s="13" t="str">
        <f>IF(BA$4="Yes",INDEX(List!$E$2:$CD$173,MATCH('Selection Pane Data'!$B44,List!$E$2:$E$173,0),MATCH('Selection Pane Data'!BA$3,List!$E$2:$CD$2,0)),"")</f>
        <v/>
      </c>
      <c r="BB44" s="13" t="str">
        <f>IF(BB$4="Yes",INDEX(List!$E$2:$CD$173,MATCH('Selection Pane Data'!$B44,List!$E$2:$E$173,0),MATCH('Selection Pane Data'!BB$3,List!$E$2:$CD$2,0)),"")</f>
        <v/>
      </c>
      <c r="BC44" s="13" t="str">
        <f>IF(BC$4="Yes",INDEX(List!$E$2:$CD$173,MATCH('Selection Pane Data'!$B44,List!$E$2:$E$173,0),MATCH('Selection Pane Data'!BC$3,List!$E$2:$CD$2,0)),"")</f>
        <v/>
      </c>
      <c r="BD44" s="13" t="str">
        <f>IF(BD$4="Yes",INDEX(List!$E$2:$CD$173,MATCH('Selection Pane Data'!$B44,List!$E$2:$E$173,0),MATCH('Selection Pane Data'!BD$3,List!$E$2:$CD$2,0)),"")</f>
        <v/>
      </c>
      <c r="BE44" s="13" t="str">
        <f>IF(BE$4="Yes",INDEX(List!$E$2:$CD$173,MATCH('Selection Pane Data'!$B44,List!$E$2:$E$173,0),MATCH('Selection Pane Data'!BE$3,List!$E$2:$CD$2,0)),"")</f>
        <v/>
      </c>
      <c r="BF44" s="13" t="str">
        <f>IF(BF$4="Yes",INDEX(List!$E$2:$CD$173,MATCH('Selection Pane Data'!$B44,List!$E$2:$E$173,0),MATCH('Selection Pane Data'!BF$3,List!$E$2:$CD$2,0)),"")</f>
        <v/>
      </c>
      <c r="BG44" s="13" t="str">
        <f>IF(BG$4="Yes",INDEX(List!$E$2:$CD$173,MATCH('Selection Pane Data'!$B44,List!$E$2:$E$173,0),MATCH('Selection Pane Data'!BG$3,List!$E$2:$CD$2,0)),"")</f>
        <v/>
      </c>
      <c r="BH44" s="13" t="str">
        <f>IF(BH$4="Yes",INDEX(List!$E$2:$CD$173,MATCH('Selection Pane Data'!$B44,List!$E$2:$E$173,0),MATCH('Selection Pane Data'!BH$3,List!$E$2:$CD$2,0)),"")</f>
        <v/>
      </c>
      <c r="BI44" s="13" t="str">
        <f>IF(BI$4="Yes",INDEX(List!$E$2:$CD$173,MATCH('Selection Pane Data'!$B44,List!$E$2:$E$173,0),MATCH('Selection Pane Data'!BI$3,List!$E$2:$CD$2,0)),"")</f>
        <v/>
      </c>
      <c r="BJ44" s="13" t="str">
        <f>IF(BJ$4="Yes",INDEX(List!$E$2:$CD$173,MATCH('Selection Pane Data'!$B44,List!$E$2:$E$173,0),MATCH('Selection Pane Data'!BJ$3,List!$E$2:$CD$2,0)),"")</f>
        <v/>
      </c>
      <c r="BK44" s="13" t="str">
        <f>IF(BK$4="Yes",INDEX(List!$E$2:$CD$173,MATCH('Selection Pane Data'!$B44,List!$E$2:$E$173,0),MATCH('Selection Pane Data'!BK$3,List!$E$2:$CD$2,0)),"")</f>
        <v/>
      </c>
      <c r="BL44" s="13" t="str">
        <f>IF(BL$4="Yes",INDEX(List!$E$2:$CD$173,MATCH('Selection Pane Data'!$B44,List!$E$2:$E$173,0),MATCH('Selection Pane Data'!BL$3,List!$E$2:$CD$2,0)),"")</f>
        <v/>
      </c>
      <c r="BM44" s="13" t="str">
        <f>IF(BM$4="Yes",INDEX(List!$E$2:$CD$173,MATCH('Selection Pane Data'!$B44,List!$E$2:$E$173,0),MATCH('Selection Pane Data'!BM$3,List!$E$2:$CD$2,0)),"")</f>
        <v/>
      </c>
      <c r="BN44" s="13" t="str">
        <f>IF(BN$4="Yes",INDEX(List!$E$2:$CD$173,MATCH('Selection Pane Data'!$B44,List!$E$2:$E$173,0),MATCH('Selection Pane Data'!BN$3,List!$E$2:$CD$2,0)),"")</f>
        <v/>
      </c>
      <c r="BO44" s="13" t="str">
        <f>IF(BO$4="Yes",INDEX(List!$E$2:$CD$173,MATCH('Selection Pane Data'!$B44,List!$E$2:$E$173,0),MATCH('Selection Pane Data'!BO$3,List!$E$2:$CD$2,0)),"")</f>
        <v/>
      </c>
      <c r="BP44" s="13" t="str">
        <f>IF(BP$4="Yes",INDEX(List!$E$2:$CD$173,MATCH('Selection Pane Data'!$B44,List!$E$2:$E$173,0),MATCH('Selection Pane Data'!BP$3,List!$E$2:$CD$2,0)),"")</f>
        <v/>
      </c>
      <c r="BQ44" s="13" t="str">
        <f>IF(BQ$4="Yes",INDEX(List!$E$2:$CD$173,MATCH('Selection Pane Data'!$B44,List!$E$2:$E$173,0),MATCH('Selection Pane Data'!BQ$3,List!$E$2:$CD$2,0)),"")</f>
        <v/>
      </c>
      <c r="BR44" s="13" t="str">
        <f>IF(BR$4="Yes",INDEX(List!$E$2:$CD$173,MATCH('Selection Pane Data'!$B44,List!$E$2:$E$173,0),MATCH('Selection Pane Data'!BR$3,List!$E$2:$CD$2,0)),"")</f>
        <v/>
      </c>
      <c r="BS44" s="13" t="str">
        <f>IF(BS$4="Yes",INDEX(List!$E$2:$CD$173,MATCH('Selection Pane Data'!$B44,List!$E$2:$E$173,0),MATCH('Selection Pane Data'!BS$3,List!$E$2:$CD$2,0)),"")</f>
        <v/>
      </c>
      <c r="BT44" s="13" t="str">
        <f>IF(BT$4="Yes",INDEX(List!$E$2:$CD$173,MATCH('Selection Pane Data'!$B44,List!$E$2:$E$173,0),MATCH('Selection Pane Data'!BT$3,List!$E$2:$CD$2,0)),"")</f>
        <v/>
      </c>
      <c r="BU44" s="13" t="str">
        <f>IF(BU$4="Yes",INDEX(List!$E$2:$CD$173,MATCH('Selection Pane Data'!$B44,List!$E$2:$E$173,0),MATCH('Selection Pane Data'!BU$3,List!$E$2:$CD$2,0)),"")</f>
        <v/>
      </c>
      <c r="BV44" s="13" t="str">
        <f>IF(BV$4="Yes",INDEX(List!$E$2:$CD$173,MATCH('Selection Pane Data'!$B44,List!$E$2:$E$173,0),MATCH('Selection Pane Data'!BV$3,List!$E$2:$CD$2,0)),"")</f>
        <v/>
      </c>
      <c r="BW44" s="13" t="str">
        <f>IF(BW$4="Yes",INDEX(List!$E$2:$CD$173,MATCH('Selection Pane Data'!$B44,List!$E$2:$E$173,0),MATCH('Selection Pane Data'!BW$3,List!$E$2:$CD$2,0)),"")</f>
        <v/>
      </c>
      <c r="BX44" s="13" t="str">
        <f>IF(BX$4="Yes",INDEX(List!$E$2:$CD$173,MATCH('Selection Pane Data'!$B44,List!$E$2:$E$173,0),MATCH('Selection Pane Data'!BX$3,List!$E$2:$CD$2,0)),"")</f>
        <v/>
      </c>
      <c r="BY44" s="13" t="str">
        <f>IF(BY$4="Yes",INDEX(List!$E$2:$CD$173,MATCH('Selection Pane Data'!$B44,List!$E$2:$E$173,0),MATCH('Selection Pane Data'!BY$3,List!$E$2:$CD$2,0)),"")</f>
        <v/>
      </c>
      <c r="BZ44" s="13" t="str">
        <f>IF(BZ$4="Yes",INDEX(List!$E$2:$CD$173,MATCH('Selection Pane Data'!$B44,List!$E$2:$E$173,0),MATCH('Selection Pane Data'!BZ$3,List!$E$2:$CD$2,0)),"")</f>
        <v/>
      </c>
      <c r="CA44" s="13" t="str">
        <f>IF(CA$4="Yes",INDEX(List!$E$2:$CD$173,MATCH('Selection Pane Data'!$B44,List!$E$2:$E$173,0),MATCH('Selection Pane Data'!CA$3,List!$E$2:$CD$2,0)),"")</f>
        <v/>
      </c>
      <c r="CB44" s="13" t="str">
        <f>IF(CB$4="Yes",INDEX(List!$E$2:$CD$173,MATCH('Selection Pane Data'!$B44,List!$E$2:$E$173,0),MATCH('Selection Pane Data'!CB$3,List!$E$2:$CD$2,0)),"")</f>
        <v/>
      </c>
      <c r="CC44" s="13" t="str">
        <f>IF(CC$4="Yes",INDEX(List!$E$2:$CD$173,MATCH('Selection Pane Data'!$B44,List!$E$2:$E$173,0),MATCH('Selection Pane Data'!CC$3,List!$E$2:$CD$2,0)),"")</f>
        <v/>
      </c>
      <c r="CD44" s="13" t="str">
        <f>IF(CD$4="Yes",INDEX(List!$E$2:$CD$173,MATCH('Selection Pane Data'!$B44,List!$E$2:$E$173,0),MATCH('Selection Pane Data'!CD$3,List!$E$2:$CD$2,0)),"")</f>
        <v/>
      </c>
      <c r="CE44" s="13" t="str">
        <f>IF(CE$4="Yes",INDEX(List!$E$2:$CD$173,MATCH('Selection Pane Data'!$B44,List!$E$2:$E$173,0),MATCH('Selection Pane Data'!CE$3,List!$E$2:$CD$2,0)),"")</f>
        <v/>
      </c>
    </row>
    <row r="45" spans="2:83" x14ac:dyDescent="0.35">
      <c r="B45" s="21" t="s">
        <v>332</v>
      </c>
      <c r="C45" s="126" t="str">
        <f>VLOOKUP(B45,List!$E$2:$G$173,2,FALSE)</f>
        <v>AU.L2-3.3.8</v>
      </c>
      <c r="D45" s="31" t="str">
        <f>List!G43</f>
        <v>Shared Coverage</v>
      </c>
      <c r="E45" s="31" t="str">
        <f>IF(Placemat!$F$4="All Practices","All Practices",IF(VLOOKUP(B45,Table7[#All],6,FALSE)="No Mapping","New CMMC Practices","Practices with NIST 800-171 Mappings"))</f>
        <v>Practices with NIST 800-171 Mappings</v>
      </c>
      <c r="F45" t="str">
        <f>INDEX('CMMC Levels'!$A$1:$F$172,MATCH('Selection Pane Data'!$C45,'CMMC Levels'!$A$1:$A$172,0),MATCH(Placemat!$F$4,'CMMC Levels'!$A$1:$F$1,0))</f>
        <v>X</v>
      </c>
      <c r="G45" s="77" t="str">
        <f>IF((COUNTIF(List!H43:CE43,"P")+COUNTIF(List!H43:CE43,"S"))=0,"N",IF(COUNTIF(H45:CE45,"P"),"P",IF(COUNTIF(H45:CE45,"S"),"S","U")))</f>
        <v>U</v>
      </c>
      <c r="H45" s="13" t="str">
        <f>IF(H$4="Yes",INDEX(List!$E$2:$CD$173,MATCH('Selection Pane Data'!$B45,List!$E$2:$E$173,0),MATCH('Selection Pane Data'!H$3,List!$E$2:$CD$2,0)),"")</f>
        <v/>
      </c>
      <c r="I45" s="13" t="str">
        <f>IF(I$4="Yes",INDEX(List!$E$2:$CD$173,MATCH('Selection Pane Data'!$B45,List!$E$2:$E$173,0),MATCH('Selection Pane Data'!I$3,List!$E$2:$CD$2,0)),"")</f>
        <v/>
      </c>
      <c r="J45" s="13" t="str">
        <f>IF(J$4="Yes",INDEX(List!$E$2:$CD$173,MATCH('Selection Pane Data'!$B45,List!$E$2:$E$173,0),MATCH('Selection Pane Data'!J$3,List!$E$2:$CD$2,0)),"")</f>
        <v>N</v>
      </c>
      <c r="K45" s="13" t="str">
        <f>IF(K$4="Yes",INDEX(List!$E$2:$CD$173,MATCH('Selection Pane Data'!$B45,List!$E$2:$E$173,0),MATCH('Selection Pane Data'!K$3,List!$E$2:$CD$2,0)),"")</f>
        <v/>
      </c>
      <c r="L45" s="13" t="str">
        <f>IF(L$4="Yes",INDEX(List!$E$2:$CD$173,MATCH('Selection Pane Data'!$B45,List!$E$2:$E$173,0),MATCH('Selection Pane Data'!L$3,List!$E$2:$CD$2,0)),"")</f>
        <v/>
      </c>
      <c r="M45" s="13" t="str">
        <f>IF(M$4="Yes",INDEX(List!$E$2:$CD$173,MATCH('Selection Pane Data'!$B45,List!$E$2:$E$173,0),MATCH('Selection Pane Data'!M$3,List!$E$2:$CD$2,0)),"")</f>
        <v/>
      </c>
      <c r="N45" s="13" t="str">
        <f>IF(N$4="Yes",INDEX(List!$E$2:$CD$173,MATCH('Selection Pane Data'!$B45,List!$E$2:$E$173,0),MATCH('Selection Pane Data'!N$3,List!$E$2:$CD$2,0)),"")</f>
        <v/>
      </c>
      <c r="O45" s="13" t="str">
        <f>IF(O$4="Yes",INDEX(List!$E$2:$CD$173,MATCH('Selection Pane Data'!$B45,List!$E$2:$E$173,0),MATCH('Selection Pane Data'!O$3,List!$E$2:$CD$2,0)),"")</f>
        <v/>
      </c>
      <c r="P45" s="13" t="str">
        <f>IF(P$4="Yes",INDEX(List!$E$2:$CD$173,MATCH('Selection Pane Data'!$B45,List!$E$2:$E$173,0),MATCH('Selection Pane Data'!P$3,List!$E$2:$CD$2,0)),"")</f>
        <v/>
      </c>
      <c r="Q45" s="13" t="str">
        <f>IF(Q$4="Yes",INDEX(List!$E$2:$CD$173,MATCH('Selection Pane Data'!$B45,List!$E$2:$E$173,0),MATCH('Selection Pane Data'!Q$3,List!$E$2:$CD$2,0)),"")</f>
        <v/>
      </c>
      <c r="R45" s="13" t="str">
        <f>IF(R$4="Yes",INDEX(List!$E$2:$CD$173,MATCH('Selection Pane Data'!$B45,List!$E$2:$E$173,0),MATCH('Selection Pane Data'!R$3,List!$E$2:$CD$2,0)),"")</f>
        <v/>
      </c>
      <c r="S45" s="13" t="str">
        <f>IF(S$4="Yes",INDEX(List!$E$2:$CD$173,MATCH('Selection Pane Data'!$B45,List!$E$2:$E$173,0),MATCH('Selection Pane Data'!S$3,List!$E$2:$CD$2,0)),"")</f>
        <v/>
      </c>
      <c r="T45" s="13" t="str">
        <f>IF(T$4="Yes",INDEX(List!$E$2:$CD$173,MATCH('Selection Pane Data'!$B45,List!$E$2:$E$173,0),MATCH('Selection Pane Data'!T$3,List!$E$2:$CD$2,0)),"")</f>
        <v/>
      </c>
      <c r="U45" s="13" t="str">
        <f>IF(U$4="Yes",INDEX(List!$E$2:$CD$173,MATCH('Selection Pane Data'!$B45,List!$E$2:$E$173,0),MATCH('Selection Pane Data'!U$3,List!$E$2:$CD$2,0)),"")</f>
        <v/>
      </c>
      <c r="V45" s="13" t="str">
        <f>IF(V$4="Yes",INDEX(List!$E$2:$CD$173,MATCH('Selection Pane Data'!$B45,List!$E$2:$E$173,0),MATCH('Selection Pane Data'!V$3,List!$E$2:$CD$2,0)),"")</f>
        <v/>
      </c>
      <c r="W45" s="13" t="str">
        <f>IF(W$4="Yes",INDEX(List!$E$2:$CD$173,MATCH('Selection Pane Data'!$B45,List!$E$2:$E$173,0),MATCH('Selection Pane Data'!W$3,List!$E$2:$CD$2,0)),"")</f>
        <v/>
      </c>
      <c r="X45" s="13" t="str">
        <f>IF(X$4="Yes",INDEX(List!$E$2:$CD$173,MATCH('Selection Pane Data'!$B45,List!$E$2:$E$173,0),MATCH('Selection Pane Data'!X$3,List!$E$2:$CD$2,0)),"")</f>
        <v/>
      </c>
      <c r="Y45" s="13" t="str">
        <f>IF(Y$4="Yes",INDEX(List!$E$2:$CD$173,MATCH('Selection Pane Data'!$B45,List!$E$2:$E$173,0),MATCH('Selection Pane Data'!Y$3,List!$E$2:$CD$2,0)),"")</f>
        <v/>
      </c>
      <c r="Z45" s="13" t="str">
        <f>IF(Z$4="Yes",INDEX(List!$E$2:$CD$173,MATCH('Selection Pane Data'!$B45,List!$E$2:$E$173,0),MATCH('Selection Pane Data'!Z$3,List!$E$2:$CD$2,0)),"")</f>
        <v/>
      </c>
      <c r="AA45" s="13" t="str">
        <f>IF(AA$4="Yes",INDEX(List!$E$2:$CD$173,MATCH('Selection Pane Data'!$B45,List!$E$2:$E$173,0),MATCH('Selection Pane Data'!AA$3,List!$E$2:$CD$2,0)),"")</f>
        <v>N</v>
      </c>
      <c r="AB45" s="13" t="str">
        <f>IF(AB$4="Yes",INDEX(List!$E$2:$CD$173,MATCH('Selection Pane Data'!$B45,List!$E$2:$E$173,0),MATCH('Selection Pane Data'!AB$3,List!$E$2:$CD$2,0)),"")</f>
        <v/>
      </c>
      <c r="AC45" s="13" t="str">
        <f>IF(AC$4="Yes",INDEX(List!$E$2:$CD$173,MATCH('Selection Pane Data'!$B45,List!$E$2:$E$173,0),MATCH('Selection Pane Data'!AC$3,List!$E$2:$CD$2,0)),"")</f>
        <v/>
      </c>
      <c r="AD45" s="13" t="str">
        <f>IF(AD$4="Yes",INDEX(List!$E$2:$CD$173,MATCH('Selection Pane Data'!$B45,List!$E$2:$E$173,0),MATCH('Selection Pane Data'!AD$3,List!$E$2:$CD$2,0)),"")</f>
        <v/>
      </c>
      <c r="AE45" s="13" t="str">
        <f>IF(AE$4="Yes",INDEX(List!$E$2:$CD$173,MATCH('Selection Pane Data'!$B45,List!$E$2:$E$173,0),MATCH('Selection Pane Data'!AE$3,List!$E$2:$CD$2,0)),"")</f>
        <v/>
      </c>
      <c r="AF45" s="13" t="str">
        <f>IF(AF$4="Yes",INDEX(List!$E$2:$CD$173,MATCH('Selection Pane Data'!$B45,List!$E$2:$E$173,0),MATCH('Selection Pane Data'!AF$3,List!$E$2:$CD$2,0)),"")</f>
        <v/>
      </c>
      <c r="AG45" s="13" t="str">
        <f>IF(AG$4="Yes",INDEX(List!$E$2:$CD$173,MATCH('Selection Pane Data'!$B45,List!$E$2:$E$173,0),MATCH('Selection Pane Data'!AG$3,List!$E$2:$CD$2,0)),"")</f>
        <v/>
      </c>
      <c r="AH45" s="13" t="str">
        <f>IF(AH$4="Yes",INDEX(List!$E$2:$CD$173,MATCH('Selection Pane Data'!$B45,List!$E$2:$E$173,0),MATCH('Selection Pane Data'!AH$3,List!$E$2:$CD$2,0)),"")</f>
        <v/>
      </c>
      <c r="AI45" s="13" t="str">
        <f>IF(AI$4="Yes",INDEX(List!$E$2:$CD$173,MATCH('Selection Pane Data'!$B45,List!$E$2:$E$173,0),MATCH('Selection Pane Data'!AI$3,List!$E$2:$CD$2,0)),"")</f>
        <v/>
      </c>
      <c r="AJ45" s="13" t="str">
        <f>IF(AJ$4="Yes",INDEX(List!$E$2:$CD$173,MATCH('Selection Pane Data'!$B45,List!$E$2:$E$173,0),MATCH('Selection Pane Data'!AJ$3,List!$E$2:$CD$2,0)),"")</f>
        <v/>
      </c>
      <c r="AK45" s="13" t="str">
        <f>IF(AK$4="Yes",INDEX(List!$E$2:$CD$173,MATCH('Selection Pane Data'!$B45,List!$E$2:$E$173,0),MATCH('Selection Pane Data'!AK$3,List!$E$2:$CD$2,0)),"")</f>
        <v/>
      </c>
      <c r="AL45" s="13" t="str">
        <f>IF(AL$4="Yes",INDEX(List!$E$2:$CD$173,MATCH('Selection Pane Data'!$B45,List!$E$2:$E$173,0),MATCH('Selection Pane Data'!AL$3,List!$E$2:$CD$2,0)),"")</f>
        <v/>
      </c>
      <c r="AM45" s="13" t="str">
        <f>IF(AM$4="Yes",INDEX(List!$E$2:$CD$173,MATCH('Selection Pane Data'!$B45,List!$E$2:$E$173,0),MATCH('Selection Pane Data'!AM$3,List!$E$2:$CD$2,0)),"")</f>
        <v/>
      </c>
      <c r="AN45" s="13" t="str">
        <f>IF(AN$4="Yes",INDEX(List!$E$2:$CD$173,MATCH('Selection Pane Data'!$B45,List!$E$2:$E$173,0),MATCH('Selection Pane Data'!AN$3,List!$E$2:$CD$2,0)),"")</f>
        <v/>
      </c>
      <c r="AO45" s="13" t="str">
        <f>IF(AO$4="Yes",INDEX(List!$E$2:$CD$173,MATCH('Selection Pane Data'!$B45,List!$E$2:$E$173,0),MATCH('Selection Pane Data'!AO$3,List!$E$2:$CD$2,0)),"")</f>
        <v/>
      </c>
      <c r="AP45" s="13" t="str">
        <f>IF(AP$4="Yes",INDEX(List!$E$2:$CD$173,MATCH('Selection Pane Data'!$B45,List!$E$2:$E$173,0),MATCH('Selection Pane Data'!AP$3,List!$E$2:$CD$2,0)),"")</f>
        <v/>
      </c>
      <c r="AQ45" s="13" t="str">
        <f>IF(AQ$4="Yes",INDEX(List!$E$2:$CD$173,MATCH('Selection Pane Data'!$B45,List!$E$2:$E$173,0),MATCH('Selection Pane Data'!AQ$3,List!$E$2:$CD$2,0)),"")</f>
        <v/>
      </c>
      <c r="AR45" s="13" t="str">
        <f>IF(AR$4="Yes",INDEX(List!$E$2:$CD$173,MATCH('Selection Pane Data'!$B45,List!$E$2:$E$173,0),MATCH('Selection Pane Data'!AR$3,List!$E$2:$CD$2,0)),"")</f>
        <v/>
      </c>
      <c r="AS45" s="13" t="str">
        <f>IF(AS$4="Yes",INDEX(List!$E$2:$CD$173,MATCH('Selection Pane Data'!$B45,List!$E$2:$E$173,0),MATCH('Selection Pane Data'!AS$3,List!$E$2:$CD$2,0)),"")</f>
        <v/>
      </c>
      <c r="AT45" s="13" t="str">
        <f>IF(AT$4="Yes",INDEX(List!$E$2:$CD$173,MATCH('Selection Pane Data'!$B45,List!$E$2:$E$173,0),MATCH('Selection Pane Data'!AT$3,List!$E$2:$CD$2,0)),"")</f>
        <v/>
      </c>
      <c r="AU45" s="13" t="str">
        <f>IF(AU$4="Yes",INDEX(List!$E$2:$CD$173,MATCH('Selection Pane Data'!$B45,List!$E$2:$E$173,0),MATCH('Selection Pane Data'!AU$3,List!$E$2:$CD$2,0)),"")</f>
        <v/>
      </c>
      <c r="AV45" s="13" t="str">
        <f>IF(AV$4="Yes",INDEX(List!$E$2:$CD$173,MATCH('Selection Pane Data'!$B45,List!$E$2:$E$173,0),MATCH('Selection Pane Data'!AV$3,List!$E$2:$CD$2,0)),"")</f>
        <v/>
      </c>
      <c r="AW45" s="13" t="str">
        <f>IF(AW$4="Yes",INDEX(List!$E$2:$CD$173,MATCH('Selection Pane Data'!$B45,List!$E$2:$E$173,0),MATCH('Selection Pane Data'!AW$3,List!$E$2:$CD$2,0)),"")</f>
        <v/>
      </c>
      <c r="AX45" s="13" t="str">
        <f>IF(AX$4="Yes",INDEX(List!$E$2:$CD$173,MATCH('Selection Pane Data'!$B45,List!$E$2:$E$173,0),MATCH('Selection Pane Data'!AX$3,List!$E$2:$CD$2,0)),"")</f>
        <v/>
      </c>
      <c r="AY45" s="13" t="str">
        <f>IF(AY$4="Yes",INDEX(List!$E$2:$CD$173,MATCH('Selection Pane Data'!$B45,List!$E$2:$E$173,0),MATCH('Selection Pane Data'!AY$3,List!$E$2:$CD$2,0)),"")</f>
        <v/>
      </c>
      <c r="AZ45" s="13" t="str">
        <f>IF(AZ$4="Yes",INDEX(List!$E$2:$CD$173,MATCH('Selection Pane Data'!$B45,List!$E$2:$E$173,0),MATCH('Selection Pane Data'!AZ$3,List!$E$2:$CD$2,0)),"")</f>
        <v/>
      </c>
      <c r="BA45" s="13" t="str">
        <f>IF(BA$4="Yes",INDEX(List!$E$2:$CD$173,MATCH('Selection Pane Data'!$B45,List!$E$2:$E$173,0),MATCH('Selection Pane Data'!BA$3,List!$E$2:$CD$2,0)),"")</f>
        <v/>
      </c>
      <c r="BB45" s="13" t="str">
        <f>IF(BB$4="Yes",INDEX(List!$E$2:$CD$173,MATCH('Selection Pane Data'!$B45,List!$E$2:$E$173,0),MATCH('Selection Pane Data'!BB$3,List!$E$2:$CD$2,0)),"")</f>
        <v/>
      </c>
      <c r="BC45" s="13" t="str">
        <f>IF(BC$4="Yes",INDEX(List!$E$2:$CD$173,MATCH('Selection Pane Data'!$B45,List!$E$2:$E$173,0),MATCH('Selection Pane Data'!BC$3,List!$E$2:$CD$2,0)),"")</f>
        <v/>
      </c>
      <c r="BD45" s="13" t="str">
        <f>IF(BD$4="Yes",INDEX(List!$E$2:$CD$173,MATCH('Selection Pane Data'!$B45,List!$E$2:$E$173,0),MATCH('Selection Pane Data'!BD$3,List!$E$2:$CD$2,0)),"")</f>
        <v/>
      </c>
      <c r="BE45" s="13" t="str">
        <f>IF(BE$4="Yes",INDEX(List!$E$2:$CD$173,MATCH('Selection Pane Data'!$B45,List!$E$2:$E$173,0),MATCH('Selection Pane Data'!BE$3,List!$E$2:$CD$2,0)),"")</f>
        <v/>
      </c>
      <c r="BF45" s="13" t="str">
        <f>IF(BF$4="Yes",INDEX(List!$E$2:$CD$173,MATCH('Selection Pane Data'!$B45,List!$E$2:$E$173,0),MATCH('Selection Pane Data'!BF$3,List!$E$2:$CD$2,0)),"")</f>
        <v/>
      </c>
      <c r="BG45" s="13" t="str">
        <f>IF(BG$4="Yes",INDEX(List!$E$2:$CD$173,MATCH('Selection Pane Data'!$B45,List!$E$2:$E$173,0),MATCH('Selection Pane Data'!BG$3,List!$E$2:$CD$2,0)),"")</f>
        <v/>
      </c>
      <c r="BH45" s="13" t="str">
        <f>IF(BH$4="Yes",INDEX(List!$E$2:$CD$173,MATCH('Selection Pane Data'!$B45,List!$E$2:$E$173,0),MATCH('Selection Pane Data'!BH$3,List!$E$2:$CD$2,0)),"")</f>
        <v/>
      </c>
      <c r="BI45" s="13" t="str">
        <f>IF(BI$4="Yes",INDEX(List!$E$2:$CD$173,MATCH('Selection Pane Data'!$B45,List!$E$2:$E$173,0),MATCH('Selection Pane Data'!BI$3,List!$E$2:$CD$2,0)),"")</f>
        <v/>
      </c>
      <c r="BJ45" s="13" t="str">
        <f>IF(BJ$4="Yes",INDEX(List!$E$2:$CD$173,MATCH('Selection Pane Data'!$B45,List!$E$2:$E$173,0),MATCH('Selection Pane Data'!BJ$3,List!$E$2:$CD$2,0)),"")</f>
        <v/>
      </c>
      <c r="BK45" s="13" t="str">
        <f>IF(BK$4="Yes",INDEX(List!$E$2:$CD$173,MATCH('Selection Pane Data'!$B45,List!$E$2:$E$173,0),MATCH('Selection Pane Data'!BK$3,List!$E$2:$CD$2,0)),"")</f>
        <v/>
      </c>
      <c r="BL45" s="13" t="str">
        <f>IF(BL$4="Yes",INDEX(List!$E$2:$CD$173,MATCH('Selection Pane Data'!$B45,List!$E$2:$E$173,0),MATCH('Selection Pane Data'!BL$3,List!$E$2:$CD$2,0)),"")</f>
        <v/>
      </c>
      <c r="BM45" s="13" t="str">
        <f>IF(BM$4="Yes",INDEX(List!$E$2:$CD$173,MATCH('Selection Pane Data'!$B45,List!$E$2:$E$173,0),MATCH('Selection Pane Data'!BM$3,List!$E$2:$CD$2,0)),"")</f>
        <v/>
      </c>
      <c r="BN45" s="13" t="str">
        <f>IF(BN$4="Yes",INDEX(List!$E$2:$CD$173,MATCH('Selection Pane Data'!$B45,List!$E$2:$E$173,0),MATCH('Selection Pane Data'!BN$3,List!$E$2:$CD$2,0)),"")</f>
        <v/>
      </c>
      <c r="BO45" s="13" t="str">
        <f>IF(BO$4="Yes",INDEX(List!$E$2:$CD$173,MATCH('Selection Pane Data'!$B45,List!$E$2:$E$173,0),MATCH('Selection Pane Data'!BO$3,List!$E$2:$CD$2,0)),"")</f>
        <v/>
      </c>
      <c r="BP45" s="13" t="str">
        <f>IF(BP$4="Yes",INDEX(List!$E$2:$CD$173,MATCH('Selection Pane Data'!$B45,List!$E$2:$E$173,0),MATCH('Selection Pane Data'!BP$3,List!$E$2:$CD$2,0)),"")</f>
        <v/>
      </c>
      <c r="BQ45" s="13" t="str">
        <f>IF(BQ$4="Yes",INDEX(List!$E$2:$CD$173,MATCH('Selection Pane Data'!$B45,List!$E$2:$E$173,0),MATCH('Selection Pane Data'!BQ$3,List!$E$2:$CD$2,0)),"")</f>
        <v/>
      </c>
      <c r="BR45" s="13" t="str">
        <f>IF(BR$4="Yes",INDEX(List!$E$2:$CD$173,MATCH('Selection Pane Data'!$B45,List!$E$2:$E$173,0),MATCH('Selection Pane Data'!BR$3,List!$E$2:$CD$2,0)),"")</f>
        <v/>
      </c>
      <c r="BS45" s="13" t="str">
        <f>IF(BS$4="Yes",INDEX(List!$E$2:$CD$173,MATCH('Selection Pane Data'!$B45,List!$E$2:$E$173,0),MATCH('Selection Pane Data'!BS$3,List!$E$2:$CD$2,0)),"")</f>
        <v/>
      </c>
      <c r="BT45" s="13" t="str">
        <f>IF(BT$4="Yes",INDEX(List!$E$2:$CD$173,MATCH('Selection Pane Data'!$B45,List!$E$2:$E$173,0),MATCH('Selection Pane Data'!BT$3,List!$E$2:$CD$2,0)),"")</f>
        <v/>
      </c>
      <c r="BU45" s="13" t="str">
        <f>IF(BU$4="Yes",INDEX(List!$E$2:$CD$173,MATCH('Selection Pane Data'!$B45,List!$E$2:$E$173,0),MATCH('Selection Pane Data'!BU$3,List!$E$2:$CD$2,0)),"")</f>
        <v/>
      </c>
      <c r="BV45" s="13" t="str">
        <f>IF(BV$4="Yes",INDEX(List!$E$2:$CD$173,MATCH('Selection Pane Data'!$B45,List!$E$2:$E$173,0),MATCH('Selection Pane Data'!BV$3,List!$E$2:$CD$2,0)),"")</f>
        <v/>
      </c>
      <c r="BW45" s="13" t="str">
        <f>IF(BW$4="Yes",INDEX(List!$E$2:$CD$173,MATCH('Selection Pane Data'!$B45,List!$E$2:$E$173,0),MATCH('Selection Pane Data'!BW$3,List!$E$2:$CD$2,0)),"")</f>
        <v/>
      </c>
      <c r="BX45" s="13" t="str">
        <f>IF(BX$4="Yes",INDEX(List!$E$2:$CD$173,MATCH('Selection Pane Data'!$B45,List!$E$2:$E$173,0),MATCH('Selection Pane Data'!BX$3,List!$E$2:$CD$2,0)),"")</f>
        <v/>
      </c>
      <c r="BY45" s="13" t="str">
        <f>IF(BY$4="Yes",INDEX(List!$E$2:$CD$173,MATCH('Selection Pane Data'!$B45,List!$E$2:$E$173,0),MATCH('Selection Pane Data'!BY$3,List!$E$2:$CD$2,0)),"")</f>
        <v/>
      </c>
      <c r="BZ45" s="13" t="str">
        <f>IF(BZ$4="Yes",INDEX(List!$E$2:$CD$173,MATCH('Selection Pane Data'!$B45,List!$E$2:$E$173,0),MATCH('Selection Pane Data'!BZ$3,List!$E$2:$CD$2,0)),"")</f>
        <v/>
      </c>
      <c r="CA45" s="13" t="str">
        <f>IF(CA$4="Yes",INDEX(List!$E$2:$CD$173,MATCH('Selection Pane Data'!$B45,List!$E$2:$E$173,0),MATCH('Selection Pane Data'!CA$3,List!$E$2:$CD$2,0)),"")</f>
        <v/>
      </c>
      <c r="CB45" s="13" t="str">
        <f>IF(CB$4="Yes",INDEX(List!$E$2:$CD$173,MATCH('Selection Pane Data'!$B45,List!$E$2:$E$173,0),MATCH('Selection Pane Data'!CB$3,List!$E$2:$CD$2,0)),"")</f>
        <v/>
      </c>
      <c r="CC45" s="13" t="str">
        <f>IF(CC$4="Yes",INDEX(List!$E$2:$CD$173,MATCH('Selection Pane Data'!$B45,List!$E$2:$E$173,0),MATCH('Selection Pane Data'!CC$3,List!$E$2:$CD$2,0)),"")</f>
        <v/>
      </c>
      <c r="CD45" s="13" t="str">
        <f>IF(CD$4="Yes",INDEX(List!$E$2:$CD$173,MATCH('Selection Pane Data'!$B45,List!$E$2:$E$173,0),MATCH('Selection Pane Data'!CD$3,List!$E$2:$CD$2,0)),"")</f>
        <v/>
      </c>
      <c r="CE45" s="13" t="str">
        <f>IF(CE$4="Yes",INDEX(List!$E$2:$CD$173,MATCH('Selection Pane Data'!$B45,List!$E$2:$E$173,0),MATCH('Selection Pane Data'!CE$3,List!$E$2:$CD$2,0)),"")</f>
        <v/>
      </c>
    </row>
    <row r="46" spans="2:83" x14ac:dyDescent="0.35">
      <c r="B46" s="21" t="s">
        <v>333</v>
      </c>
      <c r="C46" s="126" t="str">
        <f>VLOOKUP(B46,List!$E$2:$G$173,2,FALSE)</f>
        <v>AU.L2-3.3.9</v>
      </c>
      <c r="D46" s="31" t="str">
        <f>List!G44</f>
        <v>Customer Responsibility</v>
      </c>
      <c r="E46" s="31" t="str">
        <f>IF(Placemat!$F$4="All Practices","All Practices",IF(VLOOKUP(B46,Table7[#All],6,FALSE)="No Mapping","New CMMC Practices","Practices with NIST 800-171 Mappings"))</f>
        <v>Practices with NIST 800-171 Mappings</v>
      </c>
      <c r="F46" t="str">
        <f>INDEX('CMMC Levels'!$A$1:$F$172,MATCH('Selection Pane Data'!$C46,'CMMC Levels'!$A$1:$A$172,0),MATCH(Placemat!$F$4,'CMMC Levels'!$A$1:$F$1,0))</f>
        <v>X</v>
      </c>
      <c r="G46" s="77" t="str">
        <f>IF((COUNTIF(List!H44:CE44,"P")+COUNTIF(List!H44:CE44,"S"))=0,"N",IF(COUNTIF(H46:CE46,"P"),"P",IF(COUNTIF(H46:CE46,"S"),"S","U")))</f>
        <v>U</v>
      </c>
      <c r="H46" s="13" t="str">
        <f>IF(H$4="Yes",INDEX(List!$E$2:$CD$173,MATCH('Selection Pane Data'!$B46,List!$E$2:$E$173,0),MATCH('Selection Pane Data'!H$3,List!$E$2:$CD$2,0)),"")</f>
        <v/>
      </c>
      <c r="I46" s="13" t="str">
        <f>IF(I$4="Yes",INDEX(List!$E$2:$CD$173,MATCH('Selection Pane Data'!$B46,List!$E$2:$E$173,0),MATCH('Selection Pane Data'!I$3,List!$E$2:$CD$2,0)),"")</f>
        <v/>
      </c>
      <c r="J46" s="13" t="str">
        <f>IF(J$4="Yes",INDEX(List!$E$2:$CD$173,MATCH('Selection Pane Data'!$B46,List!$E$2:$E$173,0),MATCH('Selection Pane Data'!J$3,List!$E$2:$CD$2,0)),"")</f>
        <v>N</v>
      </c>
      <c r="K46" s="13" t="str">
        <f>IF(K$4="Yes",INDEX(List!$E$2:$CD$173,MATCH('Selection Pane Data'!$B46,List!$E$2:$E$173,0),MATCH('Selection Pane Data'!K$3,List!$E$2:$CD$2,0)),"")</f>
        <v/>
      </c>
      <c r="L46" s="13" t="str">
        <f>IF(L$4="Yes",INDEX(List!$E$2:$CD$173,MATCH('Selection Pane Data'!$B46,List!$E$2:$E$173,0),MATCH('Selection Pane Data'!L$3,List!$E$2:$CD$2,0)),"")</f>
        <v/>
      </c>
      <c r="M46" s="13" t="str">
        <f>IF(M$4="Yes",INDEX(List!$E$2:$CD$173,MATCH('Selection Pane Data'!$B46,List!$E$2:$E$173,0),MATCH('Selection Pane Data'!M$3,List!$E$2:$CD$2,0)),"")</f>
        <v/>
      </c>
      <c r="N46" s="13" t="str">
        <f>IF(N$4="Yes",INDEX(List!$E$2:$CD$173,MATCH('Selection Pane Data'!$B46,List!$E$2:$E$173,0),MATCH('Selection Pane Data'!N$3,List!$E$2:$CD$2,0)),"")</f>
        <v/>
      </c>
      <c r="O46" s="13" t="str">
        <f>IF(O$4="Yes",INDEX(List!$E$2:$CD$173,MATCH('Selection Pane Data'!$B46,List!$E$2:$E$173,0),MATCH('Selection Pane Data'!O$3,List!$E$2:$CD$2,0)),"")</f>
        <v/>
      </c>
      <c r="P46" s="13" t="str">
        <f>IF(P$4="Yes",INDEX(List!$E$2:$CD$173,MATCH('Selection Pane Data'!$B46,List!$E$2:$E$173,0),MATCH('Selection Pane Data'!P$3,List!$E$2:$CD$2,0)),"")</f>
        <v/>
      </c>
      <c r="Q46" s="13" t="str">
        <f>IF(Q$4="Yes",INDEX(List!$E$2:$CD$173,MATCH('Selection Pane Data'!$B46,List!$E$2:$E$173,0),MATCH('Selection Pane Data'!Q$3,List!$E$2:$CD$2,0)),"")</f>
        <v/>
      </c>
      <c r="R46" s="13" t="str">
        <f>IF(R$4="Yes",INDEX(List!$E$2:$CD$173,MATCH('Selection Pane Data'!$B46,List!$E$2:$E$173,0),MATCH('Selection Pane Data'!R$3,List!$E$2:$CD$2,0)),"")</f>
        <v/>
      </c>
      <c r="S46" s="13" t="str">
        <f>IF(S$4="Yes",INDEX(List!$E$2:$CD$173,MATCH('Selection Pane Data'!$B46,List!$E$2:$E$173,0),MATCH('Selection Pane Data'!S$3,List!$E$2:$CD$2,0)),"")</f>
        <v/>
      </c>
      <c r="T46" s="13" t="str">
        <f>IF(T$4="Yes",INDEX(List!$E$2:$CD$173,MATCH('Selection Pane Data'!$B46,List!$E$2:$E$173,0),MATCH('Selection Pane Data'!T$3,List!$E$2:$CD$2,0)),"")</f>
        <v/>
      </c>
      <c r="U46" s="13" t="str">
        <f>IF(U$4="Yes",INDEX(List!$E$2:$CD$173,MATCH('Selection Pane Data'!$B46,List!$E$2:$E$173,0),MATCH('Selection Pane Data'!U$3,List!$E$2:$CD$2,0)),"")</f>
        <v/>
      </c>
      <c r="V46" s="13" t="str">
        <f>IF(V$4="Yes",INDEX(List!$E$2:$CD$173,MATCH('Selection Pane Data'!$B46,List!$E$2:$E$173,0),MATCH('Selection Pane Data'!V$3,List!$E$2:$CD$2,0)),"")</f>
        <v/>
      </c>
      <c r="W46" s="13" t="str">
        <f>IF(W$4="Yes",INDEX(List!$E$2:$CD$173,MATCH('Selection Pane Data'!$B46,List!$E$2:$E$173,0),MATCH('Selection Pane Data'!W$3,List!$E$2:$CD$2,0)),"")</f>
        <v/>
      </c>
      <c r="X46" s="13" t="str">
        <f>IF(X$4="Yes",INDEX(List!$E$2:$CD$173,MATCH('Selection Pane Data'!$B46,List!$E$2:$E$173,0),MATCH('Selection Pane Data'!X$3,List!$E$2:$CD$2,0)),"")</f>
        <v/>
      </c>
      <c r="Y46" s="13" t="str">
        <f>IF(Y$4="Yes",INDEX(List!$E$2:$CD$173,MATCH('Selection Pane Data'!$B46,List!$E$2:$E$173,0),MATCH('Selection Pane Data'!Y$3,List!$E$2:$CD$2,0)),"")</f>
        <v/>
      </c>
      <c r="Z46" s="13" t="str">
        <f>IF(Z$4="Yes",INDEX(List!$E$2:$CD$173,MATCH('Selection Pane Data'!$B46,List!$E$2:$E$173,0),MATCH('Selection Pane Data'!Z$3,List!$E$2:$CD$2,0)),"")</f>
        <v/>
      </c>
      <c r="AA46" s="13" t="str">
        <f>IF(AA$4="Yes",INDEX(List!$E$2:$CD$173,MATCH('Selection Pane Data'!$B46,List!$E$2:$E$173,0),MATCH('Selection Pane Data'!AA$3,List!$E$2:$CD$2,0)),"")</f>
        <v>N</v>
      </c>
      <c r="AB46" s="13" t="str">
        <f>IF(AB$4="Yes",INDEX(List!$E$2:$CD$173,MATCH('Selection Pane Data'!$B46,List!$E$2:$E$173,0),MATCH('Selection Pane Data'!AB$3,List!$E$2:$CD$2,0)),"")</f>
        <v/>
      </c>
      <c r="AC46" s="13" t="str">
        <f>IF(AC$4="Yes",INDEX(List!$E$2:$CD$173,MATCH('Selection Pane Data'!$B46,List!$E$2:$E$173,0),MATCH('Selection Pane Data'!AC$3,List!$E$2:$CD$2,0)),"")</f>
        <v/>
      </c>
      <c r="AD46" s="13" t="str">
        <f>IF(AD$4="Yes",INDEX(List!$E$2:$CD$173,MATCH('Selection Pane Data'!$B46,List!$E$2:$E$173,0),MATCH('Selection Pane Data'!AD$3,List!$E$2:$CD$2,0)),"")</f>
        <v/>
      </c>
      <c r="AE46" s="13" t="str">
        <f>IF(AE$4="Yes",INDEX(List!$E$2:$CD$173,MATCH('Selection Pane Data'!$B46,List!$E$2:$E$173,0),MATCH('Selection Pane Data'!AE$3,List!$E$2:$CD$2,0)),"")</f>
        <v/>
      </c>
      <c r="AF46" s="13" t="str">
        <f>IF(AF$4="Yes",INDEX(List!$E$2:$CD$173,MATCH('Selection Pane Data'!$B46,List!$E$2:$E$173,0),MATCH('Selection Pane Data'!AF$3,List!$E$2:$CD$2,0)),"")</f>
        <v/>
      </c>
      <c r="AG46" s="13" t="str">
        <f>IF(AG$4="Yes",INDEX(List!$E$2:$CD$173,MATCH('Selection Pane Data'!$B46,List!$E$2:$E$173,0),MATCH('Selection Pane Data'!AG$3,List!$E$2:$CD$2,0)),"")</f>
        <v/>
      </c>
      <c r="AH46" s="13" t="str">
        <f>IF(AH$4="Yes",INDEX(List!$E$2:$CD$173,MATCH('Selection Pane Data'!$B46,List!$E$2:$E$173,0),MATCH('Selection Pane Data'!AH$3,List!$E$2:$CD$2,0)),"")</f>
        <v/>
      </c>
      <c r="AI46" s="13" t="str">
        <f>IF(AI$4="Yes",INDEX(List!$E$2:$CD$173,MATCH('Selection Pane Data'!$B46,List!$E$2:$E$173,0),MATCH('Selection Pane Data'!AI$3,List!$E$2:$CD$2,0)),"")</f>
        <v/>
      </c>
      <c r="AJ46" s="13" t="str">
        <f>IF(AJ$4="Yes",INDEX(List!$E$2:$CD$173,MATCH('Selection Pane Data'!$B46,List!$E$2:$E$173,0),MATCH('Selection Pane Data'!AJ$3,List!$E$2:$CD$2,0)),"")</f>
        <v/>
      </c>
      <c r="AK46" s="13" t="str">
        <f>IF(AK$4="Yes",INDEX(List!$E$2:$CD$173,MATCH('Selection Pane Data'!$B46,List!$E$2:$E$173,0),MATCH('Selection Pane Data'!AK$3,List!$E$2:$CD$2,0)),"")</f>
        <v/>
      </c>
      <c r="AL46" s="13" t="str">
        <f>IF(AL$4="Yes",INDEX(List!$E$2:$CD$173,MATCH('Selection Pane Data'!$B46,List!$E$2:$E$173,0),MATCH('Selection Pane Data'!AL$3,List!$E$2:$CD$2,0)),"")</f>
        <v/>
      </c>
      <c r="AM46" s="13" t="str">
        <f>IF(AM$4="Yes",INDEX(List!$E$2:$CD$173,MATCH('Selection Pane Data'!$B46,List!$E$2:$E$173,0),MATCH('Selection Pane Data'!AM$3,List!$E$2:$CD$2,0)),"")</f>
        <v/>
      </c>
      <c r="AN46" s="13" t="str">
        <f>IF(AN$4="Yes",INDEX(List!$E$2:$CD$173,MATCH('Selection Pane Data'!$B46,List!$E$2:$E$173,0),MATCH('Selection Pane Data'!AN$3,List!$E$2:$CD$2,0)),"")</f>
        <v/>
      </c>
      <c r="AO46" s="13" t="str">
        <f>IF(AO$4="Yes",INDEX(List!$E$2:$CD$173,MATCH('Selection Pane Data'!$B46,List!$E$2:$E$173,0),MATCH('Selection Pane Data'!AO$3,List!$E$2:$CD$2,0)),"")</f>
        <v/>
      </c>
      <c r="AP46" s="13" t="str">
        <f>IF(AP$4="Yes",INDEX(List!$E$2:$CD$173,MATCH('Selection Pane Data'!$B46,List!$E$2:$E$173,0),MATCH('Selection Pane Data'!AP$3,List!$E$2:$CD$2,0)),"")</f>
        <v/>
      </c>
      <c r="AQ46" s="13" t="str">
        <f>IF(AQ$4="Yes",INDEX(List!$E$2:$CD$173,MATCH('Selection Pane Data'!$B46,List!$E$2:$E$173,0),MATCH('Selection Pane Data'!AQ$3,List!$E$2:$CD$2,0)),"")</f>
        <v/>
      </c>
      <c r="AR46" s="13" t="str">
        <f>IF(AR$4="Yes",INDEX(List!$E$2:$CD$173,MATCH('Selection Pane Data'!$B46,List!$E$2:$E$173,0),MATCH('Selection Pane Data'!AR$3,List!$E$2:$CD$2,0)),"")</f>
        <v/>
      </c>
      <c r="AS46" s="13" t="str">
        <f>IF(AS$4="Yes",INDEX(List!$E$2:$CD$173,MATCH('Selection Pane Data'!$B46,List!$E$2:$E$173,0),MATCH('Selection Pane Data'!AS$3,List!$E$2:$CD$2,0)),"")</f>
        <v/>
      </c>
      <c r="AT46" s="13" t="str">
        <f>IF(AT$4="Yes",INDEX(List!$E$2:$CD$173,MATCH('Selection Pane Data'!$B46,List!$E$2:$E$173,0),MATCH('Selection Pane Data'!AT$3,List!$E$2:$CD$2,0)),"")</f>
        <v/>
      </c>
      <c r="AU46" s="13" t="str">
        <f>IF(AU$4="Yes",INDEX(List!$E$2:$CD$173,MATCH('Selection Pane Data'!$B46,List!$E$2:$E$173,0),MATCH('Selection Pane Data'!AU$3,List!$E$2:$CD$2,0)),"")</f>
        <v/>
      </c>
      <c r="AV46" s="13" t="str">
        <f>IF(AV$4="Yes",INDEX(List!$E$2:$CD$173,MATCH('Selection Pane Data'!$B46,List!$E$2:$E$173,0),MATCH('Selection Pane Data'!AV$3,List!$E$2:$CD$2,0)),"")</f>
        <v/>
      </c>
      <c r="AW46" s="13" t="str">
        <f>IF(AW$4="Yes",INDEX(List!$E$2:$CD$173,MATCH('Selection Pane Data'!$B46,List!$E$2:$E$173,0),MATCH('Selection Pane Data'!AW$3,List!$E$2:$CD$2,0)),"")</f>
        <v/>
      </c>
      <c r="AX46" s="13" t="str">
        <f>IF(AX$4="Yes",INDEX(List!$E$2:$CD$173,MATCH('Selection Pane Data'!$B46,List!$E$2:$E$173,0),MATCH('Selection Pane Data'!AX$3,List!$E$2:$CD$2,0)),"")</f>
        <v/>
      </c>
      <c r="AY46" s="13" t="str">
        <f>IF(AY$4="Yes",INDEX(List!$E$2:$CD$173,MATCH('Selection Pane Data'!$B46,List!$E$2:$E$173,0),MATCH('Selection Pane Data'!AY$3,List!$E$2:$CD$2,0)),"")</f>
        <v/>
      </c>
      <c r="AZ46" s="13" t="str">
        <f>IF(AZ$4="Yes",INDEX(List!$E$2:$CD$173,MATCH('Selection Pane Data'!$B46,List!$E$2:$E$173,0),MATCH('Selection Pane Data'!AZ$3,List!$E$2:$CD$2,0)),"")</f>
        <v/>
      </c>
      <c r="BA46" s="13" t="str">
        <f>IF(BA$4="Yes",INDEX(List!$E$2:$CD$173,MATCH('Selection Pane Data'!$B46,List!$E$2:$E$173,0),MATCH('Selection Pane Data'!BA$3,List!$E$2:$CD$2,0)),"")</f>
        <v/>
      </c>
      <c r="BB46" s="13" t="str">
        <f>IF(BB$4="Yes",INDEX(List!$E$2:$CD$173,MATCH('Selection Pane Data'!$B46,List!$E$2:$E$173,0),MATCH('Selection Pane Data'!BB$3,List!$E$2:$CD$2,0)),"")</f>
        <v/>
      </c>
      <c r="BC46" s="13" t="str">
        <f>IF(BC$4="Yes",INDEX(List!$E$2:$CD$173,MATCH('Selection Pane Data'!$B46,List!$E$2:$E$173,0),MATCH('Selection Pane Data'!BC$3,List!$E$2:$CD$2,0)),"")</f>
        <v/>
      </c>
      <c r="BD46" s="13" t="str">
        <f>IF(BD$4="Yes",INDEX(List!$E$2:$CD$173,MATCH('Selection Pane Data'!$B46,List!$E$2:$E$173,0),MATCH('Selection Pane Data'!BD$3,List!$E$2:$CD$2,0)),"")</f>
        <v/>
      </c>
      <c r="BE46" s="13" t="str">
        <f>IF(BE$4="Yes",INDEX(List!$E$2:$CD$173,MATCH('Selection Pane Data'!$B46,List!$E$2:$E$173,0),MATCH('Selection Pane Data'!BE$3,List!$E$2:$CD$2,0)),"")</f>
        <v/>
      </c>
      <c r="BF46" s="13" t="str">
        <f>IF(BF$4="Yes",INDEX(List!$E$2:$CD$173,MATCH('Selection Pane Data'!$B46,List!$E$2:$E$173,0),MATCH('Selection Pane Data'!BF$3,List!$E$2:$CD$2,0)),"")</f>
        <v/>
      </c>
      <c r="BG46" s="13" t="str">
        <f>IF(BG$4="Yes",INDEX(List!$E$2:$CD$173,MATCH('Selection Pane Data'!$B46,List!$E$2:$E$173,0),MATCH('Selection Pane Data'!BG$3,List!$E$2:$CD$2,0)),"")</f>
        <v/>
      </c>
      <c r="BH46" s="13" t="str">
        <f>IF(BH$4="Yes",INDEX(List!$E$2:$CD$173,MATCH('Selection Pane Data'!$B46,List!$E$2:$E$173,0),MATCH('Selection Pane Data'!BH$3,List!$E$2:$CD$2,0)),"")</f>
        <v/>
      </c>
      <c r="BI46" s="13" t="str">
        <f>IF(BI$4="Yes",INDEX(List!$E$2:$CD$173,MATCH('Selection Pane Data'!$B46,List!$E$2:$E$173,0),MATCH('Selection Pane Data'!BI$3,List!$E$2:$CD$2,0)),"")</f>
        <v/>
      </c>
      <c r="BJ46" s="13" t="str">
        <f>IF(BJ$4="Yes",INDEX(List!$E$2:$CD$173,MATCH('Selection Pane Data'!$B46,List!$E$2:$E$173,0),MATCH('Selection Pane Data'!BJ$3,List!$E$2:$CD$2,0)),"")</f>
        <v/>
      </c>
      <c r="BK46" s="13" t="str">
        <f>IF(BK$4="Yes",INDEX(List!$E$2:$CD$173,MATCH('Selection Pane Data'!$B46,List!$E$2:$E$173,0),MATCH('Selection Pane Data'!BK$3,List!$E$2:$CD$2,0)),"")</f>
        <v/>
      </c>
      <c r="BL46" s="13" t="str">
        <f>IF(BL$4="Yes",INDEX(List!$E$2:$CD$173,MATCH('Selection Pane Data'!$B46,List!$E$2:$E$173,0),MATCH('Selection Pane Data'!BL$3,List!$E$2:$CD$2,0)),"")</f>
        <v/>
      </c>
      <c r="BM46" s="13" t="str">
        <f>IF(BM$4="Yes",INDEX(List!$E$2:$CD$173,MATCH('Selection Pane Data'!$B46,List!$E$2:$E$173,0),MATCH('Selection Pane Data'!BM$3,List!$E$2:$CD$2,0)),"")</f>
        <v/>
      </c>
      <c r="BN46" s="13" t="str">
        <f>IF(BN$4="Yes",INDEX(List!$E$2:$CD$173,MATCH('Selection Pane Data'!$B46,List!$E$2:$E$173,0),MATCH('Selection Pane Data'!BN$3,List!$E$2:$CD$2,0)),"")</f>
        <v/>
      </c>
      <c r="BO46" s="13" t="str">
        <f>IF(BO$4="Yes",INDEX(List!$E$2:$CD$173,MATCH('Selection Pane Data'!$B46,List!$E$2:$E$173,0),MATCH('Selection Pane Data'!BO$3,List!$E$2:$CD$2,0)),"")</f>
        <v/>
      </c>
      <c r="BP46" s="13" t="str">
        <f>IF(BP$4="Yes",INDEX(List!$E$2:$CD$173,MATCH('Selection Pane Data'!$B46,List!$E$2:$E$173,0),MATCH('Selection Pane Data'!BP$3,List!$E$2:$CD$2,0)),"")</f>
        <v/>
      </c>
      <c r="BQ46" s="13" t="str">
        <f>IF(BQ$4="Yes",INDEX(List!$E$2:$CD$173,MATCH('Selection Pane Data'!$B46,List!$E$2:$E$173,0),MATCH('Selection Pane Data'!BQ$3,List!$E$2:$CD$2,0)),"")</f>
        <v/>
      </c>
      <c r="BR46" s="13" t="str">
        <f>IF(BR$4="Yes",INDEX(List!$E$2:$CD$173,MATCH('Selection Pane Data'!$B46,List!$E$2:$E$173,0),MATCH('Selection Pane Data'!BR$3,List!$E$2:$CD$2,0)),"")</f>
        <v/>
      </c>
      <c r="BS46" s="13" t="str">
        <f>IF(BS$4="Yes",INDEX(List!$E$2:$CD$173,MATCH('Selection Pane Data'!$B46,List!$E$2:$E$173,0),MATCH('Selection Pane Data'!BS$3,List!$E$2:$CD$2,0)),"")</f>
        <v/>
      </c>
      <c r="BT46" s="13" t="str">
        <f>IF(BT$4="Yes",INDEX(List!$E$2:$CD$173,MATCH('Selection Pane Data'!$B46,List!$E$2:$E$173,0),MATCH('Selection Pane Data'!BT$3,List!$E$2:$CD$2,0)),"")</f>
        <v/>
      </c>
      <c r="BU46" s="13" t="str">
        <f>IF(BU$4="Yes",INDEX(List!$E$2:$CD$173,MATCH('Selection Pane Data'!$B46,List!$E$2:$E$173,0),MATCH('Selection Pane Data'!BU$3,List!$E$2:$CD$2,0)),"")</f>
        <v/>
      </c>
      <c r="BV46" s="13" t="str">
        <f>IF(BV$4="Yes",INDEX(List!$E$2:$CD$173,MATCH('Selection Pane Data'!$B46,List!$E$2:$E$173,0),MATCH('Selection Pane Data'!BV$3,List!$E$2:$CD$2,0)),"")</f>
        <v/>
      </c>
      <c r="BW46" s="13" t="str">
        <f>IF(BW$4="Yes",INDEX(List!$E$2:$CD$173,MATCH('Selection Pane Data'!$B46,List!$E$2:$E$173,0),MATCH('Selection Pane Data'!BW$3,List!$E$2:$CD$2,0)),"")</f>
        <v/>
      </c>
      <c r="BX46" s="13" t="str">
        <f>IF(BX$4="Yes",INDEX(List!$E$2:$CD$173,MATCH('Selection Pane Data'!$B46,List!$E$2:$E$173,0),MATCH('Selection Pane Data'!BX$3,List!$E$2:$CD$2,0)),"")</f>
        <v/>
      </c>
      <c r="BY46" s="13" t="str">
        <f>IF(BY$4="Yes",INDEX(List!$E$2:$CD$173,MATCH('Selection Pane Data'!$B46,List!$E$2:$E$173,0),MATCH('Selection Pane Data'!BY$3,List!$E$2:$CD$2,0)),"")</f>
        <v/>
      </c>
      <c r="BZ46" s="13" t="str">
        <f>IF(BZ$4="Yes",INDEX(List!$E$2:$CD$173,MATCH('Selection Pane Data'!$B46,List!$E$2:$E$173,0),MATCH('Selection Pane Data'!BZ$3,List!$E$2:$CD$2,0)),"")</f>
        <v/>
      </c>
      <c r="CA46" s="13" t="str">
        <f>IF(CA$4="Yes",INDEX(List!$E$2:$CD$173,MATCH('Selection Pane Data'!$B46,List!$E$2:$E$173,0),MATCH('Selection Pane Data'!CA$3,List!$E$2:$CD$2,0)),"")</f>
        <v/>
      </c>
      <c r="CB46" s="13" t="str">
        <f>IF(CB$4="Yes",INDEX(List!$E$2:$CD$173,MATCH('Selection Pane Data'!$B46,List!$E$2:$E$173,0),MATCH('Selection Pane Data'!CB$3,List!$E$2:$CD$2,0)),"")</f>
        <v/>
      </c>
      <c r="CC46" s="13" t="str">
        <f>IF(CC$4="Yes",INDEX(List!$E$2:$CD$173,MATCH('Selection Pane Data'!$B46,List!$E$2:$E$173,0),MATCH('Selection Pane Data'!CC$3,List!$E$2:$CD$2,0)),"")</f>
        <v/>
      </c>
      <c r="CD46" s="13" t="str">
        <f>IF(CD$4="Yes",INDEX(List!$E$2:$CD$173,MATCH('Selection Pane Data'!$B46,List!$E$2:$E$173,0),MATCH('Selection Pane Data'!CD$3,List!$E$2:$CD$2,0)),"")</f>
        <v/>
      </c>
      <c r="CE46" s="13" t="str">
        <f>IF(CE$4="Yes",INDEX(List!$E$2:$CD$173,MATCH('Selection Pane Data'!$B46,List!$E$2:$E$173,0),MATCH('Selection Pane Data'!CE$3,List!$E$2:$CD$2,0)),"")</f>
        <v/>
      </c>
    </row>
    <row r="47" spans="2:83" x14ac:dyDescent="0.35">
      <c r="B47" s="21" t="s">
        <v>334</v>
      </c>
      <c r="C47" s="126" t="str">
        <f>VLOOKUP(B47,List!$E$2:$G$173,2,FALSE)</f>
        <v>AU.L2-3.3.5</v>
      </c>
      <c r="D47" s="31" t="str">
        <f>List!G45</f>
        <v>Shared Coverage</v>
      </c>
      <c r="E47" s="31" t="str">
        <f>IF(Placemat!$F$4="All Practices","All Practices",IF(VLOOKUP(B47,Table7[#All],6,FALSE)="No Mapping","New CMMC Practices","Practices with NIST 800-171 Mappings"))</f>
        <v>Practices with NIST 800-171 Mappings</v>
      </c>
      <c r="F47" t="str">
        <f>INDEX('CMMC Levels'!$A$1:$F$172,MATCH('Selection Pane Data'!$C47,'CMMC Levels'!$A$1:$A$172,0),MATCH(Placemat!$F$4,'CMMC Levels'!$A$1:$F$1,0))</f>
        <v>X</v>
      </c>
      <c r="G47" s="77" t="str">
        <f>IF((COUNTIF(List!H45:CE45,"P")+COUNTIF(List!H45:CE45,"S"))=0,"N",IF(COUNTIF(H47:CE47,"P"),"P",IF(COUNTIF(H47:CE47,"S"),"S","U")))</f>
        <v>U</v>
      </c>
      <c r="H47" s="13" t="str">
        <f>IF(H$4="Yes",INDEX(List!$E$2:$CD$173,MATCH('Selection Pane Data'!$B47,List!$E$2:$E$173,0),MATCH('Selection Pane Data'!H$3,List!$E$2:$CD$2,0)),"")</f>
        <v/>
      </c>
      <c r="I47" s="13" t="str">
        <f>IF(I$4="Yes",INDEX(List!$E$2:$CD$173,MATCH('Selection Pane Data'!$B47,List!$E$2:$E$173,0),MATCH('Selection Pane Data'!I$3,List!$E$2:$CD$2,0)),"")</f>
        <v/>
      </c>
      <c r="J47" s="13" t="str">
        <f>IF(J$4="Yes",INDEX(List!$E$2:$CD$173,MATCH('Selection Pane Data'!$B47,List!$E$2:$E$173,0),MATCH('Selection Pane Data'!J$3,List!$E$2:$CD$2,0)),"")</f>
        <v>N</v>
      </c>
      <c r="K47" s="13" t="str">
        <f>IF(K$4="Yes",INDEX(List!$E$2:$CD$173,MATCH('Selection Pane Data'!$B47,List!$E$2:$E$173,0),MATCH('Selection Pane Data'!K$3,List!$E$2:$CD$2,0)),"")</f>
        <v/>
      </c>
      <c r="L47" s="13" t="str">
        <f>IF(L$4="Yes",INDEX(List!$E$2:$CD$173,MATCH('Selection Pane Data'!$B47,List!$E$2:$E$173,0),MATCH('Selection Pane Data'!L$3,List!$E$2:$CD$2,0)),"")</f>
        <v/>
      </c>
      <c r="M47" s="13" t="str">
        <f>IF(M$4="Yes",INDEX(List!$E$2:$CD$173,MATCH('Selection Pane Data'!$B47,List!$E$2:$E$173,0),MATCH('Selection Pane Data'!M$3,List!$E$2:$CD$2,0)),"")</f>
        <v/>
      </c>
      <c r="N47" s="13" t="str">
        <f>IF(N$4="Yes",INDEX(List!$E$2:$CD$173,MATCH('Selection Pane Data'!$B47,List!$E$2:$E$173,0),MATCH('Selection Pane Data'!N$3,List!$E$2:$CD$2,0)),"")</f>
        <v/>
      </c>
      <c r="O47" s="13" t="str">
        <f>IF(O$4="Yes",INDEX(List!$E$2:$CD$173,MATCH('Selection Pane Data'!$B47,List!$E$2:$E$173,0),MATCH('Selection Pane Data'!O$3,List!$E$2:$CD$2,0)),"")</f>
        <v/>
      </c>
      <c r="P47" s="13" t="str">
        <f>IF(P$4="Yes",INDEX(List!$E$2:$CD$173,MATCH('Selection Pane Data'!$B47,List!$E$2:$E$173,0),MATCH('Selection Pane Data'!P$3,List!$E$2:$CD$2,0)),"")</f>
        <v/>
      </c>
      <c r="Q47" s="13" t="str">
        <f>IF(Q$4="Yes",INDEX(List!$E$2:$CD$173,MATCH('Selection Pane Data'!$B47,List!$E$2:$E$173,0),MATCH('Selection Pane Data'!Q$3,List!$E$2:$CD$2,0)),"")</f>
        <v/>
      </c>
      <c r="R47" s="13" t="str">
        <f>IF(R$4="Yes",INDEX(List!$E$2:$CD$173,MATCH('Selection Pane Data'!$B47,List!$E$2:$E$173,0),MATCH('Selection Pane Data'!R$3,List!$E$2:$CD$2,0)),"")</f>
        <v/>
      </c>
      <c r="S47" s="13" t="str">
        <f>IF(S$4="Yes",INDEX(List!$E$2:$CD$173,MATCH('Selection Pane Data'!$B47,List!$E$2:$E$173,0),MATCH('Selection Pane Data'!S$3,List!$E$2:$CD$2,0)),"")</f>
        <v/>
      </c>
      <c r="T47" s="13" t="str">
        <f>IF(T$4="Yes",INDEX(List!$E$2:$CD$173,MATCH('Selection Pane Data'!$B47,List!$E$2:$E$173,0),MATCH('Selection Pane Data'!T$3,List!$E$2:$CD$2,0)),"")</f>
        <v/>
      </c>
      <c r="U47" s="13" t="str">
        <f>IF(U$4="Yes",INDEX(List!$E$2:$CD$173,MATCH('Selection Pane Data'!$B47,List!$E$2:$E$173,0),MATCH('Selection Pane Data'!U$3,List!$E$2:$CD$2,0)),"")</f>
        <v/>
      </c>
      <c r="V47" s="13" t="str">
        <f>IF(V$4="Yes",INDEX(List!$E$2:$CD$173,MATCH('Selection Pane Data'!$B47,List!$E$2:$E$173,0),MATCH('Selection Pane Data'!V$3,List!$E$2:$CD$2,0)),"")</f>
        <v/>
      </c>
      <c r="W47" s="13" t="str">
        <f>IF(W$4="Yes",INDEX(List!$E$2:$CD$173,MATCH('Selection Pane Data'!$B47,List!$E$2:$E$173,0),MATCH('Selection Pane Data'!W$3,List!$E$2:$CD$2,0)),"")</f>
        <v/>
      </c>
      <c r="X47" s="13" t="str">
        <f>IF(X$4="Yes",INDEX(List!$E$2:$CD$173,MATCH('Selection Pane Data'!$B47,List!$E$2:$E$173,0),MATCH('Selection Pane Data'!X$3,List!$E$2:$CD$2,0)),"")</f>
        <v/>
      </c>
      <c r="Y47" s="13" t="str">
        <f>IF(Y$4="Yes",INDEX(List!$E$2:$CD$173,MATCH('Selection Pane Data'!$B47,List!$E$2:$E$173,0),MATCH('Selection Pane Data'!Y$3,List!$E$2:$CD$2,0)),"")</f>
        <v/>
      </c>
      <c r="Z47" s="13" t="str">
        <f>IF(Z$4="Yes",INDEX(List!$E$2:$CD$173,MATCH('Selection Pane Data'!$B47,List!$E$2:$E$173,0),MATCH('Selection Pane Data'!Z$3,List!$E$2:$CD$2,0)),"")</f>
        <v/>
      </c>
      <c r="AA47" s="13" t="str">
        <f>IF(AA$4="Yes",INDEX(List!$E$2:$CD$173,MATCH('Selection Pane Data'!$B47,List!$E$2:$E$173,0),MATCH('Selection Pane Data'!AA$3,List!$E$2:$CD$2,0)),"")</f>
        <v>N</v>
      </c>
      <c r="AB47" s="13" t="str">
        <f>IF(AB$4="Yes",INDEX(List!$E$2:$CD$173,MATCH('Selection Pane Data'!$B47,List!$E$2:$E$173,0),MATCH('Selection Pane Data'!AB$3,List!$E$2:$CD$2,0)),"")</f>
        <v/>
      </c>
      <c r="AC47" s="13" t="str">
        <f>IF(AC$4="Yes",INDEX(List!$E$2:$CD$173,MATCH('Selection Pane Data'!$B47,List!$E$2:$E$173,0),MATCH('Selection Pane Data'!AC$3,List!$E$2:$CD$2,0)),"")</f>
        <v/>
      </c>
      <c r="AD47" s="13" t="str">
        <f>IF(AD$4="Yes",INDEX(List!$E$2:$CD$173,MATCH('Selection Pane Data'!$B47,List!$E$2:$E$173,0),MATCH('Selection Pane Data'!AD$3,List!$E$2:$CD$2,0)),"")</f>
        <v/>
      </c>
      <c r="AE47" s="13" t="str">
        <f>IF(AE$4="Yes",INDEX(List!$E$2:$CD$173,MATCH('Selection Pane Data'!$B47,List!$E$2:$E$173,0),MATCH('Selection Pane Data'!AE$3,List!$E$2:$CD$2,0)),"")</f>
        <v/>
      </c>
      <c r="AF47" s="13" t="str">
        <f>IF(AF$4="Yes",INDEX(List!$E$2:$CD$173,MATCH('Selection Pane Data'!$B47,List!$E$2:$E$173,0),MATCH('Selection Pane Data'!AF$3,List!$E$2:$CD$2,0)),"")</f>
        <v/>
      </c>
      <c r="AG47" s="13" t="str">
        <f>IF(AG$4="Yes",INDEX(List!$E$2:$CD$173,MATCH('Selection Pane Data'!$B47,List!$E$2:$E$173,0),MATCH('Selection Pane Data'!AG$3,List!$E$2:$CD$2,0)),"")</f>
        <v/>
      </c>
      <c r="AH47" s="13" t="str">
        <f>IF(AH$4="Yes",INDEX(List!$E$2:$CD$173,MATCH('Selection Pane Data'!$B47,List!$E$2:$E$173,0),MATCH('Selection Pane Data'!AH$3,List!$E$2:$CD$2,0)),"")</f>
        <v/>
      </c>
      <c r="AI47" s="13" t="str">
        <f>IF(AI$4="Yes",INDEX(List!$E$2:$CD$173,MATCH('Selection Pane Data'!$B47,List!$E$2:$E$173,0),MATCH('Selection Pane Data'!AI$3,List!$E$2:$CD$2,0)),"")</f>
        <v/>
      </c>
      <c r="AJ47" s="13" t="str">
        <f>IF(AJ$4="Yes",INDEX(List!$E$2:$CD$173,MATCH('Selection Pane Data'!$B47,List!$E$2:$E$173,0),MATCH('Selection Pane Data'!AJ$3,List!$E$2:$CD$2,0)),"")</f>
        <v/>
      </c>
      <c r="AK47" s="13" t="str">
        <f>IF(AK$4="Yes",INDEX(List!$E$2:$CD$173,MATCH('Selection Pane Data'!$B47,List!$E$2:$E$173,0),MATCH('Selection Pane Data'!AK$3,List!$E$2:$CD$2,0)),"")</f>
        <v/>
      </c>
      <c r="AL47" s="13" t="str">
        <f>IF(AL$4="Yes",INDEX(List!$E$2:$CD$173,MATCH('Selection Pane Data'!$B47,List!$E$2:$E$173,0),MATCH('Selection Pane Data'!AL$3,List!$E$2:$CD$2,0)),"")</f>
        <v/>
      </c>
      <c r="AM47" s="13" t="str">
        <f>IF(AM$4="Yes",INDEX(List!$E$2:$CD$173,MATCH('Selection Pane Data'!$B47,List!$E$2:$E$173,0),MATCH('Selection Pane Data'!AM$3,List!$E$2:$CD$2,0)),"")</f>
        <v/>
      </c>
      <c r="AN47" s="13" t="str">
        <f>IF(AN$4="Yes",INDEX(List!$E$2:$CD$173,MATCH('Selection Pane Data'!$B47,List!$E$2:$E$173,0),MATCH('Selection Pane Data'!AN$3,List!$E$2:$CD$2,0)),"")</f>
        <v/>
      </c>
      <c r="AO47" s="13" t="str">
        <f>IF(AO$4="Yes",INDEX(List!$E$2:$CD$173,MATCH('Selection Pane Data'!$B47,List!$E$2:$E$173,0),MATCH('Selection Pane Data'!AO$3,List!$E$2:$CD$2,0)),"")</f>
        <v/>
      </c>
      <c r="AP47" s="13" t="str">
        <f>IF(AP$4="Yes",INDEX(List!$E$2:$CD$173,MATCH('Selection Pane Data'!$B47,List!$E$2:$E$173,0),MATCH('Selection Pane Data'!AP$3,List!$E$2:$CD$2,0)),"")</f>
        <v/>
      </c>
      <c r="AQ47" s="13" t="str">
        <f>IF(AQ$4="Yes",INDEX(List!$E$2:$CD$173,MATCH('Selection Pane Data'!$B47,List!$E$2:$E$173,0),MATCH('Selection Pane Data'!AQ$3,List!$E$2:$CD$2,0)),"")</f>
        <v/>
      </c>
      <c r="AR47" s="13" t="str">
        <f>IF(AR$4="Yes",INDEX(List!$E$2:$CD$173,MATCH('Selection Pane Data'!$B47,List!$E$2:$E$173,0),MATCH('Selection Pane Data'!AR$3,List!$E$2:$CD$2,0)),"")</f>
        <v/>
      </c>
      <c r="AS47" s="13" t="str">
        <f>IF(AS$4="Yes",INDEX(List!$E$2:$CD$173,MATCH('Selection Pane Data'!$B47,List!$E$2:$E$173,0),MATCH('Selection Pane Data'!AS$3,List!$E$2:$CD$2,0)),"")</f>
        <v/>
      </c>
      <c r="AT47" s="13" t="str">
        <f>IF(AT$4="Yes",INDEX(List!$E$2:$CD$173,MATCH('Selection Pane Data'!$B47,List!$E$2:$E$173,0),MATCH('Selection Pane Data'!AT$3,List!$E$2:$CD$2,0)),"")</f>
        <v/>
      </c>
      <c r="AU47" s="13" t="str">
        <f>IF(AU$4="Yes",INDEX(List!$E$2:$CD$173,MATCH('Selection Pane Data'!$B47,List!$E$2:$E$173,0),MATCH('Selection Pane Data'!AU$3,List!$E$2:$CD$2,0)),"")</f>
        <v/>
      </c>
      <c r="AV47" s="13" t="str">
        <f>IF(AV$4="Yes",INDEX(List!$E$2:$CD$173,MATCH('Selection Pane Data'!$B47,List!$E$2:$E$173,0),MATCH('Selection Pane Data'!AV$3,List!$E$2:$CD$2,0)),"")</f>
        <v/>
      </c>
      <c r="AW47" s="13" t="str">
        <f>IF(AW$4="Yes",INDEX(List!$E$2:$CD$173,MATCH('Selection Pane Data'!$B47,List!$E$2:$E$173,0),MATCH('Selection Pane Data'!AW$3,List!$E$2:$CD$2,0)),"")</f>
        <v/>
      </c>
      <c r="AX47" s="13" t="str">
        <f>IF(AX$4="Yes",INDEX(List!$E$2:$CD$173,MATCH('Selection Pane Data'!$B47,List!$E$2:$E$173,0),MATCH('Selection Pane Data'!AX$3,List!$E$2:$CD$2,0)),"")</f>
        <v/>
      </c>
      <c r="AY47" s="13" t="str">
        <f>IF(AY$4="Yes",INDEX(List!$E$2:$CD$173,MATCH('Selection Pane Data'!$B47,List!$E$2:$E$173,0),MATCH('Selection Pane Data'!AY$3,List!$E$2:$CD$2,0)),"")</f>
        <v/>
      </c>
      <c r="AZ47" s="13" t="str">
        <f>IF(AZ$4="Yes",INDEX(List!$E$2:$CD$173,MATCH('Selection Pane Data'!$B47,List!$E$2:$E$173,0),MATCH('Selection Pane Data'!AZ$3,List!$E$2:$CD$2,0)),"")</f>
        <v/>
      </c>
      <c r="BA47" s="13" t="str">
        <f>IF(BA$4="Yes",INDEX(List!$E$2:$CD$173,MATCH('Selection Pane Data'!$B47,List!$E$2:$E$173,0),MATCH('Selection Pane Data'!BA$3,List!$E$2:$CD$2,0)),"")</f>
        <v/>
      </c>
      <c r="BB47" s="13" t="str">
        <f>IF(BB$4="Yes",INDEX(List!$E$2:$CD$173,MATCH('Selection Pane Data'!$B47,List!$E$2:$E$173,0),MATCH('Selection Pane Data'!BB$3,List!$E$2:$CD$2,0)),"")</f>
        <v/>
      </c>
      <c r="BC47" s="13" t="str">
        <f>IF(BC$4="Yes",INDEX(List!$E$2:$CD$173,MATCH('Selection Pane Data'!$B47,List!$E$2:$E$173,0),MATCH('Selection Pane Data'!BC$3,List!$E$2:$CD$2,0)),"")</f>
        <v/>
      </c>
      <c r="BD47" s="13" t="str">
        <f>IF(BD$4="Yes",INDEX(List!$E$2:$CD$173,MATCH('Selection Pane Data'!$B47,List!$E$2:$E$173,0),MATCH('Selection Pane Data'!BD$3,List!$E$2:$CD$2,0)),"")</f>
        <v/>
      </c>
      <c r="BE47" s="13" t="str">
        <f>IF(BE$4="Yes",INDEX(List!$E$2:$CD$173,MATCH('Selection Pane Data'!$B47,List!$E$2:$E$173,0),MATCH('Selection Pane Data'!BE$3,List!$E$2:$CD$2,0)),"")</f>
        <v/>
      </c>
      <c r="BF47" s="13" t="str">
        <f>IF(BF$4="Yes",INDEX(List!$E$2:$CD$173,MATCH('Selection Pane Data'!$B47,List!$E$2:$E$173,0),MATCH('Selection Pane Data'!BF$3,List!$E$2:$CD$2,0)),"")</f>
        <v/>
      </c>
      <c r="BG47" s="13" t="str">
        <f>IF(BG$4="Yes",INDEX(List!$E$2:$CD$173,MATCH('Selection Pane Data'!$B47,List!$E$2:$E$173,0),MATCH('Selection Pane Data'!BG$3,List!$E$2:$CD$2,0)),"")</f>
        <v/>
      </c>
      <c r="BH47" s="13" t="str">
        <f>IF(BH$4="Yes",INDEX(List!$E$2:$CD$173,MATCH('Selection Pane Data'!$B47,List!$E$2:$E$173,0),MATCH('Selection Pane Data'!BH$3,List!$E$2:$CD$2,0)),"")</f>
        <v/>
      </c>
      <c r="BI47" s="13" t="str">
        <f>IF(BI$4="Yes",INDEX(List!$E$2:$CD$173,MATCH('Selection Pane Data'!$B47,List!$E$2:$E$173,0),MATCH('Selection Pane Data'!BI$3,List!$E$2:$CD$2,0)),"")</f>
        <v/>
      </c>
      <c r="BJ47" s="13" t="str">
        <f>IF(BJ$4="Yes",INDEX(List!$E$2:$CD$173,MATCH('Selection Pane Data'!$B47,List!$E$2:$E$173,0),MATCH('Selection Pane Data'!BJ$3,List!$E$2:$CD$2,0)),"")</f>
        <v/>
      </c>
      <c r="BK47" s="13" t="str">
        <f>IF(BK$4="Yes",INDEX(List!$E$2:$CD$173,MATCH('Selection Pane Data'!$B47,List!$E$2:$E$173,0),MATCH('Selection Pane Data'!BK$3,List!$E$2:$CD$2,0)),"")</f>
        <v/>
      </c>
      <c r="BL47" s="13" t="str">
        <f>IF(BL$4="Yes",INDEX(List!$E$2:$CD$173,MATCH('Selection Pane Data'!$B47,List!$E$2:$E$173,0),MATCH('Selection Pane Data'!BL$3,List!$E$2:$CD$2,0)),"")</f>
        <v/>
      </c>
      <c r="BM47" s="13" t="str">
        <f>IF(BM$4="Yes",INDEX(List!$E$2:$CD$173,MATCH('Selection Pane Data'!$B47,List!$E$2:$E$173,0),MATCH('Selection Pane Data'!BM$3,List!$E$2:$CD$2,0)),"")</f>
        <v/>
      </c>
      <c r="BN47" s="13" t="str">
        <f>IF(BN$4="Yes",INDEX(List!$E$2:$CD$173,MATCH('Selection Pane Data'!$B47,List!$E$2:$E$173,0),MATCH('Selection Pane Data'!BN$3,List!$E$2:$CD$2,0)),"")</f>
        <v/>
      </c>
      <c r="BO47" s="13" t="str">
        <f>IF(BO$4="Yes",INDEX(List!$E$2:$CD$173,MATCH('Selection Pane Data'!$B47,List!$E$2:$E$173,0),MATCH('Selection Pane Data'!BO$3,List!$E$2:$CD$2,0)),"")</f>
        <v/>
      </c>
      <c r="BP47" s="13" t="str">
        <f>IF(BP$4="Yes",INDEX(List!$E$2:$CD$173,MATCH('Selection Pane Data'!$B47,List!$E$2:$E$173,0),MATCH('Selection Pane Data'!BP$3,List!$E$2:$CD$2,0)),"")</f>
        <v/>
      </c>
      <c r="BQ47" s="13" t="str">
        <f>IF(BQ$4="Yes",INDEX(List!$E$2:$CD$173,MATCH('Selection Pane Data'!$B47,List!$E$2:$E$173,0),MATCH('Selection Pane Data'!BQ$3,List!$E$2:$CD$2,0)),"")</f>
        <v/>
      </c>
      <c r="BR47" s="13" t="str">
        <f>IF(BR$4="Yes",INDEX(List!$E$2:$CD$173,MATCH('Selection Pane Data'!$B47,List!$E$2:$E$173,0),MATCH('Selection Pane Data'!BR$3,List!$E$2:$CD$2,0)),"")</f>
        <v/>
      </c>
      <c r="BS47" s="13" t="str">
        <f>IF(BS$4="Yes",INDEX(List!$E$2:$CD$173,MATCH('Selection Pane Data'!$B47,List!$E$2:$E$173,0),MATCH('Selection Pane Data'!BS$3,List!$E$2:$CD$2,0)),"")</f>
        <v/>
      </c>
      <c r="BT47" s="13" t="str">
        <f>IF(BT$4="Yes",INDEX(List!$E$2:$CD$173,MATCH('Selection Pane Data'!$B47,List!$E$2:$E$173,0),MATCH('Selection Pane Data'!BT$3,List!$E$2:$CD$2,0)),"")</f>
        <v/>
      </c>
      <c r="BU47" s="13" t="str">
        <f>IF(BU$4="Yes",INDEX(List!$E$2:$CD$173,MATCH('Selection Pane Data'!$B47,List!$E$2:$E$173,0),MATCH('Selection Pane Data'!BU$3,List!$E$2:$CD$2,0)),"")</f>
        <v/>
      </c>
      <c r="BV47" s="13" t="str">
        <f>IF(BV$4="Yes",INDEX(List!$E$2:$CD$173,MATCH('Selection Pane Data'!$B47,List!$E$2:$E$173,0),MATCH('Selection Pane Data'!BV$3,List!$E$2:$CD$2,0)),"")</f>
        <v/>
      </c>
      <c r="BW47" s="13" t="str">
        <f>IF(BW$4="Yes",INDEX(List!$E$2:$CD$173,MATCH('Selection Pane Data'!$B47,List!$E$2:$E$173,0),MATCH('Selection Pane Data'!BW$3,List!$E$2:$CD$2,0)),"")</f>
        <v/>
      </c>
      <c r="BX47" s="13" t="str">
        <f>IF(BX$4="Yes",INDEX(List!$E$2:$CD$173,MATCH('Selection Pane Data'!$B47,List!$E$2:$E$173,0),MATCH('Selection Pane Data'!BX$3,List!$E$2:$CD$2,0)),"")</f>
        <v/>
      </c>
      <c r="BY47" s="13" t="str">
        <f>IF(BY$4="Yes",INDEX(List!$E$2:$CD$173,MATCH('Selection Pane Data'!$B47,List!$E$2:$E$173,0),MATCH('Selection Pane Data'!BY$3,List!$E$2:$CD$2,0)),"")</f>
        <v/>
      </c>
      <c r="BZ47" s="13" t="str">
        <f>IF(BZ$4="Yes",INDEX(List!$E$2:$CD$173,MATCH('Selection Pane Data'!$B47,List!$E$2:$E$173,0),MATCH('Selection Pane Data'!BZ$3,List!$E$2:$CD$2,0)),"")</f>
        <v/>
      </c>
      <c r="CA47" s="13" t="str">
        <f>IF(CA$4="Yes",INDEX(List!$E$2:$CD$173,MATCH('Selection Pane Data'!$B47,List!$E$2:$E$173,0),MATCH('Selection Pane Data'!CA$3,List!$E$2:$CD$2,0)),"")</f>
        <v/>
      </c>
      <c r="CB47" s="13" t="str">
        <f>IF(CB$4="Yes",INDEX(List!$E$2:$CD$173,MATCH('Selection Pane Data'!$B47,List!$E$2:$E$173,0),MATCH('Selection Pane Data'!CB$3,List!$E$2:$CD$2,0)),"")</f>
        <v/>
      </c>
      <c r="CC47" s="13" t="str">
        <f>IF(CC$4="Yes",INDEX(List!$E$2:$CD$173,MATCH('Selection Pane Data'!$B47,List!$E$2:$E$173,0),MATCH('Selection Pane Data'!CC$3,List!$E$2:$CD$2,0)),"")</f>
        <v/>
      </c>
      <c r="CD47" s="13" t="str">
        <f>IF(CD$4="Yes",INDEX(List!$E$2:$CD$173,MATCH('Selection Pane Data'!$B47,List!$E$2:$E$173,0),MATCH('Selection Pane Data'!CD$3,List!$E$2:$CD$2,0)),"")</f>
        <v/>
      </c>
      <c r="CE47" s="13" t="str">
        <f>IF(CE$4="Yes",INDEX(List!$E$2:$CD$173,MATCH('Selection Pane Data'!$B47,List!$E$2:$E$173,0),MATCH('Selection Pane Data'!CE$3,List!$E$2:$CD$2,0)),"")</f>
        <v/>
      </c>
    </row>
    <row r="48" spans="2:83" x14ac:dyDescent="0.35">
      <c r="B48" s="21" t="s">
        <v>335</v>
      </c>
      <c r="C48" s="126" t="str">
        <f>VLOOKUP(B48,List!$E$2:$G$173,2,FALSE)</f>
        <v>AU.L2-3.3.6</v>
      </c>
      <c r="D48" s="31" t="str">
        <f>List!G46</f>
        <v>Shared Coverage</v>
      </c>
      <c r="E48" s="31" t="str">
        <f>IF(Placemat!$F$4="All Practices","All Practices",IF(VLOOKUP(B48,Table7[#All],6,FALSE)="No Mapping","New CMMC Practices","Practices with NIST 800-171 Mappings"))</f>
        <v>Practices with NIST 800-171 Mappings</v>
      </c>
      <c r="F48" t="str">
        <f>INDEX('CMMC Levels'!$A$1:$F$172,MATCH('Selection Pane Data'!$C48,'CMMC Levels'!$A$1:$A$172,0),MATCH(Placemat!$F$4,'CMMC Levels'!$A$1:$F$1,0))</f>
        <v>X</v>
      </c>
      <c r="G48" s="77" t="str">
        <f>IF((COUNTIF(List!H46:CE46,"P")+COUNTIF(List!H46:CE46,"S"))=0,"N",IF(COUNTIF(H48:CE48,"P"),"P",IF(COUNTIF(H48:CE48,"S"),"S","U")))</f>
        <v>U</v>
      </c>
      <c r="H48" s="13" t="str">
        <f>IF(H$4="Yes",INDEX(List!$E$2:$CD$173,MATCH('Selection Pane Data'!$B48,List!$E$2:$E$173,0),MATCH('Selection Pane Data'!H$3,List!$E$2:$CD$2,0)),"")</f>
        <v/>
      </c>
      <c r="I48" s="13" t="str">
        <f>IF(I$4="Yes",INDEX(List!$E$2:$CD$173,MATCH('Selection Pane Data'!$B48,List!$E$2:$E$173,0),MATCH('Selection Pane Data'!I$3,List!$E$2:$CD$2,0)),"")</f>
        <v/>
      </c>
      <c r="J48" s="13" t="str">
        <f>IF(J$4="Yes",INDEX(List!$E$2:$CD$173,MATCH('Selection Pane Data'!$B48,List!$E$2:$E$173,0),MATCH('Selection Pane Data'!J$3,List!$E$2:$CD$2,0)),"")</f>
        <v>N</v>
      </c>
      <c r="K48" s="13" t="str">
        <f>IF(K$4="Yes",INDEX(List!$E$2:$CD$173,MATCH('Selection Pane Data'!$B48,List!$E$2:$E$173,0),MATCH('Selection Pane Data'!K$3,List!$E$2:$CD$2,0)),"")</f>
        <v/>
      </c>
      <c r="L48" s="13" t="str">
        <f>IF(L$4="Yes",INDEX(List!$E$2:$CD$173,MATCH('Selection Pane Data'!$B48,List!$E$2:$E$173,0),MATCH('Selection Pane Data'!L$3,List!$E$2:$CD$2,0)),"")</f>
        <v/>
      </c>
      <c r="M48" s="13" t="str">
        <f>IF(M$4="Yes",INDEX(List!$E$2:$CD$173,MATCH('Selection Pane Data'!$B48,List!$E$2:$E$173,0),MATCH('Selection Pane Data'!M$3,List!$E$2:$CD$2,0)),"")</f>
        <v/>
      </c>
      <c r="N48" s="13" t="str">
        <f>IF(N$4="Yes",INDEX(List!$E$2:$CD$173,MATCH('Selection Pane Data'!$B48,List!$E$2:$E$173,0),MATCH('Selection Pane Data'!N$3,List!$E$2:$CD$2,0)),"")</f>
        <v/>
      </c>
      <c r="O48" s="13" t="str">
        <f>IF(O$4="Yes",INDEX(List!$E$2:$CD$173,MATCH('Selection Pane Data'!$B48,List!$E$2:$E$173,0),MATCH('Selection Pane Data'!O$3,List!$E$2:$CD$2,0)),"")</f>
        <v/>
      </c>
      <c r="P48" s="13" t="str">
        <f>IF(P$4="Yes",INDEX(List!$E$2:$CD$173,MATCH('Selection Pane Data'!$B48,List!$E$2:$E$173,0),MATCH('Selection Pane Data'!P$3,List!$E$2:$CD$2,0)),"")</f>
        <v/>
      </c>
      <c r="Q48" s="13" t="str">
        <f>IF(Q$4="Yes",INDEX(List!$E$2:$CD$173,MATCH('Selection Pane Data'!$B48,List!$E$2:$E$173,0),MATCH('Selection Pane Data'!Q$3,List!$E$2:$CD$2,0)),"")</f>
        <v/>
      </c>
      <c r="R48" s="13" t="str">
        <f>IF(R$4="Yes",INDEX(List!$E$2:$CD$173,MATCH('Selection Pane Data'!$B48,List!$E$2:$E$173,0),MATCH('Selection Pane Data'!R$3,List!$E$2:$CD$2,0)),"")</f>
        <v/>
      </c>
      <c r="S48" s="13" t="str">
        <f>IF(S$4="Yes",INDEX(List!$E$2:$CD$173,MATCH('Selection Pane Data'!$B48,List!$E$2:$E$173,0),MATCH('Selection Pane Data'!S$3,List!$E$2:$CD$2,0)),"")</f>
        <v/>
      </c>
      <c r="T48" s="13" t="str">
        <f>IF(T$4="Yes",INDEX(List!$E$2:$CD$173,MATCH('Selection Pane Data'!$B48,List!$E$2:$E$173,0),MATCH('Selection Pane Data'!T$3,List!$E$2:$CD$2,0)),"")</f>
        <v/>
      </c>
      <c r="U48" s="13" t="str">
        <f>IF(U$4="Yes",INDEX(List!$E$2:$CD$173,MATCH('Selection Pane Data'!$B48,List!$E$2:$E$173,0),MATCH('Selection Pane Data'!U$3,List!$E$2:$CD$2,0)),"")</f>
        <v/>
      </c>
      <c r="V48" s="13" t="str">
        <f>IF(V$4="Yes",INDEX(List!$E$2:$CD$173,MATCH('Selection Pane Data'!$B48,List!$E$2:$E$173,0),MATCH('Selection Pane Data'!V$3,List!$E$2:$CD$2,0)),"")</f>
        <v/>
      </c>
      <c r="W48" s="13" t="str">
        <f>IF(W$4="Yes",INDEX(List!$E$2:$CD$173,MATCH('Selection Pane Data'!$B48,List!$E$2:$E$173,0),MATCH('Selection Pane Data'!W$3,List!$E$2:$CD$2,0)),"")</f>
        <v/>
      </c>
      <c r="X48" s="13" t="str">
        <f>IF(X$4="Yes",INDEX(List!$E$2:$CD$173,MATCH('Selection Pane Data'!$B48,List!$E$2:$E$173,0),MATCH('Selection Pane Data'!X$3,List!$E$2:$CD$2,0)),"")</f>
        <v/>
      </c>
      <c r="Y48" s="13" t="str">
        <f>IF(Y$4="Yes",INDEX(List!$E$2:$CD$173,MATCH('Selection Pane Data'!$B48,List!$E$2:$E$173,0),MATCH('Selection Pane Data'!Y$3,List!$E$2:$CD$2,0)),"")</f>
        <v/>
      </c>
      <c r="Z48" s="13" t="str">
        <f>IF(Z$4="Yes",INDEX(List!$E$2:$CD$173,MATCH('Selection Pane Data'!$B48,List!$E$2:$E$173,0),MATCH('Selection Pane Data'!Z$3,List!$E$2:$CD$2,0)),"")</f>
        <v/>
      </c>
      <c r="AA48" s="13" t="str">
        <f>IF(AA$4="Yes",INDEX(List!$E$2:$CD$173,MATCH('Selection Pane Data'!$B48,List!$E$2:$E$173,0),MATCH('Selection Pane Data'!AA$3,List!$E$2:$CD$2,0)),"")</f>
        <v>N</v>
      </c>
      <c r="AB48" s="13" t="str">
        <f>IF(AB$4="Yes",INDEX(List!$E$2:$CD$173,MATCH('Selection Pane Data'!$B48,List!$E$2:$E$173,0),MATCH('Selection Pane Data'!AB$3,List!$E$2:$CD$2,0)),"")</f>
        <v/>
      </c>
      <c r="AC48" s="13" t="str">
        <f>IF(AC$4="Yes",INDEX(List!$E$2:$CD$173,MATCH('Selection Pane Data'!$B48,List!$E$2:$E$173,0),MATCH('Selection Pane Data'!AC$3,List!$E$2:$CD$2,0)),"")</f>
        <v/>
      </c>
      <c r="AD48" s="13" t="str">
        <f>IF(AD$4="Yes",INDEX(List!$E$2:$CD$173,MATCH('Selection Pane Data'!$B48,List!$E$2:$E$173,0),MATCH('Selection Pane Data'!AD$3,List!$E$2:$CD$2,0)),"")</f>
        <v/>
      </c>
      <c r="AE48" s="13" t="str">
        <f>IF(AE$4="Yes",INDEX(List!$E$2:$CD$173,MATCH('Selection Pane Data'!$B48,List!$E$2:$E$173,0),MATCH('Selection Pane Data'!AE$3,List!$E$2:$CD$2,0)),"")</f>
        <v/>
      </c>
      <c r="AF48" s="13" t="str">
        <f>IF(AF$4="Yes",INDEX(List!$E$2:$CD$173,MATCH('Selection Pane Data'!$B48,List!$E$2:$E$173,0),MATCH('Selection Pane Data'!AF$3,List!$E$2:$CD$2,0)),"")</f>
        <v/>
      </c>
      <c r="AG48" s="13" t="str">
        <f>IF(AG$4="Yes",INDEX(List!$E$2:$CD$173,MATCH('Selection Pane Data'!$B48,List!$E$2:$E$173,0),MATCH('Selection Pane Data'!AG$3,List!$E$2:$CD$2,0)),"")</f>
        <v/>
      </c>
      <c r="AH48" s="13" t="str">
        <f>IF(AH$4="Yes",INDEX(List!$E$2:$CD$173,MATCH('Selection Pane Data'!$B48,List!$E$2:$E$173,0),MATCH('Selection Pane Data'!AH$3,List!$E$2:$CD$2,0)),"")</f>
        <v/>
      </c>
      <c r="AI48" s="13" t="str">
        <f>IF(AI$4="Yes",INDEX(List!$E$2:$CD$173,MATCH('Selection Pane Data'!$B48,List!$E$2:$E$173,0),MATCH('Selection Pane Data'!AI$3,List!$E$2:$CD$2,0)),"")</f>
        <v/>
      </c>
      <c r="AJ48" s="13" t="str">
        <f>IF(AJ$4="Yes",INDEX(List!$E$2:$CD$173,MATCH('Selection Pane Data'!$B48,List!$E$2:$E$173,0),MATCH('Selection Pane Data'!AJ$3,List!$E$2:$CD$2,0)),"")</f>
        <v/>
      </c>
      <c r="AK48" s="13" t="str">
        <f>IF(AK$4="Yes",INDEX(List!$E$2:$CD$173,MATCH('Selection Pane Data'!$B48,List!$E$2:$E$173,0),MATCH('Selection Pane Data'!AK$3,List!$E$2:$CD$2,0)),"")</f>
        <v/>
      </c>
      <c r="AL48" s="13" t="str">
        <f>IF(AL$4="Yes",INDEX(List!$E$2:$CD$173,MATCH('Selection Pane Data'!$B48,List!$E$2:$E$173,0),MATCH('Selection Pane Data'!AL$3,List!$E$2:$CD$2,0)),"")</f>
        <v/>
      </c>
      <c r="AM48" s="13" t="str">
        <f>IF(AM$4="Yes",INDEX(List!$E$2:$CD$173,MATCH('Selection Pane Data'!$B48,List!$E$2:$E$173,0),MATCH('Selection Pane Data'!AM$3,List!$E$2:$CD$2,0)),"")</f>
        <v/>
      </c>
      <c r="AN48" s="13" t="str">
        <f>IF(AN$4="Yes",INDEX(List!$E$2:$CD$173,MATCH('Selection Pane Data'!$B48,List!$E$2:$E$173,0),MATCH('Selection Pane Data'!AN$3,List!$E$2:$CD$2,0)),"")</f>
        <v/>
      </c>
      <c r="AO48" s="13" t="str">
        <f>IF(AO$4="Yes",INDEX(List!$E$2:$CD$173,MATCH('Selection Pane Data'!$B48,List!$E$2:$E$173,0),MATCH('Selection Pane Data'!AO$3,List!$E$2:$CD$2,0)),"")</f>
        <v/>
      </c>
      <c r="AP48" s="13" t="str">
        <f>IF(AP$4="Yes",INDEX(List!$E$2:$CD$173,MATCH('Selection Pane Data'!$B48,List!$E$2:$E$173,0),MATCH('Selection Pane Data'!AP$3,List!$E$2:$CD$2,0)),"")</f>
        <v/>
      </c>
      <c r="AQ48" s="13" t="str">
        <f>IF(AQ$4="Yes",INDEX(List!$E$2:$CD$173,MATCH('Selection Pane Data'!$B48,List!$E$2:$E$173,0),MATCH('Selection Pane Data'!AQ$3,List!$E$2:$CD$2,0)),"")</f>
        <v/>
      </c>
      <c r="AR48" s="13" t="str">
        <f>IF(AR$4="Yes",INDEX(List!$E$2:$CD$173,MATCH('Selection Pane Data'!$B48,List!$E$2:$E$173,0),MATCH('Selection Pane Data'!AR$3,List!$E$2:$CD$2,0)),"")</f>
        <v/>
      </c>
      <c r="AS48" s="13" t="str">
        <f>IF(AS$4="Yes",INDEX(List!$E$2:$CD$173,MATCH('Selection Pane Data'!$B48,List!$E$2:$E$173,0),MATCH('Selection Pane Data'!AS$3,List!$E$2:$CD$2,0)),"")</f>
        <v/>
      </c>
      <c r="AT48" s="13" t="str">
        <f>IF(AT$4="Yes",INDEX(List!$E$2:$CD$173,MATCH('Selection Pane Data'!$B48,List!$E$2:$E$173,0),MATCH('Selection Pane Data'!AT$3,List!$E$2:$CD$2,0)),"")</f>
        <v/>
      </c>
      <c r="AU48" s="13" t="str">
        <f>IF(AU$4="Yes",INDEX(List!$E$2:$CD$173,MATCH('Selection Pane Data'!$B48,List!$E$2:$E$173,0),MATCH('Selection Pane Data'!AU$3,List!$E$2:$CD$2,0)),"")</f>
        <v/>
      </c>
      <c r="AV48" s="13" t="str">
        <f>IF(AV$4="Yes",INDEX(List!$E$2:$CD$173,MATCH('Selection Pane Data'!$B48,List!$E$2:$E$173,0),MATCH('Selection Pane Data'!AV$3,List!$E$2:$CD$2,0)),"")</f>
        <v/>
      </c>
      <c r="AW48" s="13" t="str">
        <f>IF(AW$4="Yes",INDEX(List!$E$2:$CD$173,MATCH('Selection Pane Data'!$B48,List!$E$2:$E$173,0),MATCH('Selection Pane Data'!AW$3,List!$E$2:$CD$2,0)),"")</f>
        <v/>
      </c>
      <c r="AX48" s="13" t="str">
        <f>IF(AX$4="Yes",INDEX(List!$E$2:$CD$173,MATCH('Selection Pane Data'!$B48,List!$E$2:$E$173,0),MATCH('Selection Pane Data'!AX$3,List!$E$2:$CD$2,0)),"")</f>
        <v/>
      </c>
      <c r="AY48" s="13" t="str">
        <f>IF(AY$4="Yes",INDEX(List!$E$2:$CD$173,MATCH('Selection Pane Data'!$B48,List!$E$2:$E$173,0),MATCH('Selection Pane Data'!AY$3,List!$E$2:$CD$2,0)),"")</f>
        <v/>
      </c>
      <c r="AZ48" s="13" t="str">
        <f>IF(AZ$4="Yes",INDEX(List!$E$2:$CD$173,MATCH('Selection Pane Data'!$B48,List!$E$2:$E$173,0),MATCH('Selection Pane Data'!AZ$3,List!$E$2:$CD$2,0)),"")</f>
        <v/>
      </c>
      <c r="BA48" s="13" t="str">
        <f>IF(BA$4="Yes",INDEX(List!$E$2:$CD$173,MATCH('Selection Pane Data'!$B48,List!$E$2:$E$173,0),MATCH('Selection Pane Data'!BA$3,List!$E$2:$CD$2,0)),"")</f>
        <v/>
      </c>
      <c r="BB48" s="13" t="str">
        <f>IF(BB$4="Yes",INDEX(List!$E$2:$CD$173,MATCH('Selection Pane Data'!$B48,List!$E$2:$E$173,0),MATCH('Selection Pane Data'!BB$3,List!$E$2:$CD$2,0)),"")</f>
        <v/>
      </c>
      <c r="BC48" s="13" t="str">
        <f>IF(BC$4="Yes",INDEX(List!$E$2:$CD$173,MATCH('Selection Pane Data'!$B48,List!$E$2:$E$173,0),MATCH('Selection Pane Data'!BC$3,List!$E$2:$CD$2,0)),"")</f>
        <v/>
      </c>
      <c r="BD48" s="13" t="str">
        <f>IF(BD$4="Yes",INDEX(List!$E$2:$CD$173,MATCH('Selection Pane Data'!$B48,List!$E$2:$E$173,0),MATCH('Selection Pane Data'!BD$3,List!$E$2:$CD$2,0)),"")</f>
        <v/>
      </c>
      <c r="BE48" s="13" t="str">
        <f>IF(BE$4="Yes",INDEX(List!$E$2:$CD$173,MATCH('Selection Pane Data'!$B48,List!$E$2:$E$173,0),MATCH('Selection Pane Data'!BE$3,List!$E$2:$CD$2,0)),"")</f>
        <v/>
      </c>
      <c r="BF48" s="13" t="str">
        <f>IF(BF$4="Yes",INDEX(List!$E$2:$CD$173,MATCH('Selection Pane Data'!$B48,List!$E$2:$E$173,0),MATCH('Selection Pane Data'!BF$3,List!$E$2:$CD$2,0)),"")</f>
        <v/>
      </c>
      <c r="BG48" s="13" t="str">
        <f>IF(BG$4="Yes",INDEX(List!$E$2:$CD$173,MATCH('Selection Pane Data'!$B48,List!$E$2:$E$173,0),MATCH('Selection Pane Data'!BG$3,List!$E$2:$CD$2,0)),"")</f>
        <v/>
      </c>
      <c r="BH48" s="13" t="str">
        <f>IF(BH$4="Yes",INDEX(List!$E$2:$CD$173,MATCH('Selection Pane Data'!$B48,List!$E$2:$E$173,0),MATCH('Selection Pane Data'!BH$3,List!$E$2:$CD$2,0)),"")</f>
        <v/>
      </c>
      <c r="BI48" s="13" t="str">
        <f>IF(BI$4="Yes",INDEX(List!$E$2:$CD$173,MATCH('Selection Pane Data'!$B48,List!$E$2:$E$173,0),MATCH('Selection Pane Data'!BI$3,List!$E$2:$CD$2,0)),"")</f>
        <v/>
      </c>
      <c r="BJ48" s="13" t="str">
        <f>IF(BJ$4="Yes",INDEX(List!$E$2:$CD$173,MATCH('Selection Pane Data'!$B48,List!$E$2:$E$173,0),MATCH('Selection Pane Data'!BJ$3,List!$E$2:$CD$2,0)),"")</f>
        <v/>
      </c>
      <c r="BK48" s="13" t="str">
        <f>IF(BK$4="Yes",INDEX(List!$E$2:$CD$173,MATCH('Selection Pane Data'!$B48,List!$E$2:$E$173,0),MATCH('Selection Pane Data'!BK$3,List!$E$2:$CD$2,0)),"")</f>
        <v/>
      </c>
      <c r="BL48" s="13" t="str">
        <f>IF(BL$4="Yes",INDEX(List!$E$2:$CD$173,MATCH('Selection Pane Data'!$B48,List!$E$2:$E$173,0),MATCH('Selection Pane Data'!BL$3,List!$E$2:$CD$2,0)),"")</f>
        <v/>
      </c>
      <c r="BM48" s="13" t="str">
        <f>IF(BM$4="Yes",INDEX(List!$E$2:$CD$173,MATCH('Selection Pane Data'!$B48,List!$E$2:$E$173,0),MATCH('Selection Pane Data'!BM$3,List!$E$2:$CD$2,0)),"")</f>
        <v/>
      </c>
      <c r="BN48" s="13" t="str">
        <f>IF(BN$4="Yes",INDEX(List!$E$2:$CD$173,MATCH('Selection Pane Data'!$B48,List!$E$2:$E$173,0),MATCH('Selection Pane Data'!BN$3,List!$E$2:$CD$2,0)),"")</f>
        <v/>
      </c>
      <c r="BO48" s="13" t="str">
        <f>IF(BO$4="Yes",INDEX(List!$E$2:$CD$173,MATCH('Selection Pane Data'!$B48,List!$E$2:$E$173,0),MATCH('Selection Pane Data'!BO$3,List!$E$2:$CD$2,0)),"")</f>
        <v/>
      </c>
      <c r="BP48" s="13" t="str">
        <f>IF(BP$4="Yes",INDEX(List!$E$2:$CD$173,MATCH('Selection Pane Data'!$B48,List!$E$2:$E$173,0),MATCH('Selection Pane Data'!BP$3,List!$E$2:$CD$2,0)),"")</f>
        <v/>
      </c>
      <c r="BQ48" s="13" t="str">
        <f>IF(BQ$4="Yes",INDEX(List!$E$2:$CD$173,MATCH('Selection Pane Data'!$B48,List!$E$2:$E$173,0),MATCH('Selection Pane Data'!BQ$3,List!$E$2:$CD$2,0)),"")</f>
        <v/>
      </c>
      <c r="BR48" s="13" t="str">
        <f>IF(BR$4="Yes",INDEX(List!$E$2:$CD$173,MATCH('Selection Pane Data'!$B48,List!$E$2:$E$173,0),MATCH('Selection Pane Data'!BR$3,List!$E$2:$CD$2,0)),"")</f>
        <v/>
      </c>
      <c r="BS48" s="13" t="str">
        <f>IF(BS$4="Yes",INDEX(List!$E$2:$CD$173,MATCH('Selection Pane Data'!$B48,List!$E$2:$E$173,0),MATCH('Selection Pane Data'!BS$3,List!$E$2:$CD$2,0)),"")</f>
        <v/>
      </c>
      <c r="BT48" s="13" t="str">
        <f>IF(BT$4="Yes",INDEX(List!$E$2:$CD$173,MATCH('Selection Pane Data'!$B48,List!$E$2:$E$173,0),MATCH('Selection Pane Data'!BT$3,List!$E$2:$CD$2,0)),"")</f>
        <v/>
      </c>
      <c r="BU48" s="13" t="str">
        <f>IF(BU$4="Yes",INDEX(List!$E$2:$CD$173,MATCH('Selection Pane Data'!$B48,List!$E$2:$E$173,0),MATCH('Selection Pane Data'!BU$3,List!$E$2:$CD$2,0)),"")</f>
        <v/>
      </c>
      <c r="BV48" s="13" t="str">
        <f>IF(BV$4="Yes",INDEX(List!$E$2:$CD$173,MATCH('Selection Pane Data'!$B48,List!$E$2:$E$173,0),MATCH('Selection Pane Data'!BV$3,List!$E$2:$CD$2,0)),"")</f>
        <v/>
      </c>
      <c r="BW48" s="13" t="str">
        <f>IF(BW$4="Yes",INDEX(List!$E$2:$CD$173,MATCH('Selection Pane Data'!$B48,List!$E$2:$E$173,0),MATCH('Selection Pane Data'!BW$3,List!$E$2:$CD$2,0)),"")</f>
        <v/>
      </c>
      <c r="BX48" s="13" t="str">
        <f>IF(BX$4="Yes",INDEX(List!$E$2:$CD$173,MATCH('Selection Pane Data'!$B48,List!$E$2:$E$173,0),MATCH('Selection Pane Data'!BX$3,List!$E$2:$CD$2,0)),"")</f>
        <v/>
      </c>
      <c r="BY48" s="13" t="str">
        <f>IF(BY$4="Yes",INDEX(List!$E$2:$CD$173,MATCH('Selection Pane Data'!$B48,List!$E$2:$E$173,0),MATCH('Selection Pane Data'!BY$3,List!$E$2:$CD$2,0)),"")</f>
        <v/>
      </c>
      <c r="BZ48" s="13" t="str">
        <f>IF(BZ$4="Yes",INDEX(List!$E$2:$CD$173,MATCH('Selection Pane Data'!$B48,List!$E$2:$E$173,0),MATCH('Selection Pane Data'!BZ$3,List!$E$2:$CD$2,0)),"")</f>
        <v/>
      </c>
      <c r="CA48" s="13" t="str">
        <f>IF(CA$4="Yes",INDEX(List!$E$2:$CD$173,MATCH('Selection Pane Data'!$B48,List!$E$2:$E$173,0),MATCH('Selection Pane Data'!CA$3,List!$E$2:$CD$2,0)),"")</f>
        <v/>
      </c>
      <c r="CB48" s="13" t="str">
        <f>IF(CB$4="Yes",INDEX(List!$E$2:$CD$173,MATCH('Selection Pane Data'!$B48,List!$E$2:$E$173,0),MATCH('Selection Pane Data'!CB$3,List!$E$2:$CD$2,0)),"")</f>
        <v/>
      </c>
      <c r="CC48" s="13" t="str">
        <f>IF(CC$4="Yes",INDEX(List!$E$2:$CD$173,MATCH('Selection Pane Data'!$B48,List!$E$2:$E$173,0),MATCH('Selection Pane Data'!CC$3,List!$E$2:$CD$2,0)),"")</f>
        <v/>
      </c>
      <c r="CD48" s="13" t="str">
        <f>IF(CD$4="Yes",INDEX(List!$E$2:$CD$173,MATCH('Selection Pane Data'!$B48,List!$E$2:$E$173,0),MATCH('Selection Pane Data'!CD$3,List!$E$2:$CD$2,0)),"")</f>
        <v/>
      </c>
      <c r="CE48" s="13" t="str">
        <f>IF(CE$4="Yes",INDEX(List!$E$2:$CD$173,MATCH('Selection Pane Data'!$B48,List!$E$2:$E$173,0),MATCH('Selection Pane Data'!CE$3,List!$E$2:$CD$2,0)),"")</f>
        <v/>
      </c>
    </row>
    <row r="49" spans="2:83" x14ac:dyDescent="0.35">
      <c r="B49" s="21" t="s">
        <v>336</v>
      </c>
      <c r="C49" s="126" t="str">
        <f>VLOOKUP(B49,List!$E$2:$G$173,2,FALSE)</f>
        <v>N/A</v>
      </c>
      <c r="D49" s="31" t="str">
        <f>List!G47</f>
        <v>Not Applicable</v>
      </c>
      <c r="E49" s="31" t="str">
        <f>IF(Placemat!$F$4="All Practices","All Practices",IF(VLOOKUP(B49,Table7[#All],6,FALSE)="No Mapping","New CMMC Practices","Practices with NIST 800-171 Mappings"))</f>
        <v>Practices with NIST 800-171 Mappings</v>
      </c>
      <c r="F49" t="str">
        <f>INDEX('CMMC Levels'!$A$1:$F$172,MATCH('Selection Pane Data'!$C49,'CMMC Levels'!$A$1:$A$172,0),MATCH(Placemat!$F$4,'CMMC Levels'!$A$1:$F$1,0))</f>
        <v>N/A</v>
      </c>
      <c r="G49" s="77" t="str">
        <f>IF((COUNTIF(List!H47:CE47,"P")+COUNTIF(List!H47:CE47,"S"))=0,"N",IF(COUNTIF(H49:CE49,"P"),"P",IF(COUNTIF(H49:CE49,"S"),"S","U")))</f>
        <v>N</v>
      </c>
      <c r="H49" s="13" t="str">
        <f>IF(H$4="Yes",INDEX(List!$E$2:$CD$173,MATCH('Selection Pane Data'!$B49,List!$E$2:$E$173,0),MATCH('Selection Pane Data'!H$3,List!$E$2:$CD$2,0)),"")</f>
        <v/>
      </c>
      <c r="I49" s="13" t="str">
        <f>IF(I$4="Yes",INDEX(List!$E$2:$CD$173,MATCH('Selection Pane Data'!$B49,List!$E$2:$E$173,0),MATCH('Selection Pane Data'!I$3,List!$E$2:$CD$2,0)),"")</f>
        <v/>
      </c>
      <c r="J49" s="13" t="e">
        <f>IF(J$4="Yes",INDEX(List!$E$2:$CD$173,MATCH('Selection Pane Data'!$B49,List!$E$2:$E$173,0),MATCH('Selection Pane Data'!J$3,List!$E$2:$CD$2,0)),"")</f>
        <v>#N/A</v>
      </c>
      <c r="K49" s="13" t="str">
        <f>IF(K$4="Yes",INDEX(List!$E$2:$CD$173,MATCH('Selection Pane Data'!$B49,List!$E$2:$E$173,0),MATCH('Selection Pane Data'!K$3,List!$E$2:$CD$2,0)),"")</f>
        <v/>
      </c>
      <c r="L49" s="13" t="str">
        <f>IF(L$4="Yes",INDEX(List!$E$2:$CD$173,MATCH('Selection Pane Data'!$B49,List!$E$2:$E$173,0),MATCH('Selection Pane Data'!L$3,List!$E$2:$CD$2,0)),"")</f>
        <v/>
      </c>
      <c r="M49" s="13" t="str">
        <f>IF(M$4="Yes",INDEX(List!$E$2:$CD$173,MATCH('Selection Pane Data'!$B49,List!$E$2:$E$173,0),MATCH('Selection Pane Data'!M$3,List!$E$2:$CD$2,0)),"")</f>
        <v/>
      </c>
      <c r="N49" s="13" t="str">
        <f>IF(N$4="Yes",INDEX(List!$E$2:$CD$173,MATCH('Selection Pane Data'!$B49,List!$E$2:$E$173,0),MATCH('Selection Pane Data'!N$3,List!$E$2:$CD$2,0)),"")</f>
        <v/>
      </c>
      <c r="O49" s="13" t="str">
        <f>IF(O$4="Yes",INDEX(List!$E$2:$CD$173,MATCH('Selection Pane Data'!$B49,List!$E$2:$E$173,0),MATCH('Selection Pane Data'!O$3,List!$E$2:$CD$2,0)),"")</f>
        <v/>
      </c>
      <c r="P49" s="13" t="str">
        <f>IF(P$4="Yes",INDEX(List!$E$2:$CD$173,MATCH('Selection Pane Data'!$B49,List!$E$2:$E$173,0),MATCH('Selection Pane Data'!P$3,List!$E$2:$CD$2,0)),"")</f>
        <v/>
      </c>
      <c r="Q49" s="13" t="str">
        <f>IF(Q$4="Yes",INDEX(List!$E$2:$CD$173,MATCH('Selection Pane Data'!$B49,List!$E$2:$E$173,0),MATCH('Selection Pane Data'!Q$3,List!$E$2:$CD$2,0)),"")</f>
        <v/>
      </c>
      <c r="R49" s="13" t="str">
        <f>IF(R$4="Yes",INDEX(List!$E$2:$CD$173,MATCH('Selection Pane Data'!$B49,List!$E$2:$E$173,0),MATCH('Selection Pane Data'!R$3,List!$E$2:$CD$2,0)),"")</f>
        <v/>
      </c>
      <c r="S49" s="13" t="str">
        <f>IF(S$4="Yes",INDEX(List!$E$2:$CD$173,MATCH('Selection Pane Data'!$B49,List!$E$2:$E$173,0),MATCH('Selection Pane Data'!S$3,List!$E$2:$CD$2,0)),"")</f>
        <v/>
      </c>
      <c r="T49" s="13" t="str">
        <f>IF(T$4="Yes",INDEX(List!$E$2:$CD$173,MATCH('Selection Pane Data'!$B49,List!$E$2:$E$173,0),MATCH('Selection Pane Data'!T$3,List!$E$2:$CD$2,0)),"")</f>
        <v/>
      </c>
      <c r="U49" s="13" t="str">
        <f>IF(U$4="Yes",INDEX(List!$E$2:$CD$173,MATCH('Selection Pane Data'!$B49,List!$E$2:$E$173,0),MATCH('Selection Pane Data'!U$3,List!$E$2:$CD$2,0)),"")</f>
        <v/>
      </c>
      <c r="V49" s="13" t="str">
        <f>IF(V$4="Yes",INDEX(List!$E$2:$CD$173,MATCH('Selection Pane Data'!$B49,List!$E$2:$E$173,0),MATCH('Selection Pane Data'!V$3,List!$E$2:$CD$2,0)),"")</f>
        <v/>
      </c>
      <c r="W49" s="13" t="str">
        <f>IF(W$4="Yes",INDEX(List!$E$2:$CD$173,MATCH('Selection Pane Data'!$B49,List!$E$2:$E$173,0),MATCH('Selection Pane Data'!W$3,List!$E$2:$CD$2,0)),"")</f>
        <v/>
      </c>
      <c r="X49" s="13" t="str">
        <f>IF(X$4="Yes",INDEX(List!$E$2:$CD$173,MATCH('Selection Pane Data'!$B49,List!$E$2:$E$173,0),MATCH('Selection Pane Data'!X$3,List!$E$2:$CD$2,0)),"")</f>
        <v/>
      </c>
      <c r="Y49" s="13" t="str">
        <f>IF(Y$4="Yes",INDEX(List!$E$2:$CD$173,MATCH('Selection Pane Data'!$B49,List!$E$2:$E$173,0),MATCH('Selection Pane Data'!Y$3,List!$E$2:$CD$2,0)),"")</f>
        <v/>
      </c>
      <c r="Z49" s="13" t="str">
        <f>IF(Z$4="Yes",INDEX(List!$E$2:$CD$173,MATCH('Selection Pane Data'!$B49,List!$E$2:$E$173,0),MATCH('Selection Pane Data'!Z$3,List!$E$2:$CD$2,0)),"")</f>
        <v/>
      </c>
      <c r="AA49" s="13" t="e">
        <f>IF(AA$4="Yes",INDEX(List!$E$2:$CD$173,MATCH('Selection Pane Data'!$B49,List!$E$2:$E$173,0),MATCH('Selection Pane Data'!AA$3,List!$E$2:$CD$2,0)),"")</f>
        <v>#N/A</v>
      </c>
      <c r="AB49" s="13" t="str">
        <f>IF(AB$4="Yes",INDEX(List!$E$2:$CD$173,MATCH('Selection Pane Data'!$B49,List!$E$2:$E$173,0),MATCH('Selection Pane Data'!AB$3,List!$E$2:$CD$2,0)),"")</f>
        <v/>
      </c>
      <c r="AC49" s="13" t="str">
        <f>IF(AC$4="Yes",INDEX(List!$E$2:$CD$173,MATCH('Selection Pane Data'!$B49,List!$E$2:$E$173,0),MATCH('Selection Pane Data'!AC$3,List!$E$2:$CD$2,0)),"")</f>
        <v/>
      </c>
      <c r="AD49" s="13" t="str">
        <f>IF(AD$4="Yes",INDEX(List!$E$2:$CD$173,MATCH('Selection Pane Data'!$B49,List!$E$2:$E$173,0),MATCH('Selection Pane Data'!AD$3,List!$E$2:$CD$2,0)),"")</f>
        <v/>
      </c>
      <c r="AE49" s="13" t="str">
        <f>IF(AE$4="Yes",INDEX(List!$E$2:$CD$173,MATCH('Selection Pane Data'!$B49,List!$E$2:$E$173,0),MATCH('Selection Pane Data'!AE$3,List!$E$2:$CD$2,0)),"")</f>
        <v/>
      </c>
      <c r="AF49" s="13" t="str">
        <f>IF(AF$4="Yes",INDEX(List!$E$2:$CD$173,MATCH('Selection Pane Data'!$B49,List!$E$2:$E$173,0),MATCH('Selection Pane Data'!AF$3,List!$E$2:$CD$2,0)),"")</f>
        <v/>
      </c>
      <c r="AG49" s="13" t="str">
        <f>IF(AG$4="Yes",INDEX(List!$E$2:$CD$173,MATCH('Selection Pane Data'!$B49,List!$E$2:$E$173,0),MATCH('Selection Pane Data'!AG$3,List!$E$2:$CD$2,0)),"")</f>
        <v/>
      </c>
      <c r="AH49" s="13" t="str">
        <f>IF(AH$4="Yes",INDEX(List!$E$2:$CD$173,MATCH('Selection Pane Data'!$B49,List!$E$2:$E$173,0),MATCH('Selection Pane Data'!AH$3,List!$E$2:$CD$2,0)),"")</f>
        <v/>
      </c>
      <c r="AI49" s="13" t="str">
        <f>IF(AI$4="Yes",INDEX(List!$E$2:$CD$173,MATCH('Selection Pane Data'!$B49,List!$E$2:$E$173,0),MATCH('Selection Pane Data'!AI$3,List!$E$2:$CD$2,0)),"")</f>
        <v/>
      </c>
      <c r="AJ49" s="13" t="str">
        <f>IF(AJ$4="Yes",INDEX(List!$E$2:$CD$173,MATCH('Selection Pane Data'!$B49,List!$E$2:$E$173,0),MATCH('Selection Pane Data'!AJ$3,List!$E$2:$CD$2,0)),"")</f>
        <v/>
      </c>
      <c r="AK49" s="13" t="str">
        <f>IF(AK$4="Yes",INDEX(List!$E$2:$CD$173,MATCH('Selection Pane Data'!$B49,List!$E$2:$E$173,0),MATCH('Selection Pane Data'!AK$3,List!$E$2:$CD$2,0)),"")</f>
        <v/>
      </c>
      <c r="AL49" s="13" t="str">
        <f>IF(AL$4="Yes",INDEX(List!$E$2:$CD$173,MATCH('Selection Pane Data'!$B49,List!$E$2:$E$173,0),MATCH('Selection Pane Data'!AL$3,List!$E$2:$CD$2,0)),"")</f>
        <v/>
      </c>
      <c r="AM49" s="13" t="str">
        <f>IF(AM$4="Yes",INDEX(List!$E$2:$CD$173,MATCH('Selection Pane Data'!$B49,List!$E$2:$E$173,0),MATCH('Selection Pane Data'!AM$3,List!$E$2:$CD$2,0)),"")</f>
        <v/>
      </c>
      <c r="AN49" s="13" t="str">
        <f>IF(AN$4="Yes",INDEX(List!$E$2:$CD$173,MATCH('Selection Pane Data'!$B49,List!$E$2:$E$173,0),MATCH('Selection Pane Data'!AN$3,List!$E$2:$CD$2,0)),"")</f>
        <v/>
      </c>
      <c r="AO49" s="13" t="str">
        <f>IF(AO$4="Yes",INDEX(List!$E$2:$CD$173,MATCH('Selection Pane Data'!$B49,List!$E$2:$E$173,0),MATCH('Selection Pane Data'!AO$3,List!$E$2:$CD$2,0)),"")</f>
        <v/>
      </c>
      <c r="AP49" s="13" t="str">
        <f>IF(AP$4="Yes",INDEX(List!$E$2:$CD$173,MATCH('Selection Pane Data'!$B49,List!$E$2:$E$173,0),MATCH('Selection Pane Data'!AP$3,List!$E$2:$CD$2,0)),"")</f>
        <v/>
      </c>
      <c r="AQ49" s="13" t="str">
        <f>IF(AQ$4="Yes",INDEX(List!$E$2:$CD$173,MATCH('Selection Pane Data'!$B49,List!$E$2:$E$173,0),MATCH('Selection Pane Data'!AQ$3,List!$E$2:$CD$2,0)),"")</f>
        <v/>
      </c>
      <c r="AR49" s="13" t="str">
        <f>IF(AR$4="Yes",INDEX(List!$E$2:$CD$173,MATCH('Selection Pane Data'!$B49,List!$E$2:$E$173,0),MATCH('Selection Pane Data'!AR$3,List!$E$2:$CD$2,0)),"")</f>
        <v/>
      </c>
      <c r="AS49" s="13" t="str">
        <f>IF(AS$4="Yes",INDEX(List!$E$2:$CD$173,MATCH('Selection Pane Data'!$B49,List!$E$2:$E$173,0),MATCH('Selection Pane Data'!AS$3,List!$E$2:$CD$2,0)),"")</f>
        <v/>
      </c>
      <c r="AT49" s="13" t="str">
        <f>IF(AT$4="Yes",INDEX(List!$E$2:$CD$173,MATCH('Selection Pane Data'!$B49,List!$E$2:$E$173,0),MATCH('Selection Pane Data'!AT$3,List!$E$2:$CD$2,0)),"")</f>
        <v/>
      </c>
      <c r="AU49" s="13" t="str">
        <f>IF(AU$4="Yes",INDEX(List!$E$2:$CD$173,MATCH('Selection Pane Data'!$B49,List!$E$2:$E$173,0),MATCH('Selection Pane Data'!AU$3,List!$E$2:$CD$2,0)),"")</f>
        <v/>
      </c>
      <c r="AV49" s="13" t="str">
        <f>IF(AV$4="Yes",INDEX(List!$E$2:$CD$173,MATCH('Selection Pane Data'!$B49,List!$E$2:$E$173,0),MATCH('Selection Pane Data'!AV$3,List!$E$2:$CD$2,0)),"")</f>
        <v/>
      </c>
      <c r="AW49" s="13" t="str">
        <f>IF(AW$4="Yes",INDEX(List!$E$2:$CD$173,MATCH('Selection Pane Data'!$B49,List!$E$2:$E$173,0),MATCH('Selection Pane Data'!AW$3,List!$E$2:$CD$2,0)),"")</f>
        <v/>
      </c>
      <c r="AX49" s="13" t="str">
        <f>IF(AX$4="Yes",INDEX(List!$E$2:$CD$173,MATCH('Selection Pane Data'!$B49,List!$E$2:$E$173,0),MATCH('Selection Pane Data'!AX$3,List!$E$2:$CD$2,0)),"")</f>
        <v/>
      </c>
      <c r="AY49" s="13" t="str">
        <f>IF(AY$4="Yes",INDEX(List!$E$2:$CD$173,MATCH('Selection Pane Data'!$B49,List!$E$2:$E$173,0),MATCH('Selection Pane Data'!AY$3,List!$E$2:$CD$2,0)),"")</f>
        <v/>
      </c>
      <c r="AZ49" s="13" t="str">
        <f>IF(AZ$4="Yes",INDEX(List!$E$2:$CD$173,MATCH('Selection Pane Data'!$B49,List!$E$2:$E$173,0),MATCH('Selection Pane Data'!AZ$3,List!$E$2:$CD$2,0)),"")</f>
        <v/>
      </c>
      <c r="BA49" s="13" t="str">
        <f>IF(BA$4="Yes",INDEX(List!$E$2:$CD$173,MATCH('Selection Pane Data'!$B49,List!$E$2:$E$173,0),MATCH('Selection Pane Data'!BA$3,List!$E$2:$CD$2,0)),"")</f>
        <v/>
      </c>
      <c r="BB49" s="13" t="str">
        <f>IF(BB$4="Yes",INDEX(List!$E$2:$CD$173,MATCH('Selection Pane Data'!$B49,List!$E$2:$E$173,0),MATCH('Selection Pane Data'!BB$3,List!$E$2:$CD$2,0)),"")</f>
        <v/>
      </c>
      <c r="BC49" s="13" t="str">
        <f>IF(BC$4="Yes",INDEX(List!$E$2:$CD$173,MATCH('Selection Pane Data'!$B49,List!$E$2:$E$173,0),MATCH('Selection Pane Data'!BC$3,List!$E$2:$CD$2,0)),"")</f>
        <v/>
      </c>
      <c r="BD49" s="13" t="str">
        <f>IF(BD$4="Yes",INDEX(List!$E$2:$CD$173,MATCH('Selection Pane Data'!$B49,List!$E$2:$E$173,0),MATCH('Selection Pane Data'!BD$3,List!$E$2:$CD$2,0)),"")</f>
        <v/>
      </c>
      <c r="BE49" s="13" t="str">
        <f>IF(BE$4="Yes",INDEX(List!$E$2:$CD$173,MATCH('Selection Pane Data'!$B49,List!$E$2:$E$173,0),MATCH('Selection Pane Data'!BE$3,List!$E$2:$CD$2,0)),"")</f>
        <v/>
      </c>
      <c r="BF49" s="13" t="str">
        <f>IF(BF$4="Yes",INDEX(List!$E$2:$CD$173,MATCH('Selection Pane Data'!$B49,List!$E$2:$E$173,0),MATCH('Selection Pane Data'!BF$3,List!$E$2:$CD$2,0)),"")</f>
        <v/>
      </c>
      <c r="BG49" s="13" t="str">
        <f>IF(BG$4="Yes",INDEX(List!$E$2:$CD$173,MATCH('Selection Pane Data'!$B49,List!$E$2:$E$173,0),MATCH('Selection Pane Data'!BG$3,List!$E$2:$CD$2,0)),"")</f>
        <v/>
      </c>
      <c r="BH49" s="13" t="str">
        <f>IF(BH$4="Yes",INDEX(List!$E$2:$CD$173,MATCH('Selection Pane Data'!$B49,List!$E$2:$E$173,0),MATCH('Selection Pane Data'!BH$3,List!$E$2:$CD$2,0)),"")</f>
        <v/>
      </c>
      <c r="BI49" s="13" t="str">
        <f>IF(BI$4="Yes",INDEX(List!$E$2:$CD$173,MATCH('Selection Pane Data'!$B49,List!$E$2:$E$173,0),MATCH('Selection Pane Data'!BI$3,List!$E$2:$CD$2,0)),"")</f>
        <v/>
      </c>
      <c r="BJ49" s="13" t="str">
        <f>IF(BJ$4="Yes",INDEX(List!$E$2:$CD$173,MATCH('Selection Pane Data'!$B49,List!$E$2:$E$173,0),MATCH('Selection Pane Data'!BJ$3,List!$E$2:$CD$2,0)),"")</f>
        <v/>
      </c>
      <c r="BK49" s="13" t="str">
        <f>IF(BK$4="Yes",INDEX(List!$E$2:$CD$173,MATCH('Selection Pane Data'!$B49,List!$E$2:$E$173,0),MATCH('Selection Pane Data'!BK$3,List!$E$2:$CD$2,0)),"")</f>
        <v/>
      </c>
      <c r="BL49" s="13" t="str">
        <f>IF(BL$4="Yes",INDEX(List!$E$2:$CD$173,MATCH('Selection Pane Data'!$B49,List!$E$2:$E$173,0),MATCH('Selection Pane Data'!BL$3,List!$E$2:$CD$2,0)),"")</f>
        <v/>
      </c>
      <c r="BM49" s="13" t="str">
        <f>IF(BM$4="Yes",INDEX(List!$E$2:$CD$173,MATCH('Selection Pane Data'!$B49,List!$E$2:$E$173,0),MATCH('Selection Pane Data'!BM$3,List!$E$2:$CD$2,0)),"")</f>
        <v/>
      </c>
      <c r="BN49" s="13" t="str">
        <f>IF(BN$4="Yes",INDEX(List!$E$2:$CD$173,MATCH('Selection Pane Data'!$B49,List!$E$2:$E$173,0),MATCH('Selection Pane Data'!BN$3,List!$E$2:$CD$2,0)),"")</f>
        <v/>
      </c>
      <c r="BO49" s="13" t="str">
        <f>IF(BO$4="Yes",INDEX(List!$E$2:$CD$173,MATCH('Selection Pane Data'!$B49,List!$E$2:$E$173,0),MATCH('Selection Pane Data'!BO$3,List!$E$2:$CD$2,0)),"")</f>
        <v/>
      </c>
      <c r="BP49" s="13" t="str">
        <f>IF(BP$4="Yes",INDEX(List!$E$2:$CD$173,MATCH('Selection Pane Data'!$B49,List!$E$2:$E$173,0),MATCH('Selection Pane Data'!BP$3,List!$E$2:$CD$2,0)),"")</f>
        <v/>
      </c>
      <c r="BQ49" s="13" t="str">
        <f>IF(BQ$4="Yes",INDEX(List!$E$2:$CD$173,MATCH('Selection Pane Data'!$B49,List!$E$2:$E$173,0),MATCH('Selection Pane Data'!BQ$3,List!$E$2:$CD$2,0)),"")</f>
        <v/>
      </c>
      <c r="BR49" s="13" t="str">
        <f>IF(BR$4="Yes",INDEX(List!$E$2:$CD$173,MATCH('Selection Pane Data'!$B49,List!$E$2:$E$173,0),MATCH('Selection Pane Data'!BR$3,List!$E$2:$CD$2,0)),"")</f>
        <v/>
      </c>
      <c r="BS49" s="13" t="str">
        <f>IF(BS$4="Yes",INDEX(List!$E$2:$CD$173,MATCH('Selection Pane Data'!$B49,List!$E$2:$E$173,0),MATCH('Selection Pane Data'!BS$3,List!$E$2:$CD$2,0)),"")</f>
        <v/>
      </c>
      <c r="BT49" s="13" t="str">
        <f>IF(BT$4="Yes",INDEX(List!$E$2:$CD$173,MATCH('Selection Pane Data'!$B49,List!$E$2:$E$173,0),MATCH('Selection Pane Data'!BT$3,List!$E$2:$CD$2,0)),"")</f>
        <v/>
      </c>
      <c r="BU49" s="13" t="str">
        <f>IF(BU$4="Yes",INDEX(List!$E$2:$CD$173,MATCH('Selection Pane Data'!$B49,List!$E$2:$E$173,0),MATCH('Selection Pane Data'!BU$3,List!$E$2:$CD$2,0)),"")</f>
        <v/>
      </c>
      <c r="BV49" s="13" t="str">
        <f>IF(BV$4="Yes",INDEX(List!$E$2:$CD$173,MATCH('Selection Pane Data'!$B49,List!$E$2:$E$173,0),MATCH('Selection Pane Data'!BV$3,List!$E$2:$CD$2,0)),"")</f>
        <v/>
      </c>
      <c r="BW49" s="13" t="str">
        <f>IF(BW$4="Yes",INDEX(List!$E$2:$CD$173,MATCH('Selection Pane Data'!$B49,List!$E$2:$E$173,0),MATCH('Selection Pane Data'!BW$3,List!$E$2:$CD$2,0)),"")</f>
        <v/>
      </c>
      <c r="BX49" s="13" t="str">
        <f>IF(BX$4="Yes",INDEX(List!$E$2:$CD$173,MATCH('Selection Pane Data'!$B49,List!$E$2:$E$173,0),MATCH('Selection Pane Data'!BX$3,List!$E$2:$CD$2,0)),"")</f>
        <v/>
      </c>
      <c r="BY49" s="13" t="str">
        <f>IF(BY$4="Yes",INDEX(List!$E$2:$CD$173,MATCH('Selection Pane Data'!$B49,List!$E$2:$E$173,0),MATCH('Selection Pane Data'!BY$3,List!$E$2:$CD$2,0)),"")</f>
        <v/>
      </c>
      <c r="BZ49" s="13" t="str">
        <f>IF(BZ$4="Yes",INDEX(List!$E$2:$CD$173,MATCH('Selection Pane Data'!$B49,List!$E$2:$E$173,0),MATCH('Selection Pane Data'!BZ$3,List!$E$2:$CD$2,0)),"")</f>
        <v/>
      </c>
      <c r="CA49" s="13" t="str">
        <f>IF(CA$4="Yes",INDEX(List!$E$2:$CD$173,MATCH('Selection Pane Data'!$B49,List!$E$2:$E$173,0),MATCH('Selection Pane Data'!CA$3,List!$E$2:$CD$2,0)),"")</f>
        <v/>
      </c>
      <c r="CB49" s="13" t="str">
        <f>IF(CB$4="Yes",INDEX(List!$E$2:$CD$173,MATCH('Selection Pane Data'!$B49,List!$E$2:$E$173,0),MATCH('Selection Pane Data'!CB$3,List!$E$2:$CD$2,0)),"")</f>
        <v/>
      </c>
      <c r="CC49" s="13" t="str">
        <f>IF(CC$4="Yes",INDEX(List!$E$2:$CD$173,MATCH('Selection Pane Data'!$B49,List!$E$2:$E$173,0),MATCH('Selection Pane Data'!CC$3,List!$E$2:$CD$2,0)),"")</f>
        <v/>
      </c>
      <c r="CD49" s="13" t="str">
        <f>IF(CD$4="Yes",INDEX(List!$E$2:$CD$173,MATCH('Selection Pane Data'!$B49,List!$E$2:$E$173,0),MATCH('Selection Pane Data'!CD$3,List!$E$2:$CD$2,0)),"")</f>
        <v/>
      </c>
      <c r="CE49" s="13" t="str">
        <f>IF(CE$4="Yes",INDEX(List!$E$2:$CD$173,MATCH('Selection Pane Data'!$B49,List!$E$2:$E$173,0),MATCH('Selection Pane Data'!CE$3,List!$E$2:$CD$2,0)),"")</f>
        <v/>
      </c>
    </row>
    <row r="50" spans="2:83" x14ac:dyDescent="0.35">
      <c r="B50" s="21" t="s">
        <v>337</v>
      </c>
      <c r="C50" s="126" t="str">
        <f>VLOOKUP(B50,List!$E$2:$G$173,2,FALSE)</f>
        <v>N/A</v>
      </c>
      <c r="D50" s="31" t="str">
        <f>List!G48</f>
        <v>Not Applicable</v>
      </c>
      <c r="E50" s="31" t="str">
        <f>IF(Placemat!$F$4="All Practices","All Practices",IF(VLOOKUP(B50,Table7[#All],6,FALSE)="No Mapping","New CMMC Practices","Practices with NIST 800-171 Mappings"))</f>
        <v>Practices with NIST 800-171 Mappings</v>
      </c>
      <c r="F50" t="str">
        <f>INDEX('CMMC Levels'!$A$1:$F$172,MATCH('Selection Pane Data'!$C50,'CMMC Levels'!$A$1:$A$172,0),MATCH(Placemat!$F$4,'CMMC Levels'!$A$1:$F$1,0))</f>
        <v>N/A</v>
      </c>
      <c r="G50" s="77" t="str">
        <f>IF((COUNTIF(List!H48:CE48,"P")+COUNTIF(List!H48:CE48,"S"))=0,"N",IF(COUNTIF(H50:CE50,"P"),"P",IF(COUNTIF(H50:CE50,"S"),"S","U")))</f>
        <v>N</v>
      </c>
      <c r="H50" s="13" t="str">
        <f>IF(H$4="Yes",INDEX(List!$E$2:$CD$173,MATCH('Selection Pane Data'!$B50,List!$E$2:$E$173,0),MATCH('Selection Pane Data'!H$3,List!$E$2:$CD$2,0)),"")</f>
        <v/>
      </c>
      <c r="I50" s="13" t="str">
        <f>IF(I$4="Yes",INDEX(List!$E$2:$CD$173,MATCH('Selection Pane Data'!$B50,List!$E$2:$E$173,0),MATCH('Selection Pane Data'!I$3,List!$E$2:$CD$2,0)),"")</f>
        <v/>
      </c>
      <c r="J50" s="13" t="e">
        <f>IF(J$4="Yes",INDEX(List!$E$2:$CD$173,MATCH('Selection Pane Data'!$B50,List!$E$2:$E$173,0),MATCH('Selection Pane Data'!J$3,List!$E$2:$CD$2,0)),"")</f>
        <v>#N/A</v>
      </c>
      <c r="K50" s="13" t="str">
        <f>IF(K$4="Yes",INDEX(List!$E$2:$CD$173,MATCH('Selection Pane Data'!$B50,List!$E$2:$E$173,0),MATCH('Selection Pane Data'!K$3,List!$E$2:$CD$2,0)),"")</f>
        <v/>
      </c>
      <c r="L50" s="13" t="str">
        <f>IF(L$4="Yes",INDEX(List!$E$2:$CD$173,MATCH('Selection Pane Data'!$B50,List!$E$2:$E$173,0),MATCH('Selection Pane Data'!L$3,List!$E$2:$CD$2,0)),"")</f>
        <v/>
      </c>
      <c r="M50" s="13" t="str">
        <f>IF(M$4="Yes",INDEX(List!$E$2:$CD$173,MATCH('Selection Pane Data'!$B50,List!$E$2:$E$173,0),MATCH('Selection Pane Data'!M$3,List!$E$2:$CD$2,0)),"")</f>
        <v/>
      </c>
      <c r="N50" s="13" t="str">
        <f>IF(N$4="Yes",INDEX(List!$E$2:$CD$173,MATCH('Selection Pane Data'!$B50,List!$E$2:$E$173,0),MATCH('Selection Pane Data'!N$3,List!$E$2:$CD$2,0)),"")</f>
        <v/>
      </c>
      <c r="O50" s="13" t="str">
        <f>IF(O$4="Yes",INDEX(List!$E$2:$CD$173,MATCH('Selection Pane Data'!$B50,List!$E$2:$E$173,0),MATCH('Selection Pane Data'!O$3,List!$E$2:$CD$2,0)),"")</f>
        <v/>
      </c>
      <c r="P50" s="13" t="str">
        <f>IF(P$4="Yes",INDEX(List!$E$2:$CD$173,MATCH('Selection Pane Data'!$B50,List!$E$2:$E$173,0),MATCH('Selection Pane Data'!P$3,List!$E$2:$CD$2,0)),"")</f>
        <v/>
      </c>
      <c r="Q50" s="13" t="str">
        <f>IF(Q$4="Yes",INDEX(List!$E$2:$CD$173,MATCH('Selection Pane Data'!$B50,List!$E$2:$E$173,0),MATCH('Selection Pane Data'!Q$3,List!$E$2:$CD$2,0)),"")</f>
        <v/>
      </c>
      <c r="R50" s="13" t="str">
        <f>IF(R$4="Yes",INDEX(List!$E$2:$CD$173,MATCH('Selection Pane Data'!$B50,List!$E$2:$E$173,0),MATCH('Selection Pane Data'!R$3,List!$E$2:$CD$2,0)),"")</f>
        <v/>
      </c>
      <c r="S50" s="13" t="str">
        <f>IF(S$4="Yes",INDEX(List!$E$2:$CD$173,MATCH('Selection Pane Data'!$B50,List!$E$2:$E$173,0),MATCH('Selection Pane Data'!S$3,List!$E$2:$CD$2,0)),"")</f>
        <v/>
      </c>
      <c r="T50" s="13" t="str">
        <f>IF(T$4="Yes",INDEX(List!$E$2:$CD$173,MATCH('Selection Pane Data'!$B50,List!$E$2:$E$173,0),MATCH('Selection Pane Data'!T$3,List!$E$2:$CD$2,0)),"")</f>
        <v/>
      </c>
      <c r="U50" s="13" t="str">
        <f>IF(U$4="Yes",INDEX(List!$E$2:$CD$173,MATCH('Selection Pane Data'!$B50,List!$E$2:$E$173,0),MATCH('Selection Pane Data'!U$3,List!$E$2:$CD$2,0)),"")</f>
        <v/>
      </c>
      <c r="V50" s="13" t="str">
        <f>IF(V$4="Yes",INDEX(List!$E$2:$CD$173,MATCH('Selection Pane Data'!$B50,List!$E$2:$E$173,0),MATCH('Selection Pane Data'!V$3,List!$E$2:$CD$2,0)),"")</f>
        <v/>
      </c>
      <c r="W50" s="13" t="str">
        <f>IF(W$4="Yes",INDEX(List!$E$2:$CD$173,MATCH('Selection Pane Data'!$B50,List!$E$2:$E$173,0),MATCH('Selection Pane Data'!W$3,List!$E$2:$CD$2,0)),"")</f>
        <v/>
      </c>
      <c r="X50" s="13" t="str">
        <f>IF(X$4="Yes",INDEX(List!$E$2:$CD$173,MATCH('Selection Pane Data'!$B50,List!$E$2:$E$173,0),MATCH('Selection Pane Data'!X$3,List!$E$2:$CD$2,0)),"")</f>
        <v/>
      </c>
      <c r="Y50" s="13" t="str">
        <f>IF(Y$4="Yes",INDEX(List!$E$2:$CD$173,MATCH('Selection Pane Data'!$B50,List!$E$2:$E$173,0),MATCH('Selection Pane Data'!Y$3,List!$E$2:$CD$2,0)),"")</f>
        <v/>
      </c>
      <c r="Z50" s="13" t="str">
        <f>IF(Z$4="Yes",INDEX(List!$E$2:$CD$173,MATCH('Selection Pane Data'!$B50,List!$E$2:$E$173,0),MATCH('Selection Pane Data'!Z$3,List!$E$2:$CD$2,0)),"")</f>
        <v/>
      </c>
      <c r="AA50" s="13" t="e">
        <f>IF(AA$4="Yes",INDEX(List!$E$2:$CD$173,MATCH('Selection Pane Data'!$B50,List!$E$2:$E$173,0),MATCH('Selection Pane Data'!AA$3,List!$E$2:$CD$2,0)),"")</f>
        <v>#N/A</v>
      </c>
      <c r="AB50" s="13" t="str">
        <f>IF(AB$4="Yes",INDEX(List!$E$2:$CD$173,MATCH('Selection Pane Data'!$B50,List!$E$2:$E$173,0),MATCH('Selection Pane Data'!AB$3,List!$E$2:$CD$2,0)),"")</f>
        <v/>
      </c>
      <c r="AC50" s="13" t="str">
        <f>IF(AC$4="Yes",INDEX(List!$E$2:$CD$173,MATCH('Selection Pane Data'!$B50,List!$E$2:$E$173,0),MATCH('Selection Pane Data'!AC$3,List!$E$2:$CD$2,0)),"")</f>
        <v/>
      </c>
      <c r="AD50" s="13" t="str">
        <f>IF(AD$4="Yes",INDEX(List!$E$2:$CD$173,MATCH('Selection Pane Data'!$B50,List!$E$2:$E$173,0),MATCH('Selection Pane Data'!AD$3,List!$E$2:$CD$2,0)),"")</f>
        <v/>
      </c>
      <c r="AE50" s="13" t="str">
        <f>IF(AE$4="Yes",INDEX(List!$E$2:$CD$173,MATCH('Selection Pane Data'!$B50,List!$E$2:$E$173,0),MATCH('Selection Pane Data'!AE$3,List!$E$2:$CD$2,0)),"")</f>
        <v/>
      </c>
      <c r="AF50" s="13" t="str">
        <f>IF(AF$4="Yes",INDEX(List!$E$2:$CD$173,MATCH('Selection Pane Data'!$B50,List!$E$2:$E$173,0),MATCH('Selection Pane Data'!AF$3,List!$E$2:$CD$2,0)),"")</f>
        <v/>
      </c>
      <c r="AG50" s="13" t="str">
        <f>IF(AG$4="Yes",INDEX(List!$E$2:$CD$173,MATCH('Selection Pane Data'!$B50,List!$E$2:$E$173,0),MATCH('Selection Pane Data'!AG$3,List!$E$2:$CD$2,0)),"")</f>
        <v/>
      </c>
      <c r="AH50" s="13" t="str">
        <f>IF(AH$4="Yes",INDEX(List!$E$2:$CD$173,MATCH('Selection Pane Data'!$B50,List!$E$2:$E$173,0),MATCH('Selection Pane Data'!AH$3,List!$E$2:$CD$2,0)),"")</f>
        <v/>
      </c>
      <c r="AI50" s="13" t="str">
        <f>IF(AI$4="Yes",INDEX(List!$E$2:$CD$173,MATCH('Selection Pane Data'!$B50,List!$E$2:$E$173,0),MATCH('Selection Pane Data'!AI$3,List!$E$2:$CD$2,0)),"")</f>
        <v/>
      </c>
      <c r="AJ50" s="13" t="str">
        <f>IF(AJ$4="Yes",INDEX(List!$E$2:$CD$173,MATCH('Selection Pane Data'!$B50,List!$E$2:$E$173,0),MATCH('Selection Pane Data'!AJ$3,List!$E$2:$CD$2,0)),"")</f>
        <v/>
      </c>
      <c r="AK50" s="13" t="str">
        <f>IF(AK$4="Yes",INDEX(List!$E$2:$CD$173,MATCH('Selection Pane Data'!$B50,List!$E$2:$E$173,0),MATCH('Selection Pane Data'!AK$3,List!$E$2:$CD$2,0)),"")</f>
        <v/>
      </c>
      <c r="AL50" s="13" t="str">
        <f>IF(AL$4="Yes",INDEX(List!$E$2:$CD$173,MATCH('Selection Pane Data'!$B50,List!$E$2:$E$173,0),MATCH('Selection Pane Data'!AL$3,List!$E$2:$CD$2,0)),"")</f>
        <v/>
      </c>
      <c r="AM50" s="13" t="str">
        <f>IF(AM$4="Yes",INDEX(List!$E$2:$CD$173,MATCH('Selection Pane Data'!$B50,List!$E$2:$E$173,0),MATCH('Selection Pane Data'!AM$3,List!$E$2:$CD$2,0)),"")</f>
        <v/>
      </c>
      <c r="AN50" s="13" t="str">
        <f>IF(AN$4="Yes",INDEX(List!$E$2:$CD$173,MATCH('Selection Pane Data'!$B50,List!$E$2:$E$173,0),MATCH('Selection Pane Data'!AN$3,List!$E$2:$CD$2,0)),"")</f>
        <v/>
      </c>
      <c r="AO50" s="13" t="str">
        <f>IF(AO$4="Yes",INDEX(List!$E$2:$CD$173,MATCH('Selection Pane Data'!$B50,List!$E$2:$E$173,0),MATCH('Selection Pane Data'!AO$3,List!$E$2:$CD$2,0)),"")</f>
        <v/>
      </c>
      <c r="AP50" s="13" t="str">
        <f>IF(AP$4="Yes",INDEX(List!$E$2:$CD$173,MATCH('Selection Pane Data'!$B50,List!$E$2:$E$173,0),MATCH('Selection Pane Data'!AP$3,List!$E$2:$CD$2,0)),"")</f>
        <v/>
      </c>
      <c r="AQ50" s="13" t="str">
        <f>IF(AQ$4="Yes",INDEX(List!$E$2:$CD$173,MATCH('Selection Pane Data'!$B50,List!$E$2:$E$173,0),MATCH('Selection Pane Data'!AQ$3,List!$E$2:$CD$2,0)),"")</f>
        <v/>
      </c>
      <c r="AR50" s="13" t="str">
        <f>IF(AR$4="Yes",INDEX(List!$E$2:$CD$173,MATCH('Selection Pane Data'!$B50,List!$E$2:$E$173,0),MATCH('Selection Pane Data'!AR$3,List!$E$2:$CD$2,0)),"")</f>
        <v/>
      </c>
      <c r="AS50" s="13" t="str">
        <f>IF(AS$4="Yes",INDEX(List!$E$2:$CD$173,MATCH('Selection Pane Data'!$B50,List!$E$2:$E$173,0),MATCH('Selection Pane Data'!AS$3,List!$E$2:$CD$2,0)),"")</f>
        <v/>
      </c>
      <c r="AT50" s="13" t="str">
        <f>IF(AT$4="Yes",INDEX(List!$E$2:$CD$173,MATCH('Selection Pane Data'!$B50,List!$E$2:$E$173,0),MATCH('Selection Pane Data'!AT$3,List!$E$2:$CD$2,0)),"")</f>
        <v/>
      </c>
      <c r="AU50" s="13" t="str">
        <f>IF(AU$4="Yes",INDEX(List!$E$2:$CD$173,MATCH('Selection Pane Data'!$B50,List!$E$2:$E$173,0),MATCH('Selection Pane Data'!AU$3,List!$E$2:$CD$2,0)),"")</f>
        <v/>
      </c>
      <c r="AV50" s="13" t="str">
        <f>IF(AV$4="Yes",INDEX(List!$E$2:$CD$173,MATCH('Selection Pane Data'!$B50,List!$E$2:$E$173,0),MATCH('Selection Pane Data'!AV$3,List!$E$2:$CD$2,0)),"")</f>
        <v/>
      </c>
      <c r="AW50" s="13" t="str">
        <f>IF(AW$4="Yes",INDEX(List!$E$2:$CD$173,MATCH('Selection Pane Data'!$B50,List!$E$2:$E$173,0),MATCH('Selection Pane Data'!AW$3,List!$E$2:$CD$2,0)),"")</f>
        <v/>
      </c>
      <c r="AX50" s="13" t="str">
        <f>IF(AX$4="Yes",INDEX(List!$E$2:$CD$173,MATCH('Selection Pane Data'!$B50,List!$E$2:$E$173,0),MATCH('Selection Pane Data'!AX$3,List!$E$2:$CD$2,0)),"")</f>
        <v/>
      </c>
      <c r="AY50" s="13" t="str">
        <f>IF(AY$4="Yes",INDEX(List!$E$2:$CD$173,MATCH('Selection Pane Data'!$B50,List!$E$2:$E$173,0),MATCH('Selection Pane Data'!AY$3,List!$E$2:$CD$2,0)),"")</f>
        <v/>
      </c>
      <c r="AZ50" s="13" t="str">
        <f>IF(AZ$4="Yes",INDEX(List!$E$2:$CD$173,MATCH('Selection Pane Data'!$B50,List!$E$2:$E$173,0),MATCH('Selection Pane Data'!AZ$3,List!$E$2:$CD$2,0)),"")</f>
        <v/>
      </c>
      <c r="BA50" s="13" t="str">
        <f>IF(BA$4="Yes",INDEX(List!$E$2:$CD$173,MATCH('Selection Pane Data'!$B50,List!$E$2:$E$173,0),MATCH('Selection Pane Data'!BA$3,List!$E$2:$CD$2,0)),"")</f>
        <v/>
      </c>
      <c r="BB50" s="13" t="str">
        <f>IF(BB$4="Yes",INDEX(List!$E$2:$CD$173,MATCH('Selection Pane Data'!$B50,List!$E$2:$E$173,0),MATCH('Selection Pane Data'!BB$3,List!$E$2:$CD$2,0)),"")</f>
        <v/>
      </c>
      <c r="BC50" s="13" t="str">
        <f>IF(BC$4="Yes",INDEX(List!$E$2:$CD$173,MATCH('Selection Pane Data'!$B50,List!$E$2:$E$173,0),MATCH('Selection Pane Data'!BC$3,List!$E$2:$CD$2,0)),"")</f>
        <v/>
      </c>
      <c r="BD50" s="13" t="str">
        <f>IF(BD$4="Yes",INDEX(List!$E$2:$CD$173,MATCH('Selection Pane Data'!$B50,List!$E$2:$E$173,0),MATCH('Selection Pane Data'!BD$3,List!$E$2:$CD$2,0)),"")</f>
        <v/>
      </c>
      <c r="BE50" s="13" t="str">
        <f>IF(BE$4="Yes",INDEX(List!$E$2:$CD$173,MATCH('Selection Pane Data'!$B50,List!$E$2:$E$173,0),MATCH('Selection Pane Data'!BE$3,List!$E$2:$CD$2,0)),"")</f>
        <v/>
      </c>
      <c r="BF50" s="13" t="str">
        <f>IF(BF$4="Yes",INDEX(List!$E$2:$CD$173,MATCH('Selection Pane Data'!$B50,List!$E$2:$E$173,0),MATCH('Selection Pane Data'!BF$3,List!$E$2:$CD$2,0)),"")</f>
        <v/>
      </c>
      <c r="BG50" s="13" t="str">
        <f>IF(BG$4="Yes",INDEX(List!$E$2:$CD$173,MATCH('Selection Pane Data'!$B50,List!$E$2:$E$173,0),MATCH('Selection Pane Data'!BG$3,List!$E$2:$CD$2,0)),"")</f>
        <v/>
      </c>
      <c r="BH50" s="13" t="str">
        <f>IF(BH$4="Yes",INDEX(List!$E$2:$CD$173,MATCH('Selection Pane Data'!$B50,List!$E$2:$E$173,0),MATCH('Selection Pane Data'!BH$3,List!$E$2:$CD$2,0)),"")</f>
        <v/>
      </c>
      <c r="BI50" s="13" t="str">
        <f>IF(BI$4="Yes",INDEX(List!$E$2:$CD$173,MATCH('Selection Pane Data'!$B50,List!$E$2:$E$173,0),MATCH('Selection Pane Data'!BI$3,List!$E$2:$CD$2,0)),"")</f>
        <v/>
      </c>
      <c r="BJ50" s="13" t="str">
        <f>IF(BJ$4="Yes",INDEX(List!$E$2:$CD$173,MATCH('Selection Pane Data'!$B50,List!$E$2:$E$173,0),MATCH('Selection Pane Data'!BJ$3,List!$E$2:$CD$2,0)),"")</f>
        <v/>
      </c>
      <c r="BK50" s="13" t="str">
        <f>IF(BK$4="Yes",INDEX(List!$E$2:$CD$173,MATCH('Selection Pane Data'!$B50,List!$E$2:$E$173,0),MATCH('Selection Pane Data'!BK$3,List!$E$2:$CD$2,0)),"")</f>
        <v/>
      </c>
      <c r="BL50" s="13" t="str">
        <f>IF(BL$4="Yes",INDEX(List!$E$2:$CD$173,MATCH('Selection Pane Data'!$B50,List!$E$2:$E$173,0),MATCH('Selection Pane Data'!BL$3,List!$E$2:$CD$2,0)),"")</f>
        <v/>
      </c>
      <c r="BM50" s="13" t="str">
        <f>IF(BM$4="Yes",INDEX(List!$E$2:$CD$173,MATCH('Selection Pane Data'!$B50,List!$E$2:$E$173,0),MATCH('Selection Pane Data'!BM$3,List!$E$2:$CD$2,0)),"")</f>
        <v/>
      </c>
      <c r="BN50" s="13" t="str">
        <f>IF(BN$4="Yes",INDEX(List!$E$2:$CD$173,MATCH('Selection Pane Data'!$B50,List!$E$2:$E$173,0),MATCH('Selection Pane Data'!BN$3,List!$E$2:$CD$2,0)),"")</f>
        <v/>
      </c>
      <c r="BO50" s="13" t="str">
        <f>IF(BO$4="Yes",INDEX(List!$E$2:$CD$173,MATCH('Selection Pane Data'!$B50,List!$E$2:$E$173,0),MATCH('Selection Pane Data'!BO$3,List!$E$2:$CD$2,0)),"")</f>
        <v/>
      </c>
      <c r="BP50" s="13" t="str">
        <f>IF(BP$4="Yes",INDEX(List!$E$2:$CD$173,MATCH('Selection Pane Data'!$B50,List!$E$2:$E$173,0),MATCH('Selection Pane Data'!BP$3,List!$E$2:$CD$2,0)),"")</f>
        <v/>
      </c>
      <c r="BQ50" s="13" t="str">
        <f>IF(BQ$4="Yes",INDEX(List!$E$2:$CD$173,MATCH('Selection Pane Data'!$B50,List!$E$2:$E$173,0),MATCH('Selection Pane Data'!BQ$3,List!$E$2:$CD$2,0)),"")</f>
        <v/>
      </c>
      <c r="BR50" s="13" t="str">
        <f>IF(BR$4="Yes",INDEX(List!$E$2:$CD$173,MATCH('Selection Pane Data'!$B50,List!$E$2:$E$173,0),MATCH('Selection Pane Data'!BR$3,List!$E$2:$CD$2,0)),"")</f>
        <v/>
      </c>
      <c r="BS50" s="13" t="str">
        <f>IF(BS$4="Yes",INDEX(List!$E$2:$CD$173,MATCH('Selection Pane Data'!$B50,List!$E$2:$E$173,0),MATCH('Selection Pane Data'!BS$3,List!$E$2:$CD$2,0)),"")</f>
        <v/>
      </c>
      <c r="BT50" s="13" t="str">
        <f>IF(BT$4="Yes",INDEX(List!$E$2:$CD$173,MATCH('Selection Pane Data'!$B50,List!$E$2:$E$173,0),MATCH('Selection Pane Data'!BT$3,List!$E$2:$CD$2,0)),"")</f>
        <v/>
      </c>
      <c r="BU50" s="13" t="str">
        <f>IF(BU$4="Yes",INDEX(List!$E$2:$CD$173,MATCH('Selection Pane Data'!$B50,List!$E$2:$E$173,0),MATCH('Selection Pane Data'!BU$3,List!$E$2:$CD$2,0)),"")</f>
        <v/>
      </c>
      <c r="BV50" s="13" t="str">
        <f>IF(BV$4="Yes",INDEX(List!$E$2:$CD$173,MATCH('Selection Pane Data'!$B50,List!$E$2:$E$173,0),MATCH('Selection Pane Data'!BV$3,List!$E$2:$CD$2,0)),"")</f>
        <v/>
      </c>
      <c r="BW50" s="13" t="str">
        <f>IF(BW$4="Yes",INDEX(List!$E$2:$CD$173,MATCH('Selection Pane Data'!$B50,List!$E$2:$E$173,0),MATCH('Selection Pane Data'!BW$3,List!$E$2:$CD$2,0)),"")</f>
        <v/>
      </c>
      <c r="BX50" s="13" t="str">
        <f>IF(BX$4="Yes",INDEX(List!$E$2:$CD$173,MATCH('Selection Pane Data'!$B50,List!$E$2:$E$173,0),MATCH('Selection Pane Data'!BX$3,List!$E$2:$CD$2,0)),"")</f>
        <v/>
      </c>
      <c r="BY50" s="13" t="str">
        <f>IF(BY$4="Yes",INDEX(List!$E$2:$CD$173,MATCH('Selection Pane Data'!$B50,List!$E$2:$E$173,0),MATCH('Selection Pane Data'!BY$3,List!$E$2:$CD$2,0)),"")</f>
        <v/>
      </c>
      <c r="BZ50" s="13" t="str">
        <f>IF(BZ$4="Yes",INDEX(List!$E$2:$CD$173,MATCH('Selection Pane Data'!$B50,List!$E$2:$E$173,0),MATCH('Selection Pane Data'!BZ$3,List!$E$2:$CD$2,0)),"")</f>
        <v/>
      </c>
      <c r="CA50" s="13" t="str">
        <f>IF(CA$4="Yes",INDEX(List!$E$2:$CD$173,MATCH('Selection Pane Data'!$B50,List!$E$2:$E$173,0),MATCH('Selection Pane Data'!CA$3,List!$E$2:$CD$2,0)),"")</f>
        <v/>
      </c>
      <c r="CB50" s="13" t="str">
        <f>IF(CB$4="Yes",INDEX(List!$E$2:$CD$173,MATCH('Selection Pane Data'!$B50,List!$E$2:$E$173,0),MATCH('Selection Pane Data'!CB$3,List!$E$2:$CD$2,0)),"")</f>
        <v/>
      </c>
      <c r="CC50" s="13" t="str">
        <f>IF(CC$4="Yes",INDEX(List!$E$2:$CD$173,MATCH('Selection Pane Data'!$B50,List!$E$2:$E$173,0),MATCH('Selection Pane Data'!CC$3,List!$E$2:$CD$2,0)),"")</f>
        <v/>
      </c>
      <c r="CD50" s="13" t="str">
        <f>IF(CD$4="Yes",INDEX(List!$E$2:$CD$173,MATCH('Selection Pane Data'!$B50,List!$E$2:$E$173,0),MATCH('Selection Pane Data'!CD$3,List!$E$2:$CD$2,0)),"")</f>
        <v/>
      </c>
      <c r="CE50" s="13" t="str">
        <f>IF(CE$4="Yes",INDEX(List!$E$2:$CD$173,MATCH('Selection Pane Data'!$B50,List!$E$2:$E$173,0),MATCH('Selection Pane Data'!CE$3,List!$E$2:$CD$2,0)),"")</f>
        <v/>
      </c>
    </row>
    <row r="51" spans="2:83" x14ac:dyDescent="0.35">
      <c r="B51" s="21" t="s">
        <v>338</v>
      </c>
      <c r="C51" s="126" t="str">
        <f>VLOOKUP(B51,List!$E$2:$G$173,2,FALSE)</f>
        <v>N/A</v>
      </c>
      <c r="D51" s="31" t="str">
        <f>List!G49</f>
        <v>Not Applicable</v>
      </c>
      <c r="E51" s="31" t="str">
        <f>IF(Placemat!$F$4="All Practices","All Practices",IF(VLOOKUP(B51,Table7[#All],6,FALSE)="No Mapping","New CMMC Practices","Practices with NIST 800-171 Mappings"))</f>
        <v>Practices with NIST 800-171 Mappings</v>
      </c>
      <c r="F51" t="str">
        <f>INDEX('CMMC Levels'!$A$1:$F$172,MATCH('Selection Pane Data'!$C51,'CMMC Levels'!$A$1:$A$172,0),MATCH(Placemat!$F$4,'CMMC Levels'!$A$1:$F$1,0))</f>
        <v>N/A</v>
      </c>
      <c r="G51" s="77" t="str">
        <f>IF((COUNTIF(List!H49:CE49,"P")+COUNTIF(List!H49:CE49,"S"))=0,"N",IF(COUNTIF(H51:CE51,"P"),"P",IF(COUNTIF(H51:CE51,"S"),"S","U")))</f>
        <v>N</v>
      </c>
      <c r="H51" s="13" t="str">
        <f>IF(H$4="Yes",INDEX(List!$E$2:$CD$173,MATCH('Selection Pane Data'!$B51,List!$E$2:$E$173,0),MATCH('Selection Pane Data'!H$3,List!$E$2:$CD$2,0)),"")</f>
        <v/>
      </c>
      <c r="I51" s="13" t="str">
        <f>IF(I$4="Yes",INDEX(List!$E$2:$CD$173,MATCH('Selection Pane Data'!$B51,List!$E$2:$E$173,0),MATCH('Selection Pane Data'!I$3,List!$E$2:$CD$2,0)),"")</f>
        <v/>
      </c>
      <c r="J51" s="13" t="e">
        <f>IF(J$4="Yes",INDEX(List!$E$2:$CD$173,MATCH('Selection Pane Data'!$B51,List!$E$2:$E$173,0),MATCH('Selection Pane Data'!J$3,List!$E$2:$CD$2,0)),"")</f>
        <v>#N/A</v>
      </c>
      <c r="K51" s="13" t="str">
        <f>IF(K$4="Yes",INDEX(List!$E$2:$CD$173,MATCH('Selection Pane Data'!$B51,List!$E$2:$E$173,0),MATCH('Selection Pane Data'!K$3,List!$E$2:$CD$2,0)),"")</f>
        <v/>
      </c>
      <c r="L51" s="13" t="str">
        <f>IF(L$4="Yes",INDEX(List!$E$2:$CD$173,MATCH('Selection Pane Data'!$B51,List!$E$2:$E$173,0),MATCH('Selection Pane Data'!L$3,List!$E$2:$CD$2,0)),"")</f>
        <v/>
      </c>
      <c r="M51" s="13" t="str">
        <f>IF(M$4="Yes",INDEX(List!$E$2:$CD$173,MATCH('Selection Pane Data'!$B51,List!$E$2:$E$173,0),MATCH('Selection Pane Data'!M$3,List!$E$2:$CD$2,0)),"")</f>
        <v/>
      </c>
      <c r="N51" s="13" t="str">
        <f>IF(N$4="Yes",INDEX(List!$E$2:$CD$173,MATCH('Selection Pane Data'!$B51,List!$E$2:$E$173,0),MATCH('Selection Pane Data'!N$3,List!$E$2:$CD$2,0)),"")</f>
        <v/>
      </c>
      <c r="O51" s="13" t="str">
        <f>IF(O$4="Yes",INDEX(List!$E$2:$CD$173,MATCH('Selection Pane Data'!$B51,List!$E$2:$E$173,0),MATCH('Selection Pane Data'!O$3,List!$E$2:$CD$2,0)),"")</f>
        <v/>
      </c>
      <c r="P51" s="13" t="str">
        <f>IF(P$4="Yes",INDEX(List!$E$2:$CD$173,MATCH('Selection Pane Data'!$B51,List!$E$2:$E$173,0),MATCH('Selection Pane Data'!P$3,List!$E$2:$CD$2,0)),"")</f>
        <v/>
      </c>
      <c r="Q51" s="13" t="str">
        <f>IF(Q$4="Yes",INDEX(List!$E$2:$CD$173,MATCH('Selection Pane Data'!$B51,List!$E$2:$E$173,0),MATCH('Selection Pane Data'!Q$3,List!$E$2:$CD$2,0)),"")</f>
        <v/>
      </c>
      <c r="R51" s="13" t="str">
        <f>IF(R$4="Yes",INDEX(List!$E$2:$CD$173,MATCH('Selection Pane Data'!$B51,List!$E$2:$E$173,0),MATCH('Selection Pane Data'!R$3,List!$E$2:$CD$2,0)),"")</f>
        <v/>
      </c>
      <c r="S51" s="13" t="str">
        <f>IF(S$4="Yes",INDEX(List!$E$2:$CD$173,MATCH('Selection Pane Data'!$B51,List!$E$2:$E$173,0),MATCH('Selection Pane Data'!S$3,List!$E$2:$CD$2,0)),"")</f>
        <v/>
      </c>
      <c r="T51" s="13" t="str">
        <f>IF(T$4="Yes",INDEX(List!$E$2:$CD$173,MATCH('Selection Pane Data'!$B51,List!$E$2:$E$173,0),MATCH('Selection Pane Data'!T$3,List!$E$2:$CD$2,0)),"")</f>
        <v/>
      </c>
      <c r="U51" s="13" t="str">
        <f>IF(U$4="Yes",INDEX(List!$E$2:$CD$173,MATCH('Selection Pane Data'!$B51,List!$E$2:$E$173,0),MATCH('Selection Pane Data'!U$3,List!$E$2:$CD$2,0)),"")</f>
        <v/>
      </c>
      <c r="V51" s="13" t="str">
        <f>IF(V$4="Yes",INDEX(List!$E$2:$CD$173,MATCH('Selection Pane Data'!$B51,List!$E$2:$E$173,0),MATCH('Selection Pane Data'!V$3,List!$E$2:$CD$2,0)),"")</f>
        <v/>
      </c>
      <c r="W51" s="13" t="str">
        <f>IF(W$4="Yes",INDEX(List!$E$2:$CD$173,MATCH('Selection Pane Data'!$B51,List!$E$2:$E$173,0),MATCH('Selection Pane Data'!W$3,List!$E$2:$CD$2,0)),"")</f>
        <v/>
      </c>
      <c r="X51" s="13" t="str">
        <f>IF(X$4="Yes",INDEX(List!$E$2:$CD$173,MATCH('Selection Pane Data'!$B51,List!$E$2:$E$173,0),MATCH('Selection Pane Data'!X$3,List!$E$2:$CD$2,0)),"")</f>
        <v/>
      </c>
      <c r="Y51" s="13" t="str">
        <f>IF(Y$4="Yes",INDEX(List!$E$2:$CD$173,MATCH('Selection Pane Data'!$B51,List!$E$2:$E$173,0),MATCH('Selection Pane Data'!Y$3,List!$E$2:$CD$2,0)),"")</f>
        <v/>
      </c>
      <c r="Z51" s="13" t="str">
        <f>IF(Z$4="Yes",INDEX(List!$E$2:$CD$173,MATCH('Selection Pane Data'!$B51,List!$E$2:$E$173,0),MATCH('Selection Pane Data'!Z$3,List!$E$2:$CD$2,0)),"")</f>
        <v/>
      </c>
      <c r="AA51" s="13" t="e">
        <f>IF(AA$4="Yes",INDEX(List!$E$2:$CD$173,MATCH('Selection Pane Data'!$B51,List!$E$2:$E$173,0),MATCH('Selection Pane Data'!AA$3,List!$E$2:$CD$2,0)),"")</f>
        <v>#N/A</v>
      </c>
      <c r="AB51" s="13" t="str">
        <f>IF(AB$4="Yes",INDEX(List!$E$2:$CD$173,MATCH('Selection Pane Data'!$B51,List!$E$2:$E$173,0),MATCH('Selection Pane Data'!AB$3,List!$E$2:$CD$2,0)),"")</f>
        <v/>
      </c>
      <c r="AC51" s="13" t="str">
        <f>IF(AC$4="Yes",INDEX(List!$E$2:$CD$173,MATCH('Selection Pane Data'!$B51,List!$E$2:$E$173,0),MATCH('Selection Pane Data'!AC$3,List!$E$2:$CD$2,0)),"")</f>
        <v/>
      </c>
      <c r="AD51" s="13" t="str">
        <f>IF(AD$4="Yes",INDEX(List!$E$2:$CD$173,MATCH('Selection Pane Data'!$B51,List!$E$2:$E$173,0),MATCH('Selection Pane Data'!AD$3,List!$E$2:$CD$2,0)),"")</f>
        <v/>
      </c>
      <c r="AE51" s="13" t="str">
        <f>IF(AE$4="Yes",INDEX(List!$E$2:$CD$173,MATCH('Selection Pane Data'!$B51,List!$E$2:$E$173,0),MATCH('Selection Pane Data'!AE$3,List!$E$2:$CD$2,0)),"")</f>
        <v/>
      </c>
      <c r="AF51" s="13" t="str">
        <f>IF(AF$4="Yes",INDEX(List!$E$2:$CD$173,MATCH('Selection Pane Data'!$B51,List!$E$2:$E$173,0),MATCH('Selection Pane Data'!AF$3,List!$E$2:$CD$2,0)),"")</f>
        <v/>
      </c>
      <c r="AG51" s="13" t="str">
        <f>IF(AG$4="Yes",INDEX(List!$E$2:$CD$173,MATCH('Selection Pane Data'!$B51,List!$E$2:$E$173,0),MATCH('Selection Pane Data'!AG$3,List!$E$2:$CD$2,0)),"")</f>
        <v/>
      </c>
      <c r="AH51" s="13" t="str">
        <f>IF(AH$4="Yes",INDEX(List!$E$2:$CD$173,MATCH('Selection Pane Data'!$B51,List!$E$2:$E$173,0),MATCH('Selection Pane Data'!AH$3,List!$E$2:$CD$2,0)),"")</f>
        <v/>
      </c>
      <c r="AI51" s="13" t="str">
        <f>IF(AI$4="Yes",INDEX(List!$E$2:$CD$173,MATCH('Selection Pane Data'!$B51,List!$E$2:$E$173,0),MATCH('Selection Pane Data'!AI$3,List!$E$2:$CD$2,0)),"")</f>
        <v/>
      </c>
      <c r="AJ51" s="13" t="str">
        <f>IF(AJ$4="Yes",INDEX(List!$E$2:$CD$173,MATCH('Selection Pane Data'!$B51,List!$E$2:$E$173,0),MATCH('Selection Pane Data'!AJ$3,List!$E$2:$CD$2,0)),"")</f>
        <v/>
      </c>
      <c r="AK51" s="13" t="str">
        <f>IF(AK$4="Yes",INDEX(List!$E$2:$CD$173,MATCH('Selection Pane Data'!$B51,List!$E$2:$E$173,0),MATCH('Selection Pane Data'!AK$3,List!$E$2:$CD$2,0)),"")</f>
        <v/>
      </c>
      <c r="AL51" s="13" t="str">
        <f>IF(AL$4="Yes",INDEX(List!$E$2:$CD$173,MATCH('Selection Pane Data'!$B51,List!$E$2:$E$173,0),MATCH('Selection Pane Data'!AL$3,List!$E$2:$CD$2,0)),"")</f>
        <v/>
      </c>
      <c r="AM51" s="13" t="str">
        <f>IF(AM$4="Yes",INDEX(List!$E$2:$CD$173,MATCH('Selection Pane Data'!$B51,List!$E$2:$E$173,0),MATCH('Selection Pane Data'!AM$3,List!$E$2:$CD$2,0)),"")</f>
        <v/>
      </c>
      <c r="AN51" s="13" t="str">
        <f>IF(AN$4="Yes",INDEX(List!$E$2:$CD$173,MATCH('Selection Pane Data'!$B51,List!$E$2:$E$173,0),MATCH('Selection Pane Data'!AN$3,List!$E$2:$CD$2,0)),"")</f>
        <v/>
      </c>
      <c r="AO51" s="13" t="str">
        <f>IF(AO$4="Yes",INDEX(List!$E$2:$CD$173,MATCH('Selection Pane Data'!$B51,List!$E$2:$E$173,0),MATCH('Selection Pane Data'!AO$3,List!$E$2:$CD$2,0)),"")</f>
        <v/>
      </c>
      <c r="AP51" s="13" t="str">
        <f>IF(AP$4="Yes",INDEX(List!$E$2:$CD$173,MATCH('Selection Pane Data'!$B51,List!$E$2:$E$173,0),MATCH('Selection Pane Data'!AP$3,List!$E$2:$CD$2,0)),"")</f>
        <v/>
      </c>
      <c r="AQ51" s="13" t="str">
        <f>IF(AQ$4="Yes",INDEX(List!$E$2:$CD$173,MATCH('Selection Pane Data'!$B51,List!$E$2:$E$173,0),MATCH('Selection Pane Data'!AQ$3,List!$E$2:$CD$2,0)),"")</f>
        <v/>
      </c>
      <c r="AR51" s="13" t="str">
        <f>IF(AR$4="Yes",INDEX(List!$E$2:$CD$173,MATCH('Selection Pane Data'!$B51,List!$E$2:$E$173,0),MATCH('Selection Pane Data'!AR$3,List!$E$2:$CD$2,0)),"")</f>
        <v/>
      </c>
      <c r="AS51" s="13" t="str">
        <f>IF(AS$4="Yes",INDEX(List!$E$2:$CD$173,MATCH('Selection Pane Data'!$B51,List!$E$2:$E$173,0),MATCH('Selection Pane Data'!AS$3,List!$E$2:$CD$2,0)),"")</f>
        <v/>
      </c>
      <c r="AT51" s="13" t="str">
        <f>IF(AT$4="Yes",INDEX(List!$E$2:$CD$173,MATCH('Selection Pane Data'!$B51,List!$E$2:$E$173,0),MATCH('Selection Pane Data'!AT$3,List!$E$2:$CD$2,0)),"")</f>
        <v/>
      </c>
      <c r="AU51" s="13" t="str">
        <f>IF(AU$4="Yes",INDEX(List!$E$2:$CD$173,MATCH('Selection Pane Data'!$B51,List!$E$2:$E$173,0),MATCH('Selection Pane Data'!AU$3,List!$E$2:$CD$2,0)),"")</f>
        <v/>
      </c>
      <c r="AV51" s="13" t="str">
        <f>IF(AV$4="Yes",INDEX(List!$E$2:$CD$173,MATCH('Selection Pane Data'!$B51,List!$E$2:$E$173,0),MATCH('Selection Pane Data'!AV$3,List!$E$2:$CD$2,0)),"")</f>
        <v/>
      </c>
      <c r="AW51" s="13" t="str">
        <f>IF(AW$4="Yes",INDEX(List!$E$2:$CD$173,MATCH('Selection Pane Data'!$B51,List!$E$2:$E$173,0),MATCH('Selection Pane Data'!AW$3,List!$E$2:$CD$2,0)),"")</f>
        <v/>
      </c>
      <c r="AX51" s="13" t="str">
        <f>IF(AX$4="Yes",INDEX(List!$E$2:$CD$173,MATCH('Selection Pane Data'!$B51,List!$E$2:$E$173,0),MATCH('Selection Pane Data'!AX$3,List!$E$2:$CD$2,0)),"")</f>
        <v/>
      </c>
      <c r="AY51" s="13" t="str">
        <f>IF(AY$4="Yes",INDEX(List!$E$2:$CD$173,MATCH('Selection Pane Data'!$B51,List!$E$2:$E$173,0),MATCH('Selection Pane Data'!AY$3,List!$E$2:$CD$2,0)),"")</f>
        <v/>
      </c>
      <c r="AZ51" s="13" t="str">
        <f>IF(AZ$4="Yes",INDEX(List!$E$2:$CD$173,MATCH('Selection Pane Data'!$B51,List!$E$2:$E$173,0),MATCH('Selection Pane Data'!AZ$3,List!$E$2:$CD$2,0)),"")</f>
        <v/>
      </c>
      <c r="BA51" s="13" t="str">
        <f>IF(BA$4="Yes",INDEX(List!$E$2:$CD$173,MATCH('Selection Pane Data'!$B51,List!$E$2:$E$173,0),MATCH('Selection Pane Data'!BA$3,List!$E$2:$CD$2,0)),"")</f>
        <v/>
      </c>
      <c r="BB51" s="13" t="str">
        <f>IF(BB$4="Yes",INDEX(List!$E$2:$CD$173,MATCH('Selection Pane Data'!$B51,List!$E$2:$E$173,0),MATCH('Selection Pane Data'!BB$3,List!$E$2:$CD$2,0)),"")</f>
        <v/>
      </c>
      <c r="BC51" s="13" t="str">
        <f>IF(BC$4="Yes",INDEX(List!$E$2:$CD$173,MATCH('Selection Pane Data'!$B51,List!$E$2:$E$173,0),MATCH('Selection Pane Data'!BC$3,List!$E$2:$CD$2,0)),"")</f>
        <v/>
      </c>
      <c r="BD51" s="13" t="str">
        <f>IF(BD$4="Yes",INDEX(List!$E$2:$CD$173,MATCH('Selection Pane Data'!$B51,List!$E$2:$E$173,0),MATCH('Selection Pane Data'!BD$3,List!$E$2:$CD$2,0)),"")</f>
        <v/>
      </c>
      <c r="BE51" s="13" t="str">
        <f>IF(BE$4="Yes",INDEX(List!$E$2:$CD$173,MATCH('Selection Pane Data'!$B51,List!$E$2:$E$173,0),MATCH('Selection Pane Data'!BE$3,List!$E$2:$CD$2,0)),"")</f>
        <v/>
      </c>
      <c r="BF51" s="13" t="str">
        <f>IF(BF$4="Yes",INDEX(List!$E$2:$CD$173,MATCH('Selection Pane Data'!$B51,List!$E$2:$E$173,0),MATCH('Selection Pane Data'!BF$3,List!$E$2:$CD$2,0)),"")</f>
        <v/>
      </c>
      <c r="BG51" s="13" t="str">
        <f>IF(BG$4="Yes",INDEX(List!$E$2:$CD$173,MATCH('Selection Pane Data'!$B51,List!$E$2:$E$173,0),MATCH('Selection Pane Data'!BG$3,List!$E$2:$CD$2,0)),"")</f>
        <v/>
      </c>
      <c r="BH51" s="13" t="str">
        <f>IF(BH$4="Yes",INDEX(List!$E$2:$CD$173,MATCH('Selection Pane Data'!$B51,List!$E$2:$E$173,0),MATCH('Selection Pane Data'!BH$3,List!$E$2:$CD$2,0)),"")</f>
        <v/>
      </c>
      <c r="BI51" s="13" t="str">
        <f>IF(BI$4="Yes",INDEX(List!$E$2:$CD$173,MATCH('Selection Pane Data'!$B51,List!$E$2:$E$173,0),MATCH('Selection Pane Data'!BI$3,List!$E$2:$CD$2,0)),"")</f>
        <v/>
      </c>
      <c r="BJ51" s="13" t="str">
        <f>IF(BJ$4="Yes",INDEX(List!$E$2:$CD$173,MATCH('Selection Pane Data'!$B51,List!$E$2:$E$173,0),MATCH('Selection Pane Data'!BJ$3,List!$E$2:$CD$2,0)),"")</f>
        <v/>
      </c>
      <c r="BK51" s="13" t="str">
        <f>IF(BK$4="Yes",INDEX(List!$E$2:$CD$173,MATCH('Selection Pane Data'!$B51,List!$E$2:$E$173,0),MATCH('Selection Pane Data'!BK$3,List!$E$2:$CD$2,0)),"")</f>
        <v/>
      </c>
      <c r="BL51" s="13" t="str">
        <f>IF(BL$4="Yes",INDEX(List!$E$2:$CD$173,MATCH('Selection Pane Data'!$B51,List!$E$2:$E$173,0),MATCH('Selection Pane Data'!BL$3,List!$E$2:$CD$2,0)),"")</f>
        <v/>
      </c>
      <c r="BM51" s="13" t="str">
        <f>IF(BM$4="Yes",INDEX(List!$E$2:$CD$173,MATCH('Selection Pane Data'!$B51,List!$E$2:$E$173,0),MATCH('Selection Pane Data'!BM$3,List!$E$2:$CD$2,0)),"")</f>
        <v/>
      </c>
      <c r="BN51" s="13" t="str">
        <f>IF(BN$4="Yes",INDEX(List!$E$2:$CD$173,MATCH('Selection Pane Data'!$B51,List!$E$2:$E$173,0),MATCH('Selection Pane Data'!BN$3,List!$E$2:$CD$2,0)),"")</f>
        <v/>
      </c>
      <c r="BO51" s="13" t="str">
        <f>IF(BO$4="Yes",INDEX(List!$E$2:$CD$173,MATCH('Selection Pane Data'!$B51,List!$E$2:$E$173,0),MATCH('Selection Pane Data'!BO$3,List!$E$2:$CD$2,0)),"")</f>
        <v/>
      </c>
      <c r="BP51" s="13" t="str">
        <f>IF(BP$4="Yes",INDEX(List!$E$2:$CD$173,MATCH('Selection Pane Data'!$B51,List!$E$2:$E$173,0),MATCH('Selection Pane Data'!BP$3,List!$E$2:$CD$2,0)),"")</f>
        <v/>
      </c>
      <c r="BQ51" s="13" t="str">
        <f>IF(BQ$4="Yes",INDEX(List!$E$2:$CD$173,MATCH('Selection Pane Data'!$B51,List!$E$2:$E$173,0),MATCH('Selection Pane Data'!BQ$3,List!$E$2:$CD$2,0)),"")</f>
        <v/>
      </c>
      <c r="BR51" s="13" t="str">
        <f>IF(BR$4="Yes",INDEX(List!$E$2:$CD$173,MATCH('Selection Pane Data'!$B51,List!$E$2:$E$173,0),MATCH('Selection Pane Data'!BR$3,List!$E$2:$CD$2,0)),"")</f>
        <v/>
      </c>
      <c r="BS51" s="13" t="str">
        <f>IF(BS$4="Yes",INDEX(List!$E$2:$CD$173,MATCH('Selection Pane Data'!$B51,List!$E$2:$E$173,0),MATCH('Selection Pane Data'!BS$3,List!$E$2:$CD$2,0)),"")</f>
        <v/>
      </c>
      <c r="BT51" s="13" t="str">
        <f>IF(BT$4="Yes",INDEX(List!$E$2:$CD$173,MATCH('Selection Pane Data'!$B51,List!$E$2:$E$173,0),MATCH('Selection Pane Data'!BT$3,List!$E$2:$CD$2,0)),"")</f>
        <v/>
      </c>
      <c r="BU51" s="13" t="str">
        <f>IF(BU$4="Yes",INDEX(List!$E$2:$CD$173,MATCH('Selection Pane Data'!$B51,List!$E$2:$E$173,0),MATCH('Selection Pane Data'!BU$3,List!$E$2:$CD$2,0)),"")</f>
        <v/>
      </c>
      <c r="BV51" s="13" t="str">
        <f>IF(BV$4="Yes",INDEX(List!$E$2:$CD$173,MATCH('Selection Pane Data'!$B51,List!$E$2:$E$173,0),MATCH('Selection Pane Data'!BV$3,List!$E$2:$CD$2,0)),"")</f>
        <v/>
      </c>
      <c r="BW51" s="13" t="str">
        <f>IF(BW$4="Yes",INDEX(List!$E$2:$CD$173,MATCH('Selection Pane Data'!$B51,List!$E$2:$E$173,0),MATCH('Selection Pane Data'!BW$3,List!$E$2:$CD$2,0)),"")</f>
        <v/>
      </c>
      <c r="BX51" s="13" t="str">
        <f>IF(BX$4="Yes",INDEX(List!$E$2:$CD$173,MATCH('Selection Pane Data'!$B51,List!$E$2:$E$173,0),MATCH('Selection Pane Data'!BX$3,List!$E$2:$CD$2,0)),"")</f>
        <v/>
      </c>
      <c r="BY51" s="13" t="str">
        <f>IF(BY$4="Yes",INDEX(List!$E$2:$CD$173,MATCH('Selection Pane Data'!$B51,List!$E$2:$E$173,0),MATCH('Selection Pane Data'!BY$3,List!$E$2:$CD$2,0)),"")</f>
        <v/>
      </c>
      <c r="BZ51" s="13" t="str">
        <f>IF(BZ$4="Yes",INDEX(List!$E$2:$CD$173,MATCH('Selection Pane Data'!$B51,List!$E$2:$E$173,0),MATCH('Selection Pane Data'!BZ$3,List!$E$2:$CD$2,0)),"")</f>
        <v/>
      </c>
      <c r="CA51" s="13" t="str">
        <f>IF(CA$4="Yes",INDEX(List!$E$2:$CD$173,MATCH('Selection Pane Data'!$B51,List!$E$2:$E$173,0),MATCH('Selection Pane Data'!CA$3,List!$E$2:$CD$2,0)),"")</f>
        <v/>
      </c>
      <c r="CB51" s="13" t="str">
        <f>IF(CB$4="Yes",INDEX(List!$E$2:$CD$173,MATCH('Selection Pane Data'!$B51,List!$E$2:$E$173,0),MATCH('Selection Pane Data'!CB$3,List!$E$2:$CD$2,0)),"")</f>
        <v/>
      </c>
      <c r="CC51" s="13" t="str">
        <f>IF(CC$4="Yes",INDEX(List!$E$2:$CD$173,MATCH('Selection Pane Data'!$B51,List!$E$2:$E$173,0),MATCH('Selection Pane Data'!CC$3,List!$E$2:$CD$2,0)),"")</f>
        <v/>
      </c>
      <c r="CD51" s="13" t="str">
        <f>IF(CD$4="Yes",INDEX(List!$E$2:$CD$173,MATCH('Selection Pane Data'!$B51,List!$E$2:$E$173,0),MATCH('Selection Pane Data'!CD$3,List!$E$2:$CD$2,0)),"")</f>
        <v/>
      </c>
      <c r="CE51" s="13" t="str">
        <f>IF(CE$4="Yes",INDEX(List!$E$2:$CD$173,MATCH('Selection Pane Data'!$B51,List!$E$2:$E$173,0),MATCH('Selection Pane Data'!CE$3,List!$E$2:$CD$2,0)),"")</f>
        <v/>
      </c>
    </row>
    <row r="52" spans="2:83" x14ac:dyDescent="0.35">
      <c r="B52" s="21" t="s">
        <v>339</v>
      </c>
      <c r="C52" s="126" t="str">
        <f>VLOOKUP(B52,List!$E$2:$G$173,2,FALSE)</f>
        <v>CA.L2-3.12.4</v>
      </c>
      <c r="D52" s="31" t="str">
        <f>List!G50</f>
        <v>Shared Coverage</v>
      </c>
      <c r="E52" s="31" t="str">
        <f>IF(Placemat!$F$4="All Practices","All Practices",IF(VLOOKUP(B52,Table7[#All],6,FALSE)="No Mapping","New CMMC Practices","Practices with NIST 800-171 Mappings"))</f>
        <v>Practices with NIST 800-171 Mappings</v>
      </c>
      <c r="F52" t="str">
        <f>INDEX('CMMC Levels'!$A$1:$F$172,MATCH('Selection Pane Data'!$C52,'CMMC Levels'!$A$1:$A$172,0),MATCH(Placemat!$F$4,'CMMC Levels'!$A$1:$F$1,0))</f>
        <v>X</v>
      </c>
      <c r="G52" s="77" t="str">
        <f>IF((COUNTIF(List!H50:CE50,"P")+COUNTIF(List!H50:CE50,"S"))=0,"N",IF(COUNTIF(H52:CE52,"P"),"P",IF(COUNTIF(H52:CE52,"S"),"S","U")))</f>
        <v>U</v>
      </c>
      <c r="H52" s="13" t="str">
        <f>IF(H$4="Yes",INDEX(List!$E$2:$CD$173,MATCH('Selection Pane Data'!$B52,List!$E$2:$E$173,0),MATCH('Selection Pane Data'!H$3,List!$E$2:$CD$2,0)),"")</f>
        <v/>
      </c>
      <c r="I52" s="13" t="str">
        <f>IF(I$4="Yes",INDEX(List!$E$2:$CD$173,MATCH('Selection Pane Data'!$B52,List!$E$2:$E$173,0),MATCH('Selection Pane Data'!I$3,List!$E$2:$CD$2,0)),"")</f>
        <v/>
      </c>
      <c r="J52" s="13" t="str">
        <f>IF(J$4="Yes",INDEX(List!$E$2:$CD$173,MATCH('Selection Pane Data'!$B52,List!$E$2:$E$173,0),MATCH('Selection Pane Data'!J$3,List!$E$2:$CD$2,0)),"")</f>
        <v>N</v>
      </c>
      <c r="K52" s="13" t="str">
        <f>IF(K$4="Yes",INDEX(List!$E$2:$CD$173,MATCH('Selection Pane Data'!$B52,List!$E$2:$E$173,0),MATCH('Selection Pane Data'!K$3,List!$E$2:$CD$2,0)),"")</f>
        <v/>
      </c>
      <c r="L52" s="13" t="str">
        <f>IF(L$4="Yes",INDEX(List!$E$2:$CD$173,MATCH('Selection Pane Data'!$B52,List!$E$2:$E$173,0),MATCH('Selection Pane Data'!L$3,List!$E$2:$CD$2,0)),"")</f>
        <v/>
      </c>
      <c r="M52" s="13" t="str">
        <f>IF(M$4="Yes",INDEX(List!$E$2:$CD$173,MATCH('Selection Pane Data'!$B52,List!$E$2:$E$173,0),MATCH('Selection Pane Data'!M$3,List!$E$2:$CD$2,0)),"")</f>
        <v/>
      </c>
      <c r="N52" s="13" t="str">
        <f>IF(N$4="Yes",INDEX(List!$E$2:$CD$173,MATCH('Selection Pane Data'!$B52,List!$E$2:$E$173,0),MATCH('Selection Pane Data'!N$3,List!$E$2:$CD$2,0)),"")</f>
        <v/>
      </c>
      <c r="O52" s="13" t="str">
        <f>IF(O$4="Yes",INDEX(List!$E$2:$CD$173,MATCH('Selection Pane Data'!$B52,List!$E$2:$E$173,0),MATCH('Selection Pane Data'!O$3,List!$E$2:$CD$2,0)),"")</f>
        <v/>
      </c>
      <c r="P52" s="13" t="str">
        <f>IF(P$4="Yes",INDEX(List!$E$2:$CD$173,MATCH('Selection Pane Data'!$B52,List!$E$2:$E$173,0),MATCH('Selection Pane Data'!P$3,List!$E$2:$CD$2,0)),"")</f>
        <v/>
      </c>
      <c r="Q52" s="13" t="str">
        <f>IF(Q$4="Yes",INDEX(List!$E$2:$CD$173,MATCH('Selection Pane Data'!$B52,List!$E$2:$E$173,0),MATCH('Selection Pane Data'!Q$3,List!$E$2:$CD$2,0)),"")</f>
        <v/>
      </c>
      <c r="R52" s="13" t="str">
        <f>IF(R$4="Yes",INDEX(List!$E$2:$CD$173,MATCH('Selection Pane Data'!$B52,List!$E$2:$E$173,0),MATCH('Selection Pane Data'!R$3,List!$E$2:$CD$2,0)),"")</f>
        <v/>
      </c>
      <c r="S52" s="13" t="str">
        <f>IF(S$4="Yes",INDEX(List!$E$2:$CD$173,MATCH('Selection Pane Data'!$B52,List!$E$2:$E$173,0),MATCH('Selection Pane Data'!S$3,List!$E$2:$CD$2,0)),"")</f>
        <v/>
      </c>
      <c r="T52" s="13" t="str">
        <f>IF(T$4="Yes",INDEX(List!$E$2:$CD$173,MATCH('Selection Pane Data'!$B52,List!$E$2:$E$173,0),MATCH('Selection Pane Data'!T$3,List!$E$2:$CD$2,0)),"")</f>
        <v/>
      </c>
      <c r="U52" s="13" t="str">
        <f>IF(U$4="Yes",INDEX(List!$E$2:$CD$173,MATCH('Selection Pane Data'!$B52,List!$E$2:$E$173,0),MATCH('Selection Pane Data'!U$3,List!$E$2:$CD$2,0)),"")</f>
        <v/>
      </c>
      <c r="V52" s="13" t="str">
        <f>IF(V$4="Yes",INDEX(List!$E$2:$CD$173,MATCH('Selection Pane Data'!$B52,List!$E$2:$E$173,0),MATCH('Selection Pane Data'!V$3,List!$E$2:$CD$2,0)),"")</f>
        <v/>
      </c>
      <c r="W52" s="13" t="str">
        <f>IF(W$4="Yes",INDEX(List!$E$2:$CD$173,MATCH('Selection Pane Data'!$B52,List!$E$2:$E$173,0),MATCH('Selection Pane Data'!W$3,List!$E$2:$CD$2,0)),"")</f>
        <v/>
      </c>
      <c r="X52" s="13" t="str">
        <f>IF(X$4="Yes",INDEX(List!$E$2:$CD$173,MATCH('Selection Pane Data'!$B52,List!$E$2:$E$173,0),MATCH('Selection Pane Data'!X$3,List!$E$2:$CD$2,0)),"")</f>
        <v/>
      </c>
      <c r="Y52" s="13" t="str">
        <f>IF(Y$4="Yes",INDEX(List!$E$2:$CD$173,MATCH('Selection Pane Data'!$B52,List!$E$2:$E$173,0),MATCH('Selection Pane Data'!Y$3,List!$E$2:$CD$2,0)),"")</f>
        <v/>
      </c>
      <c r="Z52" s="13" t="str">
        <f>IF(Z$4="Yes",INDEX(List!$E$2:$CD$173,MATCH('Selection Pane Data'!$B52,List!$E$2:$E$173,0),MATCH('Selection Pane Data'!Z$3,List!$E$2:$CD$2,0)),"")</f>
        <v/>
      </c>
      <c r="AA52" s="13" t="str">
        <f>IF(AA$4="Yes",INDEX(List!$E$2:$CD$173,MATCH('Selection Pane Data'!$B52,List!$E$2:$E$173,0),MATCH('Selection Pane Data'!AA$3,List!$E$2:$CD$2,0)),"")</f>
        <v>N</v>
      </c>
      <c r="AB52" s="13" t="str">
        <f>IF(AB$4="Yes",INDEX(List!$E$2:$CD$173,MATCH('Selection Pane Data'!$B52,List!$E$2:$E$173,0),MATCH('Selection Pane Data'!AB$3,List!$E$2:$CD$2,0)),"")</f>
        <v/>
      </c>
      <c r="AC52" s="13" t="str">
        <f>IF(AC$4="Yes",INDEX(List!$E$2:$CD$173,MATCH('Selection Pane Data'!$B52,List!$E$2:$E$173,0),MATCH('Selection Pane Data'!AC$3,List!$E$2:$CD$2,0)),"")</f>
        <v/>
      </c>
      <c r="AD52" s="13" t="str">
        <f>IF(AD$4="Yes",INDEX(List!$E$2:$CD$173,MATCH('Selection Pane Data'!$B52,List!$E$2:$E$173,0),MATCH('Selection Pane Data'!AD$3,List!$E$2:$CD$2,0)),"")</f>
        <v/>
      </c>
      <c r="AE52" s="13" t="str">
        <f>IF(AE$4="Yes",INDEX(List!$E$2:$CD$173,MATCH('Selection Pane Data'!$B52,List!$E$2:$E$173,0),MATCH('Selection Pane Data'!AE$3,List!$E$2:$CD$2,0)),"")</f>
        <v/>
      </c>
      <c r="AF52" s="13" t="str">
        <f>IF(AF$4="Yes",INDEX(List!$E$2:$CD$173,MATCH('Selection Pane Data'!$B52,List!$E$2:$E$173,0),MATCH('Selection Pane Data'!AF$3,List!$E$2:$CD$2,0)),"")</f>
        <v/>
      </c>
      <c r="AG52" s="13" t="str">
        <f>IF(AG$4="Yes",INDEX(List!$E$2:$CD$173,MATCH('Selection Pane Data'!$B52,List!$E$2:$E$173,0),MATCH('Selection Pane Data'!AG$3,List!$E$2:$CD$2,0)),"")</f>
        <v/>
      </c>
      <c r="AH52" s="13" t="str">
        <f>IF(AH$4="Yes",INDEX(List!$E$2:$CD$173,MATCH('Selection Pane Data'!$B52,List!$E$2:$E$173,0),MATCH('Selection Pane Data'!AH$3,List!$E$2:$CD$2,0)),"")</f>
        <v/>
      </c>
      <c r="AI52" s="13" t="str">
        <f>IF(AI$4="Yes",INDEX(List!$E$2:$CD$173,MATCH('Selection Pane Data'!$B52,List!$E$2:$E$173,0),MATCH('Selection Pane Data'!AI$3,List!$E$2:$CD$2,0)),"")</f>
        <v/>
      </c>
      <c r="AJ52" s="13" t="str">
        <f>IF(AJ$4="Yes",INDEX(List!$E$2:$CD$173,MATCH('Selection Pane Data'!$B52,List!$E$2:$E$173,0),MATCH('Selection Pane Data'!AJ$3,List!$E$2:$CD$2,0)),"")</f>
        <v/>
      </c>
      <c r="AK52" s="13" t="str">
        <f>IF(AK$4="Yes",INDEX(List!$E$2:$CD$173,MATCH('Selection Pane Data'!$B52,List!$E$2:$E$173,0),MATCH('Selection Pane Data'!AK$3,List!$E$2:$CD$2,0)),"")</f>
        <v/>
      </c>
      <c r="AL52" s="13" t="str">
        <f>IF(AL$4="Yes",INDEX(List!$E$2:$CD$173,MATCH('Selection Pane Data'!$B52,List!$E$2:$E$173,0),MATCH('Selection Pane Data'!AL$3,List!$E$2:$CD$2,0)),"")</f>
        <v/>
      </c>
      <c r="AM52" s="13" t="str">
        <f>IF(AM$4="Yes",INDEX(List!$E$2:$CD$173,MATCH('Selection Pane Data'!$B52,List!$E$2:$E$173,0),MATCH('Selection Pane Data'!AM$3,List!$E$2:$CD$2,0)),"")</f>
        <v/>
      </c>
      <c r="AN52" s="13" t="str">
        <f>IF(AN$4="Yes",INDEX(List!$E$2:$CD$173,MATCH('Selection Pane Data'!$B52,List!$E$2:$E$173,0),MATCH('Selection Pane Data'!AN$3,List!$E$2:$CD$2,0)),"")</f>
        <v/>
      </c>
      <c r="AO52" s="13" t="str">
        <f>IF(AO$4="Yes",INDEX(List!$E$2:$CD$173,MATCH('Selection Pane Data'!$B52,List!$E$2:$E$173,0),MATCH('Selection Pane Data'!AO$3,List!$E$2:$CD$2,0)),"")</f>
        <v/>
      </c>
      <c r="AP52" s="13" t="str">
        <f>IF(AP$4="Yes",INDEX(List!$E$2:$CD$173,MATCH('Selection Pane Data'!$B52,List!$E$2:$E$173,0),MATCH('Selection Pane Data'!AP$3,List!$E$2:$CD$2,0)),"")</f>
        <v/>
      </c>
      <c r="AQ52" s="13" t="str">
        <f>IF(AQ$4="Yes",INDEX(List!$E$2:$CD$173,MATCH('Selection Pane Data'!$B52,List!$E$2:$E$173,0),MATCH('Selection Pane Data'!AQ$3,List!$E$2:$CD$2,0)),"")</f>
        <v/>
      </c>
      <c r="AR52" s="13" t="str">
        <f>IF(AR$4="Yes",INDEX(List!$E$2:$CD$173,MATCH('Selection Pane Data'!$B52,List!$E$2:$E$173,0),MATCH('Selection Pane Data'!AR$3,List!$E$2:$CD$2,0)),"")</f>
        <v/>
      </c>
      <c r="AS52" s="13" t="str">
        <f>IF(AS$4="Yes",INDEX(List!$E$2:$CD$173,MATCH('Selection Pane Data'!$B52,List!$E$2:$E$173,0),MATCH('Selection Pane Data'!AS$3,List!$E$2:$CD$2,0)),"")</f>
        <v/>
      </c>
      <c r="AT52" s="13" t="str">
        <f>IF(AT$4="Yes",INDEX(List!$E$2:$CD$173,MATCH('Selection Pane Data'!$B52,List!$E$2:$E$173,0),MATCH('Selection Pane Data'!AT$3,List!$E$2:$CD$2,0)),"")</f>
        <v/>
      </c>
      <c r="AU52" s="13" t="str">
        <f>IF(AU$4="Yes",INDEX(List!$E$2:$CD$173,MATCH('Selection Pane Data'!$B52,List!$E$2:$E$173,0),MATCH('Selection Pane Data'!AU$3,List!$E$2:$CD$2,0)),"")</f>
        <v/>
      </c>
      <c r="AV52" s="13" t="str">
        <f>IF(AV$4="Yes",INDEX(List!$E$2:$CD$173,MATCH('Selection Pane Data'!$B52,List!$E$2:$E$173,0),MATCH('Selection Pane Data'!AV$3,List!$E$2:$CD$2,0)),"")</f>
        <v/>
      </c>
      <c r="AW52" s="13" t="str">
        <f>IF(AW$4="Yes",INDEX(List!$E$2:$CD$173,MATCH('Selection Pane Data'!$B52,List!$E$2:$E$173,0),MATCH('Selection Pane Data'!AW$3,List!$E$2:$CD$2,0)),"")</f>
        <v/>
      </c>
      <c r="AX52" s="13" t="str">
        <f>IF(AX$4="Yes",INDEX(List!$E$2:$CD$173,MATCH('Selection Pane Data'!$B52,List!$E$2:$E$173,0),MATCH('Selection Pane Data'!AX$3,List!$E$2:$CD$2,0)),"")</f>
        <v/>
      </c>
      <c r="AY52" s="13" t="str">
        <f>IF(AY$4="Yes",INDEX(List!$E$2:$CD$173,MATCH('Selection Pane Data'!$B52,List!$E$2:$E$173,0),MATCH('Selection Pane Data'!AY$3,List!$E$2:$CD$2,0)),"")</f>
        <v/>
      </c>
      <c r="AZ52" s="13" t="str">
        <f>IF(AZ$4="Yes",INDEX(List!$E$2:$CD$173,MATCH('Selection Pane Data'!$B52,List!$E$2:$E$173,0),MATCH('Selection Pane Data'!AZ$3,List!$E$2:$CD$2,0)),"")</f>
        <v/>
      </c>
      <c r="BA52" s="13" t="str">
        <f>IF(BA$4="Yes",INDEX(List!$E$2:$CD$173,MATCH('Selection Pane Data'!$B52,List!$E$2:$E$173,0),MATCH('Selection Pane Data'!BA$3,List!$E$2:$CD$2,0)),"")</f>
        <v/>
      </c>
      <c r="BB52" s="13" t="str">
        <f>IF(BB$4="Yes",INDEX(List!$E$2:$CD$173,MATCH('Selection Pane Data'!$B52,List!$E$2:$E$173,0),MATCH('Selection Pane Data'!BB$3,List!$E$2:$CD$2,0)),"")</f>
        <v/>
      </c>
      <c r="BC52" s="13" t="str">
        <f>IF(BC$4="Yes",INDEX(List!$E$2:$CD$173,MATCH('Selection Pane Data'!$B52,List!$E$2:$E$173,0),MATCH('Selection Pane Data'!BC$3,List!$E$2:$CD$2,0)),"")</f>
        <v/>
      </c>
      <c r="BD52" s="13" t="str">
        <f>IF(BD$4="Yes",INDEX(List!$E$2:$CD$173,MATCH('Selection Pane Data'!$B52,List!$E$2:$E$173,0),MATCH('Selection Pane Data'!BD$3,List!$E$2:$CD$2,0)),"")</f>
        <v/>
      </c>
      <c r="BE52" s="13" t="str">
        <f>IF(BE$4="Yes",INDEX(List!$E$2:$CD$173,MATCH('Selection Pane Data'!$B52,List!$E$2:$E$173,0),MATCH('Selection Pane Data'!BE$3,List!$E$2:$CD$2,0)),"")</f>
        <v/>
      </c>
      <c r="BF52" s="13" t="str">
        <f>IF(BF$4="Yes",INDEX(List!$E$2:$CD$173,MATCH('Selection Pane Data'!$B52,List!$E$2:$E$173,0),MATCH('Selection Pane Data'!BF$3,List!$E$2:$CD$2,0)),"")</f>
        <v/>
      </c>
      <c r="BG52" s="13" t="str">
        <f>IF(BG$4="Yes",INDEX(List!$E$2:$CD$173,MATCH('Selection Pane Data'!$B52,List!$E$2:$E$173,0),MATCH('Selection Pane Data'!BG$3,List!$E$2:$CD$2,0)),"")</f>
        <v/>
      </c>
      <c r="BH52" s="13" t="str">
        <f>IF(BH$4="Yes",INDEX(List!$E$2:$CD$173,MATCH('Selection Pane Data'!$B52,List!$E$2:$E$173,0),MATCH('Selection Pane Data'!BH$3,List!$E$2:$CD$2,0)),"")</f>
        <v/>
      </c>
      <c r="BI52" s="13" t="str">
        <f>IF(BI$4="Yes",INDEX(List!$E$2:$CD$173,MATCH('Selection Pane Data'!$B52,List!$E$2:$E$173,0),MATCH('Selection Pane Data'!BI$3,List!$E$2:$CD$2,0)),"")</f>
        <v/>
      </c>
      <c r="BJ52" s="13" t="str">
        <f>IF(BJ$4="Yes",INDEX(List!$E$2:$CD$173,MATCH('Selection Pane Data'!$B52,List!$E$2:$E$173,0),MATCH('Selection Pane Data'!BJ$3,List!$E$2:$CD$2,0)),"")</f>
        <v/>
      </c>
      <c r="BK52" s="13" t="str">
        <f>IF(BK$4="Yes",INDEX(List!$E$2:$CD$173,MATCH('Selection Pane Data'!$B52,List!$E$2:$E$173,0),MATCH('Selection Pane Data'!BK$3,List!$E$2:$CD$2,0)),"")</f>
        <v/>
      </c>
      <c r="BL52" s="13" t="str">
        <f>IF(BL$4="Yes",INDEX(List!$E$2:$CD$173,MATCH('Selection Pane Data'!$B52,List!$E$2:$E$173,0),MATCH('Selection Pane Data'!BL$3,List!$E$2:$CD$2,0)),"")</f>
        <v/>
      </c>
      <c r="BM52" s="13" t="str">
        <f>IF(BM$4="Yes",INDEX(List!$E$2:$CD$173,MATCH('Selection Pane Data'!$B52,List!$E$2:$E$173,0),MATCH('Selection Pane Data'!BM$3,List!$E$2:$CD$2,0)),"")</f>
        <v/>
      </c>
      <c r="BN52" s="13" t="str">
        <f>IF(BN$4="Yes",INDEX(List!$E$2:$CD$173,MATCH('Selection Pane Data'!$B52,List!$E$2:$E$173,0),MATCH('Selection Pane Data'!BN$3,List!$E$2:$CD$2,0)),"")</f>
        <v/>
      </c>
      <c r="BO52" s="13" t="str">
        <f>IF(BO$4="Yes",INDEX(List!$E$2:$CD$173,MATCH('Selection Pane Data'!$B52,List!$E$2:$E$173,0),MATCH('Selection Pane Data'!BO$3,List!$E$2:$CD$2,0)),"")</f>
        <v/>
      </c>
      <c r="BP52" s="13" t="str">
        <f>IF(BP$4="Yes",INDEX(List!$E$2:$CD$173,MATCH('Selection Pane Data'!$B52,List!$E$2:$E$173,0),MATCH('Selection Pane Data'!BP$3,List!$E$2:$CD$2,0)),"")</f>
        <v/>
      </c>
      <c r="BQ52" s="13" t="str">
        <f>IF(BQ$4="Yes",INDEX(List!$E$2:$CD$173,MATCH('Selection Pane Data'!$B52,List!$E$2:$E$173,0),MATCH('Selection Pane Data'!BQ$3,List!$E$2:$CD$2,0)),"")</f>
        <v/>
      </c>
      <c r="BR52" s="13" t="str">
        <f>IF(BR$4="Yes",INDEX(List!$E$2:$CD$173,MATCH('Selection Pane Data'!$B52,List!$E$2:$E$173,0),MATCH('Selection Pane Data'!BR$3,List!$E$2:$CD$2,0)),"")</f>
        <v/>
      </c>
      <c r="BS52" s="13" t="str">
        <f>IF(BS$4="Yes",INDEX(List!$E$2:$CD$173,MATCH('Selection Pane Data'!$B52,List!$E$2:$E$173,0),MATCH('Selection Pane Data'!BS$3,List!$E$2:$CD$2,0)),"")</f>
        <v/>
      </c>
      <c r="BT52" s="13" t="str">
        <f>IF(BT$4="Yes",INDEX(List!$E$2:$CD$173,MATCH('Selection Pane Data'!$B52,List!$E$2:$E$173,0),MATCH('Selection Pane Data'!BT$3,List!$E$2:$CD$2,0)),"")</f>
        <v/>
      </c>
      <c r="BU52" s="13" t="str">
        <f>IF(BU$4="Yes",INDEX(List!$E$2:$CD$173,MATCH('Selection Pane Data'!$B52,List!$E$2:$E$173,0),MATCH('Selection Pane Data'!BU$3,List!$E$2:$CD$2,0)),"")</f>
        <v/>
      </c>
      <c r="BV52" s="13" t="str">
        <f>IF(BV$4="Yes",INDEX(List!$E$2:$CD$173,MATCH('Selection Pane Data'!$B52,List!$E$2:$E$173,0),MATCH('Selection Pane Data'!BV$3,List!$E$2:$CD$2,0)),"")</f>
        <v/>
      </c>
      <c r="BW52" s="13" t="str">
        <f>IF(BW$4="Yes",INDEX(List!$E$2:$CD$173,MATCH('Selection Pane Data'!$B52,List!$E$2:$E$173,0),MATCH('Selection Pane Data'!BW$3,List!$E$2:$CD$2,0)),"")</f>
        <v/>
      </c>
      <c r="BX52" s="13" t="str">
        <f>IF(BX$4="Yes",INDEX(List!$E$2:$CD$173,MATCH('Selection Pane Data'!$B52,List!$E$2:$E$173,0),MATCH('Selection Pane Data'!BX$3,List!$E$2:$CD$2,0)),"")</f>
        <v/>
      </c>
      <c r="BY52" s="13" t="str">
        <f>IF(BY$4="Yes",INDEX(List!$E$2:$CD$173,MATCH('Selection Pane Data'!$B52,List!$E$2:$E$173,0),MATCH('Selection Pane Data'!BY$3,List!$E$2:$CD$2,0)),"")</f>
        <v/>
      </c>
      <c r="BZ52" s="13" t="str">
        <f>IF(BZ$4="Yes",INDEX(List!$E$2:$CD$173,MATCH('Selection Pane Data'!$B52,List!$E$2:$E$173,0),MATCH('Selection Pane Data'!BZ$3,List!$E$2:$CD$2,0)),"")</f>
        <v/>
      </c>
      <c r="CA52" s="13" t="str">
        <f>IF(CA$4="Yes",INDEX(List!$E$2:$CD$173,MATCH('Selection Pane Data'!$B52,List!$E$2:$E$173,0),MATCH('Selection Pane Data'!CA$3,List!$E$2:$CD$2,0)),"")</f>
        <v/>
      </c>
      <c r="CB52" s="13" t="str">
        <f>IF(CB$4="Yes",INDEX(List!$E$2:$CD$173,MATCH('Selection Pane Data'!$B52,List!$E$2:$E$173,0),MATCH('Selection Pane Data'!CB$3,List!$E$2:$CD$2,0)),"")</f>
        <v/>
      </c>
      <c r="CC52" s="13" t="str">
        <f>IF(CC$4="Yes",INDEX(List!$E$2:$CD$173,MATCH('Selection Pane Data'!$B52,List!$E$2:$E$173,0),MATCH('Selection Pane Data'!CC$3,List!$E$2:$CD$2,0)),"")</f>
        <v/>
      </c>
      <c r="CD52" s="13" t="str">
        <f>IF(CD$4="Yes",INDEX(List!$E$2:$CD$173,MATCH('Selection Pane Data'!$B52,List!$E$2:$E$173,0),MATCH('Selection Pane Data'!CD$3,List!$E$2:$CD$2,0)),"")</f>
        <v/>
      </c>
      <c r="CE52" s="13" t="str">
        <f>IF(CE$4="Yes",INDEX(List!$E$2:$CD$173,MATCH('Selection Pane Data'!$B52,List!$E$2:$E$173,0),MATCH('Selection Pane Data'!CE$3,List!$E$2:$CD$2,0)),"")</f>
        <v/>
      </c>
    </row>
    <row r="53" spans="2:83" x14ac:dyDescent="0.35">
      <c r="B53" s="21" t="s">
        <v>340</v>
      </c>
      <c r="C53" s="126" t="str">
        <f>VLOOKUP(B53,List!$E$2:$G$173,2,FALSE)</f>
        <v>CA.L2-3.12.1</v>
      </c>
      <c r="D53" s="31" t="str">
        <f>List!G51</f>
        <v>Shared Coverage</v>
      </c>
      <c r="E53" s="31" t="str">
        <f>IF(Placemat!$F$4="All Practices","All Practices",IF(VLOOKUP(B53,Table7[#All],6,FALSE)="No Mapping","New CMMC Practices","Practices with NIST 800-171 Mappings"))</f>
        <v>Practices with NIST 800-171 Mappings</v>
      </c>
      <c r="F53" t="str">
        <f>INDEX('CMMC Levels'!$A$1:$F$172,MATCH('Selection Pane Data'!$C53,'CMMC Levels'!$A$1:$A$172,0),MATCH(Placemat!$F$4,'CMMC Levels'!$A$1:$F$1,0))</f>
        <v>X</v>
      </c>
      <c r="G53" s="77" t="str">
        <f>IF((COUNTIF(List!H51:CE51,"P")+COUNTIF(List!H51:CE51,"S"))=0,"N",IF(COUNTIF(H53:CE53,"P"),"P",IF(COUNTIF(H53:CE53,"S"),"S","U")))</f>
        <v>U</v>
      </c>
      <c r="H53" s="13" t="str">
        <f>IF(H$4="Yes",INDEX(List!$E$2:$CD$173,MATCH('Selection Pane Data'!$B53,List!$E$2:$E$173,0),MATCH('Selection Pane Data'!H$3,List!$E$2:$CD$2,0)),"")</f>
        <v/>
      </c>
      <c r="I53" s="13" t="str">
        <f>IF(I$4="Yes",INDEX(List!$E$2:$CD$173,MATCH('Selection Pane Data'!$B53,List!$E$2:$E$173,0),MATCH('Selection Pane Data'!I$3,List!$E$2:$CD$2,0)),"")</f>
        <v/>
      </c>
      <c r="J53" s="13" t="str">
        <f>IF(J$4="Yes",INDEX(List!$E$2:$CD$173,MATCH('Selection Pane Data'!$B53,List!$E$2:$E$173,0),MATCH('Selection Pane Data'!J$3,List!$E$2:$CD$2,0)),"")</f>
        <v>N</v>
      </c>
      <c r="K53" s="13" t="str">
        <f>IF(K$4="Yes",INDEX(List!$E$2:$CD$173,MATCH('Selection Pane Data'!$B53,List!$E$2:$E$173,0),MATCH('Selection Pane Data'!K$3,List!$E$2:$CD$2,0)),"")</f>
        <v/>
      </c>
      <c r="L53" s="13" t="str">
        <f>IF(L$4="Yes",INDEX(List!$E$2:$CD$173,MATCH('Selection Pane Data'!$B53,List!$E$2:$E$173,0),MATCH('Selection Pane Data'!L$3,List!$E$2:$CD$2,0)),"")</f>
        <v/>
      </c>
      <c r="M53" s="13" t="str">
        <f>IF(M$4="Yes",INDEX(List!$E$2:$CD$173,MATCH('Selection Pane Data'!$B53,List!$E$2:$E$173,0),MATCH('Selection Pane Data'!M$3,List!$E$2:$CD$2,0)),"")</f>
        <v/>
      </c>
      <c r="N53" s="13" t="str">
        <f>IF(N$4="Yes",INDEX(List!$E$2:$CD$173,MATCH('Selection Pane Data'!$B53,List!$E$2:$E$173,0),MATCH('Selection Pane Data'!N$3,List!$E$2:$CD$2,0)),"")</f>
        <v/>
      </c>
      <c r="O53" s="13" t="str">
        <f>IF(O$4="Yes",INDEX(List!$E$2:$CD$173,MATCH('Selection Pane Data'!$B53,List!$E$2:$E$173,0),MATCH('Selection Pane Data'!O$3,List!$E$2:$CD$2,0)),"")</f>
        <v/>
      </c>
      <c r="P53" s="13" t="str">
        <f>IF(P$4="Yes",INDEX(List!$E$2:$CD$173,MATCH('Selection Pane Data'!$B53,List!$E$2:$E$173,0),MATCH('Selection Pane Data'!P$3,List!$E$2:$CD$2,0)),"")</f>
        <v/>
      </c>
      <c r="Q53" s="13" t="str">
        <f>IF(Q$4="Yes",INDEX(List!$E$2:$CD$173,MATCH('Selection Pane Data'!$B53,List!$E$2:$E$173,0),MATCH('Selection Pane Data'!Q$3,List!$E$2:$CD$2,0)),"")</f>
        <v/>
      </c>
      <c r="R53" s="13" t="str">
        <f>IF(R$4="Yes",INDEX(List!$E$2:$CD$173,MATCH('Selection Pane Data'!$B53,List!$E$2:$E$173,0),MATCH('Selection Pane Data'!R$3,List!$E$2:$CD$2,0)),"")</f>
        <v/>
      </c>
      <c r="S53" s="13" t="str">
        <f>IF(S$4="Yes",INDEX(List!$E$2:$CD$173,MATCH('Selection Pane Data'!$B53,List!$E$2:$E$173,0),MATCH('Selection Pane Data'!S$3,List!$E$2:$CD$2,0)),"")</f>
        <v/>
      </c>
      <c r="T53" s="13" t="str">
        <f>IF(T$4="Yes",INDEX(List!$E$2:$CD$173,MATCH('Selection Pane Data'!$B53,List!$E$2:$E$173,0),MATCH('Selection Pane Data'!T$3,List!$E$2:$CD$2,0)),"")</f>
        <v/>
      </c>
      <c r="U53" s="13" t="str">
        <f>IF(U$4="Yes",INDEX(List!$E$2:$CD$173,MATCH('Selection Pane Data'!$B53,List!$E$2:$E$173,0),MATCH('Selection Pane Data'!U$3,List!$E$2:$CD$2,0)),"")</f>
        <v/>
      </c>
      <c r="V53" s="13" t="str">
        <f>IF(V$4="Yes",INDEX(List!$E$2:$CD$173,MATCH('Selection Pane Data'!$B53,List!$E$2:$E$173,0),MATCH('Selection Pane Data'!V$3,List!$E$2:$CD$2,0)),"")</f>
        <v/>
      </c>
      <c r="W53" s="13" t="str">
        <f>IF(W$4="Yes",INDEX(List!$E$2:$CD$173,MATCH('Selection Pane Data'!$B53,List!$E$2:$E$173,0),MATCH('Selection Pane Data'!W$3,List!$E$2:$CD$2,0)),"")</f>
        <v/>
      </c>
      <c r="X53" s="13" t="str">
        <f>IF(X$4="Yes",INDEX(List!$E$2:$CD$173,MATCH('Selection Pane Data'!$B53,List!$E$2:$E$173,0),MATCH('Selection Pane Data'!X$3,List!$E$2:$CD$2,0)),"")</f>
        <v/>
      </c>
      <c r="Y53" s="13" t="str">
        <f>IF(Y$4="Yes",INDEX(List!$E$2:$CD$173,MATCH('Selection Pane Data'!$B53,List!$E$2:$E$173,0),MATCH('Selection Pane Data'!Y$3,List!$E$2:$CD$2,0)),"")</f>
        <v/>
      </c>
      <c r="Z53" s="13" t="str">
        <f>IF(Z$4="Yes",INDEX(List!$E$2:$CD$173,MATCH('Selection Pane Data'!$B53,List!$E$2:$E$173,0),MATCH('Selection Pane Data'!Z$3,List!$E$2:$CD$2,0)),"")</f>
        <v/>
      </c>
      <c r="AA53" s="13" t="str">
        <f>IF(AA$4="Yes",INDEX(List!$E$2:$CD$173,MATCH('Selection Pane Data'!$B53,List!$E$2:$E$173,0),MATCH('Selection Pane Data'!AA$3,List!$E$2:$CD$2,0)),"")</f>
        <v>N</v>
      </c>
      <c r="AB53" s="13" t="str">
        <f>IF(AB$4="Yes",INDEX(List!$E$2:$CD$173,MATCH('Selection Pane Data'!$B53,List!$E$2:$E$173,0),MATCH('Selection Pane Data'!AB$3,List!$E$2:$CD$2,0)),"")</f>
        <v/>
      </c>
      <c r="AC53" s="13" t="str">
        <f>IF(AC$4="Yes",INDEX(List!$E$2:$CD$173,MATCH('Selection Pane Data'!$B53,List!$E$2:$E$173,0),MATCH('Selection Pane Data'!AC$3,List!$E$2:$CD$2,0)),"")</f>
        <v/>
      </c>
      <c r="AD53" s="13" t="str">
        <f>IF(AD$4="Yes",INDEX(List!$E$2:$CD$173,MATCH('Selection Pane Data'!$B53,List!$E$2:$E$173,0),MATCH('Selection Pane Data'!AD$3,List!$E$2:$CD$2,0)),"")</f>
        <v/>
      </c>
      <c r="AE53" s="13" t="str">
        <f>IF(AE$4="Yes",INDEX(List!$E$2:$CD$173,MATCH('Selection Pane Data'!$B53,List!$E$2:$E$173,0),MATCH('Selection Pane Data'!AE$3,List!$E$2:$CD$2,0)),"")</f>
        <v/>
      </c>
      <c r="AF53" s="13" t="str">
        <f>IF(AF$4="Yes",INDEX(List!$E$2:$CD$173,MATCH('Selection Pane Data'!$B53,List!$E$2:$E$173,0),MATCH('Selection Pane Data'!AF$3,List!$E$2:$CD$2,0)),"")</f>
        <v/>
      </c>
      <c r="AG53" s="13" t="str">
        <f>IF(AG$4="Yes",INDEX(List!$E$2:$CD$173,MATCH('Selection Pane Data'!$B53,List!$E$2:$E$173,0),MATCH('Selection Pane Data'!AG$3,List!$E$2:$CD$2,0)),"")</f>
        <v/>
      </c>
      <c r="AH53" s="13" t="str">
        <f>IF(AH$4="Yes",INDEX(List!$E$2:$CD$173,MATCH('Selection Pane Data'!$B53,List!$E$2:$E$173,0),MATCH('Selection Pane Data'!AH$3,List!$E$2:$CD$2,0)),"")</f>
        <v/>
      </c>
      <c r="AI53" s="13" t="str">
        <f>IF(AI$4="Yes",INDEX(List!$E$2:$CD$173,MATCH('Selection Pane Data'!$B53,List!$E$2:$E$173,0),MATCH('Selection Pane Data'!AI$3,List!$E$2:$CD$2,0)),"")</f>
        <v/>
      </c>
      <c r="AJ53" s="13" t="str">
        <f>IF(AJ$4="Yes",INDEX(List!$E$2:$CD$173,MATCH('Selection Pane Data'!$B53,List!$E$2:$E$173,0),MATCH('Selection Pane Data'!AJ$3,List!$E$2:$CD$2,0)),"")</f>
        <v/>
      </c>
      <c r="AK53" s="13" t="str">
        <f>IF(AK$4="Yes",INDEX(List!$E$2:$CD$173,MATCH('Selection Pane Data'!$B53,List!$E$2:$E$173,0),MATCH('Selection Pane Data'!AK$3,List!$E$2:$CD$2,0)),"")</f>
        <v/>
      </c>
      <c r="AL53" s="13" t="str">
        <f>IF(AL$4="Yes",INDEX(List!$E$2:$CD$173,MATCH('Selection Pane Data'!$B53,List!$E$2:$E$173,0),MATCH('Selection Pane Data'!AL$3,List!$E$2:$CD$2,0)),"")</f>
        <v/>
      </c>
      <c r="AM53" s="13" t="str">
        <f>IF(AM$4="Yes",INDEX(List!$E$2:$CD$173,MATCH('Selection Pane Data'!$B53,List!$E$2:$E$173,0),MATCH('Selection Pane Data'!AM$3,List!$E$2:$CD$2,0)),"")</f>
        <v/>
      </c>
      <c r="AN53" s="13" t="str">
        <f>IF(AN$4="Yes",INDEX(List!$E$2:$CD$173,MATCH('Selection Pane Data'!$B53,List!$E$2:$E$173,0),MATCH('Selection Pane Data'!AN$3,List!$E$2:$CD$2,0)),"")</f>
        <v/>
      </c>
      <c r="AO53" s="13" t="str">
        <f>IF(AO$4="Yes",INDEX(List!$E$2:$CD$173,MATCH('Selection Pane Data'!$B53,List!$E$2:$E$173,0),MATCH('Selection Pane Data'!AO$3,List!$E$2:$CD$2,0)),"")</f>
        <v/>
      </c>
      <c r="AP53" s="13" t="str">
        <f>IF(AP$4="Yes",INDEX(List!$E$2:$CD$173,MATCH('Selection Pane Data'!$B53,List!$E$2:$E$173,0),MATCH('Selection Pane Data'!AP$3,List!$E$2:$CD$2,0)),"")</f>
        <v/>
      </c>
      <c r="AQ53" s="13" t="str">
        <f>IF(AQ$4="Yes",INDEX(List!$E$2:$CD$173,MATCH('Selection Pane Data'!$B53,List!$E$2:$E$173,0),MATCH('Selection Pane Data'!AQ$3,List!$E$2:$CD$2,0)),"")</f>
        <v/>
      </c>
      <c r="AR53" s="13" t="str">
        <f>IF(AR$4="Yes",INDEX(List!$E$2:$CD$173,MATCH('Selection Pane Data'!$B53,List!$E$2:$E$173,0),MATCH('Selection Pane Data'!AR$3,List!$E$2:$CD$2,0)),"")</f>
        <v/>
      </c>
      <c r="AS53" s="13" t="str">
        <f>IF(AS$4="Yes",INDEX(List!$E$2:$CD$173,MATCH('Selection Pane Data'!$B53,List!$E$2:$E$173,0),MATCH('Selection Pane Data'!AS$3,List!$E$2:$CD$2,0)),"")</f>
        <v/>
      </c>
      <c r="AT53" s="13" t="str">
        <f>IF(AT$4="Yes",INDEX(List!$E$2:$CD$173,MATCH('Selection Pane Data'!$B53,List!$E$2:$E$173,0),MATCH('Selection Pane Data'!AT$3,List!$E$2:$CD$2,0)),"")</f>
        <v/>
      </c>
      <c r="AU53" s="13" t="str">
        <f>IF(AU$4="Yes",INDEX(List!$E$2:$CD$173,MATCH('Selection Pane Data'!$B53,List!$E$2:$E$173,0),MATCH('Selection Pane Data'!AU$3,List!$E$2:$CD$2,0)),"")</f>
        <v/>
      </c>
      <c r="AV53" s="13" t="str">
        <f>IF(AV$4="Yes",INDEX(List!$E$2:$CD$173,MATCH('Selection Pane Data'!$B53,List!$E$2:$E$173,0),MATCH('Selection Pane Data'!AV$3,List!$E$2:$CD$2,0)),"")</f>
        <v/>
      </c>
      <c r="AW53" s="13" t="str">
        <f>IF(AW$4="Yes",INDEX(List!$E$2:$CD$173,MATCH('Selection Pane Data'!$B53,List!$E$2:$E$173,0),MATCH('Selection Pane Data'!AW$3,List!$E$2:$CD$2,0)),"")</f>
        <v/>
      </c>
      <c r="AX53" s="13" t="str">
        <f>IF(AX$4="Yes",INDEX(List!$E$2:$CD$173,MATCH('Selection Pane Data'!$B53,List!$E$2:$E$173,0),MATCH('Selection Pane Data'!AX$3,List!$E$2:$CD$2,0)),"")</f>
        <v/>
      </c>
      <c r="AY53" s="13" t="str">
        <f>IF(AY$4="Yes",INDEX(List!$E$2:$CD$173,MATCH('Selection Pane Data'!$B53,List!$E$2:$E$173,0),MATCH('Selection Pane Data'!AY$3,List!$E$2:$CD$2,0)),"")</f>
        <v/>
      </c>
      <c r="AZ53" s="13" t="str">
        <f>IF(AZ$4="Yes",INDEX(List!$E$2:$CD$173,MATCH('Selection Pane Data'!$B53,List!$E$2:$E$173,0),MATCH('Selection Pane Data'!AZ$3,List!$E$2:$CD$2,0)),"")</f>
        <v/>
      </c>
      <c r="BA53" s="13" t="str">
        <f>IF(BA$4="Yes",INDEX(List!$E$2:$CD$173,MATCH('Selection Pane Data'!$B53,List!$E$2:$E$173,0),MATCH('Selection Pane Data'!BA$3,List!$E$2:$CD$2,0)),"")</f>
        <v/>
      </c>
      <c r="BB53" s="13" t="str">
        <f>IF(BB$4="Yes",INDEX(List!$E$2:$CD$173,MATCH('Selection Pane Data'!$B53,List!$E$2:$E$173,0),MATCH('Selection Pane Data'!BB$3,List!$E$2:$CD$2,0)),"")</f>
        <v/>
      </c>
      <c r="BC53" s="13" t="str">
        <f>IF(BC$4="Yes",INDEX(List!$E$2:$CD$173,MATCH('Selection Pane Data'!$B53,List!$E$2:$E$173,0),MATCH('Selection Pane Data'!BC$3,List!$E$2:$CD$2,0)),"")</f>
        <v/>
      </c>
      <c r="BD53" s="13" t="str">
        <f>IF(BD$4="Yes",INDEX(List!$E$2:$CD$173,MATCH('Selection Pane Data'!$B53,List!$E$2:$E$173,0),MATCH('Selection Pane Data'!BD$3,List!$E$2:$CD$2,0)),"")</f>
        <v/>
      </c>
      <c r="BE53" s="13" t="str">
        <f>IF(BE$4="Yes",INDEX(List!$E$2:$CD$173,MATCH('Selection Pane Data'!$B53,List!$E$2:$E$173,0),MATCH('Selection Pane Data'!BE$3,List!$E$2:$CD$2,0)),"")</f>
        <v/>
      </c>
      <c r="BF53" s="13" t="str">
        <f>IF(BF$4="Yes",INDEX(List!$E$2:$CD$173,MATCH('Selection Pane Data'!$B53,List!$E$2:$E$173,0),MATCH('Selection Pane Data'!BF$3,List!$E$2:$CD$2,0)),"")</f>
        <v/>
      </c>
      <c r="BG53" s="13" t="str">
        <f>IF(BG$4="Yes",INDEX(List!$E$2:$CD$173,MATCH('Selection Pane Data'!$B53,List!$E$2:$E$173,0),MATCH('Selection Pane Data'!BG$3,List!$E$2:$CD$2,0)),"")</f>
        <v/>
      </c>
      <c r="BH53" s="13" t="str">
        <f>IF(BH$4="Yes",INDEX(List!$E$2:$CD$173,MATCH('Selection Pane Data'!$B53,List!$E$2:$E$173,0),MATCH('Selection Pane Data'!BH$3,List!$E$2:$CD$2,0)),"")</f>
        <v/>
      </c>
      <c r="BI53" s="13" t="str">
        <f>IF(BI$4="Yes",INDEX(List!$E$2:$CD$173,MATCH('Selection Pane Data'!$B53,List!$E$2:$E$173,0),MATCH('Selection Pane Data'!BI$3,List!$E$2:$CD$2,0)),"")</f>
        <v/>
      </c>
      <c r="BJ53" s="13" t="str">
        <f>IF(BJ$4="Yes",INDEX(List!$E$2:$CD$173,MATCH('Selection Pane Data'!$B53,List!$E$2:$E$173,0),MATCH('Selection Pane Data'!BJ$3,List!$E$2:$CD$2,0)),"")</f>
        <v/>
      </c>
      <c r="BK53" s="13" t="str">
        <f>IF(BK$4="Yes",INDEX(List!$E$2:$CD$173,MATCH('Selection Pane Data'!$B53,List!$E$2:$E$173,0),MATCH('Selection Pane Data'!BK$3,List!$E$2:$CD$2,0)),"")</f>
        <v/>
      </c>
      <c r="BL53" s="13" t="str">
        <f>IF(BL$4="Yes",INDEX(List!$E$2:$CD$173,MATCH('Selection Pane Data'!$B53,List!$E$2:$E$173,0),MATCH('Selection Pane Data'!BL$3,List!$E$2:$CD$2,0)),"")</f>
        <v/>
      </c>
      <c r="BM53" s="13" t="str">
        <f>IF(BM$4="Yes",INDEX(List!$E$2:$CD$173,MATCH('Selection Pane Data'!$B53,List!$E$2:$E$173,0),MATCH('Selection Pane Data'!BM$3,List!$E$2:$CD$2,0)),"")</f>
        <v/>
      </c>
      <c r="BN53" s="13" t="str">
        <f>IF(BN$4="Yes",INDEX(List!$E$2:$CD$173,MATCH('Selection Pane Data'!$B53,List!$E$2:$E$173,0),MATCH('Selection Pane Data'!BN$3,List!$E$2:$CD$2,0)),"")</f>
        <v/>
      </c>
      <c r="BO53" s="13" t="str">
        <f>IF(BO$4="Yes",INDEX(List!$E$2:$CD$173,MATCH('Selection Pane Data'!$B53,List!$E$2:$E$173,0),MATCH('Selection Pane Data'!BO$3,List!$E$2:$CD$2,0)),"")</f>
        <v/>
      </c>
      <c r="BP53" s="13" t="str">
        <f>IF(BP$4="Yes",INDEX(List!$E$2:$CD$173,MATCH('Selection Pane Data'!$B53,List!$E$2:$E$173,0),MATCH('Selection Pane Data'!BP$3,List!$E$2:$CD$2,0)),"")</f>
        <v/>
      </c>
      <c r="BQ53" s="13" t="str">
        <f>IF(BQ$4="Yes",INDEX(List!$E$2:$CD$173,MATCH('Selection Pane Data'!$B53,List!$E$2:$E$173,0),MATCH('Selection Pane Data'!BQ$3,List!$E$2:$CD$2,0)),"")</f>
        <v/>
      </c>
      <c r="BR53" s="13" t="str">
        <f>IF(BR$4="Yes",INDEX(List!$E$2:$CD$173,MATCH('Selection Pane Data'!$B53,List!$E$2:$E$173,0),MATCH('Selection Pane Data'!BR$3,List!$E$2:$CD$2,0)),"")</f>
        <v/>
      </c>
      <c r="BS53" s="13" t="str">
        <f>IF(BS$4="Yes",INDEX(List!$E$2:$CD$173,MATCH('Selection Pane Data'!$B53,List!$E$2:$E$173,0),MATCH('Selection Pane Data'!BS$3,List!$E$2:$CD$2,0)),"")</f>
        <v/>
      </c>
      <c r="BT53" s="13" t="str">
        <f>IF(BT$4="Yes",INDEX(List!$E$2:$CD$173,MATCH('Selection Pane Data'!$B53,List!$E$2:$E$173,0),MATCH('Selection Pane Data'!BT$3,List!$E$2:$CD$2,0)),"")</f>
        <v/>
      </c>
      <c r="BU53" s="13" t="str">
        <f>IF(BU$4="Yes",INDEX(List!$E$2:$CD$173,MATCH('Selection Pane Data'!$B53,List!$E$2:$E$173,0),MATCH('Selection Pane Data'!BU$3,List!$E$2:$CD$2,0)),"")</f>
        <v/>
      </c>
      <c r="BV53" s="13" t="str">
        <f>IF(BV$4="Yes",INDEX(List!$E$2:$CD$173,MATCH('Selection Pane Data'!$B53,List!$E$2:$E$173,0),MATCH('Selection Pane Data'!BV$3,List!$E$2:$CD$2,0)),"")</f>
        <v/>
      </c>
      <c r="BW53" s="13" t="str">
        <f>IF(BW$4="Yes",INDEX(List!$E$2:$CD$173,MATCH('Selection Pane Data'!$B53,List!$E$2:$E$173,0),MATCH('Selection Pane Data'!BW$3,List!$E$2:$CD$2,0)),"")</f>
        <v/>
      </c>
      <c r="BX53" s="13" t="str">
        <f>IF(BX$4="Yes",INDEX(List!$E$2:$CD$173,MATCH('Selection Pane Data'!$B53,List!$E$2:$E$173,0),MATCH('Selection Pane Data'!BX$3,List!$E$2:$CD$2,0)),"")</f>
        <v/>
      </c>
      <c r="BY53" s="13" t="str">
        <f>IF(BY$4="Yes",INDEX(List!$E$2:$CD$173,MATCH('Selection Pane Data'!$B53,List!$E$2:$E$173,0),MATCH('Selection Pane Data'!BY$3,List!$E$2:$CD$2,0)),"")</f>
        <v/>
      </c>
      <c r="BZ53" s="13" t="str">
        <f>IF(BZ$4="Yes",INDEX(List!$E$2:$CD$173,MATCH('Selection Pane Data'!$B53,List!$E$2:$E$173,0),MATCH('Selection Pane Data'!BZ$3,List!$E$2:$CD$2,0)),"")</f>
        <v/>
      </c>
      <c r="CA53" s="13" t="str">
        <f>IF(CA$4="Yes",INDEX(List!$E$2:$CD$173,MATCH('Selection Pane Data'!$B53,List!$E$2:$E$173,0),MATCH('Selection Pane Data'!CA$3,List!$E$2:$CD$2,0)),"")</f>
        <v/>
      </c>
      <c r="CB53" s="13" t="str">
        <f>IF(CB$4="Yes",INDEX(List!$E$2:$CD$173,MATCH('Selection Pane Data'!$B53,List!$E$2:$E$173,0),MATCH('Selection Pane Data'!CB$3,List!$E$2:$CD$2,0)),"")</f>
        <v/>
      </c>
      <c r="CC53" s="13" t="str">
        <f>IF(CC$4="Yes",INDEX(List!$E$2:$CD$173,MATCH('Selection Pane Data'!$B53,List!$E$2:$E$173,0),MATCH('Selection Pane Data'!CC$3,List!$E$2:$CD$2,0)),"")</f>
        <v/>
      </c>
      <c r="CD53" s="13" t="str">
        <f>IF(CD$4="Yes",INDEX(List!$E$2:$CD$173,MATCH('Selection Pane Data'!$B53,List!$E$2:$E$173,0),MATCH('Selection Pane Data'!CD$3,List!$E$2:$CD$2,0)),"")</f>
        <v/>
      </c>
      <c r="CE53" s="13" t="str">
        <f>IF(CE$4="Yes",INDEX(List!$E$2:$CD$173,MATCH('Selection Pane Data'!$B53,List!$E$2:$E$173,0),MATCH('Selection Pane Data'!CE$3,List!$E$2:$CD$2,0)),"")</f>
        <v/>
      </c>
    </row>
    <row r="54" spans="2:83" x14ac:dyDescent="0.35">
      <c r="B54" s="21" t="s">
        <v>341</v>
      </c>
      <c r="C54" s="126" t="str">
        <f>VLOOKUP(B54,List!$E$2:$G$173,2,FALSE)</f>
        <v>CA.L2-3.12.2</v>
      </c>
      <c r="D54" s="31" t="str">
        <f>List!G52</f>
        <v>Shared Coverage</v>
      </c>
      <c r="E54" s="31" t="str">
        <f>IF(Placemat!$F$4="All Practices","All Practices",IF(VLOOKUP(B54,Table7[#All],6,FALSE)="No Mapping","New CMMC Practices","Practices with NIST 800-171 Mappings"))</f>
        <v>Practices with NIST 800-171 Mappings</v>
      </c>
      <c r="F54" t="str">
        <f>INDEX('CMMC Levels'!$A$1:$F$172,MATCH('Selection Pane Data'!$C54,'CMMC Levels'!$A$1:$A$172,0),MATCH(Placemat!$F$4,'CMMC Levels'!$A$1:$F$1,0))</f>
        <v>X</v>
      </c>
      <c r="G54" s="77" t="str">
        <f>IF((COUNTIF(List!H52:CE52,"P")+COUNTIF(List!H52:CE52,"S"))=0,"N",IF(COUNTIF(H54:CE54,"P"),"P",IF(COUNTIF(H54:CE54,"S"),"S","U")))</f>
        <v>U</v>
      </c>
      <c r="H54" s="13" t="str">
        <f>IF(H$4="Yes",INDEX(List!$E$2:$CD$173,MATCH('Selection Pane Data'!$B54,List!$E$2:$E$173,0),MATCH('Selection Pane Data'!H$3,List!$E$2:$CD$2,0)),"")</f>
        <v/>
      </c>
      <c r="I54" s="13" t="str">
        <f>IF(I$4="Yes",INDEX(List!$E$2:$CD$173,MATCH('Selection Pane Data'!$B54,List!$E$2:$E$173,0),MATCH('Selection Pane Data'!I$3,List!$E$2:$CD$2,0)),"")</f>
        <v/>
      </c>
      <c r="J54" s="13" t="str">
        <f>IF(J$4="Yes",INDEX(List!$E$2:$CD$173,MATCH('Selection Pane Data'!$B54,List!$E$2:$E$173,0),MATCH('Selection Pane Data'!J$3,List!$E$2:$CD$2,0)),"")</f>
        <v>N</v>
      </c>
      <c r="K54" s="13" t="str">
        <f>IF(K$4="Yes",INDEX(List!$E$2:$CD$173,MATCH('Selection Pane Data'!$B54,List!$E$2:$E$173,0),MATCH('Selection Pane Data'!K$3,List!$E$2:$CD$2,0)),"")</f>
        <v/>
      </c>
      <c r="L54" s="13" t="str">
        <f>IF(L$4="Yes",INDEX(List!$E$2:$CD$173,MATCH('Selection Pane Data'!$B54,List!$E$2:$E$173,0),MATCH('Selection Pane Data'!L$3,List!$E$2:$CD$2,0)),"")</f>
        <v/>
      </c>
      <c r="M54" s="13" t="str">
        <f>IF(M$4="Yes",INDEX(List!$E$2:$CD$173,MATCH('Selection Pane Data'!$B54,List!$E$2:$E$173,0),MATCH('Selection Pane Data'!M$3,List!$E$2:$CD$2,0)),"")</f>
        <v/>
      </c>
      <c r="N54" s="13" t="str">
        <f>IF(N$4="Yes",INDEX(List!$E$2:$CD$173,MATCH('Selection Pane Data'!$B54,List!$E$2:$E$173,0),MATCH('Selection Pane Data'!N$3,List!$E$2:$CD$2,0)),"")</f>
        <v/>
      </c>
      <c r="O54" s="13" t="str">
        <f>IF(O$4="Yes",INDEX(List!$E$2:$CD$173,MATCH('Selection Pane Data'!$B54,List!$E$2:$E$173,0),MATCH('Selection Pane Data'!O$3,List!$E$2:$CD$2,0)),"")</f>
        <v/>
      </c>
      <c r="P54" s="13" t="str">
        <f>IF(P$4="Yes",INDEX(List!$E$2:$CD$173,MATCH('Selection Pane Data'!$B54,List!$E$2:$E$173,0),MATCH('Selection Pane Data'!P$3,List!$E$2:$CD$2,0)),"")</f>
        <v/>
      </c>
      <c r="Q54" s="13" t="str">
        <f>IF(Q$4="Yes",INDEX(List!$E$2:$CD$173,MATCH('Selection Pane Data'!$B54,List!$E$2:$E$173,0),MATCH('Selection Pane Data'!Q$3,List!$E$2:$CD$2,0)),"")</f>
        <v/>
      </c>
      <c r="R54" s="13" t="str">
        <f>IF(R$4="Yes",INDEX(List!$E$2:$CD$173,MATCH('Selection Pane Data'!$B54,List!$E$2:$E$173,0),MATCH('Selection Pane Data'!R$3,List!$E$2:$CD$2,0)),"")</f>
        <v/>
      </c>
      <c r="S54" s="13" t="str">
        <f>IF(S$4="Yes",INDEX(List!$E$2:$CD$173,MATCH('Selection Pane Data'!$B54,List!$E$2:$E$173,0),MATCH('Selection Pane Data'!S$3,List!$E$2:$CD$2,0)),"")</f>
        <v/>
      </c>
      <c r="T54" s="13" t="str">
        <f>IF(T$4="Yes",INDEX(List!$E$2:$CD$173,MATCH('Selection Pane Data'!$B54,List!$E$2:$E$173,0),MATCH('Selection Pane Data'!T$3,List!$E$2:$CD$2,0)),"")</f>
        <v/>
      </c>
      <c r="U54" s="13" t="str">
        <f>IF(U$4="Yes",INDEX(List!$E$2:$CD$173,MATCH('Selection Pane Data'!$B54,List!$E$2:$E$173,0),MATCH('Selection Pane Data'!U$3,List!$E$2:$CD$2,0)),"")</f>
        <v/>
      </c>
      <c r="V54" s="13" t="str">
        <f>IF(V$4="Yes",INDEX(List!$E$2:$CD$173,MATCH('Selection Pane Data'!$B54,List!$E$2:$E$173,0),MATCH('Selection Pane Data'!V$3,List!$E$2:$CD$2,0)),"")</f>
        <v/>
      </c>
      <c r="W54" s="13" t="str">
        <f>IF(W$4="Yes",INDEX(List!$E$2:$CD$173,MATCH('Selection Pane Data'!$B54,List!$E$2:$E$173,0),MATCH('Selection Pane Data'!W$3,List!$E$2:$CD$2,0)),"")</f>
        <v/>
      </c>
      <c r="X54" s="13" t="str">
        <f>IF(X$4="Yes",INDEX(List!$E$2:$CD$173,MATCH('Selection Pane Data'!$B54,List!$E$2:$E$173,0),MATCH('Selection Pane Data'!X$3,List!$E$2:$CD$2,0)),"")</f>
        <v/>
      </c>
      <c r="Y54" s="13" t="str">
        <f>IF(Y$4="Yes",INDEX(List!$E$2:$CD$173,MATCH('Selection Pane Data'!$B54,List!$E$2:$E$173,0),MATCH('Selection Pane Data'!Y$3,List!$E$2:$CD$2,0)),"")</f>
        <v/>
      </c>
      <c r="Z54" s="13" t="str">
        <f>IF(Z$4="Yes",INDEX(List!$E$2:$CD$173,MATCH('Selection Pane Data'!$B54,List!$E$2:$E$173,0),MATCH('Selection Pane Data'!Z$3,List!$E$2:$CD$2,0)),"")</f>
        <v/>
      </c>
      <c r="AA54" s="13" t="str">
        <f>IF(AA$4="Yes",INDEX(List!$E$2:$CD$173,MATCH('Selection Pane Data'!$B54,List!$E$2:$E$173,0),MATCH('Selection Pane Data'!AA$3,List!$E$2:$CD$2,0)),"")</f>
        <v>N</v>
      </c>
      <c r="AB54" s="13" t="str">
        <f>IF(AB$4="Yes",INDEX(List!$E$2:$CD$173,MATCH('Selection Pane Data'!$B54,List!$E$2:$E$173,0),MATCH('Selection Pane Data'!AB$3,List!$E$2:$CD$2,0)),"")</f>
        <v/>
      </c>
      <c r="AC54" s="13" t="str">
        <f>IF(AC$4="Yes",INDEX(List!$E$2:$CD$173,MATCH('Selection Pane Data'!$B54,List!$E$2:$E$173,0),MATCH('Selection Pane Data'!AC$3,List!$E$2:$CD$2,0)),"")</f>
        <v/>
      </c>
      <c r="AD54" s="13" t="str">
        <f>IF(AD$4="Yes",INDEX(List!$E$2:$CD$173,MATCH('Selection Pane Data'!$B54,List!$E$2:$E$173,0),MATCH('Selection Pane Data'!AD$3,List!$E$2:$CD$2,0)),"")</f>
        <v/>
      </c>
      <c r="AE54" s="13" t="str">
        <f>IF(AE$4="Yes",INDEX(List!$E$2:$CD$173,MATCH('Selection Pane Data'!$B54,List!$E$2:$E$173,0),MATCH('Selection Pane Data'!AE$3,List!$E$2:$CD$2,0)),"")</f>
        <v/>
      </c>
      <c r="AF54" s="13" t="str">
        <f>IF(AF$4="Yes",INDEX(List!$E$2:$CD$173,MATCH('Selection Pane Data'!$B54,List!$E$2:$E$173,0),MATCH('Selection Pane Data'!AF$3,List!$E$2:$CD$2,0)),"")</f>
        <v/>
      </c>
      <c r="AG54" s="13" t="str">
        <f>IF(AG$4="Yes",INDEX(List!$E$2:$CD$173,MATCH('Selection Pane Data'!$B54,List!$E$2:$E$173,0),MATCH('Selection Pane Data'!AG$3,List!$E$2:$CD$2,0)),"")</f>
        <v/>
      </c>
      <c r="AH54" s="13" t="str">
        <f>IF(AH$4="Yes",INDEX(List!$E$2:$CD$173,MATCH('Selection Pane Data'!$B54,List!$E$2:$E$173,0),MATCH('Selection Pane Data'!AH$3,List!$E$2:$CD$2,0)),"")</f>
        <v/>
      </c>
      <c r="AI54" s="13" t="str">
        <f>IF(AI$4="Yes",INDEX(List!$E$2:$CD$173,MATCH('Selection Pane Data'!$B54,List!$E$2:$E$173,0),MATCH('Selection Pane Data'!AI$3,List!$E$2:$CD$2,0)),"")</f>
        <v/>
      </c>
      <c r="AJ54" s="13" t="str">
        <f>IF(AJ$4="Yes",INDEX(List!$E$2:$CD$173,MATCH('Selection Pane Data'!$B54,List!$E$2:$E$173,0),MATCH('Selection Pane Data'!AJ$3,List!$E$2:$CD$2,0)),"")</f>
        <v/>
      </c>
      <c r="AK54" s="13" t="str">
        <f>IF(AK$4="Yes",INDEX(List!$E$2:$CD$173,MATCH('Selection Pane Data'!$B54,List!$E$2:$E$173,0),MATCH('Selection Pane Data'!AK$3,List!$E$2:$CD$2,0)),"")</f>
        <v/>
      </c>
      <c r="AL54" s="13" t="str">
        <f>IF(AL$4="Yes",INDEX(List!$E$2:$CD$173,MATCH('Selection Pane Data'!$B54,List!$E$2:$E$173,0),MATCH('Selection Pane Data'!AL$3,List!$E$2:$CD$2,0)),"")</f>
        <v/>
      </c>
      <c r="AM54" s="13" t="str">
        <f>IF(AM$4="Yes",INDEX(List!$E$2:$CD$173,MATCH('Selection Pane Data'!$B54,List!$E$2:$E$173,0),MATCH('Selection Pane Data'!AM$3,List!$E$2:$CD$2,0)),"")</f>
        <v/>
      </c>
      <c r="AN54" s="13" t="str">
        <f>IF(AN$4="Yes",INDEX(List!$E$2:$CD$173,MATCH('Selection Pane Data'!$B54,List!$E$2:$E$173,0),MATCH('Selection Pane Data'!AN$3,List!$E$2:$CD$2,0)),"")</f>
        <v/>
      </c>
      <c r="AO54" s="13" t="str">
        <f>IF(AO$4="Yes",INDEX(List!$E$2:$CD$173,MATCH('Selection Pane Data'!$B54,List!$E$2:$E$173,0),MATCH('Selection Pane Data'!AO$3,List!$E$2:$CD$2,0)),"")</f>
        <v/>
      </c>
      <c r="AP54" s="13" t="str">
        <f>IF(AP$4="Yes",INDEX(List!$E$2:$CD$173,MATCH('Selection Pane Data'!$B54,List!$E$2:$E$173,0),MATCH('Selection Pane Data'!AP$3,List!$E$2:$CD$2,0)),"")</f>
        <v/>
      </c>
      <c r="AQ54" s="13" t="str">
        <f>IF(AQ$4="Yes",INDEX(List!$E$2:$CD$173,MATCH('Selection Pane Data'!$B54,List!$E$2:$E$173,0),MATCH('Selection Pane Data'!AQ$3,List!$E$2:$CD$2,0)),"")</f>
        <v/>
      </c>
      <c r="AR54" s="13" t="str">
        <f>IF(AR$4="Yes",INDEX(List!$E$2:$CD$173,MATCH('Selection Pane Data'!$B54,List!$E$2:$E$173,0),MATCH('Selection Pane Data'!AR$3,List!$E$2:$CD$2,0)),"")</f>
        <v/>
      </c>
      <c r="AS54" s="13" t="str">
        <f>IF(AS$4="Yes",INDEX(List!$E$2:$CD$173,MATCH('Selection Pane Data'!$B54,List!$E$2:$E$173,0),MATCH('Selection Pane Data'!AS$3,List!$E$2:$CD$2,0)),"")</f>
        <v/>
      </c>
      <c r="AT54" s="13" t="str">
        <f>IF(AT$4="Yes",INDEX(List!$E$2:$CD$173,MATCH('Selection Pane Data'!$B54,List!$E$2:$E$173,0),MATCH('Selection Pane Data'!AT$3,List!$E$2:$CD$2,0)),"")</f>
        <v/>
      </c>
      <c r="AU54" s="13" t="str">
        <f>IF(AU$4="Yes",INDEX(List!$E$2:$CD$173,MATCH('Selection Pane Data'!$B54,List!$E$2:$E$173,0),MATCH('Selection Pane Data'!AU$3,List!$E$2:$CD$2,0)),"")</f>
        <v/>
      </c>
      <c r="AV54" s="13" t="str">
        <f>IF(AV$4="Yes",INDEX(List!$E$2:$CD$173,MATCH('Selection Pane Data'!$B54,List!$E$2:$E$173,0),MATCH('Selection Pane Data'!AV$3,List!$E$2:$CD$2,0)),"")</f>
        <v/>
      </c>
      <c r="AW54" s="13" t="str">
        <f>IF(AW$4="Yes",INDEX(List!$E$2:$CD$173,MATCH('Selection Pane Data'!$B54,List!$E$2:$E$173,0),MATCH('Selection Pane Data'!AW$3,List!$E$2:$CD$2,0)),"")</f>
        <v/>
      </c>
      <c r="AX54" s="13" t="str">
        <f>IF(AX$4="Yes",INDEX(List!$E$2:$CD$173,MATCH('Selection Pane Data'!$B54,List!$E$2:$E$173,0),MATCH('Selection Pane Data'!AX$3,List!$E$2:$CD$2,0)),"")</f>
        <v/>
      </c>
      <c r="AY54" s="13" t="str">
        <f>IF(AY$4="Yes",INDEX(List!$E$2:$CD$173,MATCH('Selection Pane Data'!$B54,List!$E$2:$E$173,0),MATCH('Selection Pane Data'!AY$3,List!$E$2:$CD$2,0)),"")</f>
        <v/>
      </c>
      <c r="AZ54" s="13" t="str">
        <f>IF(AZ$4="Yes",INDEX(List!$E$2:$CD$173,MATCH('Selection Pane Data'!$B54,List!$E$2:$E$173,0),MATCH('Selection Pane Data'!AZ$3,List!$E$2:$CD$2,0)),"")</f>
        <v/>
      </c>
      <c r="BA54" s="13" t="str">
        <f>IF(BA$4="Yes",INDEX(List!$E$2:$CD$173,MATCH('Selection Pane Data'!$B54,List!$E$2:$E$173,0),MATCH('Selection Pane Data'!BA$3,List!$E$2:$CD$2,0)),"")</f>
        <v/>
      </c>
      <c r="BB54" s="13" t="str">
        <f>IF(BB$4="Yes",INDEX(List!$E$2:$CD$173,MATCH('Selection Pane Data'!$B54,List!$E$2:$E$173,0),MATCH('Selection Pane Data'!BB$3,List!$E$2:$CD$2,0)),"")</f>
        <v/>
      </c>
      <c r="BC54" s="13" t="str">
        <f>IF(BC$4="Yes",INDEX(List!$E$2:$CD$173,MATCH('Selection Pane Data'!$B54,List!$E$2:$E$173,0),MATCH('Selection Pane Data'!BC$3,List!$E$2:$CD$2,0)),"")</f>
        <v/>
      </c>
      <c r="BD54" s="13" t="str">
        <f>IF(BD$4="Yes",INDEX(List!$E$2:$CD$173,MATCH('Selection Pane Data'!$B54,List!$E$2:$E$173,0),MATCH('Selection Pane Data'!BD$3,List!$E$2:$CD$2,0)),"")</f>
        <v/>
      </c>
      <c r="BE54" s="13" t="str">
        <f>IF(BE$4="Yes",INDEX(List!$E$2:$CD$173,MATCH('Selection Pane Data'!$B54,List!$E$2:$E$173,0),MATCH('Selection Pane Data'!BE$3,List!$E$2:$CD$2,0)),"")</f>
        <v/>
      </c>
      <c r="BF54" s="13" t="str">
        <f>IF(BF$4="Yes",INDEX(List!$E$2:$CD$173,MATCH('Selection Pane Data'!$B54,List!$E$2:$E$173,0),MATCH('Selection Pane Data'!BF$3,List!$E$2:$CD$2,0)),"")</f>
        <v/>
      </c>
      <c r="BG54" s="13" t="str">
        <f>IF(BG$4="Yes",INDEX(List!$E$2:$CD$173,MATCH('Selection Pane Data'!$B54,List!$E$2:$E$173,0),MATCH('Selection Pane Data'!BG$3,List!$E$2:$CD$2,0)),"")</f>
        <v/>
      </c>
      <c r="BH54" s="13" t="str">
        <f>IF(BH$4="Yes",INDEX(List!$E$2:$CD$173,MATCH('Selection Pane Data'!$B54,List!$E$2:$E$173,0),MATCH('Selection Pane Data'!BH$3,List!$E$2:$CD$2,0)),"")</f>
        <v/>
      </c>
      <c r="BI54" s="13" t="str">
        <f>IF(BI$4="Yes",INDEX(List!$E$2:$CD$173,MATCH('Selection Pane Data'!$B54,List!$E$2:$E$173,0),MATCH('Selection Pane Data'!BI$3,List!$E$2:$CD$2,0)),"")</f>
        <v/>
      </c>
      <c r="BJ54" s="13" t="str">
        <f>IF(BJ$4="Yes",INDEX(List!$E$2:$CD$173,MATCH('Selection Pane Data'!$B54,List!$E$2:$E$173,0),MATCH('Selection Pane Data'!BJ$3,List!$E$2:$CD$2,0)),"")</f>
        <v/>
      </c>
      <c r="BK54" s="13" t="str">
        <f>IF(BK$4="Yes",INDEX(List!$E$2:$CD$173,MATCH('Selection Pane Data'!$B54,List!$E$2:$E$173,0),MATCH('Selection Pane Data'!BK$3,List!$E$2:$CD$2,0)),"")</f>
        <v/>
      </c>
      <c r="BL54" s="13" t="str">
        <f>IF(BL$4="Yes",INDEX(List!$E$2:$CD$173,MATCH('Selection Pane Data'!$B54,List!$E$2:$E$173,0),MATCH('Selection Pane Data'!BL$3,List!$E$2:$CD$2,0)),"")</f>
        <v/>
      </c>
      <c r="BM54" s="13" t="str">
        <f>IF(BM$4="Yes",INDEX(List!$E$2:$CD$173,MATCH('Selection Pane Data'!$B54,List!$E$2:$E$173,0),MATCH('Selection Pane Data'!BM$3,List!$E$2:$CD$2,0)),"")</f>
        <v/>
      </c>
      <c r="BN54" s="13" t="str">
        <f>IF(BN$4="Yes",INDEX(List!$E$2:$CD$173,MATCH('Selection Pane Data'!$B54,List!$E$2:$E$173,0),MATCH('Selection Pane Data'!BN$3,List!$E$2:$CD$2,0)),"")</f>
        <v/>
      </c>
      <c r="BO54" s="13" t="str">
        <f>IF(BO$4="Yes",INDEX(List!$E$2:$CD$173,MATCH('Selection Pane Data'!$B54,List!$E$2:$E$173,0),MATCH('Selection Pane Data'!BO$3,List!$E$2:$CD$2,0)),"")</f>
        <v/>
      </c>
      <c r="BP54" s="13" t="str">
        <f>IF(BP$4="Yes",INDEX(List!$E$2:$CD$173,MATCH('Selection Pane Data'!$B54,List!$E$2:$E$173,0),MATCH('Selection Pane Data'!BP$3,List!$E$2:$CD$2,0)),"")</f>
        <v/>
      </c>
      <c r="BQ54" s="13" t="str">
        <f>IF(BQ$4="Yes",INDEX(List!$E$2:$CD$173,MATCH('Selection Pane Data'!$B54,List!$E$2:$E$173,0),MATCH('Selection Pane Data'!BQ$3,List!$E$2:$CD$2,0)),"")</f>
        <v/>
      </c>
      <c r="BR54" s="13" t="str">
        <f>IF(BR$4="Yes",INDEX(List!$E$2:$CD$173,MATCH('Selection Pane Data'!$B54,List!$E$2:$E$173,0),MATCH('Selection Pane Data'!BR$3,List!$E$2:$CD$2,0)),"")</f>
        <v/>
      </c>
      <c r="BS54" s="13" t="str">
        <f>IF(BS$4="Yes",INDEX(List!$E$2:$CD$173,MATCH('Selection Pane Data'!$B54,List!$E$2:$E$173,0),MATCH('Selection Pane Data'!BS$3,List!$E$2:$CD$2,0)),"")</f>
        <v/>
      </c>
      <c r="BT54" s="13" t="str">
        <f>IF(BT$4="Yes",INDEX(List!$E$2:$CD$173,MATCH('Selection Pane Data'!$B54,List!$E$2:$E$173,0),MATCH('Selection Pane Data'!BT$3,List!$E$2:$CD$2,0)),"")</f>
        <v/>
      </c>
      <c r="BU54" s="13" t="str">
        <f>IF(BU$4="Yes",INDEX(List!$E$2:$CD$173,MATCH('Selection Pane Data'!$B54,List!$E$2:$E$173,0),MATCH('Selection Pane Data'!BU$3,List!$E$2:$CD$2,0)),"")</f>
        <v/>
      </c>
      <c r="BV54" s="13" t="str">
        <f>IF(BV$4="Yes",INDEX(List!$E$2:$CD$173,MATCH('Selection Pane Data'!$B54,List!$E$2:$E$173,0),MATCH('Selection Pane Data'!BV$3,List!$E$2:$CD$2,0)),"")</f>
        <v/>
      </c>
      <c r="BW54" s="13" t="str">
        <f>IF(BW$4="Yes",INDEX(List!$E$2:$CD$173,MATCH('Selection Pane Data'!$B54,List!$E$2:$E$173,0),MATCH('Selection Pane Data'!BW$3,List!$E$2:$CD$2,0)),"")</f>
        <v/>
      </c>
      <c r="BX54" s="13" t="str">
        <f>IF(BX$4="Yes",INDEX(List!$E$2:$CD$173,MATCH('Selection Pane Data'!$B54,List!$E$2:$E$173,0),MATCH('Selection Pane Data'!BX$3,List!$E$2:$CD$2,0)),"")</f>
        <v/>
      </c>
      <c r="BY54" s="13" t="str">
        <f>IF(BY$4="Yes",INDEX(List!$E$2:$CD$173,MATCH('Selection Pane Data'!$B54,List!$E$2:$E$173,0),MATCH('Selection Pane Data'!BY$3,List!$E$2:$CD$2,0)),"")</f>
        <v/>
      </c>
      <c r="BZ54" s="13" t="str">
        <f>IF(BZ$4="Yes",INDEX(List!$E$2:$CD$173,MATCH('Selection Pane Data'!$B54,List!$E$2:$E$173,0),MATCH('Selection Pane Data'!BZ$3,List!$E$2:$CD$2,0)),"")</f>
        <v/>
      </c>
      <c r="CA54" s="13" t="str">
        <f>IF(CA$4="Yes",INDEX(List!$E$2:$CD$173,MATCH('Selection Pane Data'!$B54,List!$E$2:$E$173,0),MATCH('Selection Pane Data'!CA$3,List!$E$2:$CD$2,0)),"")</f>
        <v/>
      </c>
      <c r="CB54" s="13" t="str">
        <f>IF(CB$4="Yes",INDEX(List!$E$2:$CD$173,MATCH('Selection Pane Data'!$B54,List!$E$2:$E$173,0),MATCH('Selection Pane Data'!CB$3,List!$E$2:$CD$2,0)),"")</f>
        <v/>
      </c>
      <c r="CC54" s="13" t="str">
        <f>IF(CC$4="Yes",INDEX(List!$E$2:$CD$173,MATCH('Selection Pane Data'!$B54,List!$E$2:$E$173,0),MATCH('Selection Pane Data'!CC$3,List!$E$2:$CD$2,0)),"")</f>
        <v/>
      </c>
      <c r="CD54" s="13" t="str">
        <f>IF(CD$4="Yes",INDEX(List!$E$2:$CD$173,MATCH('Selection Pane Data'!$B54,List!$E$2:$E$173,0),MATCH('Selection Pane Data'!CD$3,List!$E$2:$CD$2,0)),"")</f>
        <v/>
      </c>
      <c r="CE54" s="13" t="str">
        <f>IF(CE$4="Yes",INDEX(List!$E$2:$CD$173,MATCH('Selection Pane Data'!$B54,List!$E$2:$E$173,0),MATCH('Selection Pane Data'!CE$3,List!$E$2:$CD$2,0)),"")</f>
        <v/>
      </c>
    </row>
    <row r="55" spans="2:83" x14ac:dyDescent="0.35">
      <c r="B55" s="21" t="s">
        <v>342</v>
      </c>
      <c r="C55" s="126" t="str">
        <f>VLOOKUP(B55,List!$E$2:$G$173,2,FALSE)</f>
        <v>CA.L2-3.12.3</v>
      </c>
      <c r="D55" s="31" t="str">
        <f>List!G53</f>
        <v>Shared Coverage</v>
      </c>
      <c r="E55" s="31" t="str">
        <f>IF(Placemat!$F$4="All Practices","All Practices",IF(VLOOKUP(B55,Table7[#All],6,FALSE)="No Mapping","New CMMC Practices","Practices with NIST 800-171 Mappings"))</f>
        <v>Practices with NIST 800-171 Mappings</v>
      </c>
      <c r="F55" t="str">
        <f>INDEX('CMMC Levels'!$A$1:$F$172,MATCH('Selection Pane Data'!$C55,'CMMC Levels'!$A$1:$A$172,0),MATCH(Placemat!$F$4,'CMMC Levels'!$A$1:$F$1,0))</f>
        <v>X</v>
      </c>
      <c r="G55" s="77" t="str">
        <f>IF((COUNTIF(List!H53:CE53,"P")+COUNTIF(List!H53:CE53,"S"))=0,"N",IF(COUNTIF(H55:CE55,"P"),"P",IF(COUNTIF(H55:CE55,"S"),"S","U")))</f>
        <v>U</v>
      </c>
      <c r="H55" s="13" t="str">
        <f>IF(H$4="Yes",INDEX(List!$E$2:$CD$173,MATCH('Selection Pane Data'!$B55,List!$E$2:$E$173,0),MATCH('Selection Pane Data'!H$3,List!$E$2:$CD$2,0)),"")</f>
        <v/>
      </c>
      <c r="I55" s="13" t="str">
        <f>IF(I$4="Yes",INDEX(List!$E$2:$CD$173,MATCH('Selection Pane Data'!$B55,List!$E$2:$E$173,0),MATCH('Selection Pane Data'!I$3,List!$E$2:$CD$2,0)),"")</f>
        <v/>
      </c>
      <c r="J55" s="13" t="str">
        <f>IF(J$4="Yes",INDEX(List!$E$2:$CD$173,MATCH('Selection Pane Data'!$B55,List!$E$2:$E$173,0),MATCH('Selection Pane Data'!J$3,List!$E$2:$CD$2,0)),"")</f>
        <v>N</v>
      </c>
      <c r="K55" s="13" t="str">
        <f>IF(K$4="Yes",INDEX(List!$E$2:$CD$173,MATCH('Selection Pane Data'!$B55,List!$E$2:$E$173,0),MATCH('Selection Pane Data'!K$3,List!$E$2:$CD$2,0)),"")</f>
        <v/>
      </c>
      <c r="L55" s="13" t="str">
        <f>IF(L$4="Yes",INDEX(List!$E$2:$CD$173,MATCH('Selection Pane Data'!$B55,List!$E$2:$E$173,0),MATCH('Selection Pane Data'!L$3,List!$E$2:$CD$2,0)),"")</f>
        <v/>
      </c>
      <c r="M55" s="13" t="str">
        <f>IF(M$4="Yes",INDEX(List!$E$2:$CD$173,MATCH('Selection Pane Data'!$B55,List!$E$2:$E$173,0),MATCH('Selection Pane Data'!M$3,List!$E$2:$CD$2,0)),"")</f>
        <v/>
      </c>
      <c r="N55" s="13" t="str">
        <f>IF(N$4="Yes",INDEX(List!$E$2:$CD$173,MATCH('Selection Pane Data'!$B55,List!$E$2:$E$173,0),MATCH('Selection Pane Data'!N$3,List!$E$2:$CD$2,0)),"")</f>
        <v/>
      </c>
      <c r="O55" s="13" t="str">
        <f>IF(O$4="Yes",INDEX(List!$E$2:$CD$173,MATCH('Selection Pane Data'!$B55,List!$E$2:$E$173,0),MATCH('Selection Pane Data'!O$3,List!$E$2:$CD$2,0)),"")</f>
        <v/>
      </c>
      <c r="P55" s="13" t="str">
        <f>IF(P$4="Yes",INDEX(List!$E$2:$CD$173,MATCH('Selection Pane Data'!$B55,List!$E$2:$E$173,0),MATCH('Selection Pane Data'!P$3,List!$E$2:$CD$2,0)),"")</f>
        <v/>
      </c>
      <c r="Q55" s="13" t="str">
        <f>IF(Q$4="Yes",INDEX(List!$E$2:$CD$173,MATCH('Selection Pane Data'!$B55,List!$E$2:$E$173,0),MATCH('Selection Pane Data'!Q$3,List!$E$2:$CD$2,0)),"")</f>
        <v/>
      </c>
      <c r="R55" s="13" t="str">
        <f>IF(R$4="Yes",INDEX(List!$E$2:$CD$173,MATCH('Selection Pane Data'!$B55,List!$E$2:$E$173,0),MATCH('Selection Pane Data'!R$3,List!$E$2:$CD$2,0)),"")</f>
        <v/>
      </c>
      <c r="S55" s="13" t="str">
        <f>IF(S$4="Yes",INDEX(List!$E$2:$CD$173,MATCH('Selection Pane Data'!$B55,List!$E$2:$E$173,0),MATCH('Selection Pane Data'!S$3,List!$E$2:$CD$2,0)),"")</f>
        <v/>
      </c>
      <c r="T55" s="13" t="str">
        <f>IF(T$4="Yes",INDEX(List!$E$2:$CD$173,MATCH('Selection Pane Data'!$B55,List!$E$2:$E$173,0),MATCH('Selection Pane Data'!T$3,List!$E$2:$CD$2,0)),"")</f>
        <v/>
      </c>
      <c r="U55" s="13" t="str">
        <f>IF(U$4="Yes",INDEX(List!$E$2:$CD$173,MATCH('Selection Pane Data'!$B55,List!$E$2:$E$173,0),MATCH('Selection Pane Data'!U$3,List!$E$2:$CD$2,0)),"")</f>
        <v/>
      </c>
      <c r="V55" s="13" t="str">
        <f>IF(V$4="Yes",INDEX(List!$E$2:$CD$173,MATCH('Selection Pane Data'!$B55,List!$E$2:$E$173,0),MATCH('Selection Pane Data'!V$3,List!$E$2:$CD$2,0)),"")</f>
        <v/>
      </c>
      <c r="W55" s="13" t="str">
        <f>IF(W$4="Yes",INDEX(List!$E$2:$CD$173,MATCH('Selection Pane Data'!$B55,List!$E$2:$E$173,0),MATCH('Selection Pane Data'!W$3,List!$E$2:$CD$2,0)),"")</f>
        <v/>
      </c>
      <c r="X55" s="13" t="str">
        <f>IF(X$4="Yes",INDEX(List!$E$2:$CD$173,MATCH('Selection Pane Data'!$B55,List!$E$2:$E$173,0),MATCH('Selection Pane Data'!X$3,List!$E$2:$CD$2,0)),"")</f>
        <v/>
      </c>
      <c r="Y55" s="13" t="str">
        <f>IF(Y$4="Yes",INDEX(List!$E$2:$CD$173,MATCH('Selection Pane Data'!$B55,List!$E$2:$E$173,0),MATCH('Selection Pane Data'!Y$3,List!$E$2:$CD$2,0)),"")</f>
        <v/>
      </c>
      <c r="Z55" s="13" t="str">
        <f>IF(Z$4="Yes",INDEX(List!$E$2:$CD$173,MATCH('Selection Pane Data'!$B55,List!$E$2:$E$173,0),MATCH('Selection Pane Data'!Z$3,List!$E$2:$CD$2,0)),"")</f>
        <v/>
      </c>
      <c r="AA55" s="13" t="str">
        <f>IF(AA$4="Yes",INDEX(List!$E$2:$CD$173,MATCH('Selection Pane Data'!$B55,List!$E$2:$E$173,0),MATCH('Selection Pane Data'!AA$3,List!$E$2:$CD$2,0)),"")</f>
        <v>N</v>
      </c>
      <c r="AB55" s="13" t="str">
        <f>IF(AB$4="Yes",INDEX(List!$E$2:$CD$173,MATCH('Selection Pane Data'!$B55,List!$E$2:$E$173,0),MATCH('Selection Pane Data'!AB$3,List!$E$2:$CD$2,0)),"")</f>
        <v/>
      </c>
      <c r="AC55" s="13" t="str">
        <f>IF(AC$4="Yes",INDEX(List!$E$2:$CD$173,MATCH('Selection Pane Data'!$B55,List!$E$2:$E$173,0),MATCH('Selection Pane Data'!AC$3,List!$E$2:$CD$2,0)),"")</f>
        <v/>
      </c>
      <c r="AD55" s="13" t="str">
        <f>IF(AD$4="Yes",INDEX(List!$E$2:$CD$173,MATCH('Selection Pane Data'!$B55,List!$E$2:$E$173,0),MATCH('Selection Pane Data'!AD$3,List!$E$2:$CD$2,0)),"")</f>
        <v/>
      </c>
      <c r="AE55" s="13" t="str">
        <f>IF(AE$4="Yes",INDEX(List!$E$2:$CD$173,MATCH('Selection Pane Data'!$B55,List!$E$2:$E$173,0),MATCH('Selection Pane Data'!AE$3,List!$E$2:$CD$2,0)),"")</f>
        <v/>
      </c>
      <c r="AF55" s="13" t="str">
        <f>IF(AF$4="Yes",INDEX(List!$E$2:$CD$173,MATCH('Selection Pane Data'!$B55,List!$E$2:$E$173,0),MATCH('Selection Pane Data'!AF$3,List!$E$2:$CD$2,0)),"")</f>
        <v/>
      </c>
      <c r="AG55" s="13" t="str">
        <f>IF(AG$4="Yes",INDEX(List!$E$2:$CD$173,MATCH('Selection Pane Data'!$B55,List!$E$2:$E$173,0),MATCH('Selection Pane Data'!AG$3,List!$E$2:$CD$2,0)),"")</f>
        <v/>
      </c>
      <c r="AH55" s="13" t="str">
        <f>IF(AH$4="Yes",INDEX(List!$E$2:$CD$173,MATCH('Selection Pane Data'!$B55,List!$E$2:$E$173,0),MATCH('Selection Pane Data'!AH$3,List!$E$2:$CD$2,0)),"")</f>
        <v/>
      </c>
      <c r="AI55" s="13" t="str">
        <f>IF(AI$4="Yes",INDEX(List!$E$2:$CD$173,MATCH('Selection Pane Data'!$B55,List!$E$2:$E$173,0),MATCH('Selection Pane Data'!AI$3,List!$E$2:$CD$2,0)),"")</f>
        <v/>
      </c>
      <c r="AJ55" s="13" t="str">
        <f>IF(AJ$4="Yes",INDEX(List!$E$2:$CD$173,MATCH('Selection Pane Data'!$B55,List!$E$2:$E$173,0),MATCH('Selection Pane Data'!AJ$3,List!$E$2:$CD$2,0)),"")</f>
        <v/>
      </c>
      <c r="AK55" s="13" t="str">
        <f>IF(AK$4="Yes",INDEX(List!$E$2:$CD$173,MATCH('Selection Pane Data'!$B55,List!$E$2:$E$173,0),MATCH('Selection Pane Data'!AK$3,List!$E$2:$CD$2,0)),"")</f>
        <v/>
      </c>
      <c r="AL55" s="13" t="str">
        <f>IF(AL$4="Yes",INDEX(List!$E$2:$CD$173,MATCH('Selection Pane Data'!$B55,List!$E$2:$E$173,0),MATCH('Selection Pane Data'!AL$3,List!$E$2:$CD$2,0)),"")</f>
        <v/>
      </c>
      <c r="AM55" s="13" t="str">
        <f>IF(AM$4="Yes",INDEX(List!$E$2:$CD$173,MATCH('Selection Pane Data'!$B55,List!$E$2:$E$173,0),MATCH('Selection Pane Data'!AM$3,List!$E$2:$CD$2,0)),"")</f>
        <v/>
      </c>
      <c r="AN55" s="13" t="str">
        <f>IF(AN$4="Yes",INDEX(List!$E$2:$CD$173,MATCH('Selection Pane Data'!$B55,List!$E$2:$E$173,0),MATCH('Selection Pane Data'!AN$3,List!$E$2:$CD$2,0)),"")</f>
        <v/>
      </c>
      <c r="AO55" s="13" t="str">
        <f>IF(AO$4="Yes",INDEX(List!$E$2:$CD$173,MATCH('Selection Pane Data'!$B55,List!$E$2:$E$173,0),MATCH('Selection Pane Data'!AO$3,List!$E$2:$CD$2,0)),"")</f>
        <v/>
      </c>
      <c r="AP55" s="13" t="str">
        <f>IF(AP$4="Yes",INDEX(List!$E$2:$CD$173,MATCH('Selection Pane Data'!$B55,List!$E$2:$E$173,0),MATCH('Selection Pane Data'!AP$3,List!$E$2:$CD$2,0)),"")</f>
        <v/>
      </c>
      <c r="AQ55" s="13" t="str">
        <f>IF(AQ$4="Yes",INDEX(List!$E$2:$CD$173,MATCH('Selection Pane Data'!$B55,List!$E$2:$E$173,0),MATCH('Selection Pane Data'!AQ$3,List!$E$2:$CD$2,0)),"")</f>
        <v/>
      </c>
      <c r="AR55" s="13" t="str">
        <f>IF(AR$4="Yes",INDEX(List!$E$2:$CD$173,MATCH('Selection Pane Data'!$B55,List!$E$2:$E$173,0),MATCH('Selection Pane Data'!AR$3,List!$E$2:$CD$2,0)),"")</f>
        <v/>
      </c>
      <c r="AS55" s="13" t="str">
        <f>IF(AS$4="Yes",INDEX(List!$E$2:$CD$173,MATCH('Selection Pane Data'!$B55,List!$E$2:$E$173,0),MATCH('Selection Pane Data'!AS$3,List!$E$2:$CD$2,0)),"")</f>
        <v/>
      </c>
      <c r="AT55" s="13" t="str">
        <f>IF(AT$4="Yes",INDEX(List!$E$2:$CD$173,MATCH('Selection Pane Data'!$B55,List!$E$2:$E$173,0),MATCH('Selection Pane Data'!AT$3,List!$E$2:$CD$2,0)),"")</f>
        <v/>
      </c>
      <c r="AU55" s="13" t="str">
        <f>IF(AU$4="Yes",INDEX(List!$E$2:$CD$173,MATCH('Selection Pane Data'!$B55,List!$E$2:$E$173,0),MATCH('Selection Pane Data'!AU$3,List!$E$2:$CD$2,0)),"")</f>
        <v/>
      </c>
      <c r="AV55" s="13" t="str">
        <f>IF(AV$4="Yes",INDEX(List!$E$2:$CD$173,MATCH('Selection Pane Data'!$B55,List!$E$2:$E$173,0),MATCH('Selection Pane Data'!AV$3,List!$E$2:$CD$2,0)),"")</f>
        <v/>
      </c>
      <c r="AW55" s="13" t="str">
        <f>IF(AW$4="Yes",INDEX(List!$E$2:$CD$173,MATCH('Selection Pane Data'!$B55,List!$E$2:$E$173,0),MATCH('Selection Pane Data'!AW$3,List!$E$2:$CD$2,0)),"")</f>
        <v/>
      </c>
      <c r="AX55" s="13" t="str">
        <f>IF(AX$4="Yes",INDEX(List!$E$2:$CD$173,MATCH('Selection Pane Data'!$B55,List!$E$2:$E$173,0),MATCH('Selection Pane Data'!AX$3,List!$E$2:$CD$2,0)),"")</f>
        <v/>
      </c>
      <c r="AY55" s="13" t="str">
        <f>IF(AY$4="Yes",INDEX(List!$E$2:$CD$173,MATCH('Selection Pane Data'!$B55,List!$E$2:$E$173,0),MATCH('Selection Pane Data'!AY$3,List!$E$2:$CD$2,0)),"")</f>
        <v/>
      </c>
      <c r="AZ55" s="13" t="str">
        <f>IF(AZ$4="Yes",INDEX(List!$E$2:$CD$173,MATCH('Selection Pane Data'!$B55,List!$E$2:$E$173,0),MATCH('Selection Pane Data'!AZ$3,List!$E$2:$CD$2,0)),"")</f>
        <v/>
      </c>
      <c r="BA55" s="13" t="str">
        <f>IF(BA$4="Yes",INDEX(List!$E$2:$CD$173,MATCH('Selection Pane Data'!$B55,List!$E$2:$E$173,0),MATCH('Selection Pane Data'!BA$3,List!$E$2:$CD$2,0)),"")</f>
        <v/>
      </c>
      <c r="BB55" s="13" t="str">
        <f>IF(BB$4="Yes",INDEX(List!$E$2:$CD$173,MATCH('Selection Pane Data'!$B55,List!$E$2:$E$173,0),MATCH('Selection Pane Data'!BB$3,List!$E$2:$CD$2,0)),"")</f>
        <v/>
      </c>
      <c r="BC55" s="13" t="str">
        <f>IF(BC$4="Yes",INDEX(List!$E$2:$CD$173,MATCH('Selection Pane Data'!$B55,List!$E$2:$E$173,0),MATCH('Selection Pane Data'!BC$3,List!$E$2:$CD$2,0)),"")</f>
        <v/>
      </c>
      <c r="BD55" s="13" t="str">
        <f>IF(BD$4="Yes",INDEX(List!$E$2:$CD$173,MATCH('Selection Pane Data'!$B55,List!$E$2:$E$173,0),MATCH('Selection Pane Data'!BD$3,List!$E$2:$CD$2,0)),"")</f>
        <v/>
      </c>
      <c r="BE55" s="13" t="str">
        <f>IF(BE$4="Yes",INDEX(List!$E$2:$CD$173,MATCH('Selection Pane Data'!$B55,List!$E$2:$E$173,0),MATCH('Selection Pane Data'!BE$3,List!$E$2:$CD$2,0)),"")</f>
        <v/>
      </c>
      <c r="BF55" s="13" t="str">
        <f>IF(BF$4="Yes",INDEX(List!$E$2:$CD$173,MATCH('Selection Pane Data'!$B55,List!$E$2:$E$173,0),MATCH('Selection Pane Data'!BF$3,List!$E$2:$CD$2,0)),"")</f>
        <v/>
      </c>
      <c r="BG55" s="13" t="str">
        <f>IF(BG$4="Yes",INDEX(List!$E$2:$CD$173,MATCH('Selection Pane Data'!$B55,List!$E$2:$E$173,0),MATCH('Selection Pane Data'!BG$3,List!$E$2:$CD$2,0)),"")</f>
        <v/>
      </c>
      <c r="BH55" s="13" t="str">
        <f>IF(BH$4="Yes",INDEX(List!$E$2:$CD$173,MATCH('Selection Pane Data'!$B55,List!$E$2:$E$173,0),MATCH('Selection Pane Data'!BH$3,List!$E$2:$CD$2,0)),"")</f>
        <v/>
      </c>
      <c r="BI55" s="13" t="str">
        <f>IF(BI$4="Yes",INDEX(List!$E$2:$CD$173,MATCH('Selection Pane Data'!$B55,List!$E$2:$E$173,0),MATCH('Selection Pane Data'!BI$3,List!$E$2:$CD$2,0)),"")</f>
        <v/>
      </c>
      <c r="BJ55" s="13" t="str">
        <f>IF(BJ$4="Yes",INDEX(List!$E$2:$CD$173,MATCH('Selection Pane Data'!$B55,List!$E$2:$E$173,0),MATCH('Selection Pane Data'!BJ$3,List!$E$2:$CD$2,0)),"")</f>
        <v/>
      </c>
      <c r="BK55" s="13" t="str">
        <f>IF(BK$4="Yes",INDEX(List!$E$2:$CD$173,MATCH('Selection Pane Data'!$B55,List!$E$2:$E$173,0),MATCH('Selection Pane Data'!BK$3,List!$E$2:$CD$2,0)),"")</f>
        <v/>
      </c>
      <c r="BL55" s="13" t="str">
        <f>IF(BL$4="Yes",INDEX(List!$E$2:$CD$173,MATCH('Selection Pane Data'!$B55,List!$E$2:$E$173,0),MATCH('Selection Pane Data'!BL$3,List!$E$2:$CD$2,0)),"")</f>
        <v/>
      </c>
      <c r="BM55" s="13" t="str">
        <f>IF(BM$4="Yes",INDEX(List!$E$2:$CD$173,MATCH('Selection Pane Data'!$B55,List!$E$2:$E$173,0),MATCH('Selection Pane Data'!BM$3,List!$E$2:$CD$2,0)),"")</f>
        <v/>
      </c>
      <c r="BN55" s="13" t="str">
        <f>IF(BN$4="Yes",INDEX(List!$E$2:$CD$173,MATCH('Selection Pane Data'!$B55,List!$E$2:$E$173,0),MATCH('Selection Pane Data'!BN$3,List!$E$2:$CD$2,0)),"")</f>
        <v/>
      </c>
      <c r="BO55" s="13" t="str">
        <f>IF(BO$4="Yes",INDEX(List!$E$2:$CD$173,MATCH('Selection Pane Data'!$B55,List!$E$2:$E$173,0),MATCH('Selection Pane Data'!BO$3,List!$E$2:$CD$2,0)),"")</f>
        <v/>
      </c>
      <c r="BP55" s="13" t="str">
        <f>IF(BP$4="Yes",INDEX(List!$E$2:$CD$173,MATCH('Selection Pane Data'!$B55,List!$E$2:$E$173,0),MATCH('Selection Pane Data'!BP$3,List!$E$2:$CD$2,0)),"")</f>
        <v/>
      </c>
      <c r="BQ55" s="13" t="str">
        <f>IF(BQ$4="Yes",INDEX(List!$E$2:$CD$173,MATCH('Selection Pane Data'!$B55,List!$E$2:$E$173,0),MATCH('Selection Pane Data'!BQ$3,List!$E$2:$CD$2,0)),"")</f>
        <v/>
      </c>
      <c r="BR55" s="13" t="str">
        <f>IF(BR$4="Yes",INDEX(List!$E$2:$CD$173,MATCH('Selection Pane Data'!$B55,List!$E$2:$E$173,0),MATCH('Selection Pane Data'!BR$3,List!$E$2:$CD$2,0)),"")</f>
        <v/>
      </c>
      <c r="BS55" s="13" t="str">
        <f>IF(BS$4="Yes",INDEX(List!$E$2:$CD$173,MATCH('Selection Pane Data'!$B55,List!$E$2:$E$173,0),MATCH('Selection Pane Data'!BS$3,List!$E$2:$CD$2,0)),"")</f>
        <v/>
      </c>
      <c r="BT55" s="13" t="str">
        <f>IF(BT$4="Yes",INDEX(List!$E$2:$CD$173,MATCH('Selection Pane Data'!$B55,List!$E$2:$E$173,0),MATCH('Selection Pane Data'!BT$3,List!$E$2:$CD$2,0)),"")</f>
        <v/>
      </c>
      <c r="BU55" s="13" t="str">
        <f>IF(BU$4="Yes",INDEX(List!$E$2:$CD$173,MATCH('Selection Pane Data'!$B55,List!$E$2:$E$173,0),MATCH('Selection Pane Data'!BU$3,List!$E$2:$CD$2,0)),"")</f>
        <v/>
      </c>
      <c r="BV55" s="13" t="str">
        <f>IF(BV$4="Yes",INDEX(List!$E$2:$CD$173,MATCH('Selection Pane Data'!$B55,List!$E$2:$E$173,0),MATCH('Selection Pane Data'!BV$3,List!$E$2:$CD$2,0)),"")</f>
        <v/>
      </c>
      <c r="BW55" s="13" t="str">
        <f>IF(BW$4="Yes",INDEX(List!$E$2:$CD$173,MATCH('Selection Pane Data'!$B55,List!$E$2:$E$173,0),MATCH('Selection Pane Data'!BW$3,List!$E$2:$CD$2,0)),"")</f>
        <v/>
      </c>
      <c r="BX55" s="13" t="str">
        <f>IF(BX$4="Yes",INDEX(List!$E$2:$CD$173,MATCH('Selection Pane Data'!$B55,List!$E$2:$E$173,0),MATCH('Selection Pane Data'!BX$3,List!$E$2:$CD$2,0)),"")</f>
        <v/>
      </c>
      <c r="BY55" s="13" t="str">
        <f>IF(BY$4="Yes",INDEX(List!$E$2:$CD$173,MATCH('Selection Pane Data'!$B55,List!$E$2:$E$173,0),MATCH('Selection Pane Data'!BY$3,List!$E$2:$CD$2,0)),"")</f>
        <v/>
      </c>
      <c r="BZ55" s="13" t="str">
        <f>IF(BZ$4="Yes",INDEX(List!$E$2:$CD$173,MATCH('Selection Pane Data'!$B55,List!$E$2:$E$173,0),MATCH('Selection Pane Data'!BZ$3,List!$E$2:$CD$2,0)),"")</f>
        <v/>
      </c>
      <c r="CA55" s="13" t="str">
        <f>IF(CA$4="Yes",INDEX(List!$E$2:$CD$173,MATCH('Selection Pane Data'!$B55,List!$E$2:$E$173,0),MATCH('Selection Pane Data'!CA$3,List!$E$2:$CD$2,0)),"")</f>
        <v/>
      </c>
      <c r="CB55" s="13" t="str">
        <f>IF(CB$4="Yes",INDEX(List!$E$2:$CD$173,MATCH('Selection Pane Data'!$B55,List!$E$2:$E$173,0),MATCH('Selection Pane Data'!CB$3,List!$E$2:$CD$2,0)),"")</f>
        <v/>
      </c>
      <c r="CC55" s="13" t="str">
        <f>IF(CC$4="Yes",INDEX(List!$E$2:$CD$173,MATCH('Selection Pane Data'!$B55,List!$E$2:$E$173,0),MATCH('Selection Pane Data'!CC$3,List!$E$2:$CD$2,0)),"")</f>
        <v/>
      </c>
      <c r="CD55" s="13" t="str">
        <f>IF(CD$4="Yes",INDEX(List!$E$2:$CD$173,MATCH('Selection Pane Data'!$B55,List!$E$2:$E$173,0),MATCH('Selection Pane Data'!CD$3,List!$E$2:$CD$2,0)),"")</f>
        <v/>
      </c>
      <c r="CE55" s="13" t="str">
        <f>IF(CE$4="Yes",INDEX(List!$E$2:$CD$173,MATCH('Selection Pane Data'!$B55,List!$E$2:$E$173,0),MATCH('Selection Pane Data'!CE$3,List!$E$2:$CD$2,0)),"")</f>
        <v/>
      </c>
    </row>
    <row r="56" spans="2:83" x14ac:dyDescent="0.35">
      <c r="B56" s="21" t="s">
        <v>343</v>
      </c>
      <c r="C56" s="126" t="str">
        <f>VLOOKUP(B56,List!$E$2:$G$173,2,FALSE)</f>
        <v>N/A</v>
      </c>
      <c r="D56" s="31" t="str">
        <f>List!G54</f>
        <v>Shared Coverage</v>
      </c>
      <c r="E56" s="31" t="str">
        <f>IF(Placemat!$F$4="All Practices","All Practices",IF(VLOOKUP(B56,Table7[#All],6,FALSE)="No Mapping","New CMMC Practices","Practices with NIST 800-171 Mappings"))</f>
        <v>Practices with NIST 800-171 Mappings</v>
      </c>
      <c r="F56" t="str">
        <f>INDEX('CMMC Levels'!$A$1:$F$172,MATCH('Selection Pane Data'!$C56,'CMMC Levels'!$A$1:$A$172,0),MATCH(Placemat!$F$4,'CMMC Levels'!$A$1:$F$1,0))</f>
        <v>N/A</v>
      </c>
      <c r="G56" s="77" t="str">
        <f>IF((COUNTIF(List!H54:CE54,"P")+COUNTIF(List!H54:CE54,"S"))=0,"N",IF(COUNTIF(H56:CE56,"P"),"P",IF(COUNTIF(H56:CE56,"S"),"S","U")))</f>
        <v>N</v>
      </c>
      <c r="H56" s="13" t="str">
        <f>IF(H$4="Yes",INDEX(List!$E$2:$CD$173,MATCH('Selection Pane Data'!$B56,List!$E$2:$E$173,0),MATCH('Selection Pane Data'!H$3,List!$E$2:$CD$2,0)),"")</f>
        <v/>
      </c>
      <c r="I56" s="13" t="str">
        <f>IF(I$4="Yes",INDEX(List!$E$2:$CD$173,MATCH('Selection Pane Data'!$B56,List!$E$2:$E$173,0),MATCH('Selection Pane Data'!I$3,List!$E$2:$CD$2,0)),"")</f>
        <v/>
      </c>
      <c r="J56" s="13" t="e">
        <f>IF(J$4="Yes",INDEX(List!$E$2:$CD$173,MATCH('Selection Pane Data'!$B56,List!$E$2:$E$173,0),MATCH('Selection Pane Data'!J$3,List!$E$2:$CD$2,0)),"")</f>
        <v>#N/A</v>
      </c>
      <c r="K56" s="13" t="str">
        <f>IF(K$4="Yes",INDEX(List!$E$2:$CD$173,MATCH('Selection Pane Data'!$B56,List!$E$2:$E$173,0),MATCH('Selection Pane Data'!K$3,List!$E$2:$CD$2,0)),"")</f>
        <v/>
      </c>
      <c r="L56" s="13" t="str">
        <f>IF(L$4="Yes",INDEX(List!$E$2:$CD$173,MATCH('Selection Pane Data'!$B56,List!$E$2:$E$173,0),MATCH('Selection Pane Data'!L$3,List!$E$2:$CD$2,0)),"")</f>
        <v/>
      </c>
      <c r="M56" s="13" t="str">
        <f>IF(M$4="Yes",INDEX(List!$E$2:$CD$173,MATCH('Selection Pane Data'!$B56,List!$E$2:$E$173,0),MATCH('Selection Pane Data'!M$3,List!$E$2:$CD$2,0)),"")</f>
        <v/>
      </c>
      <c r="N56" s="13" t="str">
        <f>IF(N$4="Yes",INDEX(List!$E$2:$CD$173,MATCH('Selection Pane Data'!$B56,List!$E$2:$E$173,0),MATCH('Selection Pane Data'!N$3,List!$E$2:$CD$2,0)),"")</f>
        <v/>
      </c>
      <c r="O56" s="13" t="str">
        <f>IF(O$4="Yes",INDEX(List!$E$2:$CD$173,MATCH('Selection Pane Data'!$B56,List!$E$2:$E$173,0),MATCH('Selection Pane Data'!O$3,List!$E$2:$CD$2,0)),"")</f>
        <v/>
      </c>
      <c r="P56" s="13" t="str">
        <f>IF(P$4="Yes",INDEX(List!$E$2:$CD$173,MATCH('Selection Pane Data'!$B56,List!$E$2:$E$173,0),MATCH('Selection Pane Data'!P$3,List!$E$2:$CD$2,0)),"")</f>
        <v/>
      </c>
      <c r="Q56" s="13" t="str">
        <f>IF(Q$4="Yes",INDEX(List!$E$2:$CD$173,MATCH('Selection Pane Data'!$B56,List!$E$2:$E$173,0),MATCH('Selection Pane Data'!Q$3,List!$E$2:$CD$2,0)),"")</f>
        <v/>
      </c>
      <c r="R56" s="13" t="str">
        <f>IF(R$4="Yes",INDEX(List!$E$2:$CD$173,MATCH('Selection Pane Data'!$B56,List!$E$2:$E$173,0),MATCH('Selection Pane Data'!R$3,List!$E$2:$CD$2,0)),"")</f>
        <v/>
      </c>
      <c r="S56" s="13" t="str">
        <f>IF(S$4="Yes",INDEX(List!$E$2:$CD$173,MATCH('Selection Pane Data'!$B56,List!$E$2:$E$173,0),MATCH('Selection Pane Data'!S$3,List!$E$2:$CD$2,0)),"")</f>
        <v/>
      </c>
      <c r="T56" s="13" t="str">
        <f>IF(T$4="Yes",INDEX(List!$E$2:$CD$173,MATCH('Selection Pane Data'!$B56,List!$E$2:$E$173,0),MATCH('Selection Pane Data'!T$3,List!$E$2:$CD$2,0)),"")</f>
        <v/>
      </c>
      <c r="U56" s="13" t="str">
        <f>IF(U$4="Yes",INDEX(List!$E$2:$CD$173,MATCH('Selection Pane Data'!$B56,List!$E$2:$E$173,0),MATCH('Selection Pane Data'!U$3,List!$E$2:$CD$2,0)),"")</f>
        <v/>
      </c>
      <c r="V56" s="13" t="str">
        <f>IF(V$4="Yes",INDEX(List!$E$2:$CD$173,MATCH('Selection Pane Data'!$B56,List!$E$2:$E$173,0),MATCH('Selection Pane Data'!V$3,List!$E$2:$CD$2,0)),"")</f>
        <v/>
      </c>
      <c r="W56" s="13" t="str">
        <f>IF(W$4="Yes",INDEX(List!$E$2:$CD$173,MATCH('Selection Pane Data'!$B56,List!$E$2:$E$173,0),MATCH('Selection Pane Data'!W$3,List!$E$2:$CD$2,0)),"")</f>
        <v/>
      </c>
      <c r="X56" s="13" t="str">
        <f>IF(X$4="Yes",INDEX(List!$E$2:$CD$173,MATCH('Selection Pane Data'!$B56,List!$E$2:$E$173,0),MATCH('Selection Pane Data'!X$3,List!$E$2:$CD$2,0)),"")</f>
        <v/>
      </c>
      <c r="Y56" s="13" t="str">
        <f>IF(Y$4="Yes",INDEX(List!$E$2:$CD$173,MATCH('Selection Pane Data'!$B56,List!$E$2:$E$173,0),MATCH('Selection Pane Data'!Y$3,List!$E$2:$CD$2,0)),"")</f>
        <v/>
      </c>
      <c r="Z56" s="13" t="str">
        <f>IF(Z$4="Yes",INDEX(List!$E$2:$CD$173,MATCH('Selection Pane Data'!$B56,List!$E$2:$E$173,0),MATCH('Selection Pane Data'!Z$3,List!$E$2:$CD$2,0)),"")</f>
        <v/>
      </c>
      <c r="AA56" s="13" t="e">
        <f>IF(AA$4="Yes",INDEX(List!$E$2:$CD$173,MATCH('Selection Pane Data'!$B56,List!$E$2:$E$173,0),MATCH('Selection Pane Data'!AA$3,List!$E$2:$CD$2,0)),"")</f>
        <v>#N/A</v>
      </c>
      <c r="AB56" s="13" t="str">
        <f>IF(AB$4="Yes",INDEX(List!$E$2:$CD$173,MATCH('Selection Pane Data'!$B56,List!$E$2:$E$173,0),MATCH('Selection Pane Data'!AB$3,List!$E$2:$CD$2,0)),"")</f>
        <v/>
      </c>
      <c r="AC56" s="13" t="str">
        <f>IF(AC$4="Yes",INDEX(List!$E$2:$CD$173,MATCH('Selection Pane Data'!$B56,List!$E$2:$E$173,0),MATCH('Selection Pane Data'!AC$3,List!$E$2:$CD$2,0)),"")</f>
        <v/>
      </c>
      <c r="AD56" s="13" t="str">
        <f>IF(AD$4="Yes",INDEX(List!$E$2:$CD$173,MATCH('Selection Pane Data'!$B56,List!$E$2:$E$173,0),MATCH('Selection Pane Data'!AD$3,List!$E$2:$CD$2,0)),"")</f>
        <v/>
      </c>
      <c r="AE56" s="13" t="str">
        <f>IF(AE$4="Yes",INDEX(List!$E$2:$CD$173,MATCH('Selection Pane Data'!$B56,List!$E$2:$E$173,0),MATCH('Selection Pane Data'!AE$3,List!$E$2:$CD$2,0)),"")</f>
        <v/>
      </c>
      <c r="AF56" s="13" t="str">
        <f>IF(AF$4="Yes",INDEX(List!$E$2:$CD$173,MATCH('Selection Pane Data'!$B56,List!$E$2:$E$173,0),MATCH('Selection Pane Data'!AF$3,List!$E$2:$CD$2,0)),"")</f>
        <v/>
      </c>
      <c r="AG56" s="13" t="str">
        <f>IF(AG$4="Yes",INDEX(List!$E$2:$CD$173,MATCH('Selection Pane Data'!$B56,List!$E$2:$E$173,0),MATCH('Selection Pane Data'!AG$3,List!$E$2:$CD$2,0)),"")</f>
        <v/>
      </c>
      <c r="AH56" s="13" t="str">
        <f>IF(AH$4="Yes",INDEX(List!$E$2:$CD$173,MATCH('Selection Pane Data'!$B56,List!$E$2:$E$173,0),MATCH('Selection Pane Data'!AH$3,List!$E$2:$CD$2,0)),"")</f>
        <v/>
      </c>
      <c r="AI56" s="13" t="str">
        <f>IF(AI$4="Yes",INDEX(List!$E$2:$CD$173,MATCH('Selection Pane Data'!$B56,List!$E$2:$E$173,0),MATCH('Selection Pane Data'!AI$3,List!$E$2:$CD$2,0)),"")</f>
        <v/>
      </c>
      <c r="AJ56" s="13" t="str">
        <f>IF(AJ$4="Yes",INDEX(List!$E$2:$CD$173,MATCH('Selection Pane Data'!$B56,List!$E$2:$E$173,0),MATCH('Selection Pane Data'!AJ$3,List!$E$2:$CD$2,0)),"")</f>
        <v/>
      </c>
      <c r="AK56" s="13" t="str">
        <f>IF(AK$4="Yes",INDEX(List!$E$2:$CD$173,MATCH('Selection Pane Data'!$B56,List!$E$2:$E$173,0),MATCH('Selection Pane Data'!AK$3,List!$E$2:$CD$2,0)),"")</f>
        <v/>
      </c>
      <c r="AL56" s="13" t="str">
        <f>IF(AL$4="Yes",INDEX(List!$E$2:$CD$173,MATCH('Selection Pane Data'!$B56,List!$E$2:$E$173,0),MATCH('Selection Pane Data'!AL$3,List!$E$2:$CD$2,0)),"")</f>
        <v/>
      </c>
      <c r="AM56" s="13" t="str">
        <f>IF(AM$4="Yes",INDEX(List!$E$2:$CD$173,MATCH('Selection Pane Data'!$B56,List!$E$2:$E$173,0),MATCH('Selection Pane Data'!AM$3,List!$E$2:$CD$2,0)),"")</f>
        <v/>
      </c>
      <c r="AN56" s="13" t="str">
        <f>IF(AN$4="Yes",INDEX(List!$E$2:$CD$173,MATCH('Selection Pane Data'!$B56,List!$E$2:$E$173,0),MATCH('Selection Pane Data'!AN$3,List!$E$2:$CD$2,0)),"")</f>
        <v/>
      </c>
      <c r="AO56" s="13" t="str">
        <f>IF(AO$4="Yes",INDEX(List!$E$2:$CD$173,MATCH('Selection Pane Data'!$B56,List!$E$2:$E$173,0),MATCH('Selection Pane Data'!AO$3,List!$E$2:$CD$2,0)),"")</f>
        <v/>
      </c>
      <c r="AP56" s="13" t="str">
        <f>IF(AP$4="Yes",INDEX(List!$E$2:$CD$173,MATCH('Selection Pane Data'!$B56,List!$E$2:$E$173,0),MATCH('Selection Pane Data'!AP$3,List!$E$2:$CD$2,0)),"")</f>
        <v/>
      </c>
      <c r="AQ56" s="13" t="str">
        <f>IF(AQ$4="Yes",INDEX(List!$E$2:$CD$173,MATCH('Selection Pane Data'!$B56,List!$E$2:$E$173,0),MATCH('Selection Pane Data'!AQ$3,List!$E$2:$CD$2,0)),"")</f>
        <v/>
      </c>
      <c r="AR56" s="13" t="str">
        <f>IF(AR$4="Yes",INDEX(List!$E$2:$CD$173,MATCH('Selection Pane Data'!$B56,List!$E$2:$E$173,0),MATCH('Selection Pane Data'!AR$3,List!$E$2:$CD$2,0)),"")</f>
        <v/>
      </c>
      <c r="AS56" s="13" t="str">
        <f>IF(AS$4="Yes",INDEX(List!$E$2:$CD$173,MATCH('Selection Pane Data'!$B56,List!$E$2:$E$173,0),MATCH('Selection Pane Data'!AS$3,List!$E$2:$CD$2,0)),"")</f>
        <v/>
      </c>
      <c r="AT56" s="13" t="str">
        <f>IF(AT$4="Yes",INDEX(List!$E$2:$CD$173,MATCH('Selection Pane Data'!$B56,List!$E$2:$E$173,0),MATCH('Selection Pane Data'!AT$3,List!$E$2:$CD$2,0)),"")</f>
        <v/>
      </c>
      <c r="AU56" s="13" t="str">
        <f>IF(AU$4="Yes",INDEX(List!$E$2:$CD$173,MATCH('Selection Pane Data'!$B56,List!$E$2:$E$173,0),MATCH('Selection Pane Data'!AU$3,List!$E$2:$CD$2,0)),"")</f>
        <v/>
      </c>
      <c r="AV56" s="13" t="str">
        <f>IF(AV$4="Yes",INDEX(List!$E$2:$CD$173,MATCH('Selection Pane Data'!$B56,List!$E$2:$E$173,0),MATCH('Selection Pane Data'!AV$3,List!$E$2:$CD$2,0)),"")</f>
        <v/>
      </c>
      <c r="AW56" s="13" t="str">
        <f>IF(AW$4="Yes",INDEX(List!$E$2:$CD$173,MATCH('Selection Pane Data'!$B56,List!$E$2:$E$173,0),MATCH('Selection Pane Data'!AW$3,List!$E$2:$CD$2,0)),"")</f>
        <v/>
      </c>
      <c r="AX56" s="13" t="str">
        <f>IF(AX$4="Yes",INDEX(List!$E$2:$CD$173,MATCH('Selection Pane Data'!$B56,List!$E$2:$E$173,0),MATCH('Selection Pane Data'!AX$3,List!$E$2:$CD$2,0)),"")</f>
        <v/>
      </c>
      <c r="AY56" s="13" t="str">
        <f>IF(AY$4="Yes",INDEX(List!$E$2:$CD$173,MATCH('Selection Pane Data'!$B56,List!$E$2:$E$173,0),MATCH('Selection Pane Data'!AY$3,List!$E$2:$CD$2,0)),"")</f>
        <v/>
      </c>
      <c r="AZ56" s="13" t="str">
        <f>IF(AZ$4="Yes",INDEX(List!$E$2:$CD$173,MATCH('Selection Pane Data'!$B56,List!$E$2:$E$173,0),MATCH('Selection Pane Data'!AZ$3,List!$E$2:$CD$2,0)),"")</f>
        <v/>
      </c>
      <c r="BA56" s="13" t="str">
        <f>IF(BA$4="Yes",INDEX(List!$E$2:$CD$173,MATCH('Selection Pane Data'!$B56,List!$E$2:$E$173,0),MATCH('Selection Pane Data'!BA$3,List!$E$2:$CD$2,0)),"")</f>
        <v/>
      </c>
      <c r="BB56" s="13" t="str">
        <f>IF(BB$4="Yes",INDEX(List!$E$2:$CD$173,MATCH('Selection Pane Data'!$B56,List!$E$2:$E$173,0),MATCH('Selection Pane Data'!BB$3,List!$E$2:$CD$2,0)),"")</f>
        <v/>
      </c>
      <c r="BC56" s="13" t="str">
        <f>IF(BC$4="Yes",INDEX(List!$E$2:$CD$173,MATCH('Selection Pane Data'!$B56,List!$E$2:$E$173,0),MATCH('Selection Pane Data'!BC$3,List!$E$2:$CD$2,0)),"")</f>
        <v/>
      </c>
      <c r="BD56" s="13" t="str">
        <f>IF(BD$4="Yes",INDEX(List!$E$2:$CD$173,MATCH('Selection Pane Data'!$B56,List!$E$2:$E$173,0),MATCH('Selection Pane Data'!BD$3,List!$E$2:$CD$2,0)),"")</f>
        <v/>
      </c>
      <c r="BE56" s="13" t="str">
        <f>IF(BE$4="Yes",INDEX(List!$E$2:$CD$173,MATCH('Selection Pane Data'!$B56,List!$E$2:$E$173,0),MATCH('Selection Pane Data'!BE$3,List!$E$2:$CD$2,0)),"")</f>
        <v/>
      </c>
      <c r="BF56" s="13" t="str">
        <f>IF(BF$4="Yes",INDEX(List!$E$2:$CD$173,MATCH('Selection Pane Data'!$B56,List!$E$2:$E$173,0),MATCH('Selection Pane Data'!BF$3,List!$E$2:$CD$2,0)),"")</f>
        <v/>
      </c>
      <c r="BG56" s="13" t="str">
        <f>IF(BG$4="Yes",INDEX(List!$E$2:$CD$173,MATCH('Selection Pane Data'!$B56,List!$E$2:$E$173,0),MATCH('Selection Pane Data'!BG$3,List!$E$2:$CD$2,0)),"")</f>
        <v/>
      </c>
      <c r="BH56" s="13" t="str">
        <f>IF(BH$4="Yes",INDEX(List!$E$2:$CD$173,MATCH('Selection Pane Data'!$B56,List!$E$2:$E$173,0),MATCH('Selection Pane Data'!BH$3,List!$E$2:$CD$2,0)),"")</f>
        <v/>
      </c>
      <c r="BI56" s="13" t="str">
        <f>IF(BI$4="Yes",INDEX(List!$E$2:$CD$173,MATCH('Selection Pane Data'!$B56,List!$E$2:$E$173,0),MATCH('Selection Pane Data'!BI$3,List!$E$2:$CD$2,0)),"")</f>
        <v/>
      </c>
      <c r="BJ56" s="13" t="str">
        <f>IF(BJ$4="Yes",INDEX(List!$E$2:$CD$173,MATCH('Selection Pane Data'!$B56,List!$E$2:$E$173,0),MATCH('Selection Pane Data'!BJ$3,List!$E$2:$CD$2,0)),"")</f>
        <v/>
      </c>
      <c r="BK56" s="13" t="str">
        <f>IF(BK$4="Yes",INDEX(List!$E$2:$CD$173,MATCH('Selection Pane Data'!$B56,List!$E$2:$E$173,0),MATCH('Selection Pane Data'!BK$3,List!$E$2:$CD$2,0)),"")</f>
        <v/>
      </c>
      <c r="BL56" s="13" t="str">
        <f>IF(BL$4="Yes",INDEX(List!$E$2:$CD$173,MATCH('Selection Pane Data'!$B56,List!$E$2:$E$173,0),MATCH('Selection Pane Data'!BL$3,List!$E$2:$CD$2,0)),"")</f>
        <v/>
      </c>
      <c r="BM56" s="13" t="str">
        <f>IF(BM$4="Yes",INDEX(List!$E$2:$CD$173,MATCH('Selection Pane Data'!$B56,List!$E$2:$E$173,0),MATCH('Selection Pane Data'!BM$3,List!$E$2:$CD$2,0)),"")</f>
        <v/>
      </c>
      <c r="BN56" s="13" t="str">
        <f>IF(BN$4="Yes",INDEX(List!$E$2:$CD$173,MATCH('Selection Pane Data'!$B56,List!$E$2:$E$173,0),MATCH('Selection Pane Data'!BN$3,List!$E$2:$CD$2,0)),"")</f>
        <v/>
      </c>
      <c r="BO56" s="13" t="str">
        <f>IF(BO$4="Yes",INDEX(List!$E$2:$CD$173,MATCH('Selection Pane Data'!$B56,List!$E$2:$E$173,0),MATCH('Selection Pane Data'!BO$3,List!$E$2:$CD$2,0)),"")</f>
        <v/>
      </c>
      <c r="BP56" s="13" t="str">
        <f>IF(BP$4="Yes",INDEX(List!$E$2:$CD$173,MATCH('Selection Pane Data'!$B56,List!$E$2:$E$173,0),MATCH('Selection Pane Data'!BP$3,List!$E$2:$CD$2,0)),"")</f>
        <v/>
      </c>
      <c r="BQ56" s="13" t="str">
        <f>IF(BQ$4="Yes",INDEX(List!$E$2:$CD$173,MATCH('Selection Pane Data'!$B56,List!$E$2:$E$173,0),MATCH('Selection Pane Data'!BQ$3,List!$E$2:$CD$2,0)),"")</f>
        <v/>
      </c>
      <c r="BR56" s="13" t="str">
        <f>IF(BR$4="Yes",INDEX(List!$E$2:$CD$173,MATCH('Selection Pane Data'!$B56,List!$E$2:$E$173,0),MATCH('Selection Pane Data'!BR$3,List!$E$2:$CD$2,0)),"")</f>
        <v/>
      </c>
      <c r="BS56" s="13" t="str">
        <f>IF(BS$4="Yes",INDEX(List!$E$2:$CD$173,MATCH('Selection Pane Data'!$B56,List!$E$2:$E$173,0),MATCH('Selection Pane Data'!BS$3,List!$E$2:$CD$2,0)),"")</f>
        <v/>
      </c>
      <c r="BT56" s="13" t="str">
        <f>IF(BT$4="Yes",INDEX(List!$E$2:$CD$173,MATCH('Selection Pane Data'!$B56,List!$E$2:$E$173,0),MATCH('Selection Pane Data'!BT$3,List!$E$2:$CD$2,0)),"")</f>
        <v/>
      </c>
      <c r="BU56" s="13" t="str">
        <f>IF(BU$4="Yes",INDEX(List!$E$2:$CD$173,MATCH('Selection Pane Data'!$B56,List!$E$2:$E$173,0),MATCH('Selection Pane Data'!BU$3,List!$E$2:$CD$2,0)),"")</f>
        <v/>
      </c>
      <c r="BV56" s="13" t="str">
        <f>IF(BV$4="Yes",INDEX(List!$E$2:$CD$173,MATCH('Selection Pane Data'!$B56,List!$E$2:$E$173,0),MATCH('Selection Pane Data'!BV$3,List!$E$2:$CD$2,0)),"")</f>
        <v/>
      </c>
      <c r="BW56" s="13" t="str">
        <f>IF(BW$4="Yes",INDEX(List!$E$2:$CD$173,MATCH('Selection Pane Data'!$B56,List!$E$2:$E$173,0),MATCH('Selection Pane Data'!BW$3,List!$E$2:$CD$2,0)),"")</f>
        <v/>
      </c>
      <c r="BX56" s="13" t="str">
        <f>IF(BX$4="Yes",INDEX(List!$E$2:$CD$173,MATCH('Selection Pane Data'!$B56,List!$E$2:$E$173,0),MATCH('Selection Pane Data'!BX$3,List!$E$2:$CD$2,0)),"")</f>
        <v/>
      </c>
      <c r="BY56" s="13" t="str">
        <f>IF(BY$4="Yes",INDEX(List!$E$2:$CD$173,MATCH('Selection Pane Data'!$B56,List!$E$2:$E$173,0),MATCH('Selection Pane Data'!BY$3,List!$E$2:$CD$2,0)),"")</f>
        <v/>
      </c>
      <c r="BZ56" s="13" t="str">
        <f>IF(BZ$4="Yes",INDEX(List!$E$2:$CD$173,MATCH('Selection Pane Data'!$B56,List!$E$2:$E$173,0),MATCH('Selection Pane Data'!BZ$3,List!$E$2:$CD$2,0)),"")</f>
        <v/>
      </c>
      <c r="CA56" s="13" t="str">
        <f>IF(CA$4="Yes",INDEX(List!$E$2:$CD$173,MATCH('Selection Pane Data'!$B56,List!$E$2:$E$173,0),MATCH('Selection Pane Data'!CA$3,List!$E$2:$CD$2,0)),"")</f>
        <v/>
      </c>
      <c r="CB56" s="13" t="str">
        <f>IF(CB$4="Yes",INDEX(List!$E$2:$CD$173,MATCH('Selection Pane Data'!$B56,List!$E$2:$E$173,0),MATCH('Selection Pane Data'!CB$3,List!$E$2:$CD$2,0)),"")</f>
        <v/>
      </c>
      <c r="CC56" s="13" t="str">
        <f>IF(CC$4="Yes",INDEX(List!$E$2:$CD$173,MATCH('Selection Pane Data'!$B56,List!$E$2:$E$173,0),MATCH('Selection Pane Data'!CC$3,List!$E$2:$CD$2,0)),"")</f>
        <v/>
      </c>
      <c r="CD56" s="13" t="str">
        <f>IF(CD$4="Yes",INDEX(List!$E$2:$CD$173,MATCH('Selection Pane Data'!$B56,List!$E$2:$E$173,0),MATCH('Selection Pane Data'!CD$3,List!$E$2:$CD$2,0)),"")</f>
        <v/>
      </c>
      <c r="CE56" s="13" t="str">
        <f>IF(CE$4="Yes",INDEX(List!$E$2:$CD$173,MATCH('Selection Pane Data'!$B56,List!$E$2:$E$173,0),MATCH('Selection Pane Data'!CE$3,List!$E$2:$CD$2,0)),"")</f>
        <v/>
      </c>
    </row>
    <row r="57" spans="2:83" x14ac:dyDescent="0.35">
      <c r="B57" s="21" t="s">
        <v>344</v>
      </c>
      <c r="C57" s="126" t="str">
        <f>VLOOKUP(B57,List!$E$2:$G$173,2,FALSE)</f>
        <v>N/A</v>
      </c>
      <c r="D57" s="31" t="str">
        <f>List!G55</f>
        <v>Not Applicable</v>
      </c>
      <c r="E57" s="31" t="str">
        <f>IF(Placemat!$F$4="All Practices","All Practices",IF(VLOOKUP(B57,Table7[#All],6,FALSE)="No Mapping","New CMMC Practices","Practices with NIST 800-171 Mappings"))</f>
        <v>Practices with NIST 800-171 Mappings</v>
      </c>
      <c r="F57" t="str">
        <f>INDEX('CMMC Levels'!$A$1:$F$172,MATCH('Selection Pane Data'!$C57,'CMMC Levels'!$A$1:$A$172,0),MATCH(Placemat!$F$4,'CMMC Levels'!$A$1:$F$1,0))</f>
        <v>N/A</v>
      </c>
      <c r="G57" s="77" t="str">
        <f>IF((COUNTIF(List!H55:CE55,"P")+COUNTIF(List!H55:CE55,"S"))=0,"N",IF(COUNTIF(H57:CE57,"P"),"P",IF(COUNTIF(H57:CE57,"S"),"S","U")))</f>
        <v>N</v>
      </c>
      <c r="H57" s="13" t="str">
        <f>IF(H$4="Yes",INDEX(List!$E$2:$CD$173,MATCH('Selection Pane Data'!$B57,List!$E$2:$E$173,0),MATCH('Selection Pane Data'!H$3,List!$E$2:$CD$2,0)),"")</f>
        <v/>
      </c>
      <c r="I57" s="13" t="str">
        <f>IF(I$4="Yes",INDEX(List!$E$2:$CD$173,MATCH('Selection Pane Data'!$B57,List!$E$2:$E$173,0),MATCH('Selection Pane Data'!I$3,List!$E$2:$CD$2,0)),"")</f>
        <v/>
      </c>
      <c r="J57" s="13" t="e">
        <f>IF(J$4="Yes",INDEX(List!$E$2:$CD$173,MATCH('Selection Pane Data'!$B57,List!$E$2:$E$173,0),MATCH('Selection Pane Data'!J$3,List!$E$2:$CD$2,0)),"")</f>
        <v>#N/A</v>
      </c>
      <c r="K57" s="13" t="str">
        <f>IF(K$4="Yes",INDEX(List!$E$2:$CD$173,MATCH('Selection Pane Data'!$B57,List!$E$2:$E$173,0),MATCH('Selection Pane Data'!K$3,List!$E$2:$CD$2,0)),"")</f>
        <v/>
      </c>
      <c r="L57" s="13" t="str">
        <f>IF(L$4="Yes",INDEX(List!$E$2:$CD$173,MATCH('Selection Pane Data'!$B57,List!$E$2:$E$173,0),MATCH('Selection Pane Data'!L$3,List!$E$2:$CD$2,0)),"")</f>
        <v/>
      </c>
      <c r="M57" s="13" t="str">
        <f>IF(M$4="Yes",INDEX(List!$E$2:$CD$173,MATCH('Selection Pane Data'!$B57,List!$E$2:$E$173,0),MATCH('Selection Pane Data'!M$3,List!$E$2:$CD$2,0)),"")</f>
        <v/>
      </c>
      <c r="N57" s="13" t="str">
        <f>IF(N$4="Yes",INDEX(List!$E$2:$CD$173,MATCH('Selection Pane Data'!$B57,List!$E$2:$E$173,0),MATCH('Selection Pane Data'!N$3,List!$E$2:$CD$2,0)),"")</f>
        <v/>
      </c>
      <c r="O57" s="13" t="str">
        <f>IF(O$4="Yes",INDEX(List!$E$2:$CD$173,MATCH('Selection Pane Data'!$B57,List!$E$2:$E$173,0),MATCH('Selection Pane Data'!O$3,List!$E$2:$CD$2,0)),"")</f>
        <v/>
      </c>
      <c r="P57" s="13" t="str">
        <f>IF(P$4="Yes",INDEX(List!$E$2:$CD$173,MATCH('Selection Pane Data'!$B57,List!$E$2:$E$173,0),MATCH('Selection Pane Data'!P$3,List!$E$2:$CD$2,0)),"")</f>
        <v/>
      </c>
      <c r="Q57" s="13" t="str">
        <f>IF(Q$4="Yes",INDEX(List!$E$2:$CD$173,MATCH('Selection Pane Data'!$B57,List!$E$2:$E$173,0),MATCH('Selection Pane Data'!Q$3,List!$E$2:$CD$2,0)),"")</f>
        <v/>
      </c>
      <c r="R57" s="13" t="str">
        <f>IF(R$4="Yes",INDEX(List!$E$2:$CD$173,MATCH('Selection Pane Data'!$B57,List!$E$2:$E$173,0),MATCH('Selection Pane Data'!R$3,List!$E$2:$CD$2,0)),"")</f>
        <v/>
      </c>
      <c r="S57" s="13" t="str">
        <f>IF(S$4="Yes",INDEX(List!$E$2:$CD$173,MATCH('Selection Pane Data'!$B57,List!$E$2:$E$173,0),MATCH('Selection Pane Data'!S$3,List!$E$2:$CD$2,0)),"")</f>
        <v/>
      </c>
      <c r="T57" s="13" t="str">
        <f>IF(T$4="Yes",INDEX(List!$E$2:$CD$173,MATCH('Selection Pane Data'!$B57,List!$E$2:$E$173,0),MATCH('Selection Pane Data'!T$3,List!$E$2:$CD$2,0)),"")</f>
        <v/>
      </c>
      <c r="U57" s="13" t="str">
        <f>IF(U$4="Yes",INDEX(List!$E$2:$CD$173,MATCH('Selection Pane Data'!$B57,List!$E$2:$E$173,0),MATCH('Selection Pane Data'!U$3,List!$E$2:$CD$2,0)),"")</f>
        <v/>
      </c>
      <c r="V57" s="13" t="str">
        <f>IF(V$4="Yes",INDEX(List!$E$2:$CD$173,MATCH('Selection Pane Data'!$B57,List!$E$2:$E$173,0),MATCH('Selection Pane Data'!V$3,List!$E$2:$CD$2,0)),"")</f>
        <v/>
      </c>
      <c r="W57" s="13" t="str">
        <f>IF(W$4="Yes",INDEX(List!$E$2:$CD$173,MATCH('Selection Pane Data'!$B57,List!$E$2:$E$173,0),MATCH('Selection Pane Data'!W$3,List!$E$2:$CD$2,0)),"")</f>
        <v/>
      </c>
      <c r="X57" s="13" t="str">
        <f>IF(X$4="Yes",INDEX(List!$E$2:$CD$173,MATCH('Selection Pane Data'!$B57,List!$E$2:$E$173,0),MATCH('Selection Pane Data'!X$3,List!$E$2:$CD$2,0)),"")</f>
        <v/>
      </c>
      <c r="Y57" s="13" t="str">
        <f>IF(Y$4="Yes",INDEX(List!$E$2:$CD$173,MATCH('Selection Pane Data'!$B57,List!$E$2:$E$173,0),MATCH('Selection Pane Data'!Y$3,List!$E$2:$CD$2,0)),"")</f>
        <v/>
      </c>
      <c r="Z57" s="13" t="str">
        <f>IF(Z$4="Yes",INDEX(List!$E$2:$CD$173,MATCH('Selection Pane Data'!$B57,List!$E$2:$E$173,0),MATCH('Selection Pane Data'!Z$3,List!$E$2:$CD$2,0)),"")</f>
        <v/>
      </c>
      <c r="AA57" s="13" t="e">
        <f>IF(AA$4="Yes",INDEX(List!$E$2:$CD$173,MATCH('Selection Pane Data'!$B57,List!$E$2:$E$173,0),MATCH('Selection Pane Data'!AA$3,List!$E$2:$CD$2,0)),"")</f>
        <v>#N/A</v>
      </c>
      <c r="AB57" s="13" t="str">
        <f>IF(AB$4="Yes",INDEX(List!$E$2:$CD$173,MATCH('Selection Pane Data'!$B57,List!$E$2:$E$173,0),MATCH('Selection Pane Data'!AB$3,List!$E$2:$CD$2,0)),"")</f>
        <v/>
      </c>
      <c r="AC57" s="13" t="str">
        <f>IF(AC$4="Yes",INDEX(List!$E$2:$CD$173,MATCH('Selection Pane Data'!$B57,List!$E$2:$E$173,0),MATCH('Selection Pane Data'!AC$3,List!$E$2:$CD$2,0)),"")</f>
        <v/>
      </c>
      <c r="AD57" s="13" t="str">
        <f>IF(AD$4="Yes",INDEX(List!$E$2:$CD$173,MATCH('Selection Pane Data'!$B57,List!$E$2:$E$173,0),MATCH('Selection Pane Data'!AD$3,List!$E$2:$CD$2,0)),"")</f>
        <v/>
      </c>
      <c r="AE57" s="13" t="str">
        <f>IF(AE$4="Yes",INDEX(List!$E$2:$CD$173,MATCH('Selection Pane Data'!$B57,List!$E$2:$E$173,0),MATCH('Selection Pane Data'!AE$3,List!$E$2:$CD$2,0)),"")</f>
        <v/>
      </c>
      <c r="AF57" s="13" t="str">
        <f>IF(AF$4="Yes",INDEX(List!$E$2:$CD$173,MATCH('Selection Pane Data'!$B57,List!$E$2:$E$173,0),MATCH('Selection Pane Data'!AF$3,List!$E$2:$CD$2,0)),"")</f>
        <v/>
      </c>
      <c r="AG57" s="13" t="str">
        <f>IF(AG$4="Yes",INDEX(List!$E$2:$CD$173,MATCH('Selection Pane Data'!$B57,List!$E$2:$E$173,0),MATCH('Selection Pane Data'!AG$3,List!$E$2:$CD$2,0)),"")</f>
        <v/>
      </c>
      <c r="AH57" s="13" t="str">
        <f>IF(AH$4="Yes",INDEX(List!$E$2:$CD$173,MATCH('Selection Pane Data'!$B57,List!$E$2:$E$173,0),MATCH('Selection Pane Data'!AH$3,List!$E$2:$CD$2,0)),"")</f>
        <v/>
      </c>
      <c r="AI57" s="13" t="str">
        <f>IF(AI$4="Yes",INDEX(List!$E$2:$CD$173,MATCH('Selection Pane Data'!$B57,List!$E$2:$E$173,0),MATCH('Selection Pane Data'!AI$3,List!$E$2:$CD$2,0)),"")</f>
        <v/>
      </c>
      <c r="AJ57" s="13" t="str">
        <f>IF(AJ$4="Yes",INDEX(List!$E$2:$CD$173,MATCH('Selection Pane Data'!$B57,List!$E$2:$E$173,0),MATCH('Selection Pane Data'!AJ$3,List!$E$2:$CD$2,0)),"")</f>
        <v/>
      </c>
      <c r="AK57" s="13" t="str">
        <f>IF(AK$4="Yes",INDEX(List!$E$2:$CD$173,MATCH('Selection Pane Data'!$B57,List!$E$2:$E$173,0),MATCH('Selection Pane Data'!AK$3,List!$E$2:$CD$2,0)),"")</f>
        <v/>
      </c>
      <c r="AL57" s="13" t="str">
        <f>IF(AL$4="Yes",INDEX(List!$E$2:$CD$173,MATCH('Selection Pane Data'!$B57,List!$E$2:$E$173,0),MATCH('Selection Pane Data'!AL$3,List!$E$2:$CD$2,0)),"")</f>
        <v/>
      </c>
      <c r="AM57" s="13" t="str">
        <f>IF(AM$4="Yes",INDEX(List!$E$2:$CD$173,MATCH('Selection Pane Data'!$B57,List!$E$2:$E$173,0),MATCH('Selection Pane Data'!AM$3,List!$E$2:$CD$2,0)),"")</f>
        <v/>
      </c>
      <c r="AN57" s="13" t="str">
        <f>IF(AN$4="Yes",INDEX(List!$E$2:$CD$173,MATCH('Selection Pane Data'!$B57,List!$E$2:$E$173,0),MATCH('Selection Pane Data'!AN$3,List!$E$2:$CD$2,0)),"")</f>
        <v/>
      </c>
      <c r="AO57" s="13" t="str">
        <f>IF(AO$4="Yes",INDEX(List!$E$2:$CD$173,MATCH('Selection Pane Data'!$B57,List!$E$2:$E$173,0),MATCH('Selection Pane Data'!AO$3,List!$E$2:$CD$2,0)),"")</f>
        <v/>
      </c>
      <c r="AP57" s="13" t="str">
        <f>IF(AP$4="Yes",INDEX(List!$E$2:$CD$173,MATCH('Selection Pane Data'!$B57,List!$E$2:$E$173,0),MATCH('Selection Pane Data'!AP$3,List!$E$2:$CD$2,0)),"")</f>
        <v/>
      </c>
      <c r="AQ57" s="13" t="str">
        <f>IF(AQ$4="Yes",INDEX(List!$E$2:$CD$173,MATCH('Selection Pane Data'!$B57,List!$E$2:$E$173,0),MATCH('Selection Pane Data'!AQ$3,List!$E$2:$CD$2,0)),"")</f>
        <v/>
      </c>
      <c r="AR57" s="13" t="str">
        <f>IF(AR$4="Yes",INDEX(List!$E$2:$CD$173,MATCH('Selection Pane Data'!$B57,List!$E$2:$E$173,0),MATCH('Selection Pane Data'!AR$3,List!$E$2:$CD$2,0)),"")</f>
        <v/>
      </c>
      <c r="AS57" s="13" t="str">
        <f>IF(AS$4="Yes",INDEX(List!$E$2:$CD$173,MATCH('Selection Pane Data'!$B57,List!$E$2:$E$173,0),MATCH('Selection Pane Data'!AS$3,List!$E$2:$CD$2,0)),"")</f>
        <v/>
      </c>
      <c r="AT57" s="13" t="str">
        <f>IF(AT$4="Yes",INDEX(List!$E$2:$CD$173,MATCH('Selection Pane Data'!$B57,List!$E$2:$E$173,0),MATCH('Selection Pane Data'!AT$3,List!$E$2:$CD$2,0)),"")</f>
        <v/>
      </c>
      <c r="AU57" s="13" t="str">
        <f>IF(AU$4="Yes",INDEX(List!$E$2:$CD$173,MATCH('Selection Pane Data'!$B57,List!$E$2:$E$173,0),MATCH('Selection Pane Data'!AU$3,List!$E$2:$CD$2,0)),"")</f>
        <v/>
      </c>
      <c r="AV57" s="13" t="str">
        <f>IF(AV$4="Yes",INDEX(List!$E$2:$CD$173,MATCH('Selection Pane Data'!$B57,List!$E$2:$E$173,0),MATCH('Selection Pane Data'!AV$3,List!$E$2:$CD$2,0)),"")</f>
        <v/>
      </c>
      <c r="AW57" s="13" t="str">
        <f>IF(AW$4="Yes",INDEX(List!$E$2:$CD$173,MATCH('Selection Pane Data'!$B57,List!$E$2:$E$173,0),MATCH('Selection Pane Data'!AW$3,List!$E$2:$CD$2,0)),"")</f>
        <v/>
      </c>
      <c r="AX57" s="13" t="str">
        <f>IF(AX$4="Yes",INDEX(List!$E$2:$CD$173,MATCH('Selection Pane Data'!$B57,List!$E$2:$E$173,0),MATCH('Selection Pane Data'!AX$3,List!$E$2:$CD$2,0)),"")</f>
        <v/>
      </c>
      <c r="AY57" s="13" t="str">
        <f>IF(AY$4="Yes",INDEX(List!$E$2:$CD$173,MATCH('Selection Pane Data'!$B57,List!$E$2:$E$173,0),MATCH('Selection Pane Data'!AY$3,List!$E$2:$CD$2,0)),"")</f>
        <v/>
      </c>
      <c r="AZ57" s="13" t="str">
        <f>IF(AZ$4="Yes",INDEX(List!$E$2:$CD$173,MATCH('Selection Pane Data'!$B57,List!$E$2:$E$173,0),MATCH('Selection Pane Data'!AZ$3,List!$E$2:$CD$2,0)),"")</f>
        <v/>
      </c>
      <c r="BA57" s="13" t="str">
        <f>IF(BA$4="Yes",INDEX(List!$E$2:$CD$173,MATCH('Selection Pane Data'!$B57,List!$E$2:$E$173,0),MATCH('Selection Pane Data'!BA$3,List!$E$2:$CD$2,0)),"")</f>
        <v/>
      </c>
      <c r="BB57" s="13" t="str">
        <f>IF(BB$4="Yes",INDEX(List!$E$2:$CD$173,MATCH('Selection Pane Data'!$B57,List!$E$2:$E$173,0),MATCH('Selection Pane Data'!BB$3,List!$E$2:$CD$2,0)),"")</f>
        <v/>
      </c>
      <c r="BC57" s="13" t="str">
        <f>IF(BC$4="Yes",INDEX(List!$E$2:$CD$173,MATCH('Selection Pane Data'!$B57,List!$E$2:$E$173,0),MATCH('Selection Pane Data'!BC$3,List!$E$2:$CD$2,0)),"")</f>
        <v/>
      </c>
      <c r="BD57" s="13" t="str">
        <f>IF(BD$4="Yes",INDEX(List!$E$2:$CD$173,MATCH('Selection Pane Data'!$B57,List!$E$2:$E$173,0),MATCH('Selection Pane Data'!BD$3,List!$E$2:$CD$2,0)),"")</f>
        <v/>
      </c>
      <c r="BE57" s="13" t="str">
        <f>IF(BE$4="Yes",INDEX(List!$E$2:$CD$173,MATCH('Selection Pane Data'!$B57,List!$E$2:$E$173,0),MATCH('Selection Pane Data'!BE$3,List!$E$2:$CD$2,0)),"")</f>
        <v/>
      </c>
      <c r="BF57" s="13" t="str">
        <f>IF(BF$4="Yes",INDEX(List!$E$2:$CD$173,MATCH('Selection Pane Data'!$B57,List!$E$2:$E$173,0),MATCH('Selection Pane Data'!BF$3,List!$E$2:$CD$2,0)),"")</f>
        <v/>
      </c>
      <c r="BG57" s="13" t="str">
        <f>IF(BG$4="Yes",INDEX(List!$E$2:$CD$173,MATCH('Selection Pane Data'!$B57,List!$E$2:$E$173,0),MATCH('Selection Pane Data'!BG$3,List!$E$2:$CD$2,0)),"")</f>
        <v/>
      </c>
      <c r="BH57" s="13" t="str">
        <f>IF(BH$4="Yes",INDEX(List!$E$2:$CD$173,MATCH('Selection Pane Data'!$B57,List!$E$2:$E$173,0),MATCH('Selection Pane Data'!BH$3,List!$E$2:$CD$2,0)),"")</f>
        <v/>
      </c>
      <c r="BI57" s="13" t="str">
        <f>IF(BI$4="Yes",INDEX(List!$E$2:$CD$173,MATCH('Selection Pane Data'!$B57,List!$E$2:$E$173,0),MATCH('Selection Pane Data'!BI$3,List!$E$2:$CD$2,0)),"")</f>
        <v/>
      </c>
      <c r="BJ57" s="13" t="str">
        <f>IF(BJ$4="Yes",INDEX(List!$E$2:$CD$173,MATCH('Selection Pane Data'!$B57,List!$E$2:$E$173,0),MATCH('Selection Pane Data'!BJ$3,List!$E$2:$CD$2,0)),"")</f>
        <v/>
      </c>
      <c r="BK57" s="13" t="str">
        <f>IF(BK$4="Yes",INDEX(List!$E$2:$CD$173,MATCH('Selection Pane Data'!$B57,List!$E$2:$E$173,0),MATCH('Selection Pane Data'!BK$3,List!$E$2:$CD$2,0)),"")</f>
        <v/>
      </c>
      <c r="BL57" s="13" t="str">
        <f>IF(BL$4="Yes",INDEX(List!$E$2:$CD$173,MATCH('Selection Pane Data'!$B57,List!$E$2:$E$173,0),MATCH('Selection Pane Data'!BL$3,List!$E$2:$CD$2,0)),"")</f>
        <v/>
      </c>
      <c r="BM57" s="13" t="str">
        <f>IF(BM$4="Yes",INDEX(List!$E$2:$CD$173,MATCH('Selection Pane Data'!$B57,List!$E$2:$E$173,0),MATCH('Selection Pane Data'!BM$3,List!$E$2:$CD$2,0)),"")</f>
        <v/>
      </c>
      <c r="BN57" s="13" t="str">
        <f>IF(BN$4="Yes",INDEX(List!$E$2:$CD$173,MATCH('Selection Pane Data'!$B57,List!$E$2:$E$173,0),MATCH('Selection Pane Data'!BN$3,List!$E$2:$CD$2,0)),"")</f>
        <v/>
      </c>
      <c r="BO57" s="13" t="str">
        <f>IF(BO$4="Yes",INDEX(List!$E$2:$CD$173,MATCH('Selection Pane Data'!$B57,List!$E$2:$E$173,0),MATCH('Selection Pane Data'!BO$3,List!$E$2:$CD$2,0)),"")</f>
        <v/>
      </c>
      <c r="BP57" s="13" t="str">
        <f>IF(BP$4="Yes",INDEX(List!$E$2:$CD$173,MATCH('Selection Pane Data'!$B57,List!$E$2:$E$173,0),MATCH('Selection Pane Data'!BP$3,List!$E$2:$CD$2,0)),"")</f>
        <v/>
      </c>
      <c r="BQ57" s="13" t="str">
        <f>IF(BQ$4="Yes",INDEX(List!$E$2:$CD$173,MATCH('Selection Pane Data'!$B57,List!$E$2:$E$173,0),MATCH('Selection Pane Data'!BQ$3,List!$E$2:$CD$2,0)),"")</f>
        <v/>
      </c>
      <c r="BR57" s="13" t="str">
        <f>IF(BR$4="Yes",INDEX(List!$E$2:$CD$173,MATCH('Selection Pane Data'!$B57,List!$E$2:$E$173,0),MATCH('Selection Pane Data'!BR$3,List!$E$2:$CD$2,0)),"")</f>
        <v/>
      </c>
      <c r="BS57" s="13" t="str">
        <f>IF(BS$4="Yes",INDEX(List!$E$2:$CD$173,MATCH('Selection Pane Data'!$B57,List!$E$2:$E$173,0),MATCH('Selection Pane Data'!BS$3,List!$E$2:$CD$2,0)),"")</f>
        <v/>
      </c>
      <c r="BT57" s="13" t="str">
        <f>IF(BT$4="Yes",INDEX(List!$E$2:$CD$173,MATCH('Selection Pane Data'!$B57,List!$E$2:$E$173,0),MATCH('Selection Pane Data'!BT$3,List!$E$2:$CD$2,0)),"")</f>
        <v/>
      </c>
      <c r="BU57" s="13" t="str">
        <f>IF(BU$4="Yes",INDEX(List!$E$2:$CD$173,MATCH('Selection Pane Data'!$B57,List!$E$2:$E$173,0),MATCH('Selection Pane Data'!BU$3,List!$E$2:$CD$2,0)),"")</f>
        <v/>
      </c>
      <c r="BV57" s="13" t="str">
        <f>IF(BV$4="Yes",INDEX(List!$E$2:$CD$173,MATCH('Selection Pane Data'!$B57,List!$E$2:$E$173,0),MATCH('Selection Pane Data'!BV$3,List!$E$2:$CD$2,0)),"")</f>
        <v/>
      </c>
      <c r="BW57" s="13" t="str">
        <f>IF(BW$4="Yes",INDEX(List!$E$2:$CD$173,MATCH('Selection Pane Data'!$B57,List!$E$2:$E$173,0),MATCH('Selection Pane Data'!BW$3,List!$E$2:$CD$2,0)),"")</f>
        <v/>
      </c>
      <c r="BX57" s="13" t="str">
        <f>IF(BX$4="Yes",INDEX(List!$E$2:$CD$173,MATCH('Selection Pane Data'!$B57,List!$E$2:$E$173,0),MATCH('Selection Pane Data'!BX$3,List!$E$2:$CD$2,0)),"")</f>
        <v/>
      </c>
      <c r="BY57" s="13" t="str">
        <f>IF(BY$4="Yes",INDEX(List!$E$2:$CD$173,MATCH('Selection Pane Data'!$B57,List!$E$2:$E$173,0),MATCH('Selection Pane Data'!BY$3,List!$E$2:$CD$2,0)),"")</f>
        <v/>
      </c>
      <c r="BZ57" s="13" t="str">
        <f>IF(BZ$4="Yes",INDEX(List!$E$2:$CD$173,MATCH('Selection Pane Data'!$B57,List!$E$2:$E$173,0),MATCH('Selection Pane Data'!BZ$3,List!$E$2:$CD$2,0)),"")</f>
        <v/>
      </c>
      <c r="CA57" s="13" t="str">
        <f>IF(CA$4="Yes",INDEX(List!$E$2:$CD$173,MATCH('Selection Pane Data'!$B57,List!$E$2:$E$173,0),MATCH('Selection Pane Data'!CA$3,List!$E$2:$CD$2,0)),"")</f>
        <v/>
      </c>
      <c r="CB57" s="13" t="str">
        <f>IF(CB$4="Yes",INDEX(List!$E$2:$CD$173,MATCH('Selection Pane Data'!$B57,List!$E$2:$E$173,0),MATCH('Selection Pane Data'!CB$3,List!$E$2:$CD$2,0)),"")</f>
        <v/>
      </c>
      <c r="CC57" s="13" t="str">
        <f>IF(CC$4="Yes",INDEX(List!$E$2:$CD$173,MATCH('Selection Pane Data'!$B57,List!$E$2:$E$173,0),MATCH('Selection Pane Data'!CC$3,List!$E$2:$CD$2,0)),"")</f>
        <v/>
      </c>
      <c r="CD57" s="13" t="str">
        <f>IF(CD$4="Yes",INDEX(List!$E$2:$CD$173,MATCH('Selection Pane Data'!$B57,List!$E$2:$E$173,0),MATCH('Selection Pane Data'!CD$3,List!$E$2:$CD$2,0)),"")</f>
        <v/>
      </c>
      <c r="CE57" s="13" t="str">
        <f>IF(CE$4="Yes",INDEX(List!$E$2:$CD$173,MATCH('Selection Pane Data'!$B57,List!$E$2:$E$173,0),MATCH('Selection Pane Data'!CE$3,List!$E$2:$CD$2,0)),"")</f>
        <v/>
      </c>
    </row>
    <row r="58" spans="2:83" x14ac:dyDescent="0.35">
      <c r="B58" s="21" t="s">
        <v>345</v>
      </c>
      <c r="C58" s="126" t="str">
        <f>VLOOKUP(B58,List!$E$2:$G$173,2,FALSE)</f>
        <v>CA.L3-4</v>
      </c>
      <c r="D58" s="31" t="str">
        <f>List!G56</f>
        <v>Not Applicable</v>
      </c>
      <c r="E58" s="31" t="str">
        <f>IF(Placemat!$F$4="All Practices","All Practices",IF(VLOOKUP(B58,Table7[#All],6,FALSE)="No Mapping","New CMMC Practices","Practices with NIST 800-171 Mappings"))</f>
        <v>Practices with NIST 800-171 Mappings</v>
      </c>
      <c r="F58" t="str">
        <f>INDEX('CMMC Levels'!$A$1:$F$172,MATCH('Selection Pane Data'!$C58,'CMMC Levels'!$A$1:$A$172,0),MATCH(Placemat!$F$4,'CMMC Levels'!$A$1:$F$1,0))</f>
        <v>N/A</v>
      </c>
      <c r="G58" s="77" t="str">
        <f>IF((COUNTIF(List!H56:CE56,"P")+COUNTIF(List!H56:CE56,"S"))=0,"N",IF(COUNTIF(H58:CE58,"P"),"P",IF(COUNTIF(H58:CE58,"S"),"S","U")))</f>
        <v>N</v>
      </c>
      <c r="H58" s="13" t="str">
        <f>IF(H$4="Yes",INDEX(List!$E$2:$CD$173,MATCH('Selection Pane Data'!$B58,List!$E$2:$E$173,0),MATCH('Selection Pane Data'!H$3,List!$E$2:$CD$2,0)),"")</f>
        <v/>
      </c>
      <c r="I58" s="13" t="str">
        <f>IF(I$4="Yes",INDEX(List!$E$2:$CD$173,MATCH('Selection Pane Data'!$B58,List!$E$2:$E$173,0),MATCH('Selection Pane Data'!I$3,List!$E$2:$CD$2,0)),"")</f>
        <v/>
      </c>
      <c r="J58" s="13" t="str">
        <f>IF(J$4="Yes",INDEX(List!$E$2:$CD$173,MATCH('Selection Pane Data'!$B58,List!$E$2:$E$173,0),MATCH('Selection Pane Data'!J$3,List!$E$2:$CD$2,0)),"")</f>
        <v>N</v>
      </c>
      <c r="K58" s="13" t="str">
        <f>IF(K$4="Yes",INDEX(List!$E$2:$CD$173,MATCH('Selection Pane Data'!$B58,List!$E$2:$E$173,0),MATCH('Selection Pane Data'!K$3,List!$E$2:$CD$2,0)),"")</f>
        <v/>
      </c>
      <c r="L58" s="13" t="str">
        <f>IF(L$4="Yes",INDEX(List!$E$2:$CD$173,MATCH('Selection Pane Data'!$B58,List!$E$2:$E$173,0),MATCH('Selection Pane Data'!L$3,List!$E$2:$CD$2,0)),"")</f>
        <v/>
      </c>
      <c r="M58" s="13" t="str">
        <f>IF(M$4="Yes",INDEX(List!$E$2:$CD$173,MATCH('Selection Pane Data'!$B58,List!$E$2:$E$173,0),MATCH('Selection Pane Data'!M$3,List!$E$2:$CD$2,0)),"")</f>
        <v/>
      </c>
      <c r="N58" s="13" t="str">
        <f>IF(N$4="Yes",INDEX(List!$E$2:$CD$173,MATCH('Selection Pane Data'!$B58,List!$E$2:$E$173,0),MATCH('Selection Pane Data'!N$3,List!$E$2:$CD$2,0)),"")</f>
        <v/>
      </c>
      <c r="O58" s="13" t="str">
        <f>IF(O$4="Yes",INDEX(List!$E$2:$CD$173,MATCH('Selection Pane Data'!$B58,List!$E$2:$E$173,0),MATCH('Selection Pane Data'!O$3,List!$E$2:$CD$2,0)),"")</f>
        <v/>
      </c>
      <c r="P58" s="13" t="str">
        <f>IF(P$4="Yes",INDEX(List!$E$2:$CD$173,MATCH('Selection Pane Data'!$B58,List!$E$2:$E$173,0),MATCH('Selection Pane Data'!P$3,List!$E$2:$CD$2,0)),"")</f>
        <v/>
      </c>
      <c r="Q58" s="13" t="str">
        <f>IF(Q$4="Yes",INDEX(List!$E$2:$CD$173,MATCH('Selection Pane Data'!$B58,List!$E$2:$E$173,0),MATCH('Selection Pane Data'!Q$3,List!$E$2:$CD$2,0)),"")</f>
        <v/>
      </c>
      <c r="R58" s="13" t="str">
        <f>IF(R$4="Yes",INDEX(List!$E$2:$CD$173,MATCH('Selection Pane Data'!$B58,List!$E$2:$E$173,0),MATCH('Selection Pane Data'!R$3,List!$E$2:$CD$2,0)),"")</f>
        <v/>
      </c>
      <c r="S58" s="13" t="str">
        <f>IF(S$4="Yes",INDEX(List!$E$2:$CD$173,MATCH('Selection Pane Data'!$B58,List!$E$2:$E$173,0),MATCH('Selection Pane Data'!S$3,List!$E$2:$CD$2,0)),"")</f>
        <v/>
      </c>
      <c r="T58" s="13" t="str">
        <f>IF(T$4="Yes",INDEX(List!$E$2:$CD$173,MATCH('Selection Pane Data'!$B58,List!$E$2:$E$173,0),MATCH('Selection Pane Data'!T$3,List!$E$2:$CD$2,0)),"")</f>
        <v/>
      </c>
      <c r="U58" s="13" t="str">
        <f>IF(U$4="Yes",INDEX(List!$E$2:$CD$173,MATCH('Selection Pane Data'!$B58,List!$E$2:$E$173,0),MATCH('Selection Pane Data'!U$3,List!$E$2:$CD$2,0)),"")</f>
        <v/>
      </c>
      <c r="V58" s="13" t="str">
        <f>IF(V$4="Yes",INDEX(List!$E$2:$CD$173,MATCH('Selection Pane Data'!$B58,List!$E$2:$E$173,0),MATCH('Selection Pane Data'!V$3,List!$E$2:$CD$2,0)),"")</f>
        <v/>
      </c>
      <c r="W58" s="13" t="str">
        <f>IF(W$4="Yes",INDEX(List!$E$2:$CD$173,MATCH('Selection Pane Data'!$B58,List!$E$2:$E$173,0),MATCH('Selection Pane Data'!W$3,List!$E$2:$CD$2,0)),"")</f>
        <v/>
      </c>
      <c r="X58" s="13" t="str">
        <f>IF(X$4="Yes",INDEX(List!$E$2:$CD$173,MATCH('Selection Pane Data'!$B58,List!$E$2:$E$173,0),MATCH('Selection Pane Data'!X$3,List!$E$2:$CD$2,0)),"")</f>
        <v/>
      </c>
      <c r="Y58" s="13" t="str">
        <f>IF(Y$4="Yes",INDEX(List!$E$2:$CD$173,MATCH('Selection Pane Data'!$B58,List!$E$2:$E$173,0),MATCH('Selection Pane Data'!Y$3,List!$E$2:$CD$2,0)),"")</f>
        <v/>
      </c>
      <c r="Z58" s="13" t="str">
        <f>IF(Z$4="Yes",INDEX(List!$E$2:$CD$173,MATCH('Selection Pane Data'!$B58,List!$E$2:$E$173,0),MATCH('Selection Pane Data'!Z$3,List!$E$2:$CD$2,0)),"")</f>
        <v/>
      </c>
      <c r="AA58" s="13" t="str">
        <f>IF(AA$4="Yes",INDEX(List!$E$2:$CD$173,MATCH('Selection Pane Data'!$B58,List!$E$2:$E$173,0),MATCH('Selection Pane Data'!AA$3,List!$E$2:$CD$2,0)),"")</f>
        <v>N</v>
      </c>
      <c r="AB58" s="13" t="str">
        <f>IF(AB$4="Yes",INDEX(List!$E$2:$CD$173,MATCH('Selection Pane Data'!$B58,List!$E$2:$E$173,0),MATCH('Selection Pane Data'!AB$3,List!$E$2:$CD$2,0)),"")</f>
        <v/>
      </c>
      <c r="AC58" s="13" t="str">
        <f>IF(AC$4="Yes",INDEX(List!$E$2:$CD$173,MATCH('Selection Pane Data'!$B58,List!$E$2:$E$173,0),MATCH('Selection Pane Data'!AC$3,List!$E$2:$CD$2,0)),"")</f>
        <v/>
      </c>
      <c r="AD58" s="13" t="str">
        <f>IF(AD$4="Yes",INDEX(List!$E$2:$CD$173,MATCH('Selection Pane Data'!$B58,List!$E$2:$E$173,0),MATCH('Selection Pane Data'!AD$3,List!$E$2:$CD$2,0)),"")</f>
        <v/>
      </c>
      <c r="AE58" s="13" t="str">
        <f>IF(AE$4="Yes",INDEX(List!$E$2:$CD$173,MATCH('Selection Pane Data'!$B58,List!$E$2:$E$173,0),MATCH('Selection Pane Data'!AE$3,List!$E$2:$CD$2,0)),"")</f>
        <v/>
      </c>
      <c r="AF58" s="13" t="str">
        <f>IF(AF$4="Yes",INDEX(List!$E$2:$CD$173,MATCH('Selection Pane Data'!$B58,List!$E$2:$E$173,0),MATCH('Selection Pane Data'!AF$3,List!$E$2:$CD$2,0)),"")</f>
        <v/>
      </c>
      <c r="AG58" s="13" t="str">
        <f>IF(AG$4="Yes",INDEX(List!$E$2:$CD$173,MATCH('Selection Pane Data'!$B58,List!$E$2:$E$173,0),MATCH('Selection Pane Data'!AG$3,List!$E$2:$CD$2,0)),"")</f>
        <v/>
      </c>
      <c r="AH58" s="13" t="str">
        <f>IF(AH$4="Yes",INDEX(List!$E$2:$CD$173,MATCH('Selection Pane Data'!$B58,List!$E$2:$E$173,0),MATCH('Selection Pane Data'!AH$3,List!$E$2:$CD$2,0)),"")</f>
        <v/>
      </c>
      <c r="AI58" s="13" t="str">
        <f>IF(AI$4="Yes",INDEX(List!$E$2:$CD$173,MATCH('Selection Pane Data'!$B58,List!$E$2:$E$173,0),MATCH('Selection Pane Data'!AI$3,List!$E$2:$CD$2,0)),"")</f>
        <v/>
      </c>
      <c r="AJ58" s="13" t="str">
        <f>IF(AJ$4="Yes",INDEX(List!$E$2:$CD$173,MATCH('Selection Pane Data'!$B58,List!$E$2:$E$173,0),MATCH('Selection Pane Data'!AJ$3,List!$E$2:$CD$2,0)),"")</f>
        <v/>
      </c>
      <c r="AK58" s="13" t="str">
        <f>IF(AK$4="Yes",INDEX(List!$E$2:$CD$173,MATCH('Selection Pane Data'!$B58,List!$E$2:$E$173,0),MATCH('Selection Pane Data'!AK$3,List!$E$2:$CD$2,0)),"")</f>
        <v/>
      </c>
      <c r="AL58" s="13" t="str">
        <f>IF(AL$4="Yes",INDEX(List!$E$2:$CD$173,MATCH('Selection Pane Data'!$B58,List!$E$2:$E$173,0),MATCH('Selection Pane Data'!AL$3,List!$E$2:$CD$2,0)),"")</f>
        <v/>
      </c>
      <c r="AM58" s="13" t="str">
        <f>IF(AM$4="Yes",INDEX(List!$E$2:$CD$173,MATCH('Selection Pane Data'!$B58,List!$E$2:$E$173,0),MATCH('Selection Pane Data'!AM$3,List!$E$2:$CD$2,0)),"")</f>
        <v/>
      </c>
      <c r="AN58" s="13" t="str">
        <f>IF(AN$4="Yes",INDEX(List!$E$2:$CD$173,MATCH('Selection Pane Data'!$B58,List!$E$2:$E$173,0),MATCH('Selection Pane Data'!AN$3,List!$E$2:$CD$2,0)),"")</f>
        <v/>
      </c>
      <c r="AO58" s="13" t="str">
        <f>IF(AO$4="Yes",INDEX(List!$E$2:$CD$173,MATCH('Selection Pane Data'!$B58,List!$E$2:$E$173,0),MATCH('Selection Pane Data'!AO$3,List!$E$2:$CD$2,0)),"")</f>
        <v/>
      </c>
      <c r="AP58" s="13" t="str">
        <f>IF(AP$4="Yes",INDEX(List!$E$2:$CD$173,MATCH('Selection Pane Data'!$B58,List!$E$2:$E$173,0),MATCH('Selection Pane Data'!AP$3,List!$E$2:$CD$2,0)),"")</f>
        <v/>
      </c>
      <c r="AQ58" s="13" t="str">
        <f>IF(AQ$4="Yes",INDEX(List!$E$2:$CD$173,MATCH('Selection Pane Data'!$B58,List!$E$2:$E$173,0),MATCH('Selection Pane Data'!AQ$3,List!$E$2:$CD$2,0)),"")</f>
        <v/>
      </c>
      <c r="AR58" s="13" t="str">
        <f>IF(AR$4="Yes",INDEX(List!$E$2:$CD$173,MATCH('Selection Pane Data'!$B58,List!$E$2:$E$173,0),MATCH('Selection Pane Data'!AR$3,List!$E$2:$CD$2,0)),"")</f>
        <v/>
      </c>
      <c r="AS58" s="13" t="str">
        <f>IF(AS$4="Yes",INDEX(List!$E$2:$CD$173,MATCH('Selection Pane Data'!$B58,List!$E$2:$E$173,0),MATCH('Selection Pane Data'!AS$3,List!$E$2:$CD$2,0)),"")</f>
        <v/>
      </c>
      <c r="AT58" s="13" t="str">
        <f>IF(AT$4="Yes",INDEX(List!$E$2:$CD$173,MATCH('Selection Pane Data'!$B58,List!$E$2:$E$173,0),MATCH('Selection Pane Data'!AT$3,List!$E$2:$CD$2,0)),"")</f>
        <v/>
      </c>
      <c r="AU58" s="13" t="str">
        <f>IF(AU$4="Yes",INDEX(List!$E$2:$CD$173,MATCH('Selection Pane Data'!$B58,List!$E$2:$E$173,0),MATCH('Selection Pane Data'!AU$3,List!$E$2:$CD$2,0)),"")</f>
        <v/>
      </c>
      <c r="AV58" s="13" t="str">
        <f>IF(AV$4="Yes",INDEX(List!$E$2:$CD$173,MATCH('Selection Pane Data'!$B58,List!$E$2:$E$173,0),MATCH('Selection Pane Data'!AV$3,List!$E$2:$CD$2,0)),"")</f>
        <v/>
      </c>
      <c r="AW58" s="13" t="str">
        <f>IF(AW$4="Yes",INDEX(List!$E$2:$CD$173,MATCH('Selection Pane Data'!$B58,List!$E$2:$E$173,0),MATCH('Selection Pane Data'!AW$3,List!$E$2:$CD$2,0)),"")</f>
        <v/>
      </c>
      <c r="AX58" s="13" t="str">
        <f>IF(AX$4="Yes",INDEX(List!$E$2:$CD$173,MATCH('Selection Pane Data'!$B58,List!$E$2:$E$173,0),MATCH('Selection Pane Data'!AX$3,List!$E$2:$CD$2,0)),"")</f>
        <v/>
      </c>
      <c r="AY58" s="13" t="str">
        <f>IF(AY$4="Yes",INDEX(List!$E$2:$CD$173,MATCH('Selection Pane Data'!$B58,List!$E$2:$E$173,0),MATCH('Selection Pane Data'!AY$3,List!$E$2:$CD$2,0)),"")</f>
        <v/>
      </c>
      <c r="AZ58" s="13" t="str">
        <f>IF(AZ$4="Yes",INDEX(List!$E$2:$CD$173,MATCH('Selection Pane Data'!$B58,List!$E$2:$E$173,0),MATCH('Selection Pane Data'!AZ$3,List!$E$2:$CD$2,0)),"")</f>
        <v/>
      </c>
      <c r="BA58" s="13" t="str">
        <f>IF(BA$4="Yes",INDEX(List!$E$2:$CD$173,MATCH('Selection Pane Data'!$B58,List!$E$2:$E$173,0),MATCH('Selection Pane Data'!BA$3,List!$E$2:$CD$2,0)),"")</f>
        <v/>
      </c>
      <c r="BB58" s="13" t="str">
        <f>IF(BB$4="Yes",INDEX(List!$E$2:$CD$173,MATCH('Selection Pane Data'!$B58,List!$E$2:$E$173,0),MATCH('Selection Pane Data'!BB$3,List!$E$2:$CD$2,0)),"")</f>
        <v/>
      </c>
      <c r="BC58" s="13" t="str">
        <f>IF(BC$4="Yes",INDEX(List!$E$2:$CD$173,MATCH('Selection Pane Data'!$B58,List!$E$2:$E$173,0),MATCH('Selection Pane Data'!BC$3,List!$E$2:$CD$2,0)),"")</f>
        <v/>
      </c>
      <c r="BD58" s="13" t="str">
        <f>IF(BD$4="Yes",INDEX(List!$E$2:$CD$173,MATCH('Selection Pane Data'!$B58,List!$E$2:$E$173,0),MATCH('Selection Pane Data'!BD$3,List!$E$2:$CD$2,0)),"")</f>
        <v/>
      </c>
      <c r="BE58" s="13" t="str">
        <f>IF(BE$4="Yes",INDEX(List!$E$2:$CD$173,MATCH('Selection Pane Data'!$B58,List!$E$2:$E$173,0),MATCH('Selection Pane Data'!BE$3,List!$E$2:$CD$2,0)),"")</f>
        <v/>
      </c>
      <c r="BF58" s="13" t="str">
        <f>IF(BF$4="Yes",INDEX(List!$E$2:$CD$173,MATCH('Selection Pane Data'!$B58,List!$E$2:$E$173,0),MATCH('Selection Pane Data'!BF$3,List!$E$2:$CD$2,0)),"")</f>
        <v/>
      </c>
      <c r="BG58" s="13" t="str">
        <f>IF(BG$4="Yes",INDEX(List!$E$2:$CD$173,MATCH('Selection Pane Data'!$B58,List!$E$2:$E$173,0),MATCH('Selection Pane Data'!BG$3,List!$E$2:$CD$2,0)),"")</f>
        <v/>
      </c>
      <c r="BH58" s="13" t="str">
        <f>IF(BH$4="Yes",INDEX(List!$E$2:$CD$173,MATCH('Selection Pane Data'!$B58,List!$E$2:$E$173,0),MATCH('Selection Pane Data'!BH$3,List!$E$2:$CD$2,0)),"")</f>
        <v/>
      </c>
      <c r="BI58" s="13" t="str">
        <f>IF(BI$4="Yes",INDEX(List!$E$2:$CD$173,MATCH('Selection Pane Data'!$B58,List!$E$2:$E$173,0),MATCH('Selection Pane Data'!BI$3,List!$E$2:$CD$2,0)),"")</f>
        <v/>
      </c>
      <c r="BJ58" s="13" t="str">
        <f>IF(BJ$4="Yes",INDEX(List!$E$2:$CD$173,MATCH('Selection Pane Data'!$B58,List!$E$2:$E$173,0),MATCH('Selection Pane Data'!BJ$3,List!$E$2:$CD$2,0)),"")</f>
        <v/>
      </c>
      <c r="BK58" s="13" t="str">
        <f>IF(BK$4="Yes",INDEX(List!$E$2:$CD$173,MATCH('Selection Pane Data'!$B58,List!$E$2:$E$173,0),MATCH('Selection Pane Data'!BK$3,List!$E$2:$CD$2,0)),"")</f>
        <v/>
      </c>
      <c r="BL58" s="13" t="str">
        <f>IF(BL$4="Yes",INDEX(List!$E$2:$CD$173,MATCH('Selection Pane Data'!$B58,List!$E$2:$E$173,0),MATCH('Selection Pane Data'!BL$3,List!$E$2:$CD$2,0)),"")</f>
        <v/>
      </c>
      <c r="BM58" s="13" t="str">
        <f>IF(BM$4="Yes",INDEX(List!$E$2:$CD$173,MATCH('Selection Pane Data'!$B58,List!$E$2:$E$173,0),MATCH('Selection Pane Data'!BM$3,List!$E$2:$CD$2,0)),"")</f>
        <v/>
      </c>
      <c r="BN58" s="13" t="str">
        <f>IF(BN$4="Yes",INDEX(List!$E$2:$CD$173,MATCH('Selection Pane Data'!$B58,List!$E$2:$E$173,0),MATCH('Selection Pane Data'!BN$3,List!$E$2:$CD$2,0)),"")</f>
        <v/>
      </c>
      <c r="BO58" s="13" t="str">
        <f>IF(BO$4="Yes",INDEX(List!$E$2:$CD$173,MATCH('Selection Pane Data'!$B58,List!$E$2:$E$173,0),MATCH('Selection Pane Data'!BO$3,List!$E$2:$CD$2,0)),"")</f>
        <v/>
      </c>
      <c r="BP58" s="13" t="str">
        <f>IF(BP$4="Yes",INDEX(List!$E$2:$CD$173,MATCH('Selection Pane Data'!$B58,List!$E$2:$E$173,0),MATCH('Selection Pane Data'!BP$3,List!$E$2:$CD$2,0)),"")</f>
        <v/>
      </c>
      <c r="BQ58" s="13" t="str">
        <f>IF(BQ$4="Yes",INDEX(List!$E$2:$CD$173,MATCH('Selection Pane Data'!$B58,List!$E$2:$E$173,0),MATCH('Selection Pane Data'!BQ$3,List!$E$2:$CD$2,0)),"")</f>
        <v/>
      </c>
      <c r="BR58" s="13" t="str">
        <f>IF(BR$4="Yes",INDEX(List!$E$2:$CD$173,MATCH('Selection Pane Data'!$B58,List!$E$2:$E$173,0),MATCH('Selection Pane Data'!BR$3,List!$E$2:$CD$2,0)),"")</f>
        <v/>
      </c>
      <c r="BS58" s="13" t="str">
        <f>IF(BS$4="Yes",INDEX(List!$E$2:$CD$173,MATCH('Selection Pane Data'!$B58,List!$E$2:$E$173,0),MATCH('Selection Pane Data'!BS$3,List!$E$2:$CD$2,0)),"")</f>
        <v/>
      </c>
      <c r="BT58" s="13" t="str">
        <f>IF(BT$4="Yes",INDEX(List!$E$2:$CD$173,MATCH('Selection Pane Data'!$B58,List!$E$2:$E$173,0),MATCH('Selection Pane Data'!BT$3,List!$E$2:$CD$2,0)),"")</f>
        <v/>
      </c>
      <c r="BU58" s="13" t="str">
        <f>IF(BU$4="Yes",INDEX(List!$E$2:$CD$173,MATCH('Selection Pane Data'!$B58,List!$E$2:$E$173,0),MATCH('Selection Pane Data'!BU$3,List!$E$2:$CD$2,0)),"")</f>
        <v/>
      </c>
      <c r="BV58" s="13" t="str">
        <f>IF(BV$4="Yes",INDEX(List!$E$2:$CD$173,MATCH('Selection Pane Data'!$B58,List!$E$2:$E$173,0),MATCH('Selection Pane Data'!BV$3,List!$E$2:$CD$2,0)),"")</f>
        <v/>
      </c>
      <c r="BW58" s="13" t="str">
        <f>IF(BW$4="Yes",INDEX(List!$E$2:$CD$173,MATCH('Selection Pane Data'!$B58,List!$E$2:$E$173,0),MATCH('Selection Pane Data'!BW$3,List!$E$2:$CD$2,0)),"")</f>
        <v/>
      </c>
      <c r="BX58" s="13" t="str">
        <f>IF(BX$4="Yes",INDEX(List!$E$2:$CD$173,MATCH('Selection Pane Data'!$B58,List!$E$2:$E$173,0),MATCH('Selection Pane Data'!BX$3,List!$E$2:$CD$2,0)),"")</f>
        <v/>
      </c>
      <c r="BY58" s="13" t="str">
        <f>IF(BY$4="Yes",INDEX(List!$E$2:$CD$173,MATCH('Selection Pane Data'!$B58,List!$E$2:$E$173,0),MATCH('Selection Pane Data'!BY$3,List!$E$2:$CD$2,0)),"")</f>
        <v/>
      </c>
      <c r="BZ58" s="13" t="str">
        <f>IF(BZ$4="Yes",INDEX(List!$E$2:$CD$173,MATCH('Selection Pane Data'!$B58,List!$E$2:$E$173,0),MATCH('Selection Pane Data'!BZ$3,List!$E$2:$CD$2,0)),"")</f>
        <v/>
      </c>
      <c r="CA58" s="13" t="str">
        <f>IF(CA$4="Yes",INDEX(List!$E$2:$CD$173,MATCH('Selection Pane Data'!$B58,List!$E$2:$E$173,0),MATCH('Selection Pane Data'!CA$3,List!$E$2:$CD$2,0)),"")</f>
        <v/>
      </c>
      <c r="CB58" s="13" t="str">
        <f>IF(CB$4="Yes",INDEX(List!$E$2:$CD$173,MATCH('Selection Pane Data'!$B58,List!$E$2:$E$173,0),MATCH('Selection Pane Data'!CB$3,List!$E$2:$CD$2,0)),"")</f>
        <v/>
      </c>
      <c r="CC58" s="13" t="str">
        <f>IF(CC$4="Yes",INDEX(List!$E$2:$CD$173,MATCH('Selection Pane Data'!$B58,List!$E$2:$E$173,0),MATCH('Selection Pane Data'!CC$3,List!$E$2:$CD$2,0)),"")</f>
        <v/>
      </c>
      <c r="CD58" s="13" t="str">
        <f>IF(CD$4="Yes",INDEX(List!$E$2:$CD$173,MATCH('Selection Pane Data'!$B58,List!$E$2:$E$173,0),MATCH('Selection Pane Data'!CD$3,List!$E$2:$CD$2,0)),"")</f>
        <v/>
      </c>
      <c r="CE58" s="13" t="str">
        <f>IF(CE$4="Yes",INDEX(List!$E$2:$CD$173,MATCH('Selection Pane Data'!$B58,List!$E$2:$E$173,0),MATCH('Selection Pane Data'!CE$3,List!$E$2:$CD$2,0)),"")</f>
        <v/>
      </c>
    </row>
    <row r="59" spans="2:83" x14ac:dyDescent="0.35">
      <c r="B59" s="21" t="s">
        <v>346</v>
      </c>
      <c r="C59" s="126" t="str">
        <f>VLOOKUP(B59,List!$E$2:$G$173,2,FALSE)</f>
        <v>N/A</v>
      </c>
      <c r="D59" s="31" t="str">
        <f>List!G57</f>
        <v>Not Applicable</v>
      </c>
      <c r="E59" s="31" t="str">
        <f>IF(Placemat!$F$4="All Practices","All Practices",IF(VLOOKUP(B59,Table7[#All],6,FALSE)="No Mapping","New CMMC Practices","Practices with NIST 800-171 Mappings"))</f>
        <v>Practices with NIST 800-171 Mappings</v>
      </c>
      <c r="F59" t="str">
        <f>INDEX('CMMC Levels'!$A$1:$F$172,MATCH('Selection Pane Data'!$C59,'CMMC Levels'!$A$1:$A$172,0),MATCH(Placemat!$F$4,'CMMC Levels'!$A$1:$F$1,0))</f>
        <v>N/A</v>
      </c>
      <c r="G59" s="77" t="str">
        <f>IF((COUNTIF(List!H57:CE57,"P")+COUNTIF(List!H57:CE57,"S"))=0,"N",IF(COUNTIF(H59:CE59,"P"),"P",IF(COUNTIF(H59:CE59,"S"),"S","U")))</f>
        <v>N</v>
      </c>
      <c r="H59" s="13" t="str">
        <f>IF(H$4="Yes",INDEX(List!$E$2:$CD$173,MATCH('Selection Pane Data'!$B59,List!$E$2:$E$173,0),MATCH('Selection Pane Data'!H$3,List!$E$2:$CD$2,0)),"")</f>
        <v/>
      </c>
      <c r="I59" s="13" t="str">
        <f>IF(I$4="Yes",INDEX(List!$E$2:$CD$173,MATCH('Selection Pane Data'!$B59,List!$E$2:$E$173,0),MATCH('Selection Pane Data'!I$3,List!$E$2:$CD$2,0)),"")</f>
        <v/>
      </c>
      <c r="J59" s="13" t="e">
        <f>IF(J$4="Yes",INDEX(List!$E$2:$CD$173,MATCH('Selection Pane Data'!$B59,List!$E$2:$E$173,0),MATCH('Selection Pane Data'!J$3,List!$E$2:$CD$2,0)),"")</f>
        <v>#N/A</v>
      </c>
      <c r="K59" s="13" t="str">
        <f>IF(K$4="Yes",INDEX(List!$E$2:$CD$173,MATCH('Selection Pane Data'!$B59,List!$E$2:$E$173,0),MATCH('Selection Pane Data'!K$3,List!$E$2:$CD$2,0)),"")</f>
        <v/>
      </c>
      <c r="L59" s="13" t="str">
        <f>IF(L$4="Yes",INDEX(List!$E$2:$CD$173,MATCH('Selection Pane Data'!$B59,List!$E$2:$E$173,0),MATCH('Selection Pane Data'!L$3,List!$E$2:$CD$2,0)),"")</f>
        <v/>
      </c>
      <c r="M59" s="13" t="str">
        <f>IF(M$4="Yes",INDEX(List!$E$2:$CD$173,MATCH('Selection Pane Data'!$B59,List!$E$2:$E$173,0),MATCH('Selection Pane Data'!M$3,List!$E$2:$CD$2,0)),"")</f>
        <v/>
      </c>
      <c r="N59" s="13" t="str">
        <f>IF(N$4="Yes",INDEX(List!$E$2:$CD$173,MATCH('Selection Pane Data'!$B59,List!$E$2:$E$173,0),MATCH('Selection Pane Data'!N$3,List!$E$2:$CD$2,0)),"")</f>
        <v/>
      </c>
      <c r="O59" s="13" t="str">
        <f>IF(O$4="Yes",INDEX(List!$E$2:$CD$173,MATCH('Selection Pane Data'!$B59,List!$E$2:$E$173,0),MATCH('Selection Pane Data'!O$3,List!$E$2:$CD$2,0)),"")</f>
        <v/>
      </c>
      <c r="P59" s="13" t="str">
        <f>IF(P$4="Yes",INDEX(List!$E$2:$CD$173,MATCH('Selection Pane Data'!$B59,List!$E$2:$E$173,0),MATCH('Selection Pane Data'!P$3,List!$E$2:$CD$2,0)),"")</f>
        <v/>
      </c>
      <c r="Q59" s="13" t="str">
        <f>IF(Q$4="Yes",INDEX(List!$E$2:$CD$173,MATCH('Selection Pane Data'!$B59,List!$E$2:$E$173,0),MATCH('Selection Pane Data'!Q$3,List!$E$2:$CD$2,0)),"")</f>
        <v/>
      </c>
      <c r="R59" s="13" t="str">
        <f>IF(R$4="Yes",INDEX(List!$E$2:$CD$173,MATCH('Selection Pane Data'!$B59,List!$E$2:$E$173,0),MATCH('Selection Pane Data'!R$3,List!$E$2:$CD$2,0)),"")</f>
        <v/>
      </c>
      <c r="S59" s="13" t="str">
        <f>IF(S$4="Yes",INDEX(List!$E$2:$CD$173,MATCH('Selection Pane Data'!$B59,List!$E$2:$E$173,0),MATCH('Selection Pane Data'!S$3,List!$E$2:$CD$2,0)),"")</f>
        <v/>
      </c>
      <c r="T59" s="13" t="str">
        <f>IF(T$4="Yes",INDEX(List!$E$2:$CD$173,MATCH('Selection Pane Data'!$B59,List!$E$2:$E$173,0),MATCH('Selection Pane Data'!T$3,List!$E$2:$CD$2,0)),"")</f>
        <v/>
      </c>
      <c r="U59" s="13" t="str">
        <f>IF(U$4="Yes",INDEX(List!$E$2:$CD$173,MATCH('Selection Pane Data'!$B59,List!$E$2:$E$173,0),MATCH('Selection Pane Data'!U$3,List!$E$2:$CD$2,0)),"")</f>
        <v/>
      </c>
      <c r="V59" s="13" t="str">
        <f>IF(V$4="Yes",INDEX(List!$E$2:$CD$173,MATCH('Selection Pane Data'!$B59,List!$E$2:$E$173,0),MATCH('Selection Pane Data'!V$3,List!$E$2:$CD$2,0)),"")</f>
        <v/>
      </c>
      <c r="W59" s="13" t="str">
        <f>IF(W$4="Yes",INDEX(List!$E$2:$CD$173,MATCH('Selection Pane Data'!$B59,List!$E$2:$E$173,0),MATCH('Selection Pane Data'!W$3,List!$E$2:$CD$2,0)),"")</f>
        <v/>
      </c>
      <c r="X59" s="13" t="str">
        <f>IF(X$4="Yes",INDEX(List!$E$2:$CD$173,MATCH('Selection Pane Data'!$B59,List!$E$2:$E$173,0),MATCH('Selection Pane Data'!X$3,List!$E$2:$CD$2,0)),"")</f>
        <v/>
      </c>
      <c r="Y59" s="13" t="str">
        <f>IF(Y$4="Yes",INDEX(List!$E$2:$CD$173,MATCH('Selection Pane Data'!$B59,List!$E$2:$E$173,0),MATCH('Selection Pane Data'!Y$3,List!$E$2:$CD$2,0)),"")</f>
        <v/>
      </c>
      <c r="Z59" s="13" t="str">
        <f>IF(Z$4="Yes",INDEX(List!$E$2:$CD$173,MATCH('Selection Pane Data'!$B59,List!$E$2:$E$173,0),MATCH('Selection Pane Data'!Z$3,List!$E$2:$CD$2,0)),"")</f>
        <v/>
      </c>
      <c r="AA59" s="13" t="e">
        <f>IF(AA$4="Yes",INDEX(List!$E$2:$CD$173,MATCH('Selection Pane Data'!$B59,List!$E$2:$E$173,0),MATCH('Selection Pane Data'!AA$3,List!$E$2:$CD$2,0)),"")</f>
        <v>#N/A</v>
      </c>
      <c r="AB59" s="13" t="str">
        <f>IF(AB$4="Yes",INDEX(List!$E$2:$CD$173,MATCH('Selection Pane Data'!$B59,List!$E$2:$E$173,0),MATCH('Selection Pane Data'!AB$3,List!$E$2:$CD$2,0)),"")</f>
        <v/>
      </c>
      <c r="AC59" s="13" t="str">
        <f>IF(AC$4="Yes",INDEX(List!$E$2:$CD$173,MATCH('Selection Pane Data'!$B59,List!$E$2:$E$173,0),MATCH('Selection Pane Data'!AC$3,List!$E$2:$CD$2,0)),"")</f>
        <v/>
      </c>
      <c r="AD59" s="13" t="str">
        <f>IF(AD$4="Yes",INDEX(List!$E$2:$CD$173,MATCH('Selection Pane Data'!$B59,List!$E$2:$E$173,0),MATCH('Selection Pane Data'!AD$3,List!$E$2:$CD$2,0)),"")</f>
        <v/>
      </c>
      <c r="AE59" s="13" t="str">
        <f>IF(AE$4="Yes",INDEX(List!$E$2:$CD$173,MATCH('Selection Pane Data'!$B59,List!$E$2:$E$173,0),MATCH('Selection Pane Data'!AE$3,List!$E$2:$CD$2,0)),"")</f>
        <v/>
      </c>
      <c r="AF59" s="13" t="str">
        <f>IF(AF$4="Yes",INDEX(List!$E$2:$CD$173,MATCH('Selection Pane Data'!$B59,List!$E$2:$E$173,0),MATCH('Selection Pane Data'!AF$3,List!$E$2:$CD$2,0)),"")</f>
        <v/>
      </c>
      <c r="AG59" s="13" t="str">
        <f>IF(AG$4="Yes",INDEX(List!$E$2:$CD$173,MATCH('Selection Pane Data'!$B59,List!$E$2:$E$173,0),MATCH('Selection Pane Data'!AG$3,List!$E$2:$CD$2,0)),"")</f>
        <v/>
      </c>
      <c r="AH59" s="13" t="str">
        <f>IF(AH$4="Yes",INDEX(List!$E$2:$CD$173,MATCH('Selection Pane Data'!$B59,List!$E$2:$E$173,0),MATCH('Selection Pane Data'!AH$3,List!$E$2:$CD$2,0)),"")</f>
        <v/>
      </c>
      <c r="AI59" s="13" t="str">
        <f>IF(AI$4="Yes",INDEX(List!$E$2:$CD$173,MATCH('Selection Pane Data'!$B59,List!$E$2:$E$173,0),MATCH('Selection Pane Data'!AI$3,List!$E$2:$CD$2,0)),"")</f>
        <v/>
      </c>
      <c r="AJ59" s="13" t="str">
        <f>IF(AJ$4="Yes",INDEX(List!$E$2:$CD$173,MATCH('Selection Pane Data'!$B59,List!$E$2:$E$173,0),MATCH('Selection Pane Data'!AJ$3,List!$E$2:$CD$2,0)),"")</f>
        <v/>
      </c>
      <c r="AK59" s="13" t="str">
        <f>IF(AK$4="Yes",INDEX(List!$E$2:$CD$173,MATCH('Selection Pane Data'!$B59,List!$E$2:$E$173,0),MATCH('Selection Pane Data'!AK$3,List!$E$2:$CD$2,0)),"")</f>
        <v/>
      </c>
      <c r="AL59" s="13" t="str">
        <f>IF(AL$4="Yes",INDEX(List!$E$2:$CD$173,MATCH('Selection Pane Data'!$B59,List!$E$2:$E$173,0),MATCH('Selection Pane Data'!AL$3,List!$E$2:$CD$2,0)),"")</f>
        <v/>
      </c>
      <c r="AM59" s="13" t="str">
        <f>IF(AM$4="Yes",INDEX(List!$E$2:$CD$173,MATCH('Selection Pane Data'!$B59,List!$E$2:$E$173,0),MATCH('Selection Pane Data'!AM$3,List!$E$2:$CD$2,0)),"")</f>
        <v/>
      </c>
      <c r="AN59" s="13" t="str">
        <f>IF(AN$4="Yes",INDEX(List!$E$2:$CD$173,MATCH('Selection Pane Data'!$B59,List!$E$2:$E$173,0),MATCH('Selection Pane Data'!AN$3,List!$E$2:$CD$2,0)),"")</f>
        <v/>
      </c>
      <c r="AO59" s="13" t="str">
        <f>IF(AO$4="Yes",INDEX(List!$E$2:$CD$173,MATCH('Selection Pane Data'!$B59,List!$E$2:$E$173,0),MATCH('Selection Pane Data'!AO$3,List!$E$2:$CD$2,0)),"")</f>
        <v/>
      </c>
      <c r="AP59" s="13" t="str">
        <f>IF(AP$4="Yes",INDEX(List!$E$2:$CD$173,MATCH('Selection Pane Data'!$B59,List!$E$2:$E$173,0),MATCH('Selection Pane Data'!AP$3,List!$E$2:$CD$2,0)),"")</f>
        <v/>
      </c>
      <c r="AQ59" s="13" t="str">
        <f>IF(AQ$4="Yes",INDEX(List!$E$2:$CD$173,MATCH('Selection Pane Data'!$B59,List!$E$2:$E$173,0),MATCH('Selection Pane Data'!AQ$3,List!$E$2:$CD$2,0)),"")</f>
        <v/>
      </c>
      <c r="AR59" s="13" t="str">
        <f>IF(AR$4="Yes",INDEX(List!$E$2:$CD$173,MATCH('Selection Pane Data'!$B59,List!$E$2:$E$173,0),MATCH('Selection Pane Data'!AR$3,List!$E$2:$CD$2,0)),"")</f>
        <v/>
      </c>
      <c r="AS59" s="13" t="str">
        <f>IF(AS$4="Yes",INDEX(List!$E$2:$CD$173,MATCH('Selection Pane Data'!$B59,List!$E$2:$E$173,0),MATCH('Selection Pane Data'!AS$3,List!$E$2:$CD$2,0)),"")</f>
        <v/>
      </c>
      <c r="AT59" s="13" t="str">
        <f>IF(AT$4="Yes",INDEX(List!$E$2:$CD$173,MATCH('Selection Pane Data'!$B59,List!$E$2:$E$173,0),MATCH('Selection Pane Data'!AT$3,List!$E$2:$CD$2,0)),"")</f>
        <v/>
      </c>
      <c r="AU59" s="13" t="str">
        <f>IF(AU$4="Yes",INDEX(List!$E$2:$CD$173,MATCH('Selection Pane Data'!$B59,List!$E$2:$E$173,0),MATCH('Selection Pane Data'!AU$3,List!$E$2:$CD$2,0)),"")</f>
        <v/>
      </c>
      <c r="AV59" s="13" t="str">
        <f>IF(AV$4="Yes",INDEX(List!$E$2:$CD$173,MATCH('Selection Pane Data'!$B59,List!$E$2:$E$173,0),MATCH('Selection Pane Data'!AV$3,List!$E$2:$CD$2,0)),"")</f>
        <v/>
      </c>
      <c r="AW59" s="13" t="str">
        <f>IF(AW$4="Yes",INDEX(List!$E$2:$CD$173,MATCH('Selection Pane Data'!$B59,List!$E$2:$E$173,0),MATCH('Selection Pane Data'!AW$3,List!$E$2:$CD$2,0)),"")</f>
        <v/>
      </c>
      <c r="AX59" s="13" t="str">
        <f>IF(AX$4="Yes",INDEX(List!$E$2:$CD$173,MATCH('Selection Pane Data'!$B59,List!$E$2:$E$173,0),MATCH('Selection Pane Data'!AX$3,List!$E$2:$CD$2,0)),"")</f>
        <v/>
      </c>
      <c r="AY59" s="13" t="str">
        <f>IF(AY$4="Yes",INDEX(List!$E$2:$CD$173,MATCH('Selection Pane Data'!$B59,List!$E$2:$E$173,0),MATCH('Selection Pane Data'!AY$3,List!$E$2:$CD$2,0)),"")</f>
        <v/>
      </c>
      <c r="AZ59" s="13" t="str">
        <f>IF(AZ$4="Yes",INDEX(List!$E$2:$CD$173,MATCH('Selection Pane Data'!$B59,List!$E$2:$E$173,0),MATCH('Selection Pane Data'!AZ$3,List!$E$2:$CD$2,0)),"")</f>
        <v/>
      </c>
      <c r="BA59" s="13" t="str">
        <f>IF(BA$4="Yes",INDEX(List!$E$2:$CD$173,MATCH('Selection Pane Data'!$B59,List!$E$2:$E$173,0),MATCH('Selection Pane Data'!BA$3,List!$E$2:$CD$2,0)),"")</f>
        <v/>
      </c>
      <c r="BB59" s="13" t="str">
        <f>IF(BB$4="Yes",INDEX(List!$E$2:$CD$173,MATCH('Selection Pane Data'!$B59,List!$E$2:$E$173,0),MATCH('Selection Pane Data'!BB$3,List!$E$2:$CD$2,0)),"")</f>
        <v/>
      </c>
      <c r="BC59" s="13" t="str">
        <f>IF(BC$4="Yes",INDEX(List!$E$2:$CD$173,MATCH('Selection Pane Data'!$B59,List!$E$2:$E$173,0),MATCH('Selection Pane Data'!BC$3,List!$E$2:$CD$2,0)),"")</f>
        <v/>
      </c>
      <c r="BD59" s="13" t="str">
        <f>IF(BD$4="Yes",INDEX(List!$E$2:$CD$173,MATCH('Selection Pane Data'!$B59,List!$E$2:$E$173,0),MATCH('Selection Pane Data'!BD$3,List!$E$2:$CD$2,0)),"")</f>
        <v/>
      </c>
      <c r="BE59" s="13" t="str">
        <f>IF(BE$4="Yes",INDEX(List!$E$2:$CD$173,MATCH('Selection Pane Data'!$B59,List!$E$2:$E$173,0),MATCH('Selection Pane Data'!BE$3,List!$E$2:$CD$2,0)),"")</f>
        <v/>
      </c>
      <c r="BF59" s="13" t="str">
        <f>IF(BF$4="Yes",INDEX(List!$E$2:$CD$173,MATCH('Selection Pane Data'!$B59,List!$E$2:$E$173,0),MATCH('Selection Pane Data'!BF$3,List!$E$2:$CD$2,0)),"")</f>
        <v/>
      </c>
      <c r="BG59" s="13" t="str">
        <f>IF(BG$4="Yes",INDEX(List!$E$2:$CD$173,MATCH('Selection Pane Data'!$B59,List!$E$2:$E$173,0),MATCH('Selection Pane Data'!BG$3,List!$E$2:$CD$2,0)),"")</f>
        <v/>
      </c>
      <c r="BH59" s="13" t="str">
        <f>IF(BH$4="Yes",INDEX(List!$E$2:$CD$173,MATCH('Selection Pane Data'!$B59,List!$E$2:$E$173,0),MATCH('Selection Pane Data'!BH$3,List!$E$2:$CD$2,0)),"")</f>
        <v/>
      </c>
      <c r="BI59" s="13" t="str">
        <f>IF(BI$4="Yes",INDEX(List!$E$2:$CD$173,MATCH('Selection Pane Data'!$B59,List!$E$2:$E$173,0),MATCH('Selection Pane Data'!BI$3,List!$E$2:$CD$2,0)),"")</f>
        <v/>
      </c>
      <c r="BJ59" s="13" t="str">
        <f>IF(BJ$4="Yes",INDEX(List!$E$2:$CD$173,MATCH('Selection Pane Data'!$B59,List!$E$2:$E$173,0),MATCH('Selection Pane Data'!BJ$3,List!$E$2:$CD$2,0)),"")</f>
        <v/>
      </c>
      <c r="BK59" s="13" t="str">
        <f>IF(BK$4="Yes",INDEX(List!$E$2:$CD$173,MATCH('Selection Pane Data'!$B59,List!$E$2:$E$173,0),MATCH('Selection Pane Data'!BK$3,List!$E$2:$CD$2,0)),"")</f>
        <v/>
      </c>
      <c r="BL59" s="13" t="str">
        <f>IF(BL$4="Yes",INDEX(List!$E$2:$CD$173,MATCH('Selection Pane Data'!$B59,List!$E$2:$E$173,0),MATCH('Selection Pane Data'!BL$3,List!$E$2:$CD$2,0)),"")</f>
        <v/>
      </c>
      <c r="BM59" s="13" t="str">
        <f>IF(BM$4="Yes",INDEX(List!$E$2:$CD$173,MATCH('Selection Pane Data'!$B59,List!$E$2:$E$173,0),MATCH('Selection Pane Data'!BM$3,List!$E$2:$CD$2,0)),"")</f>
        <v/>
      </c>
      <c r="BN59" s="13" t="str">
        <f>IF(BN$4="Yes",INDEX(List!$E$2:$CD$173,MATCH('Selection Pane Data'!$B59,List!$E$2:$E$173,0),MATCH('Selection Pane Data'!BN$3,List!$E$2:$CD$2,0)),"")</f>
        <v/>
      </c>
      <c r="BO59" s="13" t="str">
        <f>IF(BO$4="Yes",INDEX(List!$E$2:$CD$173,MATCH('Selection Pane Data'!$B59,List!$E$2:$E$173,0),MATCH('Selection Pane Data'!BO$3,List!$E$2:$CD$2,0)),"")</f>
        <v/>
      </c>
      <c r="BP59" s="13" t="str">
        <f>IF(BP$4="Yes",INDEX(List!$E$2:$CD$173,MATCH('Selection Pane Data'!$B59,List!$E$2:$E$173,0),MATCH('Selection Pane Data'!BP$3,List!$E$2:$CD$2,0)),"")</f>
        <v/>
      </c>
      <c r="BQ59" s="13" t="str">
        <f>IF(BQ$4="Yes",INDEX(List!$E$2:$CD$173,MATCH('Selection Pane Data'!$B59,List!$E$2:$E$173,0),MATCH('Selection Pane Data'!BQ$3,List!$E$2:$CD$2,0)),"")</f>
        <v/>
      </c>
      <c r="BR59" s="13" t="str">
        <f>IF(BR$4="Yes",INDEX(List!$E$2:$CD$173,MATCH('Selection Pane Data'!$B59,List!$E$2:$E$173,0),MATCH('Selection Pane Data'!BR$3,List!$E$2:$CD$2,0)),"")</f>
        <v/>
      </c>
      <c r="BS59" s="13" t="str">
        <f>IF(BS$4="Yes",INDEX(List!$E$2:$CD$173,MATCH('Selection Pane Data'!$B59,List!$E$2:$E$173,0),MATCH('Selection Pane Data'!BS$3,List!$E$2:$CD$2,0)),"")</f>
        <v/>
      </c>
      <c r="BT59" s="13" t="str">
        <f>IF(BT$4="Yes",INDEX(List!$E$2:$CD$173,MATCH('Selection Pane Data'!$B59,List!$E$2:$E$173,0),MATCH('Selection Pane Data'!BT$3,List!$E$2:$CD$2,0)),"")</f>
        <v/>
      </c>
      <c r="BU59" s="13" t="str">
        <f>IF(BU$4="Yes",INDEX(List!$E$2:$CD$173,MATCH('Selection Pane Data'!$B59,List!$E$2:$E$173,0),MATCH('Selection Pane Data'!BU$3,List!$E$2:$CD$2,0)),"")</f>
        <v/>
      </c>
      <c r="BV59" s="13" t="str">
        <f>IF(BV$4="Yes",INDEX(List!$E$2:$CD$173,MATCH('Selection Pane Data'!$B59,List!$E$2:$E$173,0),MATCH('Selection Pane Data'!BV$3,List!$E$2:$CD$2,0)),"")</f>
        <v/>
      </c>
      <c r="BW59" s="13" t="str">
        <f>IF(BW$4="Yes",INDEX(List!$E$2:$CD$173,MATCH('Selection Pane Data'!$B59,List!$E$2:$E$173,0),MATCH('Selection Pane Data'!BW$3,List!$E$2:$CD$2,0)),"")</f>
        <v/>
      </c>
      <c r="BX59" s="13" t="str">
        <f>IF(BX$4="Yes",INDEX(List!$E$2:$CD$173,MATCH('Selection Pane Data'!$B59,List!$E$2:$E$173,0),MATCH('Selection Pane Data'!BX$3,List!$E$2:$CD$2,0)),"")</f>
        <v/>
      </c>
      <c r="BY59" s="13" t="str">
        <f>IF(BY$4="Yes",INDEX(List!$E$2:$CD$173,MATCH('Selection Pane Data'!$B59,List!$E$2:$E$173,0),MATCH('Selection Pane Data'!BY$3,List!$E$2:$CD$2,0)),"")</f>
        <v/>
      </c>
      <c r="BZ59" s="13" t="str">
        <f>IF(BZ$4="Yes",INDEX(List!$E$2:$CD$173,MATCH('Selection Pane Data'!$B59,List!$E$2:$E$173,0),MATCH('Selection Pane Data'!BZ$3,List!$E$2:$CD$2,0)),"")</f>
        <v/>
      </c>
      <c r="CA59" s="13" t="str">
        <f>IF(CA$4="Yes",INDEX(List!$E$2:$CD$173,MATCH('Selection Pane Data'!$B59,List!$E$2:$E$173,0),MATCH('Selection Pane Data'!CA$3,List!$E$2:$CD$2,0)),"")</f>
        <v/>
      </c>
      <c r="CB59" s="13" t="str">
        <f>IF(CB$4="Yes",INDEX(List!$E$2:$CD$173,MATCH('Selection Pane Data'!$B59,List!$E$2:$E$173,0),MATCH('Selection Pane Data'!CB$3,List!$E$2:$CD$2,0)),"")</f>
        <v/>
      </c>
      <c r="CC59" s="13" t="str">
        <f>IF(CC$4="Yes",INDEX(List!$E$2:$CD$173,MATCH('Selection Pane Data'!$B59,List!$E$2:$E$173,0),MATCH('Selection Pane Data'!CC$3,List!$E$2:$CD$2,0)),"")</f>
        <v/>
      </c>
      <c r="CD59" s="13" t="str">
        <f>IF(CD$4="Yes",INDEX(List!$E$2:$CD$173,MATCH('Selection Pane Data'!$B59,List!$E$2:$E$173,0),MATCH('Selection Pane Data'!CD$3,List!$E$2:$CD$2,0)),"")</f>
        <v/>
      </c>
      <c r="CE59" s="13" t="str">
        <f>IF(CE$4="Yes",INDEX(List!$E$2:$CD$173,MATCH('Selection Pane Data'!$B59,List!$E$2:$E$173,0),MATCH('Selection Pane Data'!CE$3,List!$E$2:$CD$2,0)),"")</f>
        <v/>
      </c>
    </row>
    <row r="60" spans="2:83" x14ac:dyDescent="0.35">
      <c r="B60" s="21" t="s">
        <v>347</v>
      </c>
      <c r="C60" s="126" t="str">
        <f>VLOOKUP(B60,List!$E$2:$G$173,2,FALSE)</f>
        <v>CM.L2-3.4.1</v>
      </c>
      <c r="D60" s="31" t="str">
        <f>List!G58</f>
        <v>Customer Responsibility</v>
      </c>
      <c r="E60" s="31" t="str">
        <f>IF(Placemat!$F$4="All Practices","All Practices",IF(VLOOKUP(B60,Table7[#All],6,FALSE)="No Mapping","New CMMC Practices","Practices with NIST 800-171 Mappings"))</f>
        <v>Practices with NIST 800-171 Mappings</v>
      </c>
      <c r="F60" t="str">
        <f>INDEX('CMMC Levels'!$A$1:$F$172,MATCH('Selection Pane Data'!$C60,'CMMC Levels'!$A$1:$A$172,0),MATCH(Placemat!$F$4,'CMMC Levels'!$A$1:$F$1,0))</f>
        <v>X</v>
      </c>
      <c r="G60" s="77" t="str">
        <f>IF((COUNTIF(List!H58:CE58,"P")+COUNTIF(List!H58:CE58,"S"))=0,"N",IF(COUNTIF(H60:CE60,"P"),"P",IF(COUNTIF(H60:CE60,"S"),"S","U")))</f>
        <v>U</v>
      </c>
      <c r="H60" s="13" t="str">
        <f>IF(H$4="Yes",INDEX(List!$E$2:$CD$173,MATCH('Selection Pane Data'!$B60,List!$E$2:$E$173,0),MATCH('Selection Pane Data'!H$3,List!$E$2:$CD$2,0)),"")</f>
        <v/>
      </c>
      <c r="I60" s="13" t="str">
        <f>IF(I$4="Yes",INDEX(List!$E$2:$CD$173,MATCH('Selection Pane Data'!$B60,List!$E$2:$E$173,0),MATCH('Selection Pane Data'!I$3,List!$E$2:$CD$2,0)),"")</f>
        <v/>
      </c>
      <c r="J60" s="13" t="str">
        <f>IF(J$4="Yes",INDEX(List!$E$2:$CD$173,MATCH('Selection Pane Data'!$B60,List!$E$2:$E$173,0),MATCH('Selection Pane Data'!J$3,List!$E$2:$CD$2,0)),"")</f>
        <v>N</v>
      </c>
      <c r="K60" s="13" t="str">
        <f>IF(K$4="Yes",INDEX(List!$E$2:$CD$173,MATCH('Selection Pane Data'!$B60,List!$E$2:$E$173,0),MATCH('Selection Pane Data'!K$3,List!$E$2:$CD$2,0)),"")</f>
        <v/>
      </c>
      <c r="L60" s="13" t="str">
        <f>IF(L$4="Yes",INDEX(List!$E$2:$CD$173,MATCH('Selection Pane Data'!$B60,List!$E$2:$E$173,0),MATCH('Selection Pane Data'!L$3,List!$E$2:$CD$2,0)),"")</f>
        <v/>
      </c>
      <c r="M60" s="13" t="str">
        <f>IF(M$4="Yes",INDEX(List!$E$2:$CD$173,MATCH('Selection Pane Data'!$B60,List!$E$2:$E$173,0),MATCH('Selection Pane Data'!M$3,List!$E$2:$CD$2,0)),"")</f>
        <v/>
      </c>
      <c r="N60" s="13" t="str">
        <f>IF(N$4="Yes",INDEX(List!$E$2:$CD$173,MATCH('Selection Pane Data'!$B60,List!$E$2:$E$173,0),MATCH('Selection Pane Data'!N$3,List!$E$2:$CD$2,0)),"")</f>
        <v/>
      </c>
      <c r="O60" s="13" t="str">
        <f>IF(O$4="Yes",INDEX(List!$E$2:$CD$173,MATCH('Selection Pane Data'!$B60,List!$E$2:$E$173,0),MATCH('Selection Pane Data'!O$3,List!$E$2:$CD$2,0)),"")</f>
        <v/>
      </c>
      <c r="P60" s="13" t="str">
        <f>IF(P$4="Yes",INDEX(List!$E$2:$CD$173,MATCH('Selection Pane Data'!$B60,List!$E$2:$E$173,0),MATCH('Selection Pane Data'!P$3,List!$E$2:$CD$2,0)),"")</f>
        <v/>
      </c>
      <c r="Q60" s="13" t="str">
        <f>IF(Q$4="Yes",INDEX(List!$E$2:$CD$173,MATCH('Selection Pane Data'!$B60,List!$E$2:$E$173,0),MATCH('Selection Pane Data'!Q$3,List!$E$2:$CD$2,0)),"")</f>
        <v/>
      </c>
      <c r="R60" s="13" t="str">
        <f>IF(R$4="Yes",INDEX(List!$E$2:$CD$173,MATCH('Selection Pane Data'!$B60,List!$E$2:$E$173,0),MATCH('Selection Pane Data'!R$3,List!$E$2:$CD$2,0)),"")</f>
        <v/>
      </c>
      <c r="S60" s="13" t="str">
        <f>IF(S$4="Yes",INDEX(List!$E$2:$CD$173,MATCH('Selection Pane Data'!$B60,List!$E$2:$E$173,0),MATCH('Selection Pane Data'!S$3,List!$E$2:$CD$2,0)),"")</f>
        <v/>
      </c>
      <c r="T60" s="13" t="str">
        <f>IF(T$4="Yes",INDEX(List!$E$2:$CD$173,MATCH('Selection Pane Data'!$B60,List!$E$2:$E$173,0),MATCH('Selection Pane Data'!T$3,List!$E$2:$CD$2,0)),"")</f>
        <v/>
      </c>
      <c r="U60" s="13" t="str">
        <f>IF(U$4="Yes",INDEX(List!$E$2:$CD$173,MATCH('Selection Pane Data'!$B60,List!$E$2:$E$173,0),MATCH('Selection Pane Data'!U$3,List!$E$2:$CD$2,0)),"")</f>
        <v/>
      </c>
      <c r="V60" s="13" t="str">
        <f>IF(V$4="Yes",INDEX(List!$E$2:$CD$173,MATCH('Selection Pane Data'!$B60,List!$E$2:$E$173,0),MATCH('Selection Pane Data'!V$3,List!$E$2:$CD$2,0)),"")</f>
        <v/>
      </c>
      <c r="W60" s="13" t="str">
        <f>IF(W$4="Yes",INDEX(List!$E$2:$CD$173,MATCH('Selection Pane Data'!$B60,List!$E$2:$E$173,0),MATCH('Selection Pane Data'!W$3,List!$E$2:$CD$2,0)),"")</f>
        <v/>
      </c>
      <c r="X60" s="13" t="str">
        <f>IF(X$4="Yes",INDEX(List!$E$2:$CD$173,MATCH('Selection Pane Data'!$B60,List!$E$2:$E$173,0),MATCH('Selection Pane Data'!X$3,List!$E$2:$CD$2,0)),"")</f>
        <v/>
      </c>
      <c r="Y60" s="13" t="str">
        <f>IF(Y$4="Yes",INDEX(List!$E$2:$CD$173,MATCH('Selection Pane Data'!$B60,List!$E$2:$E$173,0),MATCH('Selection Pane Data'!Y$3,List!$E$2:$CD$2,0)),"")</f>
        <v/>
      </c>
      <c r="Z60" s="13" t="str">
        <f>IF(Z$4="Yes",INDEX(List!$E$2:$CD$173,MATCH('Selection Pane Data'!$B60,List!$E$2:$E$173,0),MATCH('Selection Pane Data'!Z$3,List!$E$2:$CD$2,0)),"")</f>
        <v/>
      </c>
      <c r="AA60" s="13" t="str">
        <f>IF(AA$4="Yes",INDEX(List!$E$2:$CD$173,MATCH('Selection Pane Data'!$B60,List!$E$2:$E$173,0),MATCH('Selection Pane Data'!AA$3,List!$E$2:$CD$2,0)),"")</f>
        <v>N</v>
      </c>
      <c r="AB60" s="13" t="str">
        <f>IF(AB$4="Yes",INDEX(List!$E$2:$CD$173,MATCH('Selection Pane Data'!$B60,List!$E$2:$E$173,0),MATCH('Selection Pane Data'!AB$3,List!$E$2:$CD$2,0)),"")</f>
        <v/>
      </c>
      <c r="AC60" s="13" t="str">
        <f>IF(AC$4="Yes",INDEX(List!$E$2:$CD$173,MATCH('Selection Pane Data'!$B60,List!$E$2:$E$173,0),MATCH('Selection Pane Data'!AC$3,List!$E$2:$CD$2,0)),"")</f>
        <v/>
      </c>
      <c r="AD60" s="13" t="str">
        <f>IF(AD$4="Yes",INDEX(List!$E$2:$CD$173,MATCH('Selection Pane Data'!$B60,List!$E$2:$E$173,0),MATCH('Selection Pane Data'!AD$3,List!$E$2:$CD$2,0)),"")</f>
        <v/>
      </c>
      <c r="AE60" s="13" t="str">
        <f>IF(AE$4="Yes",INDEX(List!$E$2:$CD$173,MATCH('Selection Pane Data'!$B60,List!$E$2:$E$173,0),MATCH('Selection Pane Data'!AE$3,List!$E$2:$CD$2,0)),"")</f>
        <v/>
      </c>
      <c r="AF60" s="13" t="str">
        <f>IF(AF$4="Yes",INDEX(List!$E$2:$CD$173,MATCH('Selection Pane Data'!$B60,List!$E$2:$E$173,0),MATCH('Selection Pane Data'!AF$3,List!$E$2:$CD$2,0)),"")</f>
        <v/>
      </c>
      <c r="AG60" s="13" t="str">
        <f>IF(AG$4="Yes",INDEX(List!$E$2:$CD$173,MATCH('Selection Pane Data'!$B60,List!$E$2:$E$173,0),MATCH('Selection Pane Data'!AG$3,List!$E$2:$CD$2,0)),"")</f>
        <v/>
      </c>
      <c r="AH60" s="13" t="str">
        <f>IF(AH$4="Yes",INDEX(List!$E$2:$CD$173,MATCH('Selection Pane Data'!$B60,List!$E$2:$E$173,0),MATCH('Selection Pane Data'!AH$3,List!$E$2:$CD$2,0)),"")</f>
        <v/>
      </c>
      <c r="AI60" s="13" t="str">
        <f>IF(AI$4="Yes",INDEX(List!$E$2:$CD$173,MATCH('Selection Pane Data'!$B60,List!$E$2:$E$173,0),MATCH('Selection Pane Data'!AI$3,List!$E$2:$CD$2,0)),"")</f>
        <v/>
      </c>
      <c r="AJ60" s="13" t="str">
        <f>IF(AJ$4="Yes",INDEX(List!$E$2:$CD$173,MATCH('Selection Pane Data'!$B60,List!$E$2:$E$173,0),MATCH('Selection Pane Data'!AJ$3,List!$E$2:$CD$2,0)),"")</f>
        <v/>
      </c>
      <c r="AK60" s="13" t="str">
        <f>IF(AK$4="Yes",INDEX(List!$E$2:$CD$173,MATCH('Selection Pane Data'!$B60,List!$E$2:$E$173,0),MATCH('Selection Pane Data'!AK$3,List!$E$2:$CD$2,0)),"")</f>
        <v/>
      </c>
      <c r="AL60" s="13" t="str">
        <f>IF(AL$4="Yes",INDEX(List!$E$2:$CD$173,MATCH('Selection Pane Data'!$B60,List!$E$2:$E$173,0),MATCH('Selection Pane Data'!AL$3,List!$E$2:$CD$2,0)),"")</f>
        <v/>
      </c>
      <c r="AM60" s="13" t="str">
        <f>IF(AM$4="Yes",INDEX(List!$E$2:$CD$173,MATCH('Selection Pane Data'!$B60,List!$E$2:$E$173,0),MATCH('Selection Pane Data'!AM$3,List!$E$2:$CD$2,0)),"")</f>
        <v/>
      </c>
      <c r="AN60" s="13" t="str">
        <f>IF(AN$4="Yes",INDEX(List!$E$2:$CD$173,MATCH('Selection Pane Data'!$B60,List!$E$2:$E$173,0),MATCH('Selection Pane Data'!AN$3,List!$E$2:$CD$2,0)),"")</f>
        <v/>
      </c>
      <c r="AO60" s="13" t="str">
        <f>IF(AO$4="Yes",INDEX(List!$E$2:$CD$173,MATCH('Selection Pane Data'!$B60,List!$E$2:$E$173,0),MATCH('Selection Pane Data'!AO$3,List!$E$2:$CD$2,0)),"")</f>
        <v/>
      </c>
      <c r="AP60" s="13" t="str">
        <f>IF(AP$4="Yes",INDEX(List!$E$2:$CD$173,MATCH('Selection Pane Data'!$B60,List!$E$2:$E$173,0),MATCH('Selection Pane Data'!AP$3,List!$E$2:$CD$2,0)),"")</f>
        <v/>
      </c>
      <c r="AQ60" s="13" t="str">
        <f>IF(AQ$4="Yes",INDEX(List!$E$2:$CD$173,MATCH('Selection Pane Data'!$B60,List!$E$2:$E$173,0),MATCH('Selection Pane Data'!AQ$3,List!$E$2:$CD$2,0)),"")</f>
        <v/>
      </c>
      <c r="AR60" s="13" t="str">
        <f>IF(AR$4="Yes",INDEX(List!$E$2:$CD$173,MATCH('Selection Pane Data'!$B60,List!$E$2:$E$173,0),MATCH('Selection Pane Data'!AR$3,List!$E$2:$CD$2,0)),"")</f>
        <v/>
      </c>
      <c r="AS60" s="13" t="str">
        <f>IF(AS$4="Yes",INDEX(List!$E$2:$CD$173,MATCH('Selection Pane Data'!$B60,List!$E$2:$E$173,0),MATCH('Selection Pane Data'!AS$3,List!$E$2:$CD$2,0)),"")</f>
        <v/>
      </c>
      <c r="AT60" s="13" t="str">
        <f>IF(AT$4="Yes",INDEX(List!$E$2:$CD$173,MATCH('Selection Pane Data'!$B60,List!$E$2:$E$173,0),MATCH('Selection Pane Data'!AT$3,List!$E$2:$CD$2,0)),"")</f>
        <v/>
      </c>
      <c r="AU60" s="13" t="str">
        <f>IF(AU$4="Yes",INDEX(List!$E$2:$CD$173,MATCH('Selection Pane Data'!$B60,List!$E$2:$E$173,0),MATCH('Selection Pane Data'!AU$3,List!$E$2:$CD$2,0)),"")</f>
        <v/>
      </c>
      <c r="AV60" s="13" t="str">
        <f>IF(AV$4="Yes",INDEX(List!$E$2:$CD$173,MATCH('Selection Pane Data'!$B60,List!$E$2:$E$173,0),MATCH('Selection Pane Data'!AV$3,List!$E$2:$CD$2,0)),"")</f>
        <v/>
      </c>
      <c r="AW60" s="13" t="str">
        <f>IF(AW$4="Yes",INDEX(List!$E$2:$CD$173,MATCH('Selection Pane Data'!$B60,List!$E$2:$E$173,0),MATCH('Selection Pane Data'!AW$3,List!$E$2:$CD$2,0)),"")</f>
        <v/>
      </c>
      <c r="AX60" s="13" t="str">
        <f>IF(AX$4="Yes",INDEX(List!$E$2:$CD$173,MATCH('Selection Pane Data'!$B60,List!$E$2:$E$173,0),MATCH('Selection Pane Data'!AX$3,List!$E$2:$CD$2,0)),"")</f>
        <v/>
      </c>
      <c r="AY60" s="13" t="str">
        <f>IF(AY$4="Yes",INDEX(List!$E$2:$CD$173,MATCH('Selection Pane Data'!$B60,List!$E$2:$E$173,0),MATCH('Selection Pane Data'!AY$3,List!$E$2:$CD$2,0)),"")</f>
        <v/>
      </c>
      <c r="AZ60" s="13" t="str">
        <f>IF(AZ$4="Yes",INDEX(List!$E$2:$CD$173,MATCH('Selection Pane Data'!$B60,List!$E$2:$E$173,0),MATCH('Selection Pane Data'!AZ$3,List!$E$2:$CD$2,0)),"")</f>
        <v/>
      </c>
      <c r="BA60" s="13" t="str">
        <f>IF(BA$4="Yes",INDEX(List!$E$2:$CD$173,MATCH('Selection Pane Data'!$B60,List!$E$2:$E$173,0),MATCH('Selection Pane Data'!BA$3,List!$E$2:$CD$2,0)),"")</f>
        <v/>
      </c>
      <c r="BB60" s="13" t="str">
        <f>IF(BB$4="Yes",INDEX(List!$E$2:$CD$173,MATCH('Selection Pane Data'!$B60,List!$E$2:$E$173,0),MATCH('Selection Pane Data'!BB$3,List!$E$2:$CD$2,0)),"")</f>
        <v/>
      </c>
      <c r="BC60" s="13" t="str">
        <f>IF(BC$4="Yes",INDEX(List!$E$2:$CD$173,MATCH('Selection Pane Data'!$B60,List!$E$2:$E$173,0),MATCH('Selection Pane Data'!BC$3,List!$E$2:$CD$2,0)),"")</f>
        <v/>
      </c>
      <c r="BD60" s="13" t="str">
        <f>IF(BD$4="Yes",INDEX(List!$E$2:$CD$173,MATCH('Selection Pane Data'!$B60,List!$E$2:$E$173,0),MATCH('Selection Pane Data'!BD$3,List!$E$2:$CD$2,0)),"")</f>
        <v/>
      </c>
      <c r="BE60" s="13" t="str">
        <f>IF(BE$4="Yes",INDEX(List!$E$2:$CD$173,MATCH('Selection Pane Data'!$B60,List!$E$2:$E$173,0),MATCH('Selection Pane Data'!BE$3,List!$E$2:$CD$2,0)),"")</f>
        <v/>
      </c>
      <c r="BF60" s="13" t="str">
        <f>IF(BF$4="Yes",INDEX(List!$E$2:$CD$173,MATCH('Selection Pane Data'!$B60,List!$E$2:$E$173,0),MATCH('Selection Pane Data'!BF$3,List!$E$2:$CD$2,0)),"")</f>
        <v/>
      </c>
      <c r="BG60" s="13" t="str">
        <f>IF(BG$4="Yes",INDEX(List!$E$2:$CD$173,MATCH('Selection Pane Data'!$B60,List!$E$2:$E$173,0),MATCH('Selection Pane Data'!BG$3,List!$E$2:$CD$2,0)),"")</f>
        <v/>
      </c>
      <c r="BH60" s="13" t="str">
        <f>IF(BH$4="Yes",INDEX(List!$E$2:$CD$173,MATCH('Selection Pane Data'!$B60,List!$E$2:$E$173,0),MATCH('Selection Pane Data'!BH$3,List!$E$2:$CD$2,0)),"")</f>
        <v/>
      </c>
      <c r="BI60" s="13" t="str">
        <f>IF(BI$4="Yes",INDEX(List!$E$2:$CD$173,MATCH('Selection Pane Data'!$B60,List!$E$2:$E$173,0),MATCH('Selection Pane Data'!BI$3,List!$E$2:$CD$2,0)),"")</f>
        <v/>
      </c>
      <c r="BJ60" s="13" t="str">
        <f>IF(BJ$4="Yes",INDEX(List!$E$2:$CD$173,MATCH('Selection Pane Data'!$B60,List!$E$2:$E$173,0),MATCH('Selection Pane Data'!BJ$3,List!$E$2:$CD$2,0)),"")</f>
        <v/>
      </c>
      <c r="BK60" s="13" t="str">
        <f>IF(BK$4="Yes",INDEX(List!$E$2:$CD$173,MATCH('Selection Pane Data'!$B60,List!$E$2:$E$173,0),MATCH('Selection Pane Data'!BK$3,List!$E$2:$CD$2,0)),"")</f>
        <v/>
      </c>
      <c r="BL60" s="13" t="str">
        <f>IF(BL$4="Yes",INDEX(List!$E$2:$CD$173,MATCH('Selection Pane Data'!$B60,List!$E$2:$E$173,0),MATCH('Selection Pane Data'!BL$3,List!$E$2:$CD$2,0)),"")</f>
        <v/>
      </c>
      <c r="BM60" s="13" t="str">
        <f>IF(BM$4="Yes",INDEX(List!$E$2:$CD$173,MATCH('Selection Pane Data'!$B60,List!$E$2:$E$173,0),MATCH('Selection Pane Data'!BM$3,List!$E$2:$CD$2,0)),"")</f>
        <v/>
      </c>
      <c r="BN60" s="13" t="str">
        <f>IF(BN$4="Yes",INDEX(List!$E$2:$CD$173,MATCH('Selection Pane Data'!$B60,List!$E$2:$E$173,0),MATCH('Selection Pane Data'!BN$3,List!$E$2:$CD$2,0)),"")</f>
        <v/>
      </c>
      <c r="BO60" s="13" t="str">
        <f>IF(BO$4="Yes",INDEX(List!$E$2:$CD$173,MATCH('Selection Pane Data'!$B60,List!$E$2:$E$173,0),MATCH('Selection Pane Data'!BO$3,List!$E$2:$CD$2,0)),"")</f>
        <v/>
      </c>
      <c r="BP60" s="13" t="str">
        <f>IF(BP$4="Yes",INDEX(List!$E$2:$CD$173,MATCH('Selection Pane Data'!$B60,List!$E$2:$E$173,0),MATCH('Selection Pane Data'!BP$3,List!$E$2:$CD$2,0)),"")</f>
        <v/>
      </c>
      <c r="BQ60" s="13" t="str">
        <f>IF(BQ$4="Yes",INDEX(List!$E$2:$CD$173,MATCH('Selection Pane Data'!$B60,List!$E$2:$E$173,0),MATCH('Selection Pane Data'!BQ$3,List!$E$2:$CD$2,0)),"")</f>
        <v/>
      </c>
      <c r="BR60" s="13" t="str">
        <f>IF(BR$4="Yes",INDEX(List!$E$2:$CD$173,MATCH('Selection Pane Data'!$B60,List!$E$2:$E$173,0),MATCH('Selection Pane Data'!BR$3,List!$E$2:$CD$2,0)),"")</f>
        <v/>
      </c>
      <c r="BS60" s="13" t="str">
        <f>IF(BS$4="Yes",INDEX(List!$E$2:$CD$173,MATCH('Selection Pane Data'!$B60,List!$E$2:$E$173,0),MATCH('Selection Pane Data'!BS$3,List!$E$2:$CD$2,0)),"")</f>
        <v/>
      </c>
      <c r="BT60" s="13" t="str">
        <f>IF(BT$4="Yes",INDEX(List!$E$2:$CD$173,MATCH('Selection Pane Data'!$B60,List!$E$2:$E$173,0),MATCH('Selection Pane Data'!BT$3,List!$E$2:$CD$2,0)),"")</f>
        <v/>
      </c>
      <c r="BU60" s="13" t="str">
        <f>IF(BU$4="Yes",INDEX(List!$E$2:$CD$173,MATCH('Selection Pane Data'!$B60,List!$E$2:$E$173,0),MATCH('Selection Pane Data'!BU$3,List!$E$2:$CD$2,0)),"")</f>
        <v/>
      </c>
      <c r="BV60" s="13" t="str">
        <f>IF(BV$4="Yes",INDEX(List!$E$2:$CD$173,MATCH('Selection Pane Data'!$B60,List!$E$2:$E$173,0),MATCH('Selection Pane Data'!BV$3,List!$E$2:$CD$2,0)),"")</f>
        <v/>
      </c>
      <c r="BW60" s="13" t="str">
        <f>IF(BW$4="Yes",INDEX(List!$E$2:$CD$173,MATCH('Selection Pane Data'!$B60,List!$E$2:$E$173,0),MATCH('Selection Pane Data'!BW$3,List!$E$2:$CD$2,0)),"")</f>
        <v/>
      </c>
      <c r="BX60" s="13" t="str">
        <f>IF(BX$4="Yes",INDEX(List!$E$2:$CD$173,MATCH('Selection Pane Data'!$B60,List!$E$2:$E$173,0),MATCH('Selection Pane Data'!BX$3,List!$E$2:$CD$2,0)),"")</f>
        <v/>
      </c>
      <c r="BY60" s="13" t="str">
        <f>IF(BY$4="Yes",INDEX(List!$E$2:$CD$173,MATCH('Selection Pane Data'!$B60,List!$E$2:$E$173,0),MATCH('Selection Pane Data'!BY$3,List!$E$2:$CD$2,0)),"")</f>
        <v/>
      </c>
      <c r="BZ60" s="13" t="str">
        <f>IF(BZ$4="Yes",INDEX(List!$E$2:$CD$173,MATCH('Selection Pane Data'!$B60,List!$E$2:$E$173,0),MATCH('Selection Pane Data'!BZ$3,List!$E$2:$CD$2,0)),"")</f>
        <v/>
      </c>
      <c r="CA60" s="13" t="str">
        <f>IF(CA$4="Yes",INDEX(List!$E$2:$CD$173,MATCH('Selection Pane Data'!$B60,List!$E$2:$E$173,0),MATCH('Selection Pane Data'!CA$3,List!$E$2:$CD$2,0)),"")</f>
        <v/>
      </c>
      <c r="CB60" s="13" t="str">
        <f>IF(CB$4="Yes",INDEX(List!$E$2:$CD$173,MATCH('Selection Pane Data'!$B60,List!$E$2:$E$173,0),MATCH('Selection Pane Data'!CB$3,List!$E$2:$CD$2,0)),"")</f>
        <v/>
      </c>
      <c r="CC60" s="13" t="str">
        <f>IF(CC$4="Yes",INDEX(List!$E$2:$CD$173,MATCH('Selection Pane Data'!$B60,List!$E$2:$E$173,0),MATCH('Selection Pane Data'!CC$3,List!$E$2:$CD$2,0)),"")</f>
        <v/>
      </c>
      <c r="CD60" s="13" t="str">
        <f>IF(CD$4="Yes",INDEX(List!$E$2:$CD$173,MATCH('Selection Pane Data'!$B60,List!$E$2:$E$173,0),MATCH('Selection Pane Data'!CD$3,List!$E$2:$CD$2,0)),"")</f>
        <v/>
      </c>
      <c r="CE60" s="13" t="str">
        <f>IF(CE$4="Yes",INDEX(List!$E$2:$CD$173,MATCH('Selection Pane Data'!$B60,List!$E$2:$E$173,0),MATCH('Selection Pane Data'!CE$3,List!$E$2:$CD$2,0)),"")</f>
        <v/>
      </c>
    </row>
    <row r="61" spans="2:83" x14ac:dyDescent="0.35">
      <c r="B61" s="21" t="s">
        <v>348</v>
      </c>
      <c r="C61" s="126" t="str">
        <f>VLOOKUP(B61,List!$E$2:$G$173,2,FALSE)</f>
        <v>CM.L2-3.4.6</v>
      </c>
      <c r="D61" s="31" t="str">
        <f>List!G59</f>
        <v>Customer Responsibility</v>
      </c>
      <c r="E61" s="31" t="str">
        <f>IF(Placemat!$F$4="All Practices","All Practices",IF(VLOOKUP(B61,Table7[#All],6,FALSE)="No Mapping","New CMMC Practices","Practices with NIST 800-171 Mappings"))</f>
        <v>Practices with NIST 800-171 Mappings</v>
      </c>
      <c r="F61" t="str">
        <f>INDEX('CMMC Levels'!$A$1:$F$172,MATCH('Selection Pane Data'!$C61,'CMMC Levels'!$A$1:$A$172,0),MATCH(Placemat!$F$4,'CMMC Levels'!$A$1:$F$1,0))</f>
        <v>X</v>
      </c>
      <c r="G61" s="77" t="str">
        <f>IF((COUNTIF(List!H59:CE59,"P")+COUNTIF(List!H59:CE59,"S"))=0,"N",IF(COUNTIF(H61:CE61,"P"),"P",IF(COUNTIF(H61:CE61,"S"),"S","U")))</f>
        <v>U</v>
      </c>
      <c r="H61" s="13" t="str">
        <f>IF(H$4="Yes",INDEX(List!$E$2:$CD$173,MATCH('Selection Pane Data'!$B61,List!$E$2:$E$173,0),MATCH('Selection Pane Data'!H$3,List!$E$2:$CD$2,0)),"")</f>
        <v/>
      </c>
      <c r="I61" s="13" t="str">
        <f>IF(I$4="Yes",INDEX(List!$E$2:$CD$173,MATCH('Selection Pane Data'!$B61,List!$E$2:$E$173,0),MATCH('Selection Pane Data'!I$3,List!$E$2:$CD$2,0)),"")</f>
        <v/>
      </c>
      <c r="J61" s="13" t="str">
        <f>IF(J$4="Yes",INDEX(List!$E$2:$CD$173,MATCH('Selection Pane Data'!$B61,List!$E$2:$E$173,0),MATCH('Selection Pane Data'!J$3,List!$E$2:$CD$2,0)),"")</f>
        <v>N</v>
      </c>
      <c r="K61" s="13" t="str">
        <f>IF(K$4="Yes",INDEX(List!$E$2:$CD$173,MATCH('Selection Pane Data'!$B61,List!$E$2:$E$173,0),MATCH('Selection Pane Data'!K$3,List!$E$2:$CD$2,0)),"")</f>
        <v/>
      </c>
      <c r="L61" s="13" t="str">
        <f>IF(L$4="Yes",INDEX(List!$E$2:$CD$173,MATCH('Selection Pane Data'!$B61,List!$E$2:$E$173,0),MATCH('Selection Pane Data'!L$3,List!$E$2:$CD$2,0)),"")</f>
        <v/>
      </c>
      <c r="M61" s="13" t="str">
        <f>IF(M$4="Yes",INDEX(List!$E$2:$CD$173,MATCH('Selection Pane Data'!$B61,List!$E$2:$E$173,0),MATCH('Selection Pane Data'!M$3,List!$E$2:$CD$2,0)),"")</f>
        <v/>
      </c>
      <c r="N61" s="13" t="str">
        <f>IF(N$4="Yes",INDEX(List!$E$2:$CD$173,MATCH('Selection Pane Data'!$B61,List!$E$2:$E$173,0),MATCH('Selection Pane Data'!N$3,List!$E$2:$CD$2,0)),"")</f>
        <v/>
      </c>
      <c r="O61" s="13" t="str">
        <f>IF(O$4="Yes",INDEX(List!$E$2:$CD$173,MATCH('Selection Pane Data'!$B61,List!$E$2:$E$173,0),MATCH('Selection Pane Data'!O$3,List!$E$2:$CD$2,0)),"")</f>
        <v/>
      </c>
      <c r="P61" s="13" t="str">
        <f>IF(P$4="Yes",INDEX(List!$E$2:$CD$173,MATCH('Selection Pane Data'!$B61,List!$E$2:$E$173,0),MATCH('Selection Pane Data'!P$3,List!$E$2:$CD$2,0)),"")</f>
        <v/>
      </c>
      <c r="Q61" s="13" t="str">
        <f>IF(Q$4="Yes",INDEX(List!$E$2:$CD$173,MATCH('Selection Pane Data'!$B61,List!$E$2:$E$173,0),MATCH('Selection Pane Data'!Q$3,List!$E$2:$CD$2,0)),"")</f>
        <v/>
      </c>
      <c r="R61" s="13" t="str">
        <f>IF(R$4="Yes",INDEX(List!$E$2:$CD$173,MATCH('Selection Pane Data'!$B61,List!$E$2:$E$173,0),MATCH('Selection Pane Data'!R$3,List!$E$2:$CD$2,0)),"")</f>
        <v/>
      </c>
      <c r="S61" s="13" t="str">
        <f>IF(S$4="Yes",INDEX(List!$E$2:$CD$173,MATCH('Selection Pane Data'!$B61,List!$E$2:$E$173,0),MATCH('Selection Pane Data'!S$3,List!$E$2:$CD$2,0)),"")</f>
        <v/>
      </c>
      <c r="T61" s="13" t="str">
        <f>IF(T$4="Yes",INDEX(List!$E$2:$CD$173,MATCH('Selection Pane Data'!$B61,List!$E$2:$E$173,0),MATCH('Selection Pane Data'!T$3,List!$E$2:$CD$2,0)),"")</f>
        <v/>
      </c>
      <c r="U61" s="13" t="str">
        <f>IF(U$4="Yes",INDEX(List!$E$2:$CD$173,MATCH('Selection Pane Data'!$B61,List!$E$2:$E$173,0),MATCH('Selection Pane Data'!U$3,List!$E$2:$CD$2,0)),"")</f>
        <v/>
      </c>
      <c r="V61" s="13" t="str">
        <f>IF(V$4="Yes",INDEX(List!$E$2:$CD$173,MATCH('Selection Pane Data'!$B61,List!$E$2:$E$173,0),MATCH('Selection Pane Data'!V$3,List!$E$2:$CD$2,0)),"")</f>
        <v/>
      </c>
      <c r="W61" s="13" t="str">
        <f>IF(W$4="Yes",INDEX(List!$E$2:$CD$173,MATCH('Selection Pane Data'!$B61,List!$E$2:$E$173,0),MATCH('Selection Pane Data'!W$3,List!$E$2:$CD$2,0)),"")</f>
        <v/>
      </c>
      <c r="X61" s="13" t="str">
        <f>IF(X$4="Yes",INDEX(List!$E$2:$CD$173,MATCH('Selection Pane Data'!$B61,List!$E$2:$E$173,0),MATCH('Selection Pane Data'!X$3,List!$E$2:$CD$2,0)),"")</f>
        <v/>
      </c>
      <c r="Y61" s="13" t="str">
        <f>IF(Y$4="Yes",INDEX(List!$E$2:$CD$173,MATCH('Selection Pane Data'!$B61,List!$E$2:$E$173,0),MATCH('Selection Pane Data'!Y$3,List!$E$2:$CD$2,0)),"")</f>
        <v/>
      </c>
      <c r="Z61" s="13" t="str">
        <f>IF(Z$4="Yes",INDEX(List!$E$2:$CD$173,MATCH('Selection Pane Data'!$B61,List!$E$2:$E$173,0),MATCH('Selection Pane Data'!Z$3,List!$E$2:$CD$2,0)),"")</f>
        <v/>
      </c>
      <c r="AA61" s="13" t="str">
        <f>IF(AA$4="Yes",INDEX(List!$E$2:$CD$173,MATCH('Selection Pane Data'!$B61,List!$E$2:$E$173,0),MATCH('Selection Pane Data'!AA$3,List!$E$2:$CD$2,0)),"")</f>
        <v>N</v>
      </c>
      <c r="AB61" s="13" t="str">
        <f>IF(AB$4="Yes",INDEX(List!$E$2:$CD$173,MATCH('Selection Pane Data'!$B61,List!$E$2:$E$173,0),MATCH('Selection Pane Data'!AB$3,List!$E$2:$CD$2,0)),"")</f>
        <v/>
      </c>
      <c r="AC61" s="13" t="str">
        <f>IF(AC$4="Yes",INDEX(List!$E$2:$CD$173,MATCH('Selection Pane Data'!$B61,List!$E$2:$E$173,0),MATCH('Selection Pane Data'!AC$3,List!$E$2:$CD$2,0)),"")</f>
        <v/>
      </c>
      <c r="AD61" s="13" t="str">
        <f>IF(AD$4="Yes",INDEX(List!$E$2:$CD$173,MATCH('Selection Pane Data'!$B61,List!$E$2:$E$173,0),MATCH('Selection Pane Data'!AD$3,List!$E$2:$CD$2,0)),"")</f>
        <v/>
      </c>
      <c r="AE61" s="13" t="str">
        <f>IF(AE$4="Yes",INDEX(List!$E$2:$CD$173,MATCH('Selection Pane Data'!$B61,List!$E$2:$E$173,0),MATCH('Selection Pane Data'!AE$3,List!$E$2:$CD$2,0)),"")</f>
        <v/>
      </c>
      <c r="AF61" s="13" t="str">
        <f>IF(AF$4="Yes",INDEX(List!$E$2:$CD$173,MATCH('Selection Pane Data'!$B61,List!$E$2:$E$173,0),MATCH('Selection Pane Data'!AF$3,List!$E$2:$CD$2,0)),"")</f>
        <v/>
      </c>
      <c r="AG61" s="13" t="str">
        <f>IF(AG$4="Yes",INDEX(List!$E$2:$CD$173,MATCH('Selection Pane Data'!$B61,List!$E$2:$E$173,0),MATCH('Selection Pane Data'!AG$3,List!$E$2:$CD$2,0)),"")</f>
        <v/>
      </c>
      <c r="AH61" s="13" t="str">
        <f>IF(AH$4="Yes",INDEX(List!$E$2:$CD$173,MATCH('Selection Pane Data'!$B61,List!$E$2:$E$173,0),MATCH('Selection Pane Data'!AH$3,List!$E$2:$CD$2,0)),"")</f>
        <v/>
      </c>
      <c r="AI61" s="13" t="str">
        <f>IF(AI$4="Yes",INDEX(List!$E$2:$CD$173,MATCH('Selection Pane Data'!$B61,List!$E$2:$E$173,0),MATCH('Selection Pane Data'!AI$3,List!$E$2:$CD$2,0)),"")</f>
        <v/>
      </c>
      <c r="AJ61" s="13" t="str">
        <f>IF(AJ$4="Yes",INDEX(List!$E$2:$CD$173,MATCH('Selection Pane Data'!$B61,List!$E$2:$E$173,0),MATCH('Selection Pane Data'!AJ$3,List!$E$2:$CD$2,0)),"")</f>
        <v/>
      </c>
      <c r="AK61" s="13" t="str">
        <f>IF(AK$4="Yes",INDEX(List!$E$2:$CD$173,MATCH('Selection Pane Data'!$B61,List!$E$2:$E$173,0),MATCH('Selection Pane Data'!AK$3,List!$E$2:$CD$2,0)),"")</f>
        <v/>
      </c>
      <c r="AL61" s="13" t="str">
        <f>IF(AL$4="Yes",INDEX(List!$E$2:$CD$173,MATCH('Selection Pane Data'!$B61,List!$E$2:$E$173,0),MATCH('Selection Pane Data'!AL$3,List!$E$2:$CD$2,0)),"")</f>
        <v/>
      </c>
      <c r="AM61" s="13" t="str">
        <f>IF(AM$4="Yes",INDEX(List!$E$2:$CD$173,MATCH('Selection Pane Data'!$B61,List!$E$2:$E$173,0),MATCH('Selection Pane Data'!AM$3,List!$E$2:$CD$2,0)),"")</f>
        <v/>
      </c>
      <c r="AN61" s="13" t="str">
        <f>IF(AN$4="Yes",INDEX(List!$E$2:$CD$173,MATCH('Selection Pane Data'!$B61,List!$E$2:$E$173,0),MATCH('Selection Pane Data'!AN$3,List!$E$2:$CD$2,0)),"")</f>
        <v/>
      </c>
      <c r="AO61" s="13" t="str">
        <f>IF(AO$4="Yes",INDEX(List!$E$2:$CD$173,MATCH('Selection Pane Data'!$B61,List!$E$2:$E$173,0),MATCH('Selection Pane Data'!AO$3,List!$E$2:$CD$2,0)),"")</f>
        <v/>
      </c>
      <c r="AP61" s="13" t="str">
        <f>IF(AP$4="Yes",INDEX(List!$E$2:$CD$173,MATCH('Selection Pane Data'!$B61,List!$E$2:$E$173,0),MATCH('Selection Pane Data'!AP$3,List!$E$2:$CD$2,0)),"")</f>
        <v/>
      </c>
      <c r="AQ61" s="13" t="str">
        <f>IF(AQ$4="Yes",INDEX(List!$E$2:$CD$173,MATCH('Selection Pane Data'!$B61,List!$E$2:$E$173,0),MATCH('Selection Pane Data'!AQ$3,List!$E$2:$CD$2,0)),"")</f>
        <v/>
      </c>
      <c r="AR61" s="13" t="str">
        <f>IF(AR$4="Yes",INDEX(List!$E$2:$CD$173,MATCH('Selection Pane Data'!$B61,List!$E$2:$E$173,0),MATCH('Selection Pane Data'!AR$3,List!$E$2:$CD$2,0)),"")</f>
        <v/>
      </c>
      <c r="AS61" s="13" t="str">
        <f>IF(AS$4="Yes",INDEX(List!$E$2:$CD$173,MATCH('Selection Pane Data'!$B61,List!$E$2:$E$173,0),MATCH('Selection Pane Data'!AS$3,List!$E$2:$CD$2,0)),"")</f>
        <v/>
      </c>
      <c r="AT61" s="13" t="str">
        <f>IF(AT$4="Yes",INDEX(List!$E$2:$CD$173,MATCH('Selection Pane Data'!$B61,List!$E$2:$E$173,0),MATCH('Selection Pane Data'!AT$3,List!$E$2:$CD$2,0)),"")</f>
        <v/>
      </c>
      <c r="AU61" s="13" t="str">
        <f>IF(AU$4="Yes",INDEX(List!$E$2:$CD$173,MATCH('Selection Pane Data'!$B61,List!$E$2:$E$173,0),MATCH('Selection Pane Data'!AU$3,List!$E$2:$CD$2,0)),"")</f>
        <v/>
      </c>
      <c r="AV61" s="13" t="str">
        <f>IF(AV$4="Yes",INDEX(List!$E$2:$CD$173,MATCH('Selection Pane Data'!$B61,List!$E$2:$E$173,0),MATCH('Selection Pane Data'!AV$3,List!$E$2:$CD$2,0)),"")</f>
        <v/>
      </c>
      <c r="AW61" s="13" t="str">
        <f>IF(AW$4="Yes",INDEX(List!$E$2:$CD$173,MATCH('Selection Pane Data'!$B61,List!$E$2:$E$173,0),MATCH('Selection Pane Data'!AW$3,List!$E$2:$CD$2,0)),"")</f>
        <v/>
      </c>
      <c r="AX61" s="13" t="str">
        <f>IF(AX$4="Yes",INDEX(List!$E$2:$CD$173,MATCH('Selection Pane Data'!$B61,List!$E$2:$E$173,0),MATCH('Selection Pane Data'!AX$3,List!$E$2:$CD$2,0)),"")</f>
        <v/>
      </c>
      <c r="AY61" s="13" t="str">
        <f>IF(AY$4="Yes",INDEX(List!$E$2:$CD$173,MATCH('Selection Pane Data'!$B61,List!$E$2:$E$173,0),MATCH('Selection Pane Data'!AY$3,List!$E$2:$CD$2,0)),"")</f>
        <v/>
      </c>
      <c r="AZ61" s="13" t="str">
        <f>IF(AZ$4="Yes",INDEX(List!$E$2:$CD$173,MATCH('Selection Pane Data'!$B61,List!$E$2:$E$173,0),MATCH('Selection Pane Data'!AZ$3,List!$E$2:$CD$2,0)),"")</f>
        <v/>
      </c>
      <c r="BA61" s="13" t="str">
        <f>IF(BA$4="Yes",INDEX(List!$E$2:$CD$173,MATCH('Selection Pane Data'!$B61,List!$E$2:$E$173,0),MATCH('Selection Pane Data'!BA$3,List!$E$2:$CD$2,0)),"")</f>
        <v/>
      </c>
      <c r="BB61" s="13" t="str">
        <f>IF(BB$4="Yes",INDEX(List!$E$2:$CD$173,MATCH('Selection Pane Data'!$B61,List!$E$2:$E$173,0),MATCH('Selection Pane Data'!BB$3,List!$E$2:$CD$2,0)),"")</f>
        <v/>
      </c>
      <c r="BC61" s="13" t="str">
        <f>IF(BC$4="Yes",INDEX(List!$E$2:$CD$173,MATCH('Selection Pane Data'!$B61,List!$E$2:$E$173,0),MATCH('Selection Pane Data'!BC$3,List!$E$2:$CD$2,0)),"")</f>
        <v/>
      </c>
      <c r="BD61" s="13" t="str">
        <f>IF(BD$4="Yes",INDEX(List!$E$2:$CD$173,MATCH('Selection Pane Data'!$B61,List!$E$2:$E$173,0),MATCH('Selection Pane Data'!BD$3,List!$E$2:$CD$2,0)),"")</f>
        <v/>
      </c>
      <c r="BE61" s="13" t="str">
        <f>IF(BE$4="Yes",INDEX(List!$E$2:$CD$173,MATCH('Selection Pane Data'!$B61,List!$E$2:$E$173,0),MATCH('Selection Pane Data'!BE$3,List!$E$2:$CD$2,0)),"")</f>
        <v/>
      </c>
      <c r="BF61" s="13" t="str">
        <f>IF(BF$4="Yes",INDEX(List!$E$2:$CD$173,MATCH('Selection Pane Data'!$B61,List!$E$2:$E$173,0),MATCH('Selection Pane Data'!BF$3,List!$E$2:$CD$2,0)),"")</f>
        <v/>
      </c>
      <c r="BG61" s="13" t="str">
        <f>IF(BG$4="Yes",INDEX(List!$E$2:$CD$173,MATCH('Selection Pane Data'!$B61,List!$E$2:$E$173,0),MATCH('Selection Pane Data'!BG$3,List!$E$2:$CD$2,0)),"")</f>
        <v/>
      </c>
      <c r="BH61" s="13" t="str">
        <f>IF(BH$4="Yes",INDEX(List!$E$2:$CD$173,MATCH('Selection Pane Data'!$B61,List!$E$2:$E$173,0),MATCH('Selection Pane Data'!BH$3,List!$E$2:$CD$2,0)),"")</f>
        <v/>
      </c>
      <c r="BI61" s="13" t="str">
        <f>IF(BI$4="Yes",INDEX(List!$E$2:$CD$173,MATCH('Selection Pane Data'!$B61,List!$E$2:$E$173,0),MATCH('Selection Pane Data'!BI$3,List!$E$2:$CD$2,0)),"")</f>
        <v/>
      </c>
      <c r="BJ61" s="13" t="str">
        <f>IF(BJ$4="Yes",INDEX(List!$E$2:$CD$173,MATCH('Selection Pane Data'!$B61,List!$E$2:$E$173,0),MATCH('Selection Pane Data'!BJ$3,List!$E$2:$CD$2,0)),"")</f>
        <v/>
      </c>
      <c r="BK61" s="13" t="str">
        <f>IF(BK$4="Yes",INDEX(List!$E$2:$CD$173,MATCH('Selection Pane Data'!$B61,List!$E$2:$E$173,0),MATCH('Selection Pane Data'!BK$3,List!$E$2:$CD$2,0)),"")</f>
        <v/>
      </c>
      <c r="BL61" s="13" t="str">
        <f>IF(BL$4="Yes",INDEX(List!$E$2:$CD$173,MATCH('Selection Pane Data'!$B61,List!$E$2:$E$173,0),MATCH('Selection Pane Data'!BL$3,List!$E$2:$CD$2,0)),"")</f>
        <v/>
      </c>
      <c r="BM61" s="13" t="str">
        <f>IF(BM$4="Yes",INDEX(List!$E$2:$CD$173,MATCH('Selection Pane Data'!$B61,List!$E$2:$E$173,0),MATCH('Selection Pane Data'!BM$3,List!$E$2:$CD$2,0)),"")</f>
        <v/>
      </c>
      <c r="BN61" s="13" t="str">
        <f>IF(BN$4="Yes",INDEX(List!$E$2:$CD$173,MATCH('Selection Pane Data'!$B61,List!$E$2:$E$173,0),MATCH('Selection Pane Data'!BN$3,List!$E$2:$CD$2,0)),"")</f>
        <v/>
      </c>
      <c r="BO61" s="13" t="str">
        <f>IF(BO$4="Yes",INDEX(List!$E$2:$CD$173,MATCH('Selection Pane Data'!$B61,List!$E$2:$E$173,0),MATCH('Selection Pane Data'!BO$3,List!$E$2:$CD$2,0)),"")</f>
        <v/>
      </c>
      <c r="BP61" s="13" t="str">
        <f>IF(BP$4="Yes",INDEX(List!$E$2:$CD$173,MATCH('Selection Pane Data'!$B61,List!$E$2:$E$173,0),MATCH('Selection Pane Data'!BP$3,List!$E$2:$CD$2,0)),"")</f>
        <v/>
      </c>
      <c r="BQ61" s="13" t="str">
        <f>IF(BQ$4="Yes",INDEX(List!$E$2:$CD$173,MATCH('Selection Pane Data'!$B61,List!$E$2:$E$173,0),MATCH('Selection Pane Data'!BQ$3,List!$E$2:$CD$2,0)),"")</f>
        <v/>
      </c>
      <c r="BR61" s="13" t="str">
        <f>IF(BR$4="Yes",INDEX(List!$E$2:$CD$173,MATCH('Selection Pane Data'!$B61,List!$E$2:$E$173,0),MATCH('Selection Pane Data'!BR$3,List!$E$2:$CD$2,0)),"")</f>
        <v/>
      </c>
      <c r="BS61" s="13" t="str">
        <f>IF(BS$4="Yes",INDEX(List!$E$2:$CD$173,MATCH('Selection Pane Data'!$B61,List!$E$2:$E$173,0),MATCH('Selection Pane Data'!BS$3,List!$E$2:$CD$2,0)),"")</f>
        <v/>
      </c>
      <c r="BT61" s="13" t="str">
        <f>IF(BT$4="Yes",INDEX(List!$E$2:$CD$173,MATCH('Selection Pane Data'!$B61,List!$E$2:$E$173,0),MATCH('Selection Pane Data'!BT$3,List!$E$2:$CD$2,0)),"")</f>
        <v/>
      </c>
      <c r="BU61" s="13" t="str">
        <f>IF(BU$4="Yes",INDEX(List!$E$2:$CD$173,MATCH('Selection Pane Data'!$B61,List!$E$2:$E$173,0),MATCH('Selection Pane Data'!BU$3,List!$E$2:$CD$2,0)),"")</f>
        <v/>
      </c>
      <c r="BV61" s="13" t="str">
        <f>IF(BV$4="Yes",INDEX(List!$E$2:$CD$173,MATCH('Selection Pane Data'!$B61,List!$E$2:$E$173,0),MATCH('Selection Pane Data'!BV$3,List!$E$2:$CD$2,0)),"")</f>
        <v/>
      </c>
      <c r="BW61" s="13" t="str">
        <f>IF(BW$4="Yes",INDEX(List!$E$2:$CD$173,MATCH('Selection Pane Data'!$B61,List!$E$2:$E$173,0),MATCH('Selection Pane Data'!BW$3,List!$E$2:$CD$2,0)),"")</f>
        <v/>
      </c>
      <c r="BX61" s="13" t="str">
        <f>IF(BX$4="Yes",INDEX(List!$E$2:$CD$173,MATCH('Selection Pane Data'!$B61,List!$E$2:$E$173,0),MATCH('Selection Pane Data'!BX$3,List!$E$2:$CD$2,0)),"")</f>
        <v/>
      </c>
      <c r="BY61" s="13" t="str">
        <f>IF(BY$4="Yes",INDEX(List!$E$2:$CD$173,MATCH('Selection Pane Data'!$B61,List!$E$2:$E$173,0),MATCH('Selection Pane Data'!BY$3,List!$E$2:$CD$2,0)),"")</f>
        <v/>
      </c>
      <c r="BZ61" s="13" t="str">
        <f>IF(BZ$4="Yes",INDEX(List!$E$2:$CD$173,MATCH('Selection Pane Data'!$B61,List!$E$2:$E$173,0),MATCH('Selection Pane Data'!BZ$3,List!$E$2:$CD$2,0)),"")</f>
        <v/>
      </c>
      <c r="CA61" s="13" t="str">
        <f>IF(CA$4="Yes",INDEX(List!$E$2:$CD$173,MATCH('Selection Pane Data'!$B61,List!$E$2:$E$173,0),MATCH('Selection Pane Data'!CA$3,List!$E$2:$CD$2,0)),"")</f>
        <v/>
      </c>
      <c r="CB61" s="13" t="str">
        <f>IF(CB$4="Yes",INDEX(List!$E$2:$CD$173,MATCH('Selection Pane Data'!$B61,List!$E$2:$E$173,0),MATCH('Selection Pane Data'!CB$3,List!$E$2:$CD$2,0)),"")</f>
        <v/>
      </c>
      <c r="CC61" s="13" t="str">
        <f>IF(CC$4="Yes",INDEX(List!$E$2:$CD$173,MATCH('Selection Pane Data'!$B61,List!$E$2:$E$173,0),MATCH('Selection Pane Data'!CC$3,List!$E$2:$CD$2,0)),"")</f>
        <v/>
      </c>
      <c r="CD61" s="13" t="str">
        <f>IF(CD$4="Yes",INDEX(List!$E$2:$CD$173,MATCH('Selection Pane Data'!$B61,List!$E$2:$E$173,0),MATCH('Selection Pane Data'!CD$3,List!$E$2:$CD$2,0)),"")</f>
        <v/>
      </c>
      <c r="CE61" s="13" t="str">
        <f>IF(CE$4="Yes",INDEX(List!$E$2:$CD$173,MATCH('Selection Pane Data'!$B61,List!$E$2:$E$173,0),MATCH('Selection Pane Data'!CE$3,List!$E$2:$CD$2,0)),"")</f>
        <v/>
      </c>
    </row>
    <row r="62" spans="2:83" x14ac:dyDescent="0.35">
      <c r="B62" s="21" t="s">
        <v>349</v>
      </c>
      <c r="C62" s="126" t="str">
        <f>VLOOKUP(B62,List!$E$2:$G$173,2,FALSE)</f>
        <v>CM.L2-3.4.9</v>
      </c>
      <c r="D62" s="31" t="str">
        <f>List!G60</f>
        <v>Shared Coverage</v>
      </c>
      <c r="E62" s="31" t="str">
        <f>IF(Placemat!$F$4="All Practices","All Practices",IF(VLOOKUP(B62,Table7[#All],6,FALSE)="No Mapping","New CMMC Practices","Practices with NIST 800-171 Mappings"))</f>
        <v>Practices with NIST 800-171 Mappings</v>
      </c>
      <c r="F62" t="str">
        <f>INDEX('CMMC Levels'!$A$1:$F$172,MATCH('Selection Pane Data'!$C62,'CMMC Levels'!$A$1:$A$172,0),MATCH(Placemat!$F$4,'CMMC Levels'!$A$1:$F$1,0))</f>
        <v>X</v>
      </c>
      <c r="G62" s="77" t="str">
        <f>IF((COUNTIF(List!H60:CE60,"P")+COUNTIF(List!H60:CE60,"S"))=0,"N",IF(COUNTIF(H62:CE62,"P"),"P",IF(COUNTIF(H62:CE62,"S"),"S","U")))</f>
        <v>U</v>
      </c>
      <c r="H62" s="13" t="str">
        <f>IF(H$4="Yes",INDEX(List!$E$2:$CD$173,MATCH('Selection Pane Data'!$B62,List!$E$2:$E$173,0),MATCH('Selection Pane Data'!H$3,List!$E$2:$CD$2,0)),"")</f>
        <v/>
      </c>
      <c r="I62" s="13" t="str">
        <f>IF(I$4="Yes",INDEX(List!$E$2:$CD$173,MATCH('Selection Pane Data'!$B62,List!$E$2:$E$173,0),MATCH('Selection Pane Data'!I$3,List!$E$2:$CD$2,0)),"")</f>
        <v/>
      </c>
      <c r="J62" s="13" t="str">
        <f>IF(J$4="Yes",INDEX(List!$E$2:$CD$173,MATCH('Selection Pane Data'!$B62,List!$E$2:$E$173,0),MATCH('Selection Pane Data'!J$3,List!$E$2:$CD$2,0)),"")</f>
        <v>N</v>
      </c>
      <c r="K62" s="13" t="str">
        <f>IF(K$4="Yes",INDEX(List!$E$2:$CD$173,MATCH('Selection Pane Data'!$B62,List!$E$2:$E$173,0),MATCH('Selection Pane Data'!K$3,List!$E$2:$CD$2,0)),"")</f>
        <v/>
      </c>
      <c r="L62" s="13" t="str">
        <f>IF(L$4="Yes",INDEX(List!$E$2:$CD$173,MATCH('Selection Pane Data'!$B62,List!$E$2:$E$173,0),MATCH('Selection Pane Data'!L$3,List!$E$2:$CD$2,0)),"")</f>
        <v/>
      </c>
      <c r="M62" s="13" t="str">
        <f>IF(M$4="Yes",INDEX(List!$E$2:$CD$173,MATCH('Selection Pane Data'!$B62,List!$E$2:$E$173,0),MATCH('Selection Pane Data'!M$3,List!$E$2:$CD$2,0)),"")</f>
        <v/>
      </c>
      <c r="N62" s="13" t="str">
        <f>IF(N$4="Yes",INDEX(List!$E$2:$CD$173,MATCH('Selection Pane Data'!$B62,List!$E$2:$E$173,0),MATCH('Selection Pane Data'!N$3,List!$E$2:$CD$2,0)),"")</f>
        <v/>
      </c>
      <c r="O62" s="13" t="str">
        <f>IF(O$4="Yes",INDEX(List!$E$2:$CD$173,MATCH('Selection Pane Data'!$B62,List!$E$2:$E$173,0),MATCH('Selection Pane Data'!O$3,List!$E$2:$CD$2,0)),"")</f>
        <v/>
      </c>
      <c r="P62" s="13" t="str">
        <f>IF(P$4="Yes",INDEX(List!$E$2:$CD$173,MATCH('Selection Pane Data'!$B62,List!$E$2:$E$173,0),MATCH('Selection Pane Data'!P$3,List!$E$2:$CD$2,0)),"")</f>
        <v/>
      </c>
      <c r="Q62" s="13" t="str">
        <f>IF(Q$4="Yes",INDEX(List!$E$2:$CD$173,MATCH('Selection Pane Data'!$B62,List!$E$2:$E$173,0),MATCH('Selection Pane Data'!Q$3,List!$E$2:$CD$2,0)),"")</f>
        <v/>
      </c>
      <c r="R62" s="13" t="str">
        <f>IF(R$4="Yes",INDEX(List!$E$2:$CD$173,MATCH('Selection Pane Data'!$B62,List!$E$2:$E$173,0),MATCH('Selection Pane Data'!R$3,List!$E$2:$CD$2,0)),"")</f>
        <v/>
      </c>
      <c r="S62" s="13" t="str">
        <f>IF(S$4="Yes",INDEX(List!$E$2:$CD$173,MATCH('Selection Pane Data'!$B62,List!$E$2:$E$173,0),MATCH('Selection Pane Data'!S$3,List!$E$2:$CD$2,0)),"")</f>
        <v/>
      </c>
      <c r="T62" s="13" t="str">
        <f>IF(T$4="Yes",INDEX(List!$E$2:$CD$173,MATCH('Selection Pane Data'!$B62,List!$E$2:$E$173,0),MATCH('Selection Pane Data'!T$3,List!$E$2:$CD$2,0)),"")</f>
        <v/>
      </c>
      <c r="U62" s="13" t="str">
        <f>IF(U$4="Yes",INDEX(List!$E$2:$CD$173,MATCH('Selection Pane Data'!$B62,List!$E$2:$E$173,0),MATCH('Selection Pane Data'!U$3,List!$E$2:$CD$2,0)),"")</f>
        <v/>
      </c>
      <c r="V62" s="13" t="str">
        <f>IF(V$4="Yes",INDEX(List!$E$2:$CD$173,MATCH('Selection Pane Data'!$B62,List!$E$2:$E$173,0),MATCH('Selection Pane Data'!V$3,List!$E$2:$CD$2,0)),"")</f>
        <v/>
      </c>
      <c r="W62" s="13" t="str">
        <f>IF(W$4="Yes",INDEX(List!$E$2:$CD$173,MATCH('Selection Pane Data'!$B62,List!$E$2:$E$173,0),MATCH('Selection Pane Data'!W$3,List!$E$2:$CD$2,0)),"")</f>
        <v/>
      </c>
      <c r="X62" s="13" t="str">
        <f>IF(X$4="Yes",INDEX(List!$E$2:$CD$173,MATCH('Selection Pane Data'!$B62,List!$E$2:$E$173,0),MATCH('Selection Pane Data'!X$3,List!$E$2:$CD$2,0)),"")</f>
        <v/>
      </c>
      <c r="Y62" s="13" t="str">
        <f>IF(Y$4="Yes",INDEX(List!$E$2:$CD$173,MATCH('Selection Pane Data'!$B62,List!$E$2:$E$173,0),MATCH('Selection Pane Data'!Y$3,List!$E$2:$CD$2,0)),"")</f>
        <v/>
      </c>
      <c r="Z62" s="13" t="str">
        <f>IF(Z$4="Yes",INDEX(List!$E$2:$CD$173,MATCH('Selection Pane Data'!$B62,List!$E$2:$E$173,0),MATCH('Selection Pane Data'!Z$3,List!$E$2:$CD$2,0)),"")</f>
        <v/>
      </c>
      <c r="AA62" s="13" t="str">
        <f>IF(AA$4="Yes",INDEX(List!$E$2:$CD$173,MATCH('Selection Pane Data'!$B62,List!$E$2:$E$173,0),MATCH('Selection Pane Data'!AA$3,List!$E$2:$CD$2,0)),"")</f>
        <v>N</v>
      </c>
      <c r="AB62" s="13" t="str">
        <f>IF(AB$4="Yes",INDEX(List!$E$2:$CD$173,MATCH('Selection Pane Data'!$B62,List!$E$2:$E$173,0),MATCH('Selection Pane Data'!AB$3,List!$E$2:$CD$2,0)),"")</f>
        <v/>
      </c>
      <c r="AC62" s="13" t="str">
        <f>IF(AC$4="Yes",INDEX(List!$E$2:$CD$173,MATCH('Selection Pane Data'!$B62,List!$E$2:$E$173,0),MATCH('Selection Pane Data'!AC$3,List!$E$2:$CD$2,0)),"")</f>
        <v/>
      </c>
      <c r="AD62" s="13" t="str">
        <f>IF(AD$4="Yes",INDEX(List!$E$2:$CD$173,MATCH('Selection Pane Data'!$B62,List!$E$2:$E$173,0),MATCH('Selection Pane Data'!AD$3,List!$E$2:$CD$2,0)),"")</f>
        <v/>
      </c>
      <c r="AE62" s="13" t="str">
        <f>IF(AE$4="Yes",INDEX(List!$E$2:$CD$173,MATCH('Selection Pane Data'!$B62,List!$E$2:$E$173,0),MATCH('Selection Pane Data'!AE$3,List!$E$2:$CD$2,0)),"")</f>
        <v/>
      </c>
      <c r="AF62" s="13" t="str">
        <f>IF(AF$4="Yes",INDEX(List!$E$2:$CD$173,MATCH('Selection Pane Data'!$B62,List!$E$2:$E$173,0),MATCH('Selection Pane Data'!AF$3,List!$E$2:$CD$2,0)),"")</f>
        <v/>
      </c>
      <c r="AG62" s="13" t="str">
        <f>IF(AG$4="Yes",INDEX(List!$E$2:$CD$173,MATCH('Selection Pane Data'!$B62,List!$E$2:$E$173,0),MATCH('Selection Pane Data'!AG$3,List!$E$2:$CD$2,0)),"")</f>
        <v/>
      </c>
      <c r="AH62" s="13" t="str">
        <f>IF(AH$4="Yes",INDEX(List!$E$2:$CD$173,MATCH('Selection Pane Data'!$B62,List!$E$2:$E$173,0),MATCH('Selection Pane Data'!AH$3,List!$E$2:$CD$2,0)),"")</f>
        <v/>
      </c>
      <c r="AI62" s="13" t="str">
        <f>IF(AI$4="Yes",INDEX(List!$E$2:$CD$173,MATCH('Selection Pane Data'!$B62,List!$E$2:$E$173,0),MATCH('Selection Pane Data'!AI$3,List!$E$2:$CD$2,0)),"")</f>
        <v/>
      </c>
      <c r="AJ62" s="13" t="str">
        <f>IF(AJ$4="Yes",INDEX(List!$E$2:$CD$173,MATCH('Selection Pane Data'!$B62,List!$E$2:$E$173,0),MATCH('Selection Pane Data'!AJ$3,List!$E$2:$CD$2,0)),"")</f>
        <v/>
      </c>
      <c r="AK62" s="13" t="str">
        <f>IF(AK$4="Yes",INDEX(List!$E$2:$CD$173,MATCH('Selection Pane Data'!$B62,List!$E$2:$E$173,0),MATCH('Selection Pane Data'!AK$3,List!$E$2:$CD$2,0)),"")</f>
        <v/>
      </c>
      <c r="AL62" s="13" t="str">
        <f>IF(AL$4="Yes",INDEX(List!$E$2:$CD$173,MATCH('Selection Pane Data'!$B62,List!$E$2:$E$173,0),MATCH('Selection Pane Data'!AL$3,List!$E$2:$CD$2,0)),"")</f>
        <v/>
      </c>
      <c r="AM62" s="13" t="str">
        <f>IF(AM$4="Yes",INDEX(List!$E$2:$CD$173,MATCH('Selection Pane Data'!$B62,List!$E$2:$E$173,0),MATCH('Selection Pane Data'!AM$3,List!$E$2:$CD$2,0)),"")</f>
        <v/>
      </c>
      <c r="AN62" s="13" t="str">
        <f>IF(AN$4="Yes",INDEX(List!$E$2:$CD$173,MATCH('Selection Pane Data'!$B62,List!$E$2:$E$173,0),MATCH('Selection Pane Data'!AN$3,List!$E$2:$CD$2,0)),"")</f>
        <v/>
      </c>
      <c r="AO62" s="13" t="str">
        <f>IF(AO$4="Yes",INDEX(List!$E$2:$CD$173,MATCH('Selection Pane Data'!$B62,List!$E$2:$E$173,0),MATCH('Selection Pane Data'!AO$3,List!$E$2:$CD$2,0)),"")</f>
        <v/>
      </c>
      <c r="AP62" s="13" t="str">
        <f>IF(AP$4="Yes",INDEX(List!$E$2:$CD$173,MATCH('Selection Pane Data'!$B62,List!$E$2:$E$173,0),MATCH('Selection Pane Data'!AP$3,List!$E$2:$CD$2,0)),"")</f>
        <v/>
      </c>
      <c r="AQ62" s="13" t="str">
        <f>IF(AQ$4="Yes",INDEX(List!$E$2:$CD$173,MATCH('Selection Pane Data'!$B62,List!$E$2:$E$173,0),MATCH('Selection Pane Data'!AQ$3,List!$E$2:$CD$2,0)),"")</f>
        <v/>
      </c>
      <c r="AR62" s="13" t="str">
        <f>IF(AR$4="Yes",INDEX(List!$E$2:$CD$173,MATCH('Selection Pane Data'!$B62,List!$E$2:$E$173,0),MATCH('Selection Pane Data'!AR$3,List!$E$2:$CD$2,0)),"")</f>
        <v/>
      </c>
      <c r="AS62" s="13" t="str">
        <f>IF(AS$4="Yes",INDEX(List!$E$2:$CD$173,MATCH('Selection Pane Data'!$B62,List!$E$2:$E$173,0),MATCH('Selection Pane Data'!AS$3,List!$E$2:$CD$2,0)),"")</f>
        <v/>
      </c>
      <c r="AT62" s="13" t="str">
        <f>IF(AT$4="Yes",INDEX(List!$E$2:$CD$173,MATCH('Selection Pane Data'!$B62,List!$E$2:$E$173,0),MATCH('Selection Pane Data'!AT$3,List!$E$2:$CD$2,0)),"")</f>
        <v/>
      </c>
      <c r="AU62" s="13" t="str">
        <f>IF(AU$4="Yes",INDEX(List!$E$2:$CD$173,MATCH('Selection Pane Data'!$B62,List!$E$2:$E$173,0),MATCH('Selection Pane Data'!AU$3,List!$E$2:$CD$2,0)),"")</f>
        <v/>
      </c>
      <c r="AV62" s="13" t="str">
        <f>IF(AV$4="Yes",INDEX(List!$E$2:$CD$173,MATCH('Selection Pane Data'!$B62,List!$E$2:$E$173,0),MATCH('Selection Pane Data'!AV$3,List!$E$2:$CD$2,0)),"")</f>
        <v/>
      </c>
      <c r="AW62" s="13" t="str">
        <f>IF(AW$4="Yes",INDEX(List!$E$2:$CD$173,MATCH('Selection Pane Data'!$B62,List!$E$2:$E$173,0),MATCH('Selection Pane Data'!AW$3,List!$E$2:$CD$2,0)),"")</f>
        <v/>
      </c>
      <c r="AX62" s="13" t="str">
        <f>IF(AX$4="Yes",INDEX(List!$E$2:$CD$173,MATCH('Selection Pane Data'!$B62,List!$E$2:$E$173,0),MATCH('Selection Pane Data'!AX$3,List!$E$2:$CD$2,0)),"")</f>
        <v/>
      </c>
      <c r="AY62" s="13" t="str">
        <f>IF(AY$4="Yes",INDEX(List!$E$2:$CD$173,MATCH('Selection Pane Data'!$B62,List!$E$2:$E$173,0),MATCH('Selection Pane Data'!AY$3,List!$E$2:$CD$2,0)),"")</f>
        <v/>
      </c>
      <c r="AZ62" s="13" t="str">
        <f>IF(AZ$4="Yes",INDEX(List!$E$2:$CD$173,MATCH('Selection Pane Data'!$B62,List!$E$2:$E$173,0),MATCH('Selection Pane Data'!AZ$3,List!$E$2:$CD$2,0)),"")</f>
        <v/>
      </c>
      <c r="BA62" s="13" t="str">
        <f>IF(BA$4="Yes",INDEX(List!$E$2:$CD$173,MATCH('Selection Pane Data'!$B62,List!$E$2:$E$173,0),MATCH('Selection Pane Data'!BA$3,List!$E$2:$CD$2,0)),"")</f>
        <v/>
      </c>
      <c r="BB62" s="13" t="str">
        <f>IF(BB$4="Yes",INDEX(List!$E$2:$CD$173,MATCH('Selection Pane Data'!$B62,List!$E$2:$E$173,0),MATCH('Selection Pane Data'!BB$3,List!$E$2:$CD$2,0)),"")</f>
        <v/>
      </c>
      <c r="BC62" s="13" t="str">
        <f>IF(BC$4="Yes",INDEX(List!$E$2:$CD$173,MATCH('Selection Pane Data'!$B62,List!$E$2:$E$173,0),MATCH('Selection Pane Data'!BC$3,List!$E$2:$CD$2,0)),"")</f>
        <v/>
      </c>
      <c r="BD62" s="13" t="str">
        <f>IF(BD$4="Yes",INDEX(List!$E$2:$CD$173,MATCH('Selection Pane Data'!$B62,List!$E$2:$E$173,0),MATCH('Selection Pane Data'!BD$3,List!$E$2:$CD$2,0)),"")</f>
        <v/>
      </c>
      <c r="BE62" s="13" t="str">
        <f>IF(BE$4="Yes",INDEX(List!$E$2:$CD$173,MATCH('Selection Pane Data'!$B62,List!$E$2:$E$173,0),MATCH('Selection Pane Data'!BE$3,List!$E$2:$CD$2,0)),"")</f>
        <v/>
      </c>
      <c r="BF62" s="13" t="str">
        <f>IF(BF$4="Yes",INDEX(List!$E$2:$CD$173,MATCH('Selection Pane Data'!$B62,List!$E$2:$E$173,0),MATCH('Selection Pane Data'!BF$3,List!$E$2:$CD$2,0)),"")</f>
        <v/>
      </c>
      <c r="BG62" s="13" t="str">
        <f>IF(BG$4="Yes",INDEX(List!$E$2:$CD$173,MATCH('Selection Pane Data'!$B62,List!$E$2:$E$173,0),MATCH('Selection Pane Data'!BG$3,List!$E$2:$CD$2,0)),"")</f>
        <v/>
      </c>
      <c r="BH62" s="13" t="str">
        <f>IF(BH$4="Yes",INDEX(List!$E$2:$CD$173,MATCH('Selection Pane Data'!$B62,List!$E$2:$E$173,0),MATCH('Selection Pane Data'!BH$3,List!$E$2:$CD$2,0)),"")</f>
        <v/>
      </c>
      <c r="BI62" s="13" t="str">
        <f>IF(BI$4="Yes",INDEX(List!$E$2:$CD$173,MATCH('Selection Pane Data'!$B62,List!$E$2:$E$173,0),MATCH('Selection Pane Data'!BI$3,List!$E$2:$CD$2,0)),"")</f>
        <v/>
      </c>
      <c r="BJ62" s="13" t="str">
        <f>IF(BJ$4="Yes",INDEX(List!$E$2:$CD$173,MATCH('Selection Pane Data'!$B62,List!$E$2:$E$173,0),MATCH('Selection Pane Data'!BJ$3,List!$E$2:$CD$2,0)),"")</f>
        <v/>
      </c>
      <c r="BK62" s="13" t="str">
        <f>IF(BK$4="Yes",INDEX(List!$E$2:$CD$173,MATCH('Selection Pane Data'!$B62,List!$E$2:$E$173,0),MATCH('Selection Pane Data'!BK$3,List!$E$2:$CD$2,0)),"")</f>
        <v/>
      </c>
      <c r="BL62" s="13" t="str">
        <f>IF(BL$4="Yes",INDEX(List!$E$2:$CD$173,MATCH('Selection Pane Data'!$B62,List!$E$2:$E$173,0),MATCH('Selection Pane Data'!BL$3,List!$E$2:$CD$2,0)),"")</f>
        <v/>
      </c>
      <c r="BM62" s="13" t="str">
        <f>IF(BM$4="Yes",INDEX(List!$E$2:$CD$173,MATCH('Selection Pane Data'!$B62,List!$E$2:$E$173,0),MATCH('Selection Pane Data'!BM$3,List!$E$2:$CD$2,0)),"")</f>
        <v/>
      </c>
      <c r="BN62" s="13" t="str">
        <f>IF(BN$4="Yes",INDEX(List!$E$2:$CD$173,MATCH('Selection Pane Data'!$B62,List!$E$2:$E$173,0),MATCH('Selection Pane Data'!BN$3,List!$E$2:$CD$2,0)),"")</f>
        <v/>
      </c>
      <c r="BO62" s="13" t="str">
        <f>IF(BO$4="Yes",INDEX(List!$E$2:$CD$173,MATCH('Selection Pane Data'!$B62,List!$E$2:$E$173,0),MATCH('Selection Pane Data'!BO$3,List!$E$2:$CD$2,0)),"")</f>
        <v/>
      </c>
      <c r="BP62" s="13" t="str">
        <f>IF(BP$4="Yes",INDEX(List!$E$2:$CD$173,MATCH('Selection Pane Data'!$B62,List!$E$2:$E$173,0),MATCH('Selection Pane Data'!BP$3,List!$E$2:$CD$2,0)),"")</f>
        <v/>
      </c>
      <c r="BQ62" s="13" t="str">
        <f>IF(BQ$4="Yes",INDEX(List!$E$2:$CD$173,MATCH('Selection Pane Data'!$B62,List!$E$2:$E$173,0),MATCH('Selection Pane Data'!BQ$3,List!$E$2:$CD$2,0)),"")</f>
        <v/>
      </c>
      <c r="BR62" s="13" t="str">
        <f>IF(BR$4="Yes",INDEX(List!$E$2:$CD$173,MATCH('Selection Pane Data'!$B62,List!$E$2:$E$173,0),MATCH('Selection Pane Data'!BR$3,List!$E$2:$CD$2,0)),"")</f>
        <v/>
      </c>
      <c r="BS62" s="13" t="str">
        <f>IF(BS$4="Yes",INDEX(List!$E$2:$CD$173,MATCH('Selection Pane Data'!$B62,List!$E$2:$E$173,0),MATCH('Selection Pane Data'!BS$3,List!$E$2:$CD$2,0)),"")</f>
        <v/>
      </c>
      <c r="BT62" s="13" t="str">
        <f>IF(BT$4="Yes",INDEX(List!$E$2:$CD$173,MATCH('Selection Pane Data'!$B62,List!$E$2:$E$173,0),MATCH('Selection Pane Data'!BT$3,List!$E$2:$CD$2,0)),"")</f>
        <v/>
      </c>
      <c r="BU62" s="13" t="str">
        <f>IF(BU$4="Yes",INDEX(List!$E$2:$CD$173,MATCH('Selection Pane Data'!$B62,List!$E$2:$E$173,0),MATCH('Selection Pane Data'!BU$3,List!$E$2:$CD$2,0)),"")</f>
        <v/>
      </c>
      <c r="BV62" s="13" t="str">
        <f>IF(BV$4="Yes",INDEX(List!$E$2:$CD$173,MATCH('Selection Pane Data'!$B62,List!$E$2:$E$173,0),MATCH('Selection Pane Data'!BV$3,List!$E$2:$CD$2,0)),"")</f>
        <v/>
      </c>
      <c r="BW62" s="13" t="str">
        <f>IF(BW$4="Yes",INDEX(List!$E$2:$CD$173,MATCH('Selection Pane Data'!$B62,List!$E$2:$E$173,0),MATCH('Selection Pane Data'!BW$3,List!$E$2:$CD$2,0)),"")</f>
        <v/>
      </c>
      <c r="BX62" s="13" t="str">
        <f>IF(BX$4="Yes",INDEX(List!$E$2:$CD$173,MATCH('Selection Pane Data'!$B62,List!$E$2:$E$173,0),MATCH('Selection Pane Data'!BX$3,List!$E$2:$CD$2,0)),"")</f>
        <v/>
      </c>
      <c r="BY62" s="13" t="str">
        <f>IF(BY$4="Yes",INDEX(List!$E$2:$CD$173,MATCH('Selection Pane Data'!$B62,List!$E$2:$E$173,0),MATCH('Selection Pane Data'!BY$3,List!$E$2:$CD$2,0)),"")</f>
        <v/>
      </c>
      <c r="BZ62" s="13" t="str">
        <f>IF(BZ$4="Yes",INDEX(List!$E$2:$CD$173,MATCH('Selection Pane Data'!$B62,List!$E$2:$E$173,0),MATCH('Selection Pane Data'!BZ$3,List!$E$2:$CD$2,0)),"")</f>
        <v/>
      </c>
      <c r="CA62" s="13" t="str">
        <f>IF(CA$4="Yes",INDEX(List!$E$2:$CD$173,MATCH('Selection Pane Data'!$B62,List!$E$2:$E$173,0),MATCH('Selection Pane Data'!CA$3,List!$E$2:$CD$2,0)),"")</f>
        <v/>
      </c>
      <c r="CB62" s="13" t="str">
        <f>IF(CB$4="Yes",INDEX(List!$E$2:$CD$173,MATCH('Selection Pane Data'!$B62,List!$E$2:$E$173,0),MATCH('Selection Pane Data'!CB$3,List!$E$2:$CD$2,0)),"")</f>
        <v/>
      </c>
      <c r="CC62" s="13" t="str">
        <f>IF(CC$4="Yes",INDEX(List!$E$2:$CD$173,MATCH('Selection Pane Data'!$B62,List!$E$2:$E$173,0),MATCH('Selection Pane Data'!CC$3,List!$E$2:$CD$2,0)),"")</f>
        <v/>
      </c>
      <c r="CD62" s="13" t="str">
        <f>IF(CD$4="Yes",INDEX(List!$E$2:$CD$173,MATCH('Selection Pane Data'!$B62,List!$E$2:$E$173,0),MATCH('Selection Pane Data'!CD$3,List!$E$2:$CD$2,0)),"")</f>
        <v/>
      </c>
      <c r="CE62" s="13" t="str">
        <f>IF(CE$4="Yes",INDEX(List!$E$2:$CD$173,MATCH('Selection Pane Data'!$B62,List!$E$2:$E$173,0),MATCH('Selection Pane Data'!CE$3,List!$E$2:$CD$2,0)),"")</f>
        <v/>
      </c>
    </row>
    <row r="63" spans="2:83" x14ac:dyDescent="0.35">
      <c r="B63" s="21" t="s">
        <v>350</v>
      </c>
      <c r="C63" s="126" t="str">
        <f>VLOOKUP(B63,List!$E$2:$G$173,2,FALSE)</f>
        <v>CM.L2-3.4.2</v>
      </c>
      <c r="D63" s="31" t="str">
        <f>List!G61</f>
        <v>Customer Responsibility</v>
      </c>
      <c r="E63" s="31" t="str">
        <f>IF(Placemat!$F$4="All Practices","All Practices",IF(VLOOKUP(B63,Table7[#All],6,FALSE)="No Mapping","New CMMC Practices","Practices with NIST 800-171 Mappings"))</f>
        <v>Practices with NIST 800-171 Mappings</v>
      </c>
      <c r="F63" t="str">
        <f>INDEX('CMMC Levels'!$A$1:$F$172,MATCH('Selection Pane Data'!$C63,'CMMC Levels'!$A$1:$A$172,0),MATCH(Placemat!$F$4,'CMMC Levels'!$A$1:$F$1,0))</f>
        <v>X</v>
      </c>
      <c r="G63" s="77" t="str">
        <f>IF((COUNTIF(List!H61:CE61,"P")+COUNTIF(List!H61:CE61,"S"))=0,"N",IF(COUNTIF(H63:CE63,"P"),"P",IF(COUNTIF(H63:CE63,"S"),"S","U")))</f>
        <v>U</v>
      </c>
      <c r="H63" s="13" t="str">
        <f>IF(H$4="Yes",INDEX(List!$E$2:$CD$173,MATCH('Selection Pane Data'!$B63,List!$E$2:$E$173,0),MATCH('Selection Pane Data'!H$3,List!$E$2:$CD$2,0)),"")</f>
        <v/>
      </c>
      <c r="I63" s="13" t="str">
        <f>IF(I$4="Yes",INDEX(List!$E$2:$CD$173,MATCH('Selection Pane Data'!$B63,List!$E$2:$E$173,0),MATCH('Selection Pane Data'!I$3,List!$E$2:$CD$2,0)),"")</f>
        <v/>
      </c>
      <c r="J63" s="13" t="str">
        <f>IF(J$4="Yes",INDEX(List!$E$2:$CD$173,MATCH('Selection Pane Data'!$B63,List!$E$2:$E$173,0),MATCH('Selection Pane Data'!J$3,List!$E$2:$CD$2,0)),"")</f>
        <v>N</v>
      </c>
      <c r="K63" s="13" t="str">
        <f>IF(K$4="Yes",INDEX(List!$E$2:$CD$173,MATCH('Selection Pane Data'!$B63,List!$E$2:$E$173,0),MATCH('Selection Pane Data'!K$3,List!$E$2:$CD$2,0)),"")</f>
        <v/>
      </c>
      <c r="L63" s="13" t="str">
        <f>IF(L$4="Yes",INDEX(List!$E$2:$CD$173,MATCH('Selection Pane Data'!$B63,List!$E$2:$E$173,0),MATCH('Selection Pane Data'!L$3,List!$E$2:$CD$2,0)),"")</f>
        <v/>
      </c>
      <c r="M63" s="13" t="str">
        <f>IF(M$4="Yes",INDEX(List!$E$2:$CD$173,MATCH('Selection Pane Data'!$B63,List!$E$2:$E$173,0),MATCH('Selection Pane Data'!M$3,List!$E$2:$CD$2,0)),"")</f>
        <v/>
      </c>
      <c r="N63" s="13" t="str">
        <f>IF(N$4="Yes",INDEX(List!$E$2:$CD$173,MATCH('Selection Pane Data'!$B63,List!$E$2:$E$173,0),MATCH('Selection Pane Data'!N$3,List!$E$2:$CD$2,0)),"")</f>
        <v/>
      </c>
      <c r="O63" s="13" t="str">
        <f>IF(O$4="Yes",INDEX(List!$E$2:$CD$173,MATCH('Selection Pane Data'!$B63,List!$E$2:$E$173,0),MATCH('Selection Pane Data'!O$3,List!$E$2:$CD$2,0)),"")</f>
        <v/>
      </c>
      <c r="P63" s="13" t="str">
        <f>IF(P$4="Yes",INDEX(List!$E$2:$CD$173,MATCH('Selection Pane Data'!$B63,List!$E$2:$E$173,0),MATCH('Selection Pane Data'!P$3,List!$E$2:$CD$2,0)),"")</f>
        <v/>
      </c>
      <c r="Q63" s="13" t="str">
        <f>IF(Q$4="Yes",INDEX(List!$E$2:$CD$173,MATCH('Selection Pane Data'!$B63,List!$E$2:$E$173,0),MATCH('Selection Pane Data'!Q$3,List!$E$2:$CD$2,0)),"")</f>
        <v/>
      </c>
      <c r="R63" s="13" t="str">
        <f>IF(R$4="Yes",INDEX(List!$E$2:$CD$173,MATCH('Selection Pane Data'!$B63,List!$E$2:$E$173,0),MATCH('Selection Pane Data'!R$3,List!$E$2:$CD$2,0)),"")</f>
        <v/>
      </c>
      <c r="S63" s="13" t="str">
        <f>IF(S$4="Yes",INDEX(List!$E$2:$CD$173,MATCH('Selection Pane Data'!$B63,List!$E$2:$E$173,0),MATCH('Selection Pane Data'!S$3,List!$E$2:$CD$2,0)),"")</f>
        <v/>
      </c>
      <c r="T63" s="13" t="str">
        <f>IF(T$4="Yes",INDEX(List!$E$2:$CD$173,MATCH('Selection Pane Data'!$B63,List!$E$2:$E$173,0),MATCH('Selection Pane Data'!T$3,List!$E$2:$CD$2,0)),"")</f>
        <v/>
      </c>
      <c r="U63" s="13" t="str">
        <f>IF(U$4="Yes",INDEX(List!$E$2:$CD$173,MATCH('Selection Pane Data'!$B63,List!$E$2:$E$173,0),MATCH('Selection Pane Data'!U$3,List!$E$2:$CD$2,0)),"")</f>
        <v/>
      </c>
      <c r="V63" s="13" t="str">
        <f>IF(V$4="Yes",INDEX(List!$E$2:$CD$173,MATCH('Selection Pane Data'!$B63,List!$E$2:$E$173,0),MATCH('Selection Pane Data'!V$3,List!$E$2:$CD$2,0)),"")</f>
        <v/>
      </c>
      <c r="W63" s="13" t="str">
        <f>IF(W$4="Yes",INDEX(List!$E$2:$CD$173,MATCH('Selection Pane Data'!$B63,List!$E$2:$E$173,0),MATCH('Selection Pane Data'!W$3,List!$E$2:$CD$2,0)),"")</f>
        <v/>
      </c>
      <c r="X63" s="13" t="str">
        <f>IF(X$4="Yes",INDEX(List!$E$2:$CD$173,MATCH('Selection Pane Data'!$B63,List!$E$2:$E$173,0),MATCH('Selection Pane Data'!X$3,List!$E$2:$CD$2,0)),"")</f>
        <v/>
      </c>
      <c r="Y63" s="13" t="str">
        <f>IF(Y$4="Yes",INDEX(List!$E$2:$CD$173,MATCH('Selection Pane Data'!$B63,List!$E$2:$E$173,0),MATCH('Selection Pane Data'!Y$3,List!$E$2:$CD$2,0)),"")</f>
        <v/>
      </c>
      <c r="Z63" s="13" t="str">
        <f>IF(Z$4="Yes",INDEX(List!$E$2:$CD$173,MATCH('Selection Pane Data'!$B63,List!$E$2:$E$173,0),MATCH('Selection Pane Data'!Z$3,List!$E$2:$CD$2,0)),"")</f>
        <v/>
      </c>
      <c r="AA63" s="13" t="str">
        <f>IF(AA$4="Yes",INDEX(List!$E$2:$CD$173,MATCH('Selection Pane Data'!$B63,List!$E$2:$E$173,0),MATCH('Selection Pane Data'!AA$3,List!$E$2:$CD$2,0)),"")</f>
        <v>N</v>
      </c>
      <c r="AB63" s="13" t="str">
        <f>IF(AB$4="Yes",INDEX(List!$E$2:$CD$173,MATCH('Selection Pane Data'!$B63,List!$E$2:$E$173,0),MATCH('Selection Pane Data'!AB$3,List!$E$2:$CD$2,0)),"")</f>
        <v/>
      </c>
      <c r="AC63" s="13" t="str">
        <f>IF(AC$4="Yes",INDEX(List!$E$2:$CD$173,MATCH('Selection Pane Data'!$B63,List!$E$2:$E$173,0),MATCH('Selection Pane Data'!AC$3,List!$E$2:$CD$2,0)),"")</f>
        <v/>
      </c>
      <c r="AD63" s="13" t="str">
        <f>IF(AD$4="Yes",INDEX(List!$E$2:$CD$173,MATCH('Selection Pane Data'!$B63,List!$E$2:$E$173,0),MATCH('Selection Pane Data'!AD$3,List!$E$2:$CD$2,0)),"")</f>
        <v/>
      </c>
      <c r="AE63" s="13" t="str">
        <f>IF(AE$4="Yes",INDEX(List!$E$2:$CD$173,MATCH('Selection Pane Data'!$B63,List!$E$2:$E$173,0),MATCH('Selection Pane Data'!AE$3,List!$E$2:$CD$2,0)),"")</f>
        <v/>
      </c>
      <c r="AF63" s="13" t="str">
        <f>IF(AF$4="Yes",INDEX(List!$E$2:$CD$173,MATCH('Selection Pane Data'!$B63,List!$E$2:$E$173,0),MATCH('Selection Pane Data'!AF$3,List!$E$2:$CD$2,0)),"")</f>
        <v/>
      </c>
      <c r="AG63" s="13" t="str">
        <f>IF(AG$4="Yes",INDEX(List!$E$2:$CD$173,MATCH('Selection Pane Data'!$B63,List!$E$2:$E$173,0),MATCH('Selection Pane Data'!AG$3,List!$E$2:$CD$2,0)),"")</f>
        <v/>
      </c>
      <c r="AH63" s="13" t="str">
        <f>IF(AH$4="Yes",INDEX(List!$E$2:$CD$173,MATCH('Selection Pane Data'!$B63,List!$E$2:$E$173,0),MATCH('Selection Pane Data'!AH$3,List!$E$2:$CD$2,0)),"")</f>
        <v/>
      </c>
      <c r="AI63" s="13" t="str">
        <f>IF(AI$4="Yes",INDEX(List!$E$2:$CD$173,MATCH('Selection Pane Data'!$B63,List!$E$2:$E$173,0),MATCH('Selection Pane Data'!AI$3,List!$E$2:$CD$2,0)),"")</f>
        <v/>
      </c>
      <c r="AJ63" s="13" t="str">
        <f>IF(AJ$4="Yes",INDEX(List!$E$2:$CD$173,MATCH('Selection Pane Data'!$B63,List!$E$2:$E$173,0),MATCH('Selection Pane Data'!AJ$3,List!$E$2:$CD$2,0)),"")</f>
        <v/>
      </c>
      <c r="AK63" s="13" t="str">
        <f>IF(AK$4="Yes",INDEX(List!$E$2:$CD$173,MATCH('Selection Pane Data'!$B63,List!$E$2:$E$173,0),MATCH('Selection Pane Data'!AK$3,List!$E$2:$CD$2,0)),"")</f>
        <v/>
      </c>
      <c r="AL63" s="13" t="str">
        <f>IF(AL$4="Yes",INDEX(List!$E$2:$CD$173,MATCH('Selection Pane Data'!$B63,List!$E$2:$E$173,0),MATCH('Selection Pane Data'!AL$3,List!$E$2:$CD$2,0)),"")</f>
        <v/>
      </c>
      <c r="AM63" s="13" t="str">
        <f>IF(AM$4="Yes",INDEX(List!$E$2:$CD$173,MATCH('Selection Pane Data'!$B63,List!$E$2:$E$173,0),MATCH('Selection Pane Data'!AM$3,List!$E$2:$CD$2,0)),"")</f>
        <v/>
      </c>
      <c r="AN63" s="13" t="str">
        <f>IF(AN$4="Yes",INDEX(List!$E$2:$CD$173,MATCH('Selection Pane Data'!$B63,List!$E$2:$E$173,0),MATCH('Selection Pane Data'!AN$3,List!$E$2:$CD$2,0)),"")</f>
        <v/>
      </c>
      <c r="AO63" s="13" t="str">
        <f>IF(AO$4="Yes",INDEX(List!$E$2:$CD$173,MATCH('Selection Pane Data'!$B63,List!$E$2:$E$173,0),MATCH('Selection Pane Data'!AO$3,List!$E$2:$CD$2,0)),"")</f>
        <v/>
      </c>
      <c r="AP63" s="13" t="str">
        <f>IF(AP$4="Yes",INDEX(List!$E$2:$CD$173,MATCH('Selection Pane Data'!$B63,List!$E$2:$E$173,0),MATCH('Selection Pane Data'!AP$3,List!$E$2:$CD$2,0)),"")</f>
        <v/>
      </c>
      <c r="AQ63" s="13" t="str">
        <f>IF(AQ$4="Yes",INDEX(List!$E$2:$CD$173,MATCH('Selection Pane Data'!$B63,List!$E$2:$E$173,0),MATCH('Selection Pane Data'!AQ$3,List!$E$2:$CD$2,0)),"")</f>
        <v/>
      </c>
      <c r="AR63" s="13" t="str">
        <f>IF(AR$4="Yes",INDEX(List!$E$2:$CD$173,MATCH('Selection Pane Data'!$B63,List!$E$2:$E$173,0),MATCH('Selection Pane Data'!AR$3,List!$E$2:$CD$2,0)),"")</f>
        <v/>
      </c>
      <c r="AS63" s="13" t="str">
        <f>IF(AS$4="Yes",INDEX(List!$E$2:$CD$173,MATCH('Selection Pane Data'!$B63,List!$E$2:$E$173,0),MATCH('Selection Pane Data'!AS$3,List!$E$2:$CD$2,0)),"")</f>
        <v/>
      </c>
      <c r="AT63" s="13" t="str">
        <f>IF(AT$4="Yes",INDEX(List!$E$2:$CD$173,MATCH('Selection Pane Data'!$B63,List!$E$2:$E$173,0),MATCH('Selection Pane Data'!AT$3,List!$E$2:$CD$2,0)),"")</f>
        <v/>
      </c>
      <c r="AU63" s="13" t="str">
        <f>IF(AU$4="Yes",INDEX(List!$E$2:$CD$173,MATCH('Selection Pane Data'!$B63,List!$E$2:$E$173,0),MATCH('Selection Pane Data'!AU$3,List!$E$2:$CD$2,0)),"")</f>
        <v/>
      </c>
      <c r="AV63" s="13" t="str">
        <f>IF(AV$4="Yes",INDEX(List!$E$2:$CD$173,MATCH('Selection Pane Data'!$B63,List!$E$2:$E$173,0),MATCH('Selection Pane Data'!AV$3,List!$E$2:$CD$2,0)),"")</f>
        <v/>
      </c>
      <c r="AW63" s="13" t="str">
        <f>IF(AW$4="Yes",INDEX(List!$E$2:$CD$173,MATCH('Selection Pane Data'!$B63,List!$E$2:$E$173,0),MATCH('Selection Pane Data'!AW$3,List!$E$2:$CD$2,0)),"")</f>
        <v/>
      </c>
      <c r="AX63" s="13" t="str">
        <f>IF(AX$4="Yes",INDEX(List!$E$2:$CD$173,MATCH('Selection Pane Data'!$B63,List!$E$2:$E$173,0),MATCH('Selection Pane Data'!AX$3,List!$E$2:$CD$2,0)),"")</f>
        <v/>
      </c>
      <c r="AY63" s="13" t="str">
        <f>IF(AY$4="Yes",INDEX(List!$E$2:$CD$173,MATCH('Selection Pane Data'!$B63,List!$E$2:$E$173,0),MATCH('Selection Pane Data'!AY$3,List!$E$2:$CD$2,0)),"")</f>
        <v/>
      </c>
      <c r="AZ63" s="13" t="str">
        <f>IF(AZ$4="Yes",INDEX(List!$E$2:$CD$173,MATCH('Selection Pane Data'!$B63,List!$E$2:$E$173,0),MATCH('Selection Pane Data'!AZ$3,List!$E$2:$CD$2,0)),"")</f>
        <v/>
      </c>
      <c r="BA63" s="13" t="str">
        <f>IF(BA$4="Yes",INDEX(List!$E$2:$CD$173,MATCH('Selection Pane Data'!$B63,List!$E$2:$E$173,0),MATCH('Selection Pane Data'!BA$3,List!$E$2:$CD$2,0)),"")</f>
        <v/>
      </c>
      <c r="BB63" s="13" t="str">
        <f>IF(BB$4="Yes",INDEX(List!$E$2:$CD$173,MATCH('Selection Pane Data'!$B63,List!$E$2:$E$173,0),MATCH('Selection Pane Data'!BB$3,List!$E$2:$CD$2,0)),"")</f>
        <v/>
      </c>
      <c r="BC63" s="13" t="str">
        <f>IF(BC$4="Yes",INDEX(List!$E$2:$CD$173,MATCH('Selection Pane Data'!$B63,List!$E$2:$E$173,0),MATCH('Selection Pane Data'!BC$3,List!$E$2:$CD$2,0)),"")</f>
        <v/>
      </c>
      <c r="BD63" s="13" t="str">
        <f>IF(BD$4="Yes",INDEX(List!$E$2:$CD$173,MATCH('Selection Pane Data'!$B63,List!$E$2:$E$173,0),MATCH('Selection Pane Data'!BD$3,List!$E$2:$CD$2,0)),"")</f>
        <v/>
      </c>
      <c r="BE63" s="13" t="str">
        <f>IF(BE$4="Yes",INDEX(List!$E$2:$CD$173,MATCH('Selection Pane Data'!$B63,List!$E$2:$E$173,0),MATCH('Selection Pane Data'!BE$3,List!$E$2:$CD$2,0)),"")</f>
        <v/>
      </c>
      <c r="BF63" s="13" t="str">
        <f>IF(BF$4="Yes",INDEX(List!$E$2:$CD$173,MATCH('Selection Pane Data'!$B63,List!$E$2:$E$173,0),MATCH('Selection Pane Data'!BF$3,List!$E$2:$CD$2,0)),"")</f>
        <v/>
      </c>
      <c r="BG63" s="13" t="str">
        <f>IF(BG$4="Yes",INDEX(List!$E$2:$CD$173,MATCH('Selection Pane Data'!$B63,List!$E$2:$E$173,0),MATCH('Selection Pane Data'!BG$3,List!$E$2:$CD$2,0)),"")</f>
        <v/>
      </c>
      <c r="BH63" s="13" t="str">
        <f>IF(BH$4="Yes",INDEX(List!$E$2:$CD$173,MATCH('Selection Pane Data'!$B63,List!$E$2:$E$173,0),MATCH('Selection Pane Data'!BH$3,List!$E$2:$CD$2,0)),"")</f>
        <v/>
      </c>
      <c r="BI63" s="13" t="str">
        <f>IF(BI$4="Yes",INDEX(List!$E$2:$CD$173,MATCH('Selection Pane Data'!$B63,List!$E$2:$E$173,0),MATCH('Selection Pane Data'!BI$3,List!$E$2:$CD$2,0)),"")</f>
        <v/>
      </c>
      <c r="BJ63" s="13" t="str">
        <f>IF(BJ$4="Yes",INDEX(List!$E$2:$CD$173,MATCH('Selection Pane Data'!$B63,List!$E$2:$E$173,0),MATCH('Selection Pane Data'!BJ$3,List!$E$2:$CD$2,0)),"")</f>
        <v/>
      </c>
      <c r="BK63" s="13" t="str">
        <f>IF(BK$4="Yes",INDEX(List!$E$2:$CD$173,MATCH('Selection Pane Data'!$B63,List!$E$2:$E$173,0),MATCH('Selection Pane Data'!BK$3,List!$E$2:$CD$2,0)),"")</f>
        <v/>
      </c>
      <c r="BL63" s="13" t="str">
        <f>IF(BL$4="Yes",INDEX(List!$E$2:$CD$173,MATCH('Selection Pane Data'!$B63,List!$E$2:$E$173,0),MATCH('Selection Pane Data'!BL$3,List!$E$2:$CD$2,0)),"")</f>
        <v/>
      </c>
      <c r="BM63" s="13" t="str">
        <f>IF(BM$4="Yes",INDEX(List!$E$2:$CD$173,MATCH('Selection Pane Data'!$B63,List!$E$2:$E$173,0),MATCH('Selection Pane Data'!BM$3,List!$E$2:$CD$2,0)),"")</f>
        <v/>
      </c>
      <c r="BN63" s="13" t="str">
        <f>IF(BN$4="Yes",INDEX(List!$E$2:$CD$173,MATCH('Selection Pane Data'!$B63,List!$E$2:$E$173,0),MATCH('Selection Pane Data'!BN$3,List!$E$2:$CD$2,0)),"")</f>
        <v/>
      </c>
      <c r="BO63" s="13" t="str">
        <f>IF(BO$4="Yes",INDEX(List!$E$2:$CD$173,MATCH('Selection Pane Data'!$B63,List!$E$2:$E$173,0),MATCH('Selection Pane Data'!BO$3,List!$E$2:$CD$2,0)),"")</f>
        <v/>
      </c>
      <c r="BP63" s="13" t="str">
        <f>IF(BP$4="Yes",INDEX(List!$E$2:$CD$173,MATCH('Selection Pane Data'!$B63,List!$E$2:$E$173,0),MATCH('Selection Pane Data'!BP$3,List!$E$2:$CD$2,0)),"")</f>
        <v/>
      </c>
      <c r="BQ63" s="13" t="str">
        <f>IF(BQ$4="Yes",INDEX(List!$E$2:$CD$173,MATCH('Selection Pane Data'!$B63,List!$E$2:$E$173,0),MATCH('Selection Pane Data'!BQ$3,List!$E$2:$CD$2,0)),"")</f>
        <v/>
      </c>
      <c r="BR63" s="13" t="str">
        <f>IF(BR$4="Yes",INDEX(List!$E$2:$CD$173,MATCH('Selection Pane Data'!$B63,List!$E$2:$E$173,0),MATCH('Selection Pane Data'!BR$3,List!$E$2:$CD$2,0)),"")</f>
        <v/>
      </c>
      <c r="BS63" s="13" t="str">
        <f>IF(BS$4="Yes",INDEX(List!$E$2:$CD$173,MATCH('Selection Pane Data'!$B63,List!$E$2:$E$173,0),MATCH('Selection Pane Data'!BS$3,List!$E$2:$CD$2,0)),"")</f>
        <v/>
      </c>
      <c r="BT63" s="13" t="str">
        <f>IF(BT$4="Yes",INDEX(List!$E$2:$CD$173,MATCH('Selection Pane Data'!$B63,List!$E$2:$E$173,0),MATCH('Selection Pane Data'!BT$3,List!$E$2:$CD$2,0)),"")</f>
        <v/>
      </c>
      <c r="BU63" s="13" t="str">
        <f>IF(BU$4="Yes",INDEX(List!$E$2:$CD$173,MATCH('Selection Pane Data'!$B63,List!$E$2:$E$173,0),MATCH('Selection Pane Data'!BU$3,List!$E$2:$CD$2,0)),"")</f>
        <v/>
      </c>
      <c r="BV63" s="13" t="str">
        <f>IF(BV$4="Yes",INDEX(List!$E$2:$CD$173,MATCH('Selection Pane Data'!$B63,List!$E$2:$E$173,0),MATCH('Selection Pane Data'!BV$3,List!$E$2:$CD$2,0)),"")</f>
        <v/>
      </c>
      <c r="BW63" s="13" t="str">
        <f>IF(BW$4="Yes",INDEX(List!$E$2:$CD$173,MATCH('Selection Pane Data'!$B63,List!$E$2:$E$173,0),MATCH('Selection Pane Data'!BW$3,List!$E$2:$CD$2,0)),"")</f>
        <v/>
      </c>
      <c r="BX63" s="13" t="str">
        <f>IF(BX$4="Yes",INDEX(List!$E$2:$CD$173,MATCH('Selection Pane Data'!$B63,List!$E$2:$E$173,0),MATCH('Selection Pane Data'!BX$3,List!$E$2:$CD$2,0)),"")</f>
        <v/>
      </c>
      <c r="BY63" s="13" t="str">
        <f>IF(BY$4="Yes",INDEX(List!$E$2:$CD$173,MATCH('Selection Pane Data'!$B63,List!$E$2:$E$173,0),MATCH('Selection Pane Data'!BY$3,List!$E$2:$CD$2,0)),"")</f>
        <v/>
      </c>
      <c r="BZ63" s="13" t="str">
        <f>IF(BZ$4="Yes",INDEX(List!$E$2:$CD$173,MATCH('Selection Pane Data'!$B63,List!$E$2:$E$173,0),MATCH('Selection Pane Data'!BZ$3,List!$E$2:$CD$2,0)),"")</f>
        <v/>
      </c>
      <c r="CA63" s="13" t="str">
        <f>IF(CA$4="Yes",INDEX(List!$E$2:$CD$173,MATCH('Selection Pane Data'!$B63,List!$E$2:$E$173,0),MATCH('Selection Pane Data'!CA$3,List!$E$2:$CD$2,0)),"")</f>
        <v/>
      </c>
      <c r="CB63" s="13" t="str">
        <f>IF(CB$4="Yes",INDEX(List!$E$2:$CD$173,MATCH('Selection Pane Data'!$B63,List!$E$2:$E$173,0),MATCH('Selection Pane Data'!CB$3,List!$E$2:$CD$2,0)),"")</f>
        <v/>
      </c>
      <c r="CC63" s="13" t="str">
        <f>IF(CC$4="Yes",INDEX(List!$E$2:$CD$173,MATCH('Selection Pane Data'!$B63,List!$E$2:$E$173,0),MATCH('Selection Pane Data'!CC$3,List!$E$2:$CD$2,0)),"")</f>
        <v/>
      </c>
      <c r="CD63" s="13" t="str">
        <f>IF(CD$4="Yes",INDEX(List!$E$2:$CD$173,MATCH('Selection Pane Data'!$B63,List!$E$2:$E$173,0),MATCH('Selection Pane Data'!CD$3,List!$E$2:$CD$2,0)),"")</f>
        <v/>
      </c>
      <c r="CE63" s="13" t="str">
        <f>IF(CE$4="Yes",INDEX(List!$E$2:$CD$173,MATCH('Selection Pane Data'!$B63,List!$E$2:$E$173,0),MATCH('Selection Pane Data'!CE$3,List!$E$2:$CD$2,0)),"")</f>
        <v/>
      </c>
    </row>
    <row r="64" spans="2:83" x14ac:dyDescent="0.35">
      <c r="B64" s="21" t="s">
        <v>351</v>
      </c>
      <c r="C64" s="126" t="str">
        <f>VLOOKUP(B64,List!$E$2:$G$173,2,FALSE)</f>
        <v>CM.L2-3.4.3</v>
      </c>
      <c r="D64" s="31" t="str">
        <f>List!G62</f>
        <v>Customer Responsibility</v>
      </c>
      <c r="E64" s="31" t="str">
        <f>IF(Placemat!$F$4="All Practices","All Practices",IF(VLOOKUP(B64,Table7[#All],6,FALSE)="No Mapping","New CMMC Practices","Practices with NIST 800-171 Mappings"))</f>
        <v>Practices with NIST 800-171 Mappings</v>
      </c>
      <c r="F64" t="str">
        <f>INDEX('CMMC Levels'!$A$1:$F$172,MATCH('Selection Pane Data'!$C64,'CMMC Levels'!$A$1:$A$172,0),MATCH(Placemat!$F$4,'CMMC Levels'!$A$1:$F$1,0))</f>
        <v>X</v>
      </c>
      <c r="G64" s="77" t="str">
        <f>IF((COUNTIF(List!H62:CE62,"P")+COUNTIF(List!H62:CE62,"S"))=0,"N",IF(COUNTIF(H64:CE64,"P"),"P",IF(COUNTIF(H64:CE64,"S"),"S","U")))</f>
        <v>U</v>
      </c>
      <c r="H64" s="13" t="str">
        <f>IF(H$4="Yes",INDEX(List!$E$2:$CD$173,MATCH('Selection Pane Data'!$B64,List!$E$2:$E$173,0),MATCH('Selection Pane Data'!H$3,List!$E$2:$CD$2,0)),"")</f>
        <v/>
      </c>
      <c r="I64" s="13" t="str">
        <f>IF(I$4="Yes",INDEX(List!$E$2:$CD$173,MATCH('Selection Pane Data'!$B64,List!$E$2:$E$173,0),MATCH('Selection Pane Data'!I$3,List!$E$2:$CD$2,0)),"")</f>
        <v/>
      </c>
      <c r="J64" s="13" t="str">
        <f>IF(J$4="Yes",INDEX(List!$E$2:$CD$173,MATCH('Selection Pane Data'!$B64,List!$E$2:$E$173,0),MATCH('Selection Pane Data'!J$3,List!$E$2:$CD$2,0)),"")</f>
        <v>N</v>
      </c>
      <c r="K64" s="13" t="str">
        <f>IF(K$4="Yes",INDEX(List!$E$2:$CD$173,MATCH('Selection Pane Data'!$B64,List!$E$2:$E$173,0),MATCH('Selection Pane Data'!K$3,List!$E$2:$CD$2,0)),"")</f>
        <v/>
      </c>
      <c r="L64" s="13" t="str">
        <f>IF(L$4="Yes",INDEX(List!$E$2:$CD$173,MATCH('Selection Pane Data'!$B64,List!$E$2:$E$173,0),MATCH('Selection Pane Data'!L$3,List!$E$2:$CD$2,0)),"")</f>
        <v/>
      </c>
      <c r="M64" s="13" t="str">
        <f>IF(M$4="Yes",INDEX(List!$E$2:$CD$173,MATCH('Selection Pane Data'!$B64,List!$E$2:$E$173,0),MATCH('Selection Pane Data'!M$3,List!$E$2:$CD$2,0)),"")</f>
        <v/>
      </c>
      <c r="N64" s="13" t="str">
        <f>IF(N$4="Yes",INDEX(List!$E$2:$CD$173,MATCH('Selection Pane Data'!$B64,List!$E$2:$E$173,0),MATCH('Selection Pane Data'!N$3,List!$E$2:$CD$2,0)),"")</f>
        <v/>
      </c>
      <c r="O64" s="13" t="str">
        <f>IF(O$4="Yes",INDEX(List!$E$2:$CD$173,MATCH('Selection Pane Data'!$B64,List!$E$2:$E$173,0),MATCH('Selection Pane Data'!O$3,List!$E$2:$CD$2,0)),"")</f>
        <v/>
      </c>
      <c r="P64" s="13" t="str">
        <f>IF(P$4="Yes",INDEX(List!$E$2:$CD$173,MATCH('Selection Pane Data'!$B64,List!$E$2:$E$173,0),MATCH('Selection Pane Data'!P$3,List!$E$2:$CD$2,0)),"")</f>
        <v/>
      </c>
      <c r="Q64" s="13" t="str">
        <f>IF(Q$4="Yes",INDEX(List!$E$2:$CD$173,MATCH('Selection Pane Data'!$B64,List!$E$2:$E$173,0),MATCH('Selection Pane Data'!Q$3,List!$E$2:$CD$2,0)),"")</f>
        <v/>
      </c>
      <c r="R64" s="13" t="str">
        <f>IF(R$4="Yes",INDEX(List!$E$2:$CD$173,MATCH('Selection Pane Data'!$B64,List!$E$2:$E$173,0),MATCH('Selection Pane Data'!R$3,List!$E$2:$CD$2,0)),"")</f>
        <v/>
      </c>
      <c r="S64" s="13" t="str">
        <f>IF(S$4="Yes",INDEX(List!$E$2:$CD$173,MATCH('Selection Pane Data'!$B64,List!$E$2:$E$173,0),MATCH('Selection Pane Data'!S$3,List!$E$2:$CD$2,0)),"")</f>
        <v/>
      </c>
      <c r="T64" s="13" t="str">
        <f>IF(T$4="Yes",INDEX(List!$E$2:$CD$173,MATCH('Selection Pane Data'!$B64,List!$E$2:$E$173,0),MATCH('Selection Pane Data'!T$3,List!$E$2:$CD$2,0)),"")</f>
        <v/>
      </c>
      <c r="U64" s="13" t="str">
        <f>IF(U$4="Yes",INDEX(List!$E$2:$CD$173,MATCH('Selection Pane Data'!$B64,List!$E$2:$E$173,0),MATCH('Selection Pane Data'!U$3,List!$E$2:$CD$2,0)),"")</f>
        <v/>
      </c>
      <c r="V64" s="13" t="str">
        <f>IF(V$4="Yes",INDEX(List!$E$2:$CD$173,MATCH('Selection Pane Data'!$B64,List!$E$2:$E$173,0),MATCH('Selection Pane Data'!V$3,List!$E$2:$CD$2,0)),"")</f>
        <v/>
      </c>
      <c r="W64" s="13" t="str">
        <f>IF(W$4="Yes",INDEX(List!$E$2:$CD$173,MATCH('Selection Pane Data'!$B64,List!$E$2:$E$173,0),MATCH('Selection Pane Data'!W$3,List!$E$2:$CD$2,0)),"")</f>
        <v/>
      </c>
      <c r="X64" s="13" t="str">
        <f>IF(X$4="Yes",INDEX(List!$E$2:$CD$173,MATCH('Selection Pane Data'!$B64,List!$E$2:$E$173,0),MATCH('Selection Pane Data'!X$3,List!$E$2:$CD$2,0)),"")</f>
        <v/>
      </c>
      <c r="Y64" s="13" t="str">
        <f>IF(Y$4="Yes",INDEX(List!$E$2:$CD$173,MATCH('Selection Pane Data'!$B64,List!$E$2:$E$173,0),MATCH('Selection Pane Data'!Y$3,List!$E$2:$CD$2,0)),"")</f>
        <v/>
      </c>
      <c r="Z64" s="13" t="str">
        <f>IF(Z$4="Yes",INDEX(List!$E$2:$CD$173,MATCH('Selection Pane Data'!$B64,List!$E$2:$E$173,0),MATCH('Selection Pane Data'!Z$3,List!$E$2:$CD$2,0)),"")</f>
        <v/>
      </c>
      <c r="AA64" s="13" t="str">
        <f>IF(AA$4="Yes",INDEX(List!$E$2:$CD$173,MATCH('Selection Pane Data'!$B64,List!$E$2:$E$173,0),MATCH('Selection Pane Data'!AA$3,List!$E$2:$CD$2,0)),"")</f>
        <v>N</v>
      </c>
      <c r="AB64" s="13" t="str">
        <f>IF(AB$4="Yes",INDEX(List!$E$2:$CD$173,MATCH('Selection Pane Data'!$B64,List!$E$2:$E$173,0),MATCH('Selection Pane Data'!AB$3,List!$E$2:$CD$2,0)),"")</f>
        <v/>
      </c>
      <c r="AC64" s="13" t="str">
        <f>IF(AC$4="Yes",INDEX(List!$E$2:$CD$173,MATCH('Selection Pane Data'!$B64,List!$E$2:$E$173,0),MATCH('Selection Pane Data'!AC$3,List!$E$2:$CD$2,0)),"")</f>
        <v/>
      </c>
      <c r="AD64" s="13" t="str">
        <f>IF(AD$4="Yes",INDEX(List!$E$2:$CD$173,MATCH('Selection Pane Data'!$B64,List!$E$2:$E$173,0),MATCH('Selection Pane Data'!AD$3,List!$E$2:$CD$2,0)),"")</f>
        <v/>
      </c>
      <c r="AE64" s="13" t="str">
        <f>IF(AE$4="Yes",INDEX(List!$E$2:$CD$173,MATCH('Selection Pane Data'!$B64,List!$E$2:$E$173,0),MATCH('Selection Pane Data'!AE$3,List!$E$2:$CD$2,0)),"")</f>
        <v/>
      </c>
      <c r="AF64" s="13" t="str">
        <f>IF(AF$4="Yes",INDEX(List!$E$2:$CD$173,MATCH('Selection Pane Data'!$B64,List!$E$2:$E$173,0),MATCH('Selection Pane Data'!AF$3,List!$E$2:$CD$2,0)),"")</f>
        <v/>
      </c>
      <c r="AG64" s="13" t="str">
        <f>IF(AG$4="Yes",INDEX(List!$E$2:$CD$173,MATCH('Selection Pane Data'!$B64,List!$E$2:$E$173,0),MATCH('Selection Pane Data'!AG$3,List!$E$2:$CD$2,0)),"")</f>
        <v/>
      </c>
      <c r="AH64" s="13" t="str">
        <f>IF(AH$4="Yes",INDEX(List!$E$2:$CD$173,MATCH('Selection Pane Data'!$B64,List!$E$2:$E$173,0),MATCH('Selection Pane Data'!AH$3,List!$E$2:$CD$2,0)),"")</f>
        <v/>
      </c>
      <c r="AI64" s="13" t="str">
        <f>IF(AI$4="Yes",INDEX(List!$E$2:$CD$173,MATCH('Selection Pane Data'!$B64,List!$E$2:$E$173,0),MATCH('Selection Pane Data'!AI$3,List!$E$2:$CD$2,0)),"")</f>
        <v/>
      </c>
      <c r="AJ64" s="13" t="str">
        <f>IF(AJ$4="Yes",INDEX(List!$E$2:$CD$173,MATCH('Selection Pane Data'!$B64,List!$E$2:$E$173,0),MATCH('Selection Pane Data'!AJ$3,List!$E$2:$CD$2,0)),"")</f>
        <v/>
      </c>
      <c r="AK64" s="13" t="str">
        <f>IF(AK$4="Yes",INDEX(List!$E$2:$CD$173,MATCH('Selection Pane Data'!$B64,List!$E$2:$E$173,0),MATCH('Selection Pane Data'!AK$3,List!$E$2:$CD$2,0)),"")</f>
        <v/>
      </c>
      <c r="AL64" s="13" t="str">
        <f>IF(AL$4="Yes",INDEX(List!$E$2:$CD$173,MATCH('Selection Pane Data'!$B64,List!$E$2:$E$173,0),MATCH('Selection Pane Data'!AL$3,List!$E$2:$CD$2,0)),"")</f>
        <v/>
      </c>
      <c r="AM64" s="13" t="str">
        <f>IF(AM$4="Yes",INDEX(List!$E$2:$CD$173,MATCH('Selection Pane Data'!$B64,List!$E$2:$E$173,0),MATCH('Selection Pane Data'!AM$3,List!$E$2:$CD$2,0)),"")</f>
        <v/>
      </c>
      <c r="AN64" s="13" t="str">
        <f>IF(AN$4="Yes",INDEX(List!$E$2:$CD$173,MATCH('Selection Pane Data'!$B64,List!$E$2:$E$173,0),MATCH('Selection Pane Data'!AN$3,List!$E$2:$CD$2,0)),"")</f>
        <v/>
      </c>
      <c r="AO64" s="13" t="str">
        <f>IF(AO$4="Yes",INDEX(List!$E$2:$CD$173,MATCH('Selection Pane Data'!$B64,List!$E$2:$E$173,0),MATCH('Selection Pane Data'!AO$3,List!$E$2:$CD$2,0)),"")</f>
        <v/>
      </c>
      <c r="AP64" s="13" t="str">
        <f>IF(AP$4="Yes",INDEX(List!$E$2:$CD$173,MATCH('Selection Pane Data'!$B64,List!$E$2:$E$173,0),MATCH('Selection Pane Data'!AP$3,List!$E$2:$CD$2,0)),"")</f>
        <v/>
      </c>
      <c r="AQ64" s="13" t="str">
        <f>IF(AQ$4="Yes",INDEX(List!$E$2:$CD$173,MATCH('Selection Pane Data'!$B64,List!$E$2:$E$173,0),MATCH('Selection Pane Data'!AQ$3,List!$E$2:$CD$2,0)),"")</f>
        <v/>
      </c>
      <c r="AR64" s="13" t="str">
        <f>IF(AR$4="Yes",INDEX(List!$E$2:$CD$173,MATCH('Selection Pane Data'!$B64,List!$E$2:$E$173,0),MATCH('Selection Pane Data'!AR$3,List!$E$2:$CD$2,0)),"")</f>
        <v/>
      </c>
      <c r="AS64" s="13" t="str">
        <f>IF(AS$4="Yes",INDEX(List!$E$2:$CD$173,MATCH('Selection Pane Data'!$B64,List!$E$2:$E$173,0),MATCH('Selection Pane Data'!AS$3,List!$E$2:$CD$2,0)),"")</f>
        <v/>
      </c>
      <c r="AT64" s="13" t="str">
        <f>IF(AT$4="Yes",INDEX(List!$E$2:$CD$173,MATCH('Selection Pane Data'!$B64,List!$E$2:$E$173,0),MATCH('Selection Pane Data'!AT$3,List!$E$2:$CD$2,0)),"")</f>
        <v/>
      </c>
      <c r="AU64" s="13" t="str">
        <f>IF(AU$4="Yes",INDEX(List!$E$2:$CD$173,MATCH('Selection Pane Data'!$B64,List!$E$2:$E$173,0),MATCH('Selection Pane Data'!AU$3,List!$E$2:$CD$2,0)),"")</f>
        <v/>
      </c>
      <c r="AV64" s="13" t="str">
        <f>IF(AV$4="Yes",INDEX(List!$E$2:$CD$173,MATCH('Selection Pane Data'!$B64,List!$E$2:$E$173,0),MATCH('Selection Pane Data'!AV$3,List!$E$2:$CD$2,0)),"")</f>
        <v/>
      </c>
      <c r="AW64" s="13" t="str">
        <f>IF(AW$4="Yes",INDEX(List!$E$2:$CD$173,MATCH('Selection Pane Data'!$B64,List!$E$2:$E$173,0),MATCH('Selection Pane Data'!AW$3,List!$E$2:$CD$2,0)),"")</f>
        <v/>
      </c>
      <c r="AX64" s="13" t="str">
        <f>IF(AX$4="Yes",INDEX(List!$E$2:$CD$173,MATCH('Selection Pane Data'!$B64,List!$E$2:$E$173,0),MATCH('Selection Pane Data'!AX$3,List!$E$2:$CD$2,0)),"")</f>
        <v/>
      </c>
      <c r="AY64" s="13" t="str">
        <f>IF(AY$4="Yes",INDEX(List!$E$2:$CD$173,MATCH('Selection Pane Data'!$B64,List!$E$2:$E$173,0),MATCH('Selection Pane Data'!AY$3,List!$E$2:$CD$2,0)),"")</f>
        <v/>
      </c>
      <c r="AZ64" s="13" t="str">
        <f>IF(AZ$4="Yes",INDEX(List!$E$2:$CD$173,MATCH('Selection Pane Data'!$B64,List!$E$2:$E$173,0),MATCH('Selection Pane Data'!AZ$3,List!$E$2:$CD$2,0)),"")</f>
        <v/>
      </c>
      <c r="BA64" s="13" t="str">
        <f>IF(BA$4="Yes",INDEX(List!$E$2:$CD$173,MATCH('Selection Pane Data'!$B64,List!$E$2:$E$173,0),MATCH('Selection Pane Data'!BA$3,List!$E$2:$CD$2,0)),"")</f>
        <v/>
      </c>
      <c r="BB64" s="13" t="str">
        <f>IF(BB$4="Yes",INDEX(List!$E$2:$CD$173,MATCH('Selection Pane Data'!$B64,List!$E$2:$E$173,0),MATCH('Selection Pane Data'!BB$3,List!$E$2:$CD$2,0)),"")</f>
        <v/>
      </c>
      <c r="BC64" s="13" t="str">
        <f>IF(BC$4="Yes",INDEX(List!$E$2:$CD$173,MATCH('Selection Pane Data'!$B64,List!$E$2:$E$173,0),MATCH('Selection Pane Data'!BC$3,List!$E$2:$CD$2,0)),"")</f>
        <v/>
      </c>
      <c r="BD64" s="13" t="str">
        <f>IF(BD$4="Yes",INDEX(List!$E$2:$CD$173,MATCH('Selection Pane Data'!$B64,List!$E$2:$E$173,0),MATCH('Selection Pane Data'!BD$3,List!$E$2:$CD$2,0)),"")</f>
        <v/>
      </c>
      <c r="BE64" s="13" t="str">
        <f>IF(BE$4="Yes",INDEX(List!$E$2:$CD$173,MATCH('Selection Pane Data'!$B64,List!$E$2:$E$173,0),MATCH('Selection Pane Data'!BE$3,List!$E$2:$CD$2,0)),"")</f>
        <v/>
      </c>
      <c r="BF64" s="13" t="str">
        <f>IF(BF$4="Yes",INDEX(List!$E$2:$CD$173,MATCH('Selection Pane Data'!$B64,List!$E$2:$E$173,0),MATCH('Selection Pane Data'!BF$3,List!$E$2:$CD$2,0)),"")</f>
        <v/>
      </c>
      <c r="BG64" s="13" t="str">
        <f>IF(BG$4="Yes",INDEX(List!$E$2:$CD$173,MATCH('Selection Pane Data'!$B64,List!$E$2:$E$173,0),MATCH('Selection Pane Data'!BG$3,List!$E$2:$CD$2,0)),"")</f>
        <v/>
      </c>
      <c r="BH64" s="13" t="str">
        <f>IF(BH$4="Yes",INDEX(List!$E$2:$CD$173,MATCH('Selection Pane Data'!$B64,List!$E$2:$E$173,0),MATCH('Selection Pane Data'!BH$3,List!$E$2:$CD$2,0)),"")</f>
        <v/>
      </c>
      <c r="BI64" s="13" t="str">
        <f>IF(BI$4="Yes",INDEX(List!$E$2:$CD$173,MATCH('Selection Pane Data'!$B64,List!$E$2:$E$173,0),MATCH('Selection Pane Data'!BI$3,List!$E$2:$CD$2,0)),"")</f>
        <v/>
      </c>
      <c r="BJ64" s="13" t="str">
        <f>IF(BJ$4="Yes",INDEX(List!$E$2:$CD$173,MATCH('Selection Pane Data'!$B64,List!$E$2:$E$173,0),MATCH('Selection Pane Data'!BJ$3,List!$E$2:$CD$2,0)),"")</f>
        <v/>
      </c>
      <c r="BK64" s="13" t="str">
        <f>IF(BK$4="Yes",INDEX(List!$E$2:$CD$173,MATCH('Selection Pane Data'!$B64,List!$E$2:$E$173,0),MATCH('Selection Pane Data'!BK$3,List!$E$2:$CD$2,0)),"")</f>
        <v/>
      </c>
      <c r="BL64" s="13" t="str">
        <f>IF(BL$4="Yes",INDEX(List!$E$2:$CD$173,MATCH('Selection Pane Data'!$B64,List!$E$2:$E$173,0),MATCH('Selection Pane Data'!BL$3,List!$E$2:$CD$2,0)),"")</f>
        <v/>
      </c>
      <c r="BM64" s="13" t="str">
        <f>IF(BM$4="Yes",INDEX(List!$E$2:$CD$173,MATCH('Selection Pane Data'!$B64,List!$E$2:$E$173,0),MATCH('Selection Pane Data'!BM$3,List!$E$2:$CD$2,0)),"")</f>
        <v/>
      </c>
      <c r="BN64" s="13" t="str">
        <f>IF(BN$4="Yes",INDEX(List!$E$2:$CD$173,MATCH('Selection Pane Data'!$B64,List!$E$2:$E$173,0),MATCH('Selection Pane Data'!BN$3,List!$E$2:$CD$2,0)),"")</f>
        <v/>
      </c>
      <c r="BO64" s="13" t="str">
        <f>IF(BO$4="Yes",INDEX(List!$E$2:$CD$173,MATCH('Selection Pane Data'!$B64,List!$E$2:$E$173,0),MATCH('Selection Pane Data'!BO$3,List!$E$2:$CD$2,0)),"")</f>
        <v/>
      </c>
      <c r="BP64" s="13" t="str">
        <f>IF(BP$4="Yes",INDEX(List!$E$2:$CD$173,MATCH('Selection Pane Data'!$B64,List!$E$2:$E$173,0),MATCH('Selection Pane Data'!BP$3,List!$E$2:$CD$2,0)),"")</f>
        <v/>
      </c>
      <c r="BQ64" s="13" t="str">
        <f>IF(BQ$4="Yes",INDEX(List!$E$2:$CD$173,MATCH('Selection Pane Data'!$B64,List!$E$2:$E$173,0),MATCH('Selection Pane Data'!BQ$3,List!$E$2:$CD$2,0)),"")</f>
        <v/>
      </c>
      <c r="BR64" s="13" t="str">
        <f>IF(BR$4="Yes",INDEX(List!$E$2:$CD$173,MATCH('Selection Pane Data'!$B64,List!$E$2:$E$173,0),MATCH('Selection Pane Data'!BR$3,List!$E$2:$CD$2,0)),"")</f>
        <v/>
      </c>
      <c r="BS64" s="13" t="str">
        <f>IF(BS$4="Yes",INDEX(List!$E$2:$CD$173,MATCH('Selection Pane Data'!$B64,List!$E$2:$E$173,0),MATCH('Selection Pane Data'!BS$3,List!$E$2:$CD$2,0)),"")</f>
        <v/>
      </c>
      <c r="BT64" s="13" t="str">
        <f>IF(BT$4="Yes",INDEX(List!$E$2:$CD$173,MATCH('Selection Pane Data'!$B64,List!$E$2:$E$173,0),MATCH('Selection Pane Data'!BT$3,List!$E$2:$CD$2,0)),"")</f>
        <v/>
      </c>
      <c r="BU64" s="13" t="str">
        <f>IF(BU$4="Yes",INDEX(List!$E$2:$CD$173,MATCH('Selection Pane Data'!$B64,List!$E$2:$E$173,0),MATCH('Selection Pane Data'!BU$3,List!$E$2:$CD$2,0)),"")</f>
        <v/>
      </c>
      <c r="BV64" s="13" t="str">
        <f>IF(BV$4="Yes",INDEX(List!$E$2:$CD$173,MATCH('Selection Pane Data'!$B64,List!$E$2:$E$173,0),MATCH('Selection Pane Data'!BV$3,List!$E$2:$CD$2,0)),"")</f>
        <v/>
      </c>
      <c r="BW64" s="13" t="str">
        <f>IF(BW$4="Yes",INDEX(List!$E$2:$CD$173,MATCH('Selection Pane Data'!$B64,List!$E$2:$E$173,0),MATCH('Selection Pane Data'!BW$3,List!$E$2:$CD$2,0)),"")</f>
        <v/>
      </c>
      <c r="BX64" s="13" t="str">
        <f>IF(BX$4="Yes",INDEX(List!$E$2:$CD$173,MATCH('Selection Pane Data'!$B64,List!$E$2:$E$173,0),MATCH('Selection Pane Data'!BX$3,List!$E$2:$CD$2,0)),"")</f>
        <v/>
      </c>
      <c r="BY64" s="13" t="str">
        <f>IF(BY$4="Yes",INDEX(List!$E$2:$CD$173,MATCH('Selection Pane Data'!$B64,List!$E$2:$E$173,0),MATCH('Selection Pane Data'!BY$3,List!$E$2:$CD$2,0)),"")</f>
        <v/>
      </c>
      <c r="BZ64" s="13" t="str">
        <f>IF(BZ$4="Yes",INDEX(List!$E$2:$CD$173,MATCH('Selection Pane Data'!$B64,List!$E$2:$E$173,0),MATCH('Selection Pane Data'!BZ$3,List!$E$2:$CD$2,0)),"")</f>
        <v/>
      </c>
      <c r="CA64" s="13" t="str">
        <f>IF(CA$4="Yes",INDEX(List!$E$2:$CD$173,MATCH('Selection Pane Data'!$B64,List!$E$2:$E$173,0),MATCH('Selection Pane Data'!CA$3,List!$E$2:$CD$2,0)),"")</f>
        <v/>
      </c>
      <c r="CB64" s="13" t="str">
        <f>IF(CB$4="Yes",INDEX(List!$E$2:$CD$173,MATCH('Selection Pane Data'!$B64,List!$E$2:$E$173,0),MATCH('Selection Pane Data'!CB$3,List!$E$2:$CD$2,0)),"")</f>
        <v/>
      </c>
      <c r="CC64" s="13" t="str">
        <f>IF(CC$4="Yes",INDEX(List!$E$2:$CD$173,MATCH('Selection Pane Data'!$B64,List!$E$2:$E$173,0),MATCH('Selection Pane Data'!CC$3,List!$E$2:$CD$2,0)),"")</f>
        <v/>
      </c>
      <c r="CD64" s="13" t="str">
        <f>IF(CD$4="Yes",INDEX(List!$E$2:$CD$173,MATCH('Selection Pane Data'!$B64,List!$E$2:$E$173,0),MATCH('Selection Pane Data'!CD$3,List!$E$2:$CD$2,0)),"")</f>
        <v/>
      </c>
      <c r="CE64" s="13" t="str">
        <f>IF(CE$4="Yes",INDEX(List!$E$2:$CD$173,MATCH('Selection Pane Data'!$B64,List!$E$2:$E$173,0),MATCH('Selection Pane Data'!CE$3,List!$E$2:$CD$2,0)),"")</f>
        <v/>
      </c>
    </row>
    <row r="65" spans="2:83" x14ac:dyDescent="0.35">
      <c r="B65" s="21" t="s">
        <v>352</v>
      </c>
      <c r="C65" s="126" t="str">
        <f>VLOOKUP(B65,List!$E$2:$G$173,2,FALSE)</f>
        <v>CM.L2-3.4.4</v>
      </c>
      <c r="D65" s="31" t="str">
        <f>List!G63</f>
        <v>Customer Responsibility</v>
      </c>
      <c r="E65" s="31" t="str">
        <f>IF(Placemat!$F$4="All Practices","All Practices",IF(VLOOKUP(B65,Table7[#All],6,FALSE)="No Mapping","New CMMC Practices","Practices with NIST 800-171 Mappings"))</f>
        <v>Practices with NIST 800-171 Mappings</v>
      </c>
      <c r="F65" t="str">
        <f>INDEX('CMMC Levels'!$A$1:$F$172,MATCH('Selection Pane Data'!$C65,'CMMC Levels'!$A$1:$A$172,0),MATCH(Placemat!$F$4,'CMMC Levels'!$A$1:$F$1,0))</f>
        <v>X</v>
      </c>
      <c r="G65" s="77" t="str">
        <f>IF((COUNTIF(List!H63:CE63,"P")+COUNTIF(List!H63:CE63,"S"))=0,"N",IF(COUNTIF(H65:CE65,"P"),"P",IF(COUNTIF(H65:CE65,"S"),"S","U")))</f>
        <v>U</v>
      </c>
      <c r="H65" s="13" t="str">
        <f>IF(H$4="Yes",INDEX(List!$E$2:$CD$173,MATCH('Selection Pane Data'!$B65,List!$E$2:$E$173,0),MATCH('Selection Pane Data'!H$3,List!$E$2:$CD$2,0)),"")</f>
        <v/>
      </c>
      <c r="I65" s="13" t="str">
        <f>IF(I$4="Yes",INDEX(List!$E$2:$CD$173,MATCH('Selection Pane Data'!$B65,List!$E$2:$E$173,0),MATCH('Selection Pane Data'!I$3,List!$E$2:$CD$2,0)),"")</f>
        <v/>
      </c>
      <c r="J65" s="13" t="str">
        <f>IF(J$4="Yes",INDEX(List!$E$2:$CD$173,MATCH('Selection Pane Data'!$B65,List!$E$2:$E$173,0),MATCH('Selection Pane Data'!J$3,List!$E$2:$CD$2,0)),"")</f>
        <v>N</v>
      </c>
      <c r="K65" s="13" t="str">
        <f>IF(K$4="Yes",INDEX(List!$E$2:$CD$173,MATCH('Selection Pane Data'!$B65,List!$E$2:$E$173,0),MATCH('Selection Pane Data'!K$3,List!$E$2:$CD$2,0)),"")</f>
        <v/>
      </c>
      <c r="L65" s="13" t="str">
        <f>IF(L$4="Yes",INDEX(List!$E$2:$CD$173,MATCH('Selection Pane Data'!$B65,List!$E$2:$E$173,0),MATCH('Selection Pane Data'!L$3,List!$E$2:$CD$2,0)),"")</f>
        <v/>
      </c>
      <c r="M65" s="13" t="str">
        <f>IF(M$4="Yes",INDEX(List!$E$2:$CD$173,MATCH('Selection Pane Data'!$B65,List!$E$2:$E$173,0),MATCH('Selection Pane Data'!M$3,List!$E$2:$CD$2,0)),"")</f>
        <v/>
      </c>
      <c r="N65" s="13" t="str">
        <f>IF(N$4="Yes",INDEX(List!$E$2:$CD$173,MATCH('Selection Pane Data'!$B65,List!$E$2:$E$173,0),MATCH('Selection Pane Data'!N$3,List!$E$2:$CD$2,0)),"")</f>
        <v/>
      </c>
      <c r="O65" s="13" t="str">
        <f>IF(O$4="Yes",INDEX(List!$E$2:$CD$173,MATCH('Selection Pane Data'!$B65,List!$E$2:$E$173,0),MATCH('Selection Pane Data'!O$3,List!$E$2:$CD$2,0)),"")</f>
        <v/>
      </c>
      <c r="P65" s="13" t="str">
        <f>IF(P$4="Yes",INDEX(List!$E$2:$CD$173,MATCH('Selection Pane Data'!$B65,List!$E$2:$E$173,0),MATCH('Selection Pane Data'!P$3,List!$E$2:$CD$2,0)),"")</f>
        <v/>
      </c>
      <c r="Q65" s="13" t="str">
        <f>IF(Q$4="Yes",INDEX(List!$E$2:$CD$173,MATCH('Selection Pane Data'!$B65,List!$E$2:$E$173,0),MATCH('Selection Pane Data'!Q$3,List!$E$2:$CD$2,0)),"")</f>
        <v/>
      </c>
      <c r="R65" s="13" t="str">
        <f>IF(R$4="Yes",INDEX(List!$E$2:$CD$173,MATCH('Selection Pane Data'!$B65,List!$E$2:$E$173,0),MATCH('Selection Pane Data'!R$3,List!$E$2:$CD$2,0)),"")</f>
        <v/>
      </c>
      <c r="S65" s="13" t="str">
        <f>IF(S$4="Yes",INDEX(List!$E$2:$CD$173,MATCH('Selection Pane Data'!$B65,List!$E$2:$E$173,0),MATCH('Selection Pane Data'!S$3,List!$E$2:$CD$2,0)),"")</f>
        <v/>
      </c>
      <c r="T65" s="13" t="str">
        <f>IF(T$4="Yes",INDEX(List!$E$2:$CD$173,MATCH('Selection Pane Data'!$B65,List!$E$2:$E$173,0),MATCH('Selection Pane Data'!T$3,List!$E$2:$CD$2,0)),"")</f>
        <v/>
      </c>
      <c r="U65" s="13" t="str">
        <f>IF(U$4="Yes",INDEX(List!$E$2:$CD$173,MATCH('Selection Pane Data'!$B65,List!$E$2:$E$173,0),MATCH('Selection Pane Data'!U$3,List!$E$2:$CD$2,0)),"")</f>
        <v/>
      </c>
      <c r="V65" s="13" t="str">
        <f>IF(V$4="Yes",INDEX(List!$E$2:$CD$173,MATCH('Selection Pane Data'!$B65,List!$E$2:$E$173,0),MATCH('Selection Pane Data'!V$3,List!$E$2:$CD$2,0)),"")</f>
        <v/>
      </c>
      <c r="W65" s="13" t="str">
        <f>IF(W$4="Yes",INDEX(List!$E$2:$CD$173,MATCH('Selection Pane Data'!$B65,List!$E$2:$E$173,0),MATCH('Selection Pane Data'!W$3,List!$E$2:$CD$2,0)),"")</f>
        <v/>
      </c>
      <c r="X65" s="13" t="str">
        <f>IF(X$4="Yes",INDEX(List!$E$2:$CD$173,MATCH('Selection Pane Data'!$B65,List!$E$2:$E$173,0),MATCH('Selection Pane Data'!X$3,List!$E$2:$CD$2,0)),"")</f>
        <v/>
      </c>
      <c r="Y65" s="13" t="str">
        <f>IF(Y$4="Yes",INDEX(List!$E$2:$CD$173,MATCH('Selection Pane Data'!$B65,List!$E$2:$E$173,0),MATCH('Selection Pane Data'!Y$3,List!$E$2:$CD$2,0)),"")</f>
        <v/>
      </c>
      <c r="Z65" s="13" t="str">
        <f>IF(Z$4="Yes",INDEX(List!$E$2:$CD$173,MATCH('Selection Pane Data'!$B65,List!$E$2:$E$173,0),MATCH('Selection Pane Data'!Z$3,List!$E$2:$CD$2,0)),"")</f>
        <v/>
      </c>
      <c r="AA65" s="13" t="str">
        <f>IF(AA$4="Yes",INDEX(List!$E$2:$CD$173,MATCH('Selection Pane Data'!$B65,List!$E$2:$E$173,0),MATCH('Selection Pane Data'!AA$3,List!$E$2:$CD$2,0)),"")</f>
        <v>N</v>
      </c>
      <c r="AB65" s="13" t="str">
        <f>IF(AB$4="Yes",INDEX(List!$E$2:$CD$173,MATCH('Selection Pane Data'!$B65,List!$E$2:$E$173,0),MATCH('Selection Pane Data'!AB$3,List!$E$2:$CD$2,0)),"")</f>
        <v/>
      </c>
      <c r="AC65" s="13" t="str">
        <f>IF(AC$4="Yes",INDEX(List!$E$2:$CD$173,MATCH('Selection Pane Data'!$B65,List!$E$2:$E$173,0),MATCH('Selection Pane Data'!AC$3,List!$E$2:$CD$2,0)),"")</f>
        <v/>
      </c>
      <c r="AD65" s="13" t="str">
        <f>IF(AD$4="Yes",INDEX(List!$E$2:$CD$173,MATCH('Selection Pane Data'!$B65,List!$E$2:$E$173,0),MATCH('Selection Pane Data'!AD$3,List!$E$2:$CD$2,0)),"")</f>
        <v/>
      </c>
      <c r="AE65" s="13" t="str">
        <f>IF(AE$4="Yes",INDEX(List!$E$2:$CD$173,MATCH('Selection Pane Data'!$B65,List!$E$2:$E$173,0),MATCH('Selection Pane Data'!AE$3,List!$E$2:$CD$2,0)),"")</f>
        <v/>
      </c>
      <c r="AF65" s="13" t="str">
        <f>IF(AF$4="Yes",INDEX(List!$E$2:$CD$173,MATCH('Selection Pane Data'!$B65,List!$E$2:$E$173,0),MATCH('Selection Pane Data'!AF$3,List!$E$2:$CD$2,0)),"")</f>
        <v/>
      </c>
      <c r="AG65" s="13" t="str">
        <f>IF(AG$4="Yes",INDEX(List!$E$2:$CD$173,MATCH('Selection Pane Data'!$B65,List!$E$2:$E$173,0),MATCH('Selection Pane Data'!AG$3,List!$E$2:$CD$2,0)),"")</f>
        <v/>
      </c>
      <c r="AH65" s="13" t="str">
        <f>IF(AH$4="Yes",INDEX(List!$E$2:$CD$173,MATCH('Selection Pane Data'!$B65,List!$E$2:$E$173,0),MATCH('Selection Pane Data'!AH$3,List!$E$2:$CD$2,0)),"")</f>
        <v/>
      </c>
      <c r="AI65" s="13" t="str">
        <f>IF(AI$4="Yes",INDEX(List!$E$2:$CD$173,MATCH('Selection Pane Data'!$B65,List!$E$2:$E$173,0),MATCH('Selection Pane Data'!AI$3,List!$E$2:$CD$2,0)),"")</f>
        <v/>
      </c>
      <c r="AJ65" s="13" t="str">
        <f>IF(AJ$4="Yes",INDEX(List!$E$2:$CD$173,MATCH('Selection Pane Data'!$B65,List!$E$2:$E$173,0),MATCH('Selection Pane Data'!AJ$3,List!$E$2:$CD$2,0)),"")</f>
        <v/>
      </c>
      <c r="AK65" s="13" t="str">
        <f>IF(AK$4="Yes",INDEX(List!$E$2:$CD$173,MATCH('Selection Pane Data'!$B65,List!$E$2:$E$173,0),MATCH('Selection Pane Data'!AK$3,List!$E$2:$CD$2,0)),"")</f>
        <v/>
      </c>
      <c r="AL65" s="13" t="str">
        <f>IF(AL$4="Yes",INDEX(List!$E$2:$CD$173,MATCH('Selection Pane Data'!$B65,List!$E$2:$E$173,0),MATCH('Selection Pane Data'!AL$3,List!$E$2:$CD$2,0)),"")</f>
        <v/>
      </c>
      <c r="AM65" s="13" t="str">
        <f>IF(AM$4="Yes",INDEX(List!$E$2:$CD$173,MATCH('Selection Pane Data'!$B65,List!$E$2:$E$173,0),MATCH('Selection Pane Data'!AM$3,List!$E$2:$CD$2,0)),"")</f>
        <v/>
      </c>
      <c r="AN65" s="13" t="str">
        <f>IF(AN$4="Yes",INDEX(List!$E$2:$CD$173,MATCH('Selection Pane Data'!$B65,List!$E$2:$E$173,0),MATCH('Selection Pane Data'!AN$3,List!$E$2:$CD$2,0)),"")</f>
        <v/>
      </c>
      <c r="AO65" s="13" t="str">
        <f>IF(AO$4="Yes",INDEX(List!$E$2:$CD$173,MATCH('Selection Pane Data'!$B65,List!$E$2:$E$173,0),MATCH('Selection Pane Data'!AO$3,List!$E$2:$CD$2,0)),"")</f>
        <v/>
      </c>
      <c r="AP65" s="13" t="str">
        <f>IF(AP$4="Yes",INDEX(List!$E$2:$CD$173,MATCH('Selection Pane Data'!$B65,List!$E$2:$E$173,0),MATCH('Selection Pane Data'!AP$3,List!$E$2:$CD$2,0)),"")</f>
        <v/>
      </c>
      <c r="AQ65" s="13" t="str">
        <f>IF(AQ$4="Yes",INDEX(List!$E$2:$CD$173,MATCH('Selection Pane Data'!$B65,List!$E$2:$E$173,0),MATCH('Selection Pane Data'!AQ$3,List!$E$2:$CD$2,0)),"")</f>
        <v/>
      </c>
      <c r="AR65" s="13" t="str">
        <f>IF(AR$4="Yes",INDEX(List!$E$2:$CD$173,MATCH('Selection Pane Data'!$B65,List!$E$2:$E$173,0),MATCH('Selection Pane Data'!AR$3,List!$E$2:$CD$2,0)),"")</f>
        <v/>
      </c>
      <c r="AS65" s="13" t="str">
        <f>IF(AS$4="Yes",INDEX(List!$E$2:$CD$173,MATCH('Selection Pane Data'!$B65,List!$E$2:$E$173,0),MATCH('Selection Pane Data'!AS$3,List!$E$2:$CD$2,0)),"")</f>
        <v/>
      </c>
      <c r="AT65" s="13" t="str">
        <f>IF(AT$4="Yes",INDEX(List!$E$2:$CD$173,MATCH('Selection Pane Data'!$B65,List!$E$2:$E$173,0),MATCH('Selection Pane Data'!AT$3,List!$E$2:$CD$2,0)),"")</f>
        <v/>
      </c>
      <c r="AU65" s="13" t="str">
        <f>IF(AU$4="Yes",INDEX(List!$E$2:$CD$173,MATCH('Selection Pane Data'!$B65,List!$E$2:$E$173,0),MATCH('Selection Pane Data'!AU$3,List!$E$2:$CD$2,0)),"")</f>
        <v/>
      </c>
      <c r="AV65" s="13" t="str">
        <f>IF(AV$4="Yes",INDEX(List!$E$2:$CD$173,MATCH('Selection Pane Data'!$B65,List!$E$2:$E$173,0),MATCH('Selection Pane Data'!AV$3,List!$E$2:$CD$2,0)),"")</f>
        <v/>
      </c>
      <c r="AW65" s="13" t="str">
        <f>IF(AW$4="Yes",INDEX(List!$E$2:$CD$173,MATCH('Selection Pane Data'!$B65,List!$E$2:$E$173,0),MATCH('Selection Pane Data'!AW$3,List!$E$2:$CD$2,0)),"")</f>
        <v/>
      </c>
      <c r="AX65" s="13" t="str">
        <f>IF(AX$4="Yes",INDEX(List!$E$2:$CD$173,MATCH('Selection Pane Data'!$B65,List!$E$2:$E$173,0),MATCH('Selection Pane Data'!AX$3,List!$E$2:$CD$2,0)),"")</f>
        <v/>
      </c>
      <c r="AY65" s="13" t="str">
        <f>IF(AY$4="Yes",INDEX(List!$E$2:$CD$173,MATCH('Selection Pane Data'!$B65,List!$E$2:$E$173,0),MATCH('Selection Pane Data'!AY$3,List!$E$2:$CD$2,0)),"")</f>
        <v/>
      </c>
      <c r="AZ65" s="13" t="str">
        <f>IF(AZ$4="Yes",INDEX(List!$E$2:$CD$173,MATCH('Selection Pane Data'!$B65,List!$E$2:$E$173,0),MATCH('Selection Pane Data'!AZ$3,List!$E$2:$CD$2,0)),"")</f>
        <v/>
      </c>
      <c r="BA65" s="13" t="str">
        <f>IF(BA$4="Yes",INDEX(List!$E$2:$CD$173,MATCH('Selection Pane Data'!$B65,List!$E$2:$E$173,0),MATCH('Selection Pane Data'!BA$3,List!$E$2:$CD$2,0)),"")</f>
        <v/>
      </c>
      <c r="BB65" s="13" t="str">
        <f>IF(BB$4="Yes",INDEX(List!$E$2:$CD$173,MATCH('Selection Pane Data'!$B65,List!$E$2:$E$173,0),MATCH('Selection Pane Data'!BB$3,List!$E$2:$CD$2,0)),"")</f>
        <v/>
      </c>
      <c r="BC65" s="13" t="str">
        <f>IF(BC$4="Yes",INDEX(List!$E$2:$CD$173,MATCH('Selection Pane Data'!$B65,List!$E$2:$E$173,0),MATCH('Selection Pane Data'!BC$3,List!$E$2:$CD$2,0)),"")</f>
        <v/>
      </c>
      <c r="BD65" s="13" t="str">
        <f>IF(BD$4="Yes",INDEX(List!$E$2:$CD$173,MATCH('Selection Pane Data'!$B65,List!$E$2:$E$173,0),MATCH('Selection Pane Data'!BD$3,List!$E$2:$CD$2,0)),"")</f>
        <v/>
      </c>
      <c r="BE65" s="13" t="str">
        <f>IF(BE$4="Yes",INDEX(List!$E$2:$CD$173,MATCH('Selection Pane Data'!$B65,List!$E$2:$E$173,0),MATCH('Selection Pane Data'!BE$3,List!$E$2:$CD$2,0)),"")</f>
        <v/>
      </c>
      <c r="BF65" s="13" t="str">
        <f>IF(BF$4="Yes",INDEX(List!$E$2:$CD$173,MATCH('Selection Pane Data'!$B65,List!$E$2:$E$173,0),MATCH('Selection Pane Data'!BF$3,List!$E$2:$CD$2,0)),"")</f>
        <v/>
      </c>
      <c r="BG65" s="13" t="str">
        <f>IF(BG$4="Yes",INDEX(List!$E$2:$CD$173,MATCH('Selection Pane Data'!$B65,List!$E$2:$E$173,0),MATCH('Selection Pane Data'!BG$3,List!$E$2:$CD$2,0)),"")</f>
        <v/>
      </c>
      <c r="BH65" s="13" t="str">
        <f>IF(BH$4="Yes",INDEX(List!$E$2:$CD$173,MATCH('Selection Pane Data'!$B65,List!$E$2:$E$173,0),MATCH('Selection Pane Data'!BH$3,List!$E$2:$CD$2,0)),"")</f>
        <v/>
      </c>
      <c r="BI65" s="13" t="str">
        <f>IF(BI$4="Yes",INDEX(List!$E$2:$CD$173,MATCH('Selection Pane Data'!$B65,List!$E$2:$E$173,0),MATCH('Selection Pane Data'!BI$3,List!$E$2:$CD$2,0)),"")</f>
        <v/>
      </c>
      <c r="BJ65" s="13" t="str">
        <f>IF(BJ$4="Yes",INDEX(List!$E$2:$CD$173,MATCH('Selection Pane Data'!$B65,List!$E$2:$E$173,0),MATCH('Selection Pane Data'!BJ$3,List!$E$2:$CD$2,0)),"")</f>
        <v/>
      </c>
      <c r="BK65" s="13" t="str">
        <f>IF(BK$4="Yes",INDEX(List!$E$2:$CD$173,MATCH('Selection Pane Data'!$B65,List!$E$2:$E$173,0),MATCH('Selection Pane Data'!BK$3,List!$E$2:$CD$2,0)),"")</f>
        <v/>
      </c>
      <c r="BL65" s="13" t="str">
        <f>IF(BL$4="Yes",INDEX(List!$E$2:$CD$173,MATCH('Selection Pane Data'!$B65,List!$E$2:$E$173,0),MATCH('Selection Pane Data'!BL$3,List!$E$2:$CD$2,0)),"")</f>
        <v/>
      </c>
      <c r="BM65" s="13" t="str">
        <f>IF(BM$4="Yes",INDEX(List!$E$2:$CD$173,MATCH('Selection Pane Data'!$B65,List!$E$2:$E$173,0),MATCH('Selection Pane Data'!BM$3,List!$E$2:$CD$2,0)),"")</f>
        <v/>
      </c>
      <c r="BN65" s="13" t="str">
        <f>IF(BN$4="Yes",INDEX(List!$E$2:$CD$173,MATCH('Selection Pane Data'!$B65,List!$E$2:$E$173,0),MATCH('Selection Pane Data'!BN$3,List!$E$2:$CD$2,0)),"")</f>
        <v/>
      </c>
      <c r="BO65" s="13" t="str">
        <f>IF(BO$4="Yes",INDEX(List!$E$2:$CD$173,MATCH('Selection Pane Data'!$B65,List!$E$2:$E$173,0),MATCH('Selection Pane Data'!BO$3,List!$E$2:$CD$2,0)),"")</f>
        <v/>
      </c>
      <c r="BP65" s="13" t="str">
        <f>IF(BP$4="Yes",INDEX(List!$E$2:$CD$173,MATCH('Selection Pane Data'!$B65,List!$E$2:$E$173,0),MATCH('Selection Pane Data'!BP$3,List!$E$2:$CD$2,0)),"")</f>
        <v/>
      </c>
      <c r="BQ65" s="13" t="str">
        <f>IF(BQ$4="Yes",INDEX(List!$E$2:$CD$173,MATCH('Selection Pane Data'!$B65,List!$E$2:$E$173,0),MATCH('Selection Pane Data'!BQ$3,List!$E$2:$CD$2,0)),"")</f>
        <v/>
      </c>
      <c r="BR65" s="13" t="str">
        <f>IF(BR$4="Yes",INDEX(List!$E$2:$CD$173,MATCH('Selection Pane Data'!$B65,List!$E$2:$E$173,0),MATCH('Selection Pane Data'!BR$3,List!$E$2:$CD$2,0)),"")</f>
        <v/>
      </c>
      <c r="BS65" s="13" t="str">
        <f>IF(BS$4="Yes",INDEX(List!$E$2:$CD$173,MATCH('Selection Pane Data'!$B65,List!$E$2:$E$173,0),MATCH('Selection Pane Data'!BS$3,List!$E$2:$CD$2,0)),"")</f>
        <v/>
      </c>
      <c r="BT65" s="13" t="str">
        <f>IF(BT$4="Yes",INDEX(List!$E$2:$CD$173,MATCH('Selection Pane Data'!$B65,List!$E$2:$E$173,0),MATCH('Selection Pane Data'!BT$3,List!$E$2:$CD$2,0)),"")</f>
        <v/>
      </c>
      <c r="BU65" s="13" t="str">
        <f>IF(BU$4="Yes",INDEX(List!$E$2:$CD$173,MATCH('Selection Pane Data'!$B65,List!$E$2:$E$173,0),MATCH('Selection Pane Data'!BU$3,List!$E$2:$CD$2,0)),"")</f>
        <v/>
      </c>
      <c r="BV65" s="13" t="str">
        <f>IF(BV$4="Yes",INDEX(List!$E$2:$CD$173,MATCH('Selection Pane Data'!$B65,List!$E$2:$E$173,0),MATCH('Selection Pane Data'!BV$3,List!$E$2:$CD$2,0)),"")</f>
        <v/>
      </c>
      <c r="BW65" s="13" t="str">
        <f>IF(BW$4="Yes",INDEX(List!$E$2:$CD$173,MATCH('Selection Pane Data'!$B65,List!$E$2:$E$173,0),MATCH('Selection Pane Data'!BW$3,List!$E$2:$CD$2,0)),"")</f>
        <v/>
      </c>
      <c r="BX65" s="13" t="str">
        <f>IF(BX$4="Yes",INDEX(List!$E$2:$CD$173,MATCH('Selection Pane Data'!$B65,List!$E$2:$E$173,0),MATCH('Selection Pane Data'!BX$3,List!$E$2:$CD$2,0)),"")</f>
        <v/>
      </c>
      <c r="BY65" s="13" t="str">
        <f>IF(BY$4="Yes",INDEX(List!$E$2:$CD$173,MATCH('Selection Pane Data'!$B65,List!$E$2:$E$173,0),MATCH('Selection Pane Data'!BY$3,List!$E$2:$CD$2,0)),"")</f>
        <v/>
      </c>
      <c r="BZ65" s="13" t="str">
        <f>IF(BZ$4="Yes",INDEX(List!$E$2:$CD$173,MATCH('Selection Pane Data'!$B65,List!$E$2:$E$173,0),MATCH('Selection Pane Data'!BZ$3,List!$E$2:$CD$2,0)),"")</f>
        <v/>
      </c>
      <c r="CA65" s="13" t="str">
        <f>IF(CA$4="Yes",INDEX(List!$E$2:$CD$173,MATCH('Selection Pane Data'!$B65,List!$E$2:$E$173,0),MATCH('Selection Pane Data'!CA$3,List!$E$2:$CD$2,0)),"")</f>
        <v/>
      </c>
      <c r="CB65" s="13" t="str">
        <f>IF(CB$4="Yes",INDEX(List!$E$2:$CD$173,MATCH('Selection Pane Data'!$B65,List!$E$2:$E$173,0),MATCH('Selection Pane Data'!CB$3,List!$E$2:$CD$2,0)),"")</f>
        <v/>
      </c>
      <c r="CC65" s="13" t="str">
        <f>IF(CC$4="Yes",INDEX(List!$E$2:$CD$173,MATCH('Selection Pane Data'!$B65,List!$E$2:$E$173,0),MATCH('Selection Pane Data'!CC$3,List!$E$2:$CD$2,0)),"")</f>
        <v/>
      </c>
      <c r="CD65" s="13" t="str">
        <f>IF(CD$4="Yes",INDEX(List!$E$2:$CD$173,MATCH('Selection Pane Data'!$B65,List!$E$2:$E$173,0),MATCH('Selection Pane Data'!CD$3,List!$E$2:$CD$2,0)),"")</f>
        <v/>
      </c>
      <c r="CE65" s="13" t="str">
        <f>IF(CE$4="Yes",INDEX(List!$E$2:$CD$173,MATCH('Selection Pane Data'!$B65,List!$E$2:$E$173,0),MATCH('Selection Pane Data'!CE$3,List!$E$2:$CD$2,0)),"")</f>
        <v/>
      </c>
    </row>
    <row r="66" spans="2:83" x14ac:dyDescent="0.35">
      <c r="B66" s="21" t="s">
        <v>353</v>
      </c>
      <c r="C66" s="126" t="str">
        <f>VLOOKUP(B66,List!$E$2:$G$173,2,FALSE)</f>
        <v>CM.L2-3.4.5</v>
      </c>
      <c r="D66" s="31" t="str">
        <f>List!G64</f>
        <v>Customer Responsibility</v>
      </c>
      <c r="E66" s="31" t="str">
        <f>IF(Placemat!$F$4="All Practices","All Practices",IF(VLOOKUP(B66,Table7[#All],6,FALSE)="No Mapping","New CMMC Practices","Practices with NIST 800-171 Mappings"))</f>
        <v>Practices with NIST 800-171 Mappings</v>
      </c>
      <c r="F66" t="str">
        <f>INDEX('CMMC Levels'!$A$1:$F$172,MATCH('Selection Pane Data'!$C66,'CMMC Levels'!$A$1:$A$172,0),MATCH(Placemat!$F$4,'CMMC Levels'!$A$1:$F$1,0))</f>
        <v>X</v>
      </c>
      <c r="G66" s="77" t="str">
        <f>IF((COUNTIF(List!H64:CE64,"P")+COUNTIF(List!H64:CE64,"S"))=0,"N",IF(COUNTIF(H66:CE66,"P"),"P",IF(COUNTIF(H66:CE66,"S"),"S","U")))</f>
        <v>U</v>
      </c>
      <c r="H66" s="13" t="str">
        <f>IF(H$4="Yes",INDEX(List!$E$2:$CD$173,MATCH('Selection Pane Data'!$B66,List!$E$2:$E$173,0),MATCH('Selection Pane Data'!H$3,List!$E$2:$CD$2,0)),"")</f>
        <v/>
      </c>
      <c r="I66" s="13" t="str">
        <f>IF(I$4="Yes",INDEX(List!$E$2:$CD$173,MATCH('Selection Pane Data'!$B66,List!$E$2:$E$173,0),MATCH('Selection Pane Data'!I$3,List!$E$2:$CD$2,0)),"")</f>
        <v/>
      </c>
      <c r="J66" s="13" t="str">
        <f>IF(J$4="Yes",INDEX(List!$E$2:$CD$173,MATCH('Selection Pane Data'!$B66,List!$E$2:$E$173,0),MATCH('Selection Pane Data'!J$3,List!$E$2:$CD$2,0)),"")</f>
        <v>N</v>
      </c>
      <c r="K66" s="13" t="str">
        <f>IF(K$4="Yes",INDEX(List!$E$2:$CD$173,MATCH('Selection Pane Data'!$B66,List!$E$2:$E$173,0),MATCH('Selection Pane Data'!K$3,List!$E$2:$CD$2,0)),"")</f>
        <v/>
      </c>
      <c r="L66" s="13" t="str">
        <f>IF(L$4="Yes",INDEX(List!$E$2:$CD$173,MATCH('Selection Pane Data'!$B66,List!$E$2:$E$173,0),MATCH('Selection Pane Data'!L$3,List!$E$2:$CD$2,0)),"")</f>
        <v/>
      </c>
      <c r="M66" s="13" t="str">
        <f>IF(M$4="Yes",INDEX(List!$E$2:$CD$173,MATCH('Selection Pane Data'!$B66,List!$E$2:$E$173,0),MATCH('Selection Pane Data'!M$3,List!$E$2:$CD$2,0)),"")</f>
        <v/>
      </c>
      <c r="N66" s="13" t="str">
        <f>IF(N$4="Yes",INDEX(List!$E$2:$CD$173,MATCH('Selection Pane Data'!$B66,List!$E$2:$E$173,0),MATCH('Selection Pane Data'!N$3,List!$E$2:$CD$2,0)),"")</f>
        <v/>
      </c>
      <c r="O66" s="13" t="str">
        <f>IF(O$4="Yes",INDEX(List!$E$2:$CD$173,MATCH('Selection Pane Data'!$B66,List!$E$2:$E$173,0),MATCH('Selection Pane Data'!O$3,List!$E$2:$CD$2,0)),"")</f>
        <v/>
      </c>
      <c r="P66" s="13" t="str">
        <f>IF(P$4="Yes",INDEX(List!$E$2:$CD$173,MATCH('Selection Pane Data'!$B66,List!$E$2:$E$173,0),MATCH('Selection Pane Data'!P$3,List!$E$2:$CD$2,0)),"")</f>
        <v/>
      </c>
      <c r="Q66" s="13" t="str">
        <f>IF(Q$4="Yes",INDEX(List!$E$2:$CD$173,MATCH('Selection Pane Data'!$B66,List!$E$2:$E$173,0),MATCH('Selection Pane Data'!Q$3,List!$E$2:$CD$2,0)),"")</f>
        <v/>
      </c>
      <c r="R66" s="13" t="str">
        <f>IF(R$4="Yes",INDEX(List!$E$2:$CD$173,MATCH('Selection Pane Data'!$B66,List!$E$2:$E$173,0),MATCH('Selection Pane Data'!R$3,List!$E$2:$CD$2,0)),"")</f>
        <v/>
      </c>
      <c r="S66" s="13" t="str">
        <f>IF(S$4="Yes",INDEX(List!$E$2:$CD$173,MATCH('Selection Pane Data'!$B66,List!$E$2:$E$173,0),MATCH('Selection Pane Data'!S$3,List!$E$2:$CD$2,0)),"")</f>
        <v/>
      </c>
      <c r="T66" s="13" t="str">
        <f>IF(T$4="Yes",INDEX(List!$E$2:$CD$173,MATCH('Selection Pane Data'!$B66,List!$E$2:$E$173,0),MATCH('Selection Pane Data'!T$3,List!$E$2:$CD$2,0)),"")</f>
        <v/>
      </c>
      <c r="U66" s="13" t="str">
        <f>IF(U$4="Yes",INDEX(List!$E$2:$CD$173,MATCH('Selection Pane Data'!$B66,List!$E$2:$E$173,0),MATCH('Selection Pane Data'!U$3,List!$E$2:$CD$2,0)),"")</f>
        <v/>
      </c>
      <c r="V66" s="13" t="str">
        <f>IF(V$4="Yes",INDEX(List!$E$2:$CD$173,MATCH('Selection Pane Data'!$B66,List!$E$2:$E$173,0),MATCH('Selection Pane Data'!V$3,List!$E$2:$CD$2,0)),"")</f>
        <v/>
      </c>
      <c r="W66" s="13" t="str">
        <f>IF(W$4="Yes",INDEX(List!$E$2:$CD$173,MATCH('Selection Pane Data'!$B66,List!$E$2:$E$173,0),MATCH('Selection Pane Data'!W$3,List!$E$2:$CD$2,0)),"")</f>
        <v/>
      </c>
      <c r="X66" s="13" t="str">
        <f>IF(X$4="Yes",INDEX(List!$E$2:$CD$173,MATCH('Selection Pane Data'!$B66,List!$E$2:$E$173,0),MATCH('Selection Pane Data'!X$3,List!$E$2:$CD$2,0)),"")</f>
        <v/>
      </c>
      <c r="Y66" s="13" t="str">
        <f>IF(Y$4="Yes",INDEX(List!$E$2:$CD$173,MATCH('Selection Pane Data'!$B66,List!$E$2:$E$173,0),MATCH('Selection Pane Data'!Y$3,List!$E$2:$CD$2,0)),"")</f>
        <v/>
      </c>
      <c r="Z66" s="13" t="str">
        <f>IF(Z$4="Yes",INDEX(List!$E$2:$CD$173,MATCH('Selection Pane Data'!$B66,List!$E$2:$E$173,0),MATCH('Selection Pane Data'!Z$3,List!$E$2:$CD$2,0)),"")</f>
        <v/>
      </c>
      <c r="AA66" s="13" t="str">
        <f>IF(AA$4="Yes",INDEX(List!$E$2:$CD$173,MATCH('Selection Pane Data'!$B66,List!$E$2:$E$173,0),MATCH('Selection Pane Data'!AA$3,List!$E$2:$CD$2,0)),"")</f>
        <v>N</v>
      </c>
      <c r="AB66" s="13" t="str">
        <f>IF(AB$4="Yes",INDEX(List!$E$2:$CD$173,MATCH('Selection Pane Data'!$B66,List!$E$2:$E$173,0),MATCH('Selection Pane Data'!AB$3,List!$E$2:$CD$2,0)),"")</f>
        <v/>
      </c>
      <c r="AC66" s="13" t="str">
        <f>IF(AC$4="Yes",INDEX(List!$E$2:$CD$173,MATCH('Selection Pane Data'!$B66,List!$E$2:$E$173,0),MATCH('Selection Pane Data'!AC$3,List!$E$2:$CD$2,0)),"")</f>
        <v/>
      </c>
      <c r="AD66" s="13" t="str">
        <f>IF(AD$4="Yes",INDEX(List!$E$2:$CD$173,MATCH('Selection Pane Data'!$B66,List!$E$2:$E$173,0),MATCH('Selection Pane Data'!AD$3,List!$E$2:$CD$2,0)),"")</f>
        <v/>
      </c>
      <c r="AE66" s="13" t="str">
        <f>IF(AE$4="Yes",INDEX(List!$E$2:$CD$173,MATCH('Selection Pane Data'!$B66,List!$E$2:$E$173,0),MATCH('Selection Pane Data'!AE$3,List!$E$2:$CD$2,0)),"")</f>
        <v/>
      </c>
      <c r="AF66" s="13" t="str">
        <f>IF(AF$4="Yes",INDEX(List!$E$2:$CD$173,MATCH('Selection Pane Data'!$B66,List!$E$2:$E$173,0),MATCH('Selection Pane Data'!AF$3,List!$E$2:$CD$2,0)),"")</f>
        <v/>
      </c>
      <c r="AG66" s="13" t="str">
        <f>IF(AG$4="Yes",INDEX(List!$E$2:$CD$173,MATCH('Selection Pane Data'!$B66,List!$E$2:$E$173,0),MATCH('Selection Pane Data'!AG$3,List!$E$2:$CD$2,0)),"")</f>
        <v/>
      </c>
      <c r="AH66" s="13" t="str">
        <f>IF(AH$4="Yes",INDEX(List!$E$2:$CD$173,MATCH('Selection Pane Data'!$B66,List!$E$2:$E$173,0),MATCH('Selection Pane Data'!AH$3,List!$E$2:$CD$2,0)),"")</f>
        <v/>
      </c>
      <c r="AI66" s="13" t="str">
        <f>IF(AI$4="Yes",INDEX(List!$E$2:$CD$173,MATCH('Selection Pane Data'!$B66,List!$E$2:$E$173,0),MATCH('Selection Pane Data'!AI$3,List!$E$2:$CD$2,0)),"")</f>
        <v/>
      </c>
      <c r="AJ66" s="13" t="str">
        <f>IF(AJ$4="Yes",INDEX(List!$E$2:$CD$173,MATCH('Selection Pane Data'!$B66,List!$E$2:$E$173,0),MATCH('Selection Pane Data'!AJ$3,List!$E$2:$CD$2,0)),"")</f>
        <v/>
      </c>
      <c r="AK66" s="13" t="str">
        <f>IF(AK$4="Yes",INDEX(List!$E$2:$CD$173,MATCH('Selection Pane Data'!$B66,List!$E$2:$E$173,0),MATCH('Selection Pane Data'!AK$3,List!$E$2:$CD$2,0)),"")</f>
        <v/>
      </c>
      <c r="AL66" s="13" t="str">
        <f>IF(AL$4="Yes",INDEX(List!$E$2:$CD$173,MATCH('Selection Pane Data'!$B66,List!$E$2:$E$173,0),MATCH('Selection Pane Data'!AL$3,List!$E$2:$CD$2,0)),"")</f>
        <v/>
      </c>
      <c r="AM66" s="13" t="str">
        <f>IF(AM$4="Yes",INDEX(List!$E$2:$CD$173,MATCH('Selection Pane Data'!$B66,List!$E$2:$E$173,0),MATCH('Selection Pane Data'!AM$3,List!$E$2:$CD$2,0)),"")</f>
        <v/>
      </c>
      <c r="AN66" s="13" t="str">
        <f>IF(AN$4="Yes",INDEX(List!$E$2:$CD$173,MATCH('Selection Pane Data'!$B66,List!$E$2:$E$173,0),MATCH('Selection Pane Data'!AN$3,List!$E$2:$CD$2,0)),"")</f>
        <v/>
      </c>
      <c r="AO66" s="13" t="str">
        <f>IF(AO$4="Yes",INDEX(List!$E$2:$CD$173,MATCH('Selection Pane Data'!$B66,List!$E$2:$E$173,0),MATCH('Selection Pane Data'!AO$3,List!$E$2:$CD$2,0)),"")</f>
        <v/>
      </c>
      <c r="AP66" s="13" t="str">
        <f>IF(AP$4="Yes",INDEX(List!$E$2:$CD$173,MATCH('Selection Pane Data'!$B66,List!$E$2:$E$173,0),MATCH('Selection Pane Data'!AP$3,List!$E$2:$CD$2,0)),"")</f>
        <v/>
      </c>
      <c r="AQ66" s="13" t="str">
        <f>IF(AQ$4="Yes",INDEX(List!$E$2:$CD$173,MATCH('Selection Pane Data'!$B66,List!$E$2:$E$173,0),MATCH('Selection Pane Data'!AQ$3,List!$E$2:$CD$2,0)),"")</f>
        <v/>
      </c>
      <c r="AR66" s="13" t="str">
        <f>IF(AR$4="Yes",INDEX(List!$E$2:$CD$173,MATCH('Selection Pane Data'!$B66,List!$E$2:$E$173,0),MATCH('Selection Pane Data'!AR$3,List!$E$2:$CD$2,0)),"")</f>
        <v/>
      </c>
      <c r="AS66" s="13" t="str">
        <f>IF(AS$4="Yes",INDEX(List!$E$2:$CD$173,MATCH('Selection Pane Data'!$B66,List!$E$2:$E$173,0),MATCH('Selection Pane Data'!AS$3,List!$E$2:$CD$2,0)),"")</f>
        <v/>
      </c>
      <c r="AT66" s="13" t="str">
        <f>IF(AT$4="Yes",INDEX(List!$E$2:$CD$173,MATCH('Selection Pane Data'!$B66,List!$E$2:$E$173,0),MATCH('Selection Pane Data'!AT$3,List!$E$2:$CD$2,0)),"")</f>
        <v/>
      </c>
      <c r="AU66" s="13" t="str">
        <f>IF(AU$4="Yes",INDEX(List!$E$2:$CD$173,MATCH('Selection Pane Data'!$B66,List!$E$2:$E$173,0),MATCH('Selection Pane Data'!AU$3,List!$E$2:$CD$2,0)),"")</f>
        <v/>
      </c>
      <c r="AV66" s="13" t="str">
        <f>IF(AV$4="Yes",INDEX(List!$E$2:$CD$173,MATCH('Selection Pane Data'!$B66,List!$E$2:$E$173,0),MATCH('Selection Pane Data'!AV$3,List!$E$2:$CD$2,0)),"")</f>
        <v/>
      </c>
      <c r="AW66" s="13" t="str">
        <f>IF(AW$4="Yes",INDEX(List!$E$2:$CD$173,MATCH('Selection Pane Data'!$B66,List!$E$2:$E$173,0),MATCH('Selection Pane Data'!AW$3,List!$E$2:$CD$2,0)),"")</f>
        <v/>
      </c>
      <c r="AX66" s="13" t="str">
        <f>IF(AX$4="Yes",INDEX(List!$E$2:$CD$173,MATCH('Selection Pane Data'!$B66,List!$E$2:$E$173,0),MATCH('Selection Pane Data'!AX$3,List!$E$2:$CD$2,0)),"")</f>
        <v/>
      </c>
      <c r="AY66" s="13" t="str">
        <f>IF(AY$4="Yes",INDEX(List!$E$2:$CD$173,MATCH('Selection Pane Data'!$B66,List!$E$2:$E$173,0),MATCH('Selection Pane Data'!AY$3,List!$E$2:$CD$2,0)),"")</f>
        <v/>
      </c>
      <c r="AZ66" s="13" t="str">
        <f>IF(AZ$4="Yes",INDEX(List!$E$2:$CD$173,MATCH('Selection Pane Data'!$B66,List!$E$2:$E$173,0),MATCH('Selection Pane Data'!AZ$3,List!$E$2:$CD$2,0)),"")</f>
        <v/>
      </c>
      <c r="BA66" s="13" t="str">
        <f>IF(BA$4="Yes",INDEX(List!$E$2:$CD$173,MATCH('Selection Pane Data'!$B66,List!$E$2:$E$173,0),MATCH('Selection Pane Data'!BA$3,List!$E$2:$CD$2,0)),"")</f>
        <v/>
      </c>
      <c r="BB66" s="13" t="str">
        <f>IF(BB$4="Yes",INDEX(List!$E$2:$CD$173,MATCH('Selection Pane Data'!$B66,List!$E$2:$E$173,0),MATCH('Selection Pane Data'!BB$3,List!$E$2:$CD$2,0)),"")</f>
        <v/>
      </c>
      <c r="BC66" s="13" t="str">
        <f>IF(BC$4="Yes",INDEX(List!$E$2:$CD$173,MATCH('Selection Pane Data'!$B66,List!$E$2:$E$173,0),MATCH('Selection Pane Data'!BC$3,List!$E$2:$CD$2,0)),"")</f>
        <v/>
      </c>
      <c r="BD66" s="13" t="str">
        <f>IF(BD$4="Yes",INDEX(List!$E$2:$CD$173,MATCH('Selection Pane Data'!$B66,List!$E$2:$E$173,0),MATCH('Selection Pane Data'!BD$3,List!$E$2:$CD$2,0)),"")</f>
        <v/>
      </c>
      <c r="BE66" s="13" t="str">
        <f>IF(BE$4="Yes",INDEX(List!$E$2:$CD$173,MATCH('Selection Pane Data'!$B66,List!$E$2:$E$173,0),MATCH('Selection Pane Data'!BE$3,List!$E$2:$CD$2,0)),"")</f>
        <v/>
      </c>
      <c r="BF66" s="13" t="str">
        <f>IF(BF$4="Yes",INDEX(List!$E$2:$CD$173,MATCH('Selection Pane Data'!$B66,List!$E$2:$E$173,0),MATCH('Selection Pane Data'!BF$3,List!$E$2:$CD$2,0)),"")</f>
        <v/>
      </c>
      <c r="BG66" s="13" t="str">
        <f>IF(BG$4="Yes",INDEX(List!$E$2:$CD$173,MATCH('Selection Pane Data'!$B66,List!$E$2:$E$173,0),MATCH('Selection Pane Data'!BG$3,List!$E$2:$CD$2,0)),"")</f>
        <v/>
      </c>
      <c r="BH66" s="13" t="str">
        <f>IF(BH$4="Yes",INDEX(List!$E$2:$CD$173,MATCH('Selection Pane Data'!$B66,List!$E$2:$E$173,0),MATCH('Selection Pane Data'!BH$3,List!$E$2:$CD$2,0)),"")</f>
        <v/>
      </c>
      <c r="BI66" s="13" t="str">
        <f>IF(BI$4="Yes",INDEX(List!$E$2:$CD$173,MATCH('Selection Pane Data'!$B66,List!$E$2:$E$173,0),MATCH('Selection Pane Data'!BI$3,List!$E$2:$CD$2,0)),"")</f>
        <v/>
      </c>
      <c r="BJ66" s="13" t="str">
        <f>IF(BJ$4="Yes",INDEX(List!$E$2:$CD$173,MATCH('Selection Pane Data'!$B66,List!$E$2:$E$173,0),MATCH('Selection Pane Data'!BJ$3,List!$E$2:$CD$2,0)),"")</f>
        <v/>
      </c>
      <c r="BK66" s="13" t="str">
        <f>IF(BK$4="Yes",INDEX(List!$E$2:$CD$173,MATCH('Selection Pane Data'!$B66,List!$E$2:$E$173,0),MATCH('Selection Pane Data'!BK$3,List!$E$2:$CD$2,0)),"")</f>
        <v/>
      </c>
      <c r="BL66" s="13" t="str">
        <f>IF(BL$4="Yes",INDEX(List!$E$2:$CD$173,MATCH('Selection Pane Data'!$B66,List!$E$2:$E$173,0),MATCH('Selection Pane Data'!BL$3,List!$E$2:$CD$2,0)),"")</f>
        <v/>
      </c>
      <c r="BM66" s="13" t="str">
        <f>IF(BM$4="Yes",INDEX(List!$E$2:$CD$173,MATCH('Selection Pane Data'!$B66,List!$E$2:$E$173,0),MATCH('Selection Pane Data'!BM$3,List!$E$2:$CD$2,0)),"")</f>
        <v/>
      </c>
      <c r="BN66" s="13" t="str">
        <f>IF(BN$4="Yes",INDEX(List!$E$2:$CD$173,MATCH('Selection Pane Data'!$B66,List!$E$2:$E$173,0),MATCH('Selection Pane Data'!BN$3,List!$E$2:$CD$2,0)),"")</f>
        <v/>
      </c>
      <c r="BO66" s="13" t="str">
        <f>IF(BO$4="Yes",INDEX(List!$E$2:$CD$173,MATCH('Selection Pane Data'!$B66,List!$E$2:$E$173,0),MATCH('Selection Pane Data'!BO$3,List!$E$2:$CD$2,0)),"")</f>
        <v/>
      </c>
      <c r="BP66" s="13" t="str">
        <f>IF(BP$4="Yes",INDEX(List!$E$2:$CD$173,MATCH('Selection Pane Data'!$B66,List!$E$2:$E$173,0),MATCH('Selection Pane Data'!BP$3,List!$E$2:$CD$2,0)),"")</f>
        <v/>
      </c>
      <c r="BQ66" s="13" t="str">
        <f>IF(BQ$4="Yes",INDEX(List!$E$2:$CD$173,MATCH('Selection Pane Data'!$B66,List!$E$2:$E$173,0),MATCH('Selection Pane Data'!BQ$3,List!$E$2:$CD$2,0)),"")</f>
        <v/>
      </c>
      <c r="BR66" s="13" t="str">
        <f>IF(BR$4="Yes",INDEX(List!$E$2:$CD$173,MATCH('Selection Pane Data'!$B66,List!$E$2:$E$173,0),MATCH('Selection Pane Data'!BR$3,List!$E$2:$CD$2,0)),"")</f>
        <v/>
      </c>
      <c r="BS66" s="13" t="str">
        <f>IF(BS$4="Yes",INDEX(List!$E$2:$CD$173,MATCH('Selection Pane Data'!$B66,List!$E$2:$E$173,0),MATCH('Selection Pane Data'!BS$3,List!$E$2:$CD$2,0)),"")</f>
        <v/>
      </c>
      <c r="BT66" s="13" t="str">
        <f>IF(BT$4="Yes",INDEX(List!$E$2:$CD$173,MATCH('Selection Pane Data'!$B66,List!$E$2:$E$173,0),MATCH('Selection Pane Data'!BT$3,List!$E$2:$CD$2,0)),"")</f>
        <v/>
      </c>
      <c r="BU66" s="13" t="str">
        <f>IF(BU$4="Yes",INDEX(List!$E$2:$CD$173,MATCH('Selection Pane Data'!$B66,List!$E$2:$E$173,0),MATCH('Selection Pane Data'!BU$3,List!$E$2:$CD$2,0)),"")</f>
        <v/>
      </c>
      <c r="BV66" s="13" t="str">
        <f>IF(BV$4="Yes",INDEX(List!$E$2:$CD$173,MATCH('Selection Pane Data'!$B66,List!$E$2:$E$173,0),MATCH('Selection Pane Data'!BV$3,List!$E$2:$CD$2,0)),"")</f>
        <v/>
      </c>
      <c r="BW66" s="13" t="str">
        <f>IF(BW$4="Yes",INDEX(List!$E$2:$CD$173,MATCH('Selection Pane Data'!$B66,List!$E$2:$E$173,0),MATCH('Selection Pane Data'!BW$3,List!$E$2:$CD$2,0)),"")</f>
        <v/>
      </c>
      <c r="BX66" s="13" t="str">
        <f>IF(BX$4="Yes",INDEX(List!$E$2:$CD$173,MATCH('Selection Pane Data'!$B66,List!$E$2:$E$173,0),MATCH('Selection Pane Data'!BX$3,List!$E$2:$CD$2,0)),"")</f>
        <v/>
      </c>
      <c r="BY66" s="13" t="str">
        <f>IF(BY$4="Yes",INDEX(List!$E$2:$CD$173,MATCH('Selection Pane Data'!$B66,List!$E$2:$E$173,0),MATCH('Selection Pane Data'!BY$3,List!$E$2:$CD$2,0)),"")</f>
        <v/>
      </c>
      <c r="BZ66" s="13" t="str">
        <f>IF(BZ$4="Yes",INDEX(List!$E$2:$CD$173,MATCH('Selection Pane Data'!$B66,List!$E$2:$E$173,0),MATCH('Selection Pane Data'!BZ$3,List!$E$2:$CD$2,0)),"")</f>
        <v/>
      </c>
      <c r="CA66" s="13" t="str">
        <f>IF(CA$4="Yes",INDEX(List!$E$2:$CD$173,MATCH('Selection Pane Data'!$B66,List!$E$2:$E$173,0),MATCH('Selection Pane Data'!CA$3,List!$E$2:$CD$2,0)),"")</f>
        <v/>
      </c>
      <c r="CB66" s="13" t="str">
        <f>IF(CB$4="Yes",INDEX(List!$E$2:$CD$173,MATCH('Selection Pane Data'!$B66,List!$E$2:$E$173,0),MATCH('Selection Pane Data'!CB$3,List!$E$2:$CD$2,0)),"")</f>
        <v/>
      </c>
      <c r="CC66" s="13" t="str">
        <f>IF(CC$4="Yes",INDEX(List!$E$2:$CD$173,MATCH('Selection Pane Data'!$B66,List!$E$2:$E$173,0),MATCH('Selection Pane Data'!CC$3,List!$E$2:$CD$2,0)),"")</f>
        <v/>
      </c>
      <c r="CD66" s="13" t="str">
        <f>IF(CD$4="Yes",INDEX(List!$E$2:$CD$173,MATCH('Selection Pane Data'!$B66,List!$E$2:$E$173,0),MATCH('Selection Pane Data'!CD$3,List!$E$2:$CD$2,0)),"")</f>
        <v/>
      </c>
      <c r="CE66" s="13" t="str">
        <f>IF(CE$4="Yes",INDEX(List!$E$2:$CD$173,MATCH('Selection Pane Data'!$B66,List!$E$2:$E$173,0),MATCH('Selection Pane Data'!CE$3,List!$E$2:$CD$2,0)),"")</f>
        <v/>
      </c>
    </row>
    <row r="67" spans="2:83" x14ac:dyDescent="0.35">
      <c r="B67" s="21" t="s">
        <v>354</v>
      </c>
      <c r="C67" s="126" t="str">
        <f>VLOOKUP(B67,List!$E$2:$G$173,2,FALSE)</f>
        <v>CM.L2-3.4.7</v>
      </c>
      <c r="D67" s="31" t="str">
        <f>List!G65</f>
        <v>Shared Coverage</v>
      </c>
      <c r="E67" s="31" t="str">
        <f>IF(Placemat!$F$4="All Practices","All Practices",IF(VLOOKUP(B67,Table7[#All],6,FALSE)="No Mapping","New CMMC Practices","Practices with NIST 800-171 Mappings"))</f>
        <v>Practices with NIST 800-171 Mappings</v>
      </c>
      <c r="F67" t="str">
        <f>INDEX('CMMC Levels'!$A$1:$F$172,MATCH('Selection Pane Data'!$C67,'CMMC Levels'!$A$1:$A$172,0),MATCH(Placemat!$F$4,'CMMC Levels'!$A$1:$F$1,0))</f>
        <v>X</v>
      </c>
      <c r="G67" s="77" t="str">
        <f>IF((COUNTIF(List!H65:CE65,"P")+COUNTIF(List!H65:CE65,"S"))=0,"N",IF(COUNTIF(H67:CE67,"P"),"P",IF(COUNTIF(H67:CE67,"S"),"S","U")))</f>
        <v>U</v>
      </c>
      <c r="H67" s="13" t="str">
        <f>IF(H$4="Yes",INDEX(List!$E$2:$CD$173,MATCH('Selection Pane Data'!$B67,List!$E$2:$E$173,0),MATCH('Selection Pane Data'!H$3,List!$E$2:$CD$2,0)),"")</f>
        <v/>
      </c>
      <c r="I67" s="13" t="str">
        <f>IF(I$4="Yes",INDEX(List!$E$2:$CD$173,MATCH('Selection Pane Data'!$B67,List!$E$2:$E$173,0),MATCH('Selection Pane Data'!I$3,List!$E$2:$CD$2,0)),"")</f>
        <v/>
      </c>
      <c r="J67" s="13" t="str">
        <f>IF(J$4="Yes",INDEX(List!$E$2:$CD$173,MATCH('Selection Pane Data'!$B67,List!$E$2:$E$173,0),MATCH('Selection Pane Data'!J$3,List!$E$2:$CD$2,0)),"")</f>
        <v>N</v>
      </c>
      <c r="K67" s="13" t="str">
        <f>IF(K$4="Yes",INDEX(List!$E$2:$CD$173,MATCH('Selection Pane Data'!$B67,List!$E$2:$E$173,0),MATCH('Selection Pane Data'!K$3,List!$E$2:$CD$2,0)),"")</f>
        <v/>
      </c>
      <c r="L67" s="13" t="str">
        <f>IF(L$4="Yes",INDEX(List!$E$2:$CD$173,MATCH('Selection Pane Data'!$B67,List!$E$2:$E$173,0),MATCH('Selection Pane Data'!L$3,List!$E$2:$CD$2,0)),"")</f>
        <v/>
      </c>
      <c r="M67" s="13" t="str">
        <f>IF(M$4="Yes",INDEX(List!$E$2:$CD$173,MATCH('Selection Pane Data'!$B67,List!$E$2:$E$173,0),MATCH('Selection Pane Data'!M$3,List!$E$2:$CD$2,0)),"")</f>
        <v/>
      </c>
      <c r="N67" s="13" t="str">
        <f>IF(N$4="Yes",INDEX(List!$E$2:$CD$173,MATCH('Selection Pane Data'!$B67,List!$E$2:$E$173,0),MATCH('Selection Pane Data'!N$3,List!$E$2:$CD$2,0)),"")</f>
        <v/>
      </c>
      <c r="O67" s="13" t="str">
        <f>IF(O$4="Yes",INDEX(List!$E$2:$CD$173,MATCH('Selection Pane Data'!$B67,List!$E$2:$E$173,0),MATCH('Selection Pane Data'!O$3,List!$E$2:$CD$2,0)),"")</f>
        <v/>
      </c>
      <c r="P67" s="13" t="str">
        <f>IF(P$4="Yes",INDEX(List!$E$2:$CD$173,MATCH('Selection Pane Data'!$B67,List!$E$2:$E$173,0),MATCH('Selection Pane Data'!P$3,List!$E$2:$CD$2,0)),"")</f>
        <v/>
      </c>
      <c r="Q67" s="13" t="str">
        <f>IF(Q$4="Yes",INDEX(List!$E$2:$CD$173,MATCH('Selection Pane Data'!$B67,List!$E$2:$E$173,0),MATCH('Selection Pane Data'!Q$3,List!$E$2:$CD$2,0)),"")</f>
        <v/>
      </c>
      <c r="R67" s="13" t="str">
        <f>IF(R$4="Yes",INDEX(List!$E$2:$CD$173,MATCH('Selection Pane Data'!$B67,List!$E$2:$E$173,0),MATCH('Selection Pane Data'!R$3,List!$E$2:$CD$2,0)),"")</f>
        <v/>
      </c>
      <c r="S67" s="13" t="str">
        <f>IF(S$4="Yes",INDEX(List!$E$2:$CD$173,MATCH('Selection Pane Data'!$B67,List!$E$2:$E$173,0),MATCH('Selection Pane Data'!S$3,List!$E$2:$CD$2,0)),"")</f>
        <v/>
      </c>
      <c r="T67" s="13" t="str">
        <f>IF(T$4="Yes",INDEX(List!$E$2:$CD$173,MATCH('Selection Pane Data'!$B67,List!$E$2:$E$173,0),MATCH('Selection Pane Data'!T$3,List!$E$2:$CD$2,0)),"")</f>
        <v/>
      </c>
      <c r="U67" s="13" t="str">
        <f>IF(U$4="Yes",INDEX(List!$E$2:$CD$173,MATCH('Selection Pane Data'!$B67,List!$E$2:$E$173,0),MATCH('Selection Pane Data'!U$3,List!$E$2:$CD$2,0)),"")</f>
        <v/>
      </c>
      <c r="V67" s="13" t="str">
        <f>IF(V$4="Yes",INDEX(List!$E$2:$CD$173,MATCH('Selection Pane Data'!$B67,List!$E$2:$E$173,0),MATCH('Selection Pane Data'!V$3,List!$E$2:$CD$2,0)),"")</f>
        <v/>
      </c>
      <c r="W67" s="13" t="str">
        <f>IF(W$4="Yes",INDEX(List!$E$2:$CD$173,MATCH('Selection Pane Data'!$B67,List!$E$2:$E$173,0),MATCH('Selection Pane Data'!W$3,List!$E$2:$CD$2,0)),"")</f>
        <v/>
      </c>
      <c r="X67" s="13" t="str">
        <f>IF(X$4="Yes",INDEX(List!$E$2:$CD$173,MATCH('Selection Pane Data'!$B67,List!$E$2:$E$173,0),MATCH('Selection Pane Data'!X$3,List!$E$2:$CD$2,0)),"")</f>
        <v/>
      </c>
      <c r="Y67" s="13" t="str">
        <f>IF(Y$4="Yes",INDEX(List!$E$2:$CD$173,MATCH('Selection Pane Data'!$B67,List!$E$2:$E$173,0),MATCH('Selection Pane Data'!Y$3,List!$E$2:$CD$2,0)),"")</f>
        <v/>
      </c>
      <c r="Z67" s="13" t="str">
        <f>IF(Z$4="Yes",INDEX(List!$E$2:$CD$173,MATCH('Selection Pane Data'!$B67,List!$E$2:$E$173,0),MATCH('Selection Pane Data'!Z$3,List!$E$2:$CD$2,0)),"")</f>
        <v/>
      </c>
      <c r="AA67" s="13" t="str">
        <f>IF(AA$4="Yes",INDEX(List!$E$2:$CD$173,MATCH('Selection Pane Data'!$B67,List!$E$2:$E$173,0),MATCH('Selection Pane Data'!AA$3,List!$E$2:$CD$2,0)),"")</f>
        <v>N</v>
      </c>
      <c r="AB67" s="13" t="str">
        <f>IF(AB$4="Yes",INDEX(List!$E$2:$CD$173,MATCH('Selection Pane Data'!$B67,List!$E$2:$E$173,0),MATCH('Selection Pane Data'!AB$3,List!$E$2:$CD$2,0)),"")</f>
        <v/>
      </c>
      <c r="AC67" s="13" t="str">
        <f>IF(AC$4="Yes",INDEX(List!$E$2:$CD$173,MATCH('Selection Pane Data'!$B67,List!$E$2:$E$173,0),MATCH('Selection Pane Data'!AC$3,List!$E$2:$CD$2,0)),"")</f>
        <v/>
      </c>
      <c r="AD67" s="13" t="str">
        <f>IF(AD$4="Yes",INDEX(List!$E$2:$CD$173,MATCH('Selection Pane Data'!$B67,List!$E$2:$E$173,0),MATCH('Selection Pane Data'!AD$3,List!$E$2:$CD$2,0)),"")</f>
        <v/>
      </c>
      <c r="AE67" s="13" t="str">
        <f>IF(AE$4="Yes",INDEX(List!$E$2:$CD$173,MATCH('Selection Pane Data'!$B67,List!$E$2:$E$173,0),MATCH('Selection Pane Data'!AE$3,List!$E$2:$CD$2,0)),"")</f>
        <v/>
      </c>
      <c r="AF67" s="13" t="str">
        <f>IF(AF$4="Yes",INDEX(List!$E$2:$CD$173,MATCH('Selection Pane Data'!$B67,List!$E$2:$E$173,0),MATCH('Selection Pane Data'!AF$3,List!$E$2:$CD$2,0)),"")</f>
        <v/>
      </c>
      <c r="AG67" s="13" t="str">
        <f>IF(AG$4="Yes",INDEX(List!$E$2:$CD$173,MATCH('Selection Pane Data'!$B67,List!$E$2:$E$173,0),MATCH('Selection Pane Data'!AG$3,List!$E$2:$CD$2,0)),"")</f>
        <v/>
      </c>
      <c r="AH67" s="13" t="str">
        <f>IF(AH$4="Yes",INDEX(List!$E$2:$CD$173,MATCH('Selection Pane Data'!$B67,List!$E$2:$E$173,0),MATCH('Selection Pane Data'!AH$3,List!$E$2:$CD$2,0)),"")</f>
        <v/>
      </c>
      <c r="AI67" s="13" t="str">
        <f>IF(AI$4="Yes",INDEX(List!$E$2:$CD$173,MATCH('Selection Pane Data'!$B67,List!$E$2:$E$173,0),MATCH('Selection Pane Data'!AI$3,List!$E$2:$CD$2,0)),"")</f>
        <v/>
      </c>
      <c r="AJ67" s="13" t="str">
        <f>IF(AJ$4="Yes",INDEX(List!$E$2:$CD$173,MATCH('Selection Pane Data'!$B67,List!$E$2:$E$173,0),MATCH('Selection Pane Data'!AJ$3,List!$E$2:$CD$2,0)),"")</f>
        <v/>
      </c>
      <c r="AK67" s="13" t="str">
        <f>IF(AK$4="Yes",INDEX(List!$E$2:$CD$173,MATCH('Selection Pane Data'!$B67,List!$E$2:$E$173,0),MATCH('Selection Pane Data'!AK$3,List!$E$2:$CD$2,0)),"")</f>
        <v/>
      </c>
      <c r="AL67" s="13" t="str">
        <f>IF(AL$4="Yes",INDEX(List!$E$2:$CD$173,MATCH('Selection Pane Data'!$B67,List!$E$2:$E$173,0),MATCH('Selection Pane Data'!AL$3,List!$E$2:$CD$2,0)),"")</f>
        <v/>
      </c>
      <c r="AM67" s="13" t="str">
        <f>IF(AM$4="Yes",INDEX(List!$E$2:$CD$173,MATCH('Selection Pane Data'!$B67,List!$E$2:$E$173,0),MATCH('Selection Pane Data'!AM$3,List!$E$2:$CD$2,0)),"")</f>
        <v/>
      </c>
      <c r="AN67" s="13" t="str">
        <f>IF(AN$4="Yes",INDEX(List!$E$2:$CD$173,MATCH('Selection Pane Data'!$B67,List!$E$2:$E$173,0),MATCH('Selection Pane Data'!AN$3,List!$E$2:$CD$2,0)),"")</f>
        <v/>
      </c>
      <c r="AO67" s="13" t="str">
        <f>IF(AO$4="Yes",INDEX(List!$E$2:$CD$173,MATCH('Selection Pane Data'!$B67,List!$E$2:$E$173,0),MATCH('Selection Pane Data'!AO$3,List!$E$2:$CD$2,0)),"")</f>
        <v/>
      </c>
      <c r="AP67" s="13" t="str">
        <f>IF(AP$4="Yes",INDEX(List!$E$2:$CD$173,MATCH('Selection Pane Data'!$B67,List!$E$2:$E$173,0),MATCH('Selection Pane Data'!AP$3,List!$E$2:$CD$2,0)),"")</f>
        <v/>
      </c>
      <c r="AQ67" s="13" t="str">
        <f>IF(AQ$4="Yes",INDEX(List!$E$2:$CD$173,MATCH('Selection Pane Data'!$B67,List!$E$2:$E$173,0),MATCH('Selection Pane Data'!AQ$3,List!$E$2:$CD$2,0)),"")</f>
        <v/>
      </c>
      <c r="AR67" s="13" t="str">
        <f>IF(AR$4="Yes",INDEX(List!$E$2:$CD$173,MATCH('Selection Pane Data'!$B67,List!$E$2:$E$173,0),MATCH('Selection Pane Data'!AR$3,List!$E$2:$CD$2,0)),"")</f>
        <v/>
      </c>
      <c r="AS67" s="13" t="str">
        <f>IF(AS$4="Yes",INDEX(List!$E$2:$CD$173,MATCH('Selection Pane Data'!$B67,List!$E$2:$E$173,0),MATCH('Selection Pane Data'!AS$3,List!$E$2:$CD$2,0)),"")</f>
        <v/>
      </c>
      <c r="AT67" s="13" t="str">
        <f>IF(AT$4="Yes",INDEX(List!$E$2:$CD$173,MATCH('Selection Pane Data'!$B67,List!$E$2:$E$173,0),MATCH('Selection Pane Data'!AT$3,List!$E$2:$CD$2,0)),"")</f>
        <v/>
      </c>
      <c r="AU67" s="13" t="str">
        <f>IF(AU$4="Yes",INDEX(List!$E$2:$CD$173,MATCH('Selection Pane Data'!$B67,List!$E$2:$E$173,0),MATCH('Selection Pane Data'!AU$3,List!$E$2:$CD$2,0)),"")</f>
        <v/>
      </c>
      <c r="AV67" s="13" t="str">
        <f>IF(AV$4="Yes",INDEX(List!$E$2:$CD$173,MATCH('Selection Pane Data'!$B67,List!$E$2:$E$173,0),MATCH('Selection Pane Data'!AV$3,List!$E$2:$CD$2,0)),"")</f>
        <v/>
      </c>
      <c r="AW67" s="13" t="str">
        <f>IF(AW$4="Yes",INDEX(List!$E$2:$CD$173,MATCH('Selection Pane Data'!$B67,List!$E$2:$E$173,0),MATCH('Selection Pane Data'!AW$3,List!$E$2:$CD$2,0)),"")</f>
        <v/>
      </c>
      <c r="AX67" s="13" t="str">
        <f>IF(AX$4="Yes",INDEX(List!$E$2:$CD$173,MATCH('Selection Pane Data'!$B67,List!$E$2:$E$173,0),MATCH('Selection Pane Data'!AX$3,List!$E$2:$CD$2,0)),"")</f>
        <v/>
      </c>
      <c r="AY67" s="13" t="str">
        <f>IF(AY$4="Yes",INDEX(List!$E$2:$CD$173,MATCH('Selection Pane Data'!$B67,List!$E$2:$E$173,0),MATCH('Selection Pane Data'!AY$3,List!$E$2:$CD$2,0)),"")</f>
        <v/>
      </c>
      <c r="AZ67" s="13" t="str">
        <f>IF(AZ$4="Yes",INDEX(List!$E$2:$CD$173,MATCH('Selection Pane Data'!$B67,List!$E$2:$E$173,0),MATCH('Selection Pane Data'!AZ$3,List!$E$2:$CD$2,0)),"")</f>
        <v/>
      </c>
      <c r="BA67" s="13" t="str">
        <f>IF(BA$4="Yes",INDEX(List!$E$2:$CD$173,MATCH('Selection Pane Data'!$B67,List!$E$2:$E$173,0),MATCH('Selection Pane Data'!BA$3,List!$E$2:$CD$2,0)),"")</f>
        <v/>
      </c>
      <c r="BB67" s="13" t="str">
        <f>IF(BB$4="Yes",INDEX(List!$E$2:$CD$173,MATCH('Selection Pane Data'!$B67,List!$E$2:$E$173,0),MATCH('Selection Pane Data'!BB$3,List!$E$2:$CD$2,0)),"")</f>
        <v/>
      </c>
      <c r="BC67" s="13" t="str">
        <f>IF(BC$4="Yes",INDEX(List!$E$2:$CD$173,MATCH('Selection Pane Data'!$B67,List!$E$2:$E$173,0),MATCH('Selection Pane Data'!BC$3,List!$E$2:$CD$2,0)),"")</f>
        <v/>
      </c>
      <c r="BD67" s="13" t="str">
        <f>IF(BD$4="Yes",INDEX(List!$E$2:$CD$173,MATCH('Selection Pane Data'!$B67,List!$E$2:$E$173,0),MATCH('Selection Pane Data'!BD$3,List!$E$2:$CD$2,0)),"")</f>
        <v/>
      </c>
      <c r="BE67" s="13" t="str">
        <f>IF(BE$4="Yes",INDEX(List!$E$2:$CD$173,MATCH('Selection Pane Data'!$B67,List!$E$2:$E$173,0),MATCH('Selection Pane Data'!BE$3,List!$E$2:$CD$2,0)),"")</f>
        <v/>
      </c>
      <c r="BF67" s="13" t="str">
        <f>IF(BF$4="Yes",INDEX(List!$E$2:$CD$173,MATCH('Selection Pane Data'!$B67,List!$E$2:$E$173,0),MATCH('Selection Pane Data'!BF$3,List!$E$2:$CD$2,0)),"")</f>
        <v/>
      </c>
      <c r="BG67" s="13" t="str">
        <f>IF(BG$4="Yes",INDEX(List!$E$2:$CD$173,MATCH('Selection Pane Data'!$B67,List!$E$2:$E$173,0),MATCH('Selection Pane Data'!BG$3,List!$E$2:$CD$2,0)),"")</f>
        <v/>
      </c>
      <c r="BH67" s="13" t="str">
        <f>IF(BH$4="Yes",INDEX(List!$E$2:$CD$173,MATCH('Selection Pane Data'!$B67,List!$E$2:$E$173,0),MATCH('Selection Pane Data'!BH$3,List!$E$2:$CD$2,0)),"")</f>
        <v/>
      </c>
      <c r="BI67" s="13" t="str">
        <f>IF(BI$4="Yes",INDEX(List!$E$2:$CD$173,MATCH('Selection Pane Data'!$B67,List!$E$2:$E$173,0),MATCH('Selection Pane Data'!BI$3,List!$E$2:$CD$2,0)),"")</f>
        <v/>
      </c>
      <c r="BJ67" s="13" t="str">
        <f>IF(BJ$4="Yes",INDEX(List!$E$2:$CD$173,MATCH('Selection Pane Data'!$B67,List!$E$2:$E$173,0),MATCH('Selection Pane Data'!BJ$3,List!$E$2:$CD$2,0)),"")</f>
        <v/>
      </c>
      <c r="BK67" s="13" t="str">
        <f>IF(BK$4="Yes",INDEX(List!$E$2:$CD$173,MATCH('Selection Pane Data'!$B67,List!$E$2:$E$173,0),MATCH('Selection Pane Data'!BK$3,List!$E$2:$CD$2,0)),"")</f>
        <v/>
      </c>
      <c r="BL67" s="13" t="str">
        <f>IF(BL$4="Yes",INDEX(List!$E$2:$CD$173,MATCH('Selection Pane Data'!$B67,List!$E$2:$E$173,0),MATCH('Selection Pane Data'!BL$3,List!$E$2:$CD$2,0)),"")</f>
        <v/>
      </c>
      <c r="BM67" s="13" t="str">
        <f>IF(BM$4="Yes",INDEX(List!$E$2:$CD$173,MATCH('Selection Pane Data'!$B67,List!$E$2:$E$173,0),MATCH('Selection Pane Data'!BM$3,List!$E$2:$CD$2,0)),"")</f>
        <v/>
      </c>
      <c r="BN67" s="13" t="str">
        <f>IF(BN$4="Yes",INDEX(List!$E$2:$CD$173,MATCH('Selection Pane Data'!$B67,List!$E$2:$E$173,0),MATCH('Selection Pane Data'!BN$3,List!$E$2:$CD$2,0)),"")</f>
        <v/>
      </c>
      <c r="BO67" s="13" t="str">
        <f>IF(BO$4="Yes",INDEX(List!$E$2:$CD$173,MATCH('Selection Pane Data'!$B67,List!$E$2:$E$173,0),MATCH('Selection Pane Data'!BO$3,List!$E$2:$CD$2,0)),"")</f>
        <v/>
      </c>
      <c r="BP67" s="13" t="str">
        <f>IF(BP$4="Yes",INDEX(List!$E$2:$CD$173,MATCH('Selection Pane Data'!$B67,List!$E$2:$E$173,0),MATCH('Selection Pane Data'!BP$3,List!$E$2:$CD$2,0)),"")</f>
        <v/>
      </c>
      <c r="BQ67" s="13" t="str">
        <f>IF(BQ$4="Yes",INDEX(List!$E$2:$CD$173,MATCH('Selection Pane Data'!$B67,List!$E$2:$E$173,0),MATCH('Selection Pane Data'!BQ$3,List!$E$2:$CD$2,0)),"")</f>
        <v/>
      </c>
      <c r="BR67" s="13" t="str">
        <f>IF(BR$4="Yes",INDEX(List!$E$2:$CD$173,MATCH('Selection Pane Data'!$B67,List!$E$2:$E$173,0),MATCH('Selection Pane Data'!BR$3,List!$E$2:$CD$2,0)),"")</f>
        <v/>
      </c>
      <c r="BS67" s="13" t="str">
        <f>IF(BS$4="Yes",INDEX(List!$E$2:$CD$173,MATCH('Selection Pane Data'!$B67,List!$E$2:$E$173,0),MATCH('Selection Pane Data'!BS$3,List!$E$2:$CD$2,0)),"")</f>
        <v/>
      </c>
      <c r="BT67" s="13" t="str">
        <f>IF(BT$4="Yes",INDEX(List!$E$2:$CD$173,MATCH('Selection Pane Data'!$B67,List!$E$2:$E$173,0),MATCH('Selection Pane Data'!BT$3,List!$E$2:$CD$2,0)),"")</f>
        <v/>
      </c>
      <c r="BU67" s="13" t="str">
        <f>IF(BU$4="Yes",INDEX(List!$E$2:$CD$173,MATCH('Selection Pane Data'!$B67,List!$E$2:$E$173,0),MATCH('Selection Pane Data'!BU$3,List!$E$2:$CD$2,0)),"")</f>
        <v/>
      </c>
      <c r="BV67" s="13" t="str">
        <f>IF(BV$4="Yes",INDEX(List!$E$2:$CD$173,MATCH('Selection Pane Data'!$B67,List!$E$2:$E$173,0),MATCH('Selection Pane Data'!BV$3,List!$E$2:$CD$2,0)),"")</f>
        <v/>
      </c>
      <c r="BW67" s="13" t="str">
        <f>IF(BW$4="Yes",INDEX(List!$E$2:$CD$173,MATCH('Selection Pane Data'!$B67,List!$E$2:$E$173,0),MATCH('Selection Pane Data'!BW$3,List!$E$2:$CD$2,0)),"")</f>
        <v/>
      </c>
      <c r="BX67" s="13" t="str">
        <f>IF(BX$4="Yes",INDEX(List!$E$2:$CD$173,MATCH('Selection Pane Data'!$B67,List!$E$2:$E$173,0),MATCH('Selection Pane Data'!BX$3,List!$E$2:$CD$2,0)),"")</f>
        <v/>
      </c>
      <c r="BY67" s="13" t="str">
        <f>IF(BY$4="Yes",INDEX(List!$E$2:$CD$173,MATCH('Selection Pane Data'!$B67,List!$E$2:$E$173,0),MATCH('Selection Pane Data'!BY$3,List!$E$2:$CD$2,0)),"")</f>
        <v/>
      </c>
      <c r="BZ67" s="13" t="str">
        <f>IF(BZ$4="Yes",INDEX(List!$E$2:$CD$173,MATCH('Selection Pane Data'!$B67,List!$E$2:$E$173,0),MATCH('Selection Pane Data'!BZ$3,List!$E$2:$CD$2,0)),"")</f>
        <v/>
      </c>
      <c r="CA67" s="13" t="str">
        <f>IF(CA$4="Yes",INDEX(List!$E$2:$CD$173,MATCH('Selection Pane Data'!$B67,List!$E$2:$E$173,0),MATCH('Selection Pane Data'!CA$3,List!$E$2:$CD$2,0)),"")</f>
        <v/>
      </c>
      <c r="CB67" s="13" t="str">
        <f>IF(CB$4="Yes",INDEX(List!$E$2:$CD$173,MATCH('Selection Pane Data'!$B67,List!$E$2:$E$173,0),MATCH('Selection Pane Data'!CB$3,List!$E$2:$CD$2,0)),"")</f>
        <v/>
      </c>
      <c r="CC67" s="13" t="str">
        <f>IF(CC$4="Yes",INDEX(List!$E$2:$CD$173,MATCH('Selection Pane Data'!$B67,List!$E$2:$E$173,0),MATCH('Selection Pane Data'!CC$3,List!$E$2:$CD$2,0)),"")</f>
        <v/>
      </c>
      <c r="CD67" s="13" t="str">
        <f>IF(CD$4="Yes",INDEX(List!$E$2:$CD$173,MATCH('Selection Pane Data'!$B67,List!$E$2:$E$173,0),MATCH('Selection Pane Data'!CD$3,List!$E$2:$CD$2,0)),"")</f>
        <v/>
      </c>
      <c r="CE67" s="13" t="str">
        <f>IF(CE$4="Yes",INDEX(List!$E$2:$CD$173,MATCH('Selection Pane Data'!$B67,List!$E$2:$E$173,0),MATCH('Selection Pane Data'!CE$3,List!$E$2:$CD$2,0)),"")</f>
        <v/>
      </c>
    </row>
    <row r="68" spans="2:83" x14ac:dyDescent="0.35">
      <c r="B68" s="21" t="s">
        <v>355</v>
      </c>
      <c r="C68" s="126" t="str">
        <f>VLOOKUP(B68,List!$E$2:$G$173,2,FALSE)</f>
        <v>CM.L2-3.4.8</v>
      </c>
      <c r="D68" s="31" t="str">
        <f>List!G66</f>
        <v>Customer Responsibility</v>
      </c>
      <c r="E68" s="31" t="str">
        <f>IF(Placemat!$F$4="All Practices","All Practices",IF(VLOOKUP(B68,Table7[#All],6,FALSE)="No Mapping","New CMMC Practices","Practices with NIST 800-171 Mappings"))</f>
        <v>Practices with NIST 800-171 Mappings</v>
      </c>
      <c r="F68" t="str">
        <f>INDEX('CMMC Levels'!$A$1:$F$172,MATCH('Selection Pane Data'!$C68,'CMMC Levels'!$A$1:$A$172,0),MATCH(Placemat!$F$4,'CMMC Levels'!$A$1:$F$1,0))</f>
        <v>X</v>
      </c>
      <c r="G68" s="77" t="str">
        <f>IF((COUNTIF(List!H66:CE66,"P")+COUNTIF(List!H66:CE66,"S"))=0,"N",IF(COUNTIF(H68:CE68,"P"),"P",IF(COUNTIF(H68:CE68,"S"),"S","U")))</f>
        <v>U</v>
      </c>
      <c r="H68" s="13" t="str">
        <f>IF(H$4="Yes",INDEX(List!$E$2:$CD$173,MATCH('Selection Pane Data'!$B68,List!$E$2:$E$173,0),MATCH('Selection Pane Data'!H$3,List!$E$2:$CD$2,0)),"")</f>
        <v/>
      </c>
      <c r="I68" s="13" t="str">
        <f>IF(I$4="Yes",INDEX(List!$E$2:$CD$173,MATCH('Selection Pane Data'!$B68,List!$E$2:$E$173,0),MATCH('Selection Pane Data'!I$3,List!$E$2:$CD$2,0)),"")</f>
        <v/>
      </c>
      <c r="J68" s="13" t="str">
        <f>IF(J$4="Yes",INDEX(List!$E$2:$CD$173,MATCH('Selection Pane Data'!$B68,List!$E$2:$E$173,0),MATCH('Selection Pane Data'!J$3,List!$E$2:$CD$2,0)),"")</f>
        <v>N</v>
      </c>
      <c r="K68" s="13" t="str">
        <f>IF(K$4="Yes",INDEX(List!$E$2:$CD$173,MATCH('Selection Pane Data'!$B68,List!$E$2:$E$173,0),MATCH('Selection Pane Data'!K$3,List!$E$2:$CD$2,0)),"")</f>
        <v/>
      </c>
      <c r="L68" s="13" t="str">
        <f>IF(L$4="Yes",INDEX(List!$E$2:$CD$173,MATCH('Selection Pane Data'!$B68,List!$E$2:$E$173,0),MATCH('Selection Pane Data'!L$3,List!$E$2:$CD$2,0)),"")</f>
        <v/>
      </c>
      <c r="M68" s="13" t="str">
        <f>IF(M$4="Yes",INDEX(List!$E$2:$CD$173,MATCH('Selection Pane Data'!$B68,List!$E$2:$E$173,0),MATCH('Selection Pane Data'!M$3,List!$E$2:$CD$2,0)),"")</f>
        <v/>
      </c>
      <c r="N68" s="13" t="str">
        <f>IF(N$4="Yes",INDEX(List!$E$2:$CD$173,MATCH('Selection Pane Data'!$B68,List!$E$2:$E$173,0),MATCH('Selection Pane Data'!N$3,List!$E$2:$CD$2,0)),"")</f>
        <v/>
      </c>
      <c r="O68" s="13" t="str">
        <f>IF(O$4="Yes",INDEX(List!$E$2:$CD$173,MATCH('Selection Pane Data'!$B68,List!$E$2:$E$173,0),MATCH('Selection Pane Data'!O$3,List!$E$2:$CD$2,0)),"")</f>
        <v/>
      </c>
      <c r="P68" s="13" t="str">
        <f>IF(P$4="Yes",INDEX(List!$E$2:$CD$173,MATCH('Selection Pane Data'!$B68,List!$E$2:$E$173,0),MATCH('Selection Pane Data'!P$3,List!$E$2:$CD$2,0)),"")</f>
        <v/>
      </c>
      <c r="Q68" s="13" t="str">
        <f>IF(Q$4="Yes",INDEX(List!$E$2:$CD$173,MATCH('Selection Pane Data'!$B68,List!$E$2:$E$173,0),MATCH('Selection Pane Data'!Q$3,List!$E$2:$CD$2,0)),"")</f>
        <v/>
      </c>
      <c r="R68" s="13" t="str">
        <f>IF(R$4="Yes",INDEX(List!$E$2:$CD$173,MATCH('Selection Pane Data'!$B68,List!$E$2:$E$173,0),MATCH('Selection Pane Data'!R$3,List!$E$2:$CD$2,0)),"")</f>
        <v/>
      </c>
      <c r="S68" s="13" t="str">
        <f>IF(S$4="Yes",INDEX(List!$E$2:$CD$173,MATCH('Selection Pane Data'!$B68,List!$E$2:$E$173,0),MATCH('Selection Pane Data'!S$3,List!$E$2:$CD$2,0)),"")</f>
        <v/>
      </c>
      <c r="T68" s="13" t="str">
        <f>IF(T$4="Yes",INDEX(List!$E$2:$CD$173,MATCH('Selection Pane Data'!$B68,List!$E$2:$E$173,0),MATCH('Selection Pane Data'!T$3,List!$E$2:$CD$2,0)),"")</f>
        <v/>
      </c>
      <c r="U68" s="13" t="str">
        <f>IF(U$4="Yes",INDEX(List!$E$2:$CD$173,MATCH('Selection Pane Data'!$B68,List!$E$2:$E$173,0),MATCH('Selection Pane Data'!U$3,List!$E$2:$CD$2,0)),"")</f>
        <v/>
      </c>
      <c r="V68" s="13" t="str">
        <f>IF(V$4="Yes",INDEX(List!$E$2:$CD$173,MATCH('Selection Pane Data'!$B68,List!$E$2:$E$173,0),MATCH('Selection Pane Data'!V$3,List!$E$2:$CD$2,0)),"")</f>
        <v/>
      </c>
      <c r="W68" s="13" t="str">
        <f>IF(W$4="Yes",INDEX(List!$E$2:$CD$173,MATCH('Selection Pane Data'!$B68,List!$E$2:$E$173,0),MATCH('Selection Pane Data'!W$3,List!$E$2:$CD$2,0)),"")</f>
        <v/>
      </c>
      <c r="X68" s="13" t="str">
        <f>IF(X$4="Yes",INDEX(List!$E$2:$CD$173,MATCH('Selection Pane Data'!$B68,List!$E$2:$E$173,0),MATCH('Selection Pane Data'!X$3,List!$E$2:$CD$2,0)),"")</f>
        <v/>
      </c>
      <c r="Y68" s="13" t="str">
        <f>IF(Y$4="Yes",INDEX(List!$E$2:$CD$173,MATCH('Selection Pane Data'!$B68,List!$E$2:$E$173,0),MATCH('Selection Pane Data'!Y$3,List!$E$2:$CD$2,0)),"")</f>
        <v/>
      </c>
      <c r="Z68" s="13" t="str">
        <f>IF(Z$4="Yes",INDEX(List!$E$2:$CD$173,MATCH('Selection Pane Data'!$B68,List!$E$2:$E$173,0),MATCH('Selection Pane Data'!Z$3,List!$E$2:$CD$2,0)),"")</f>
        <v/>
      </c>
      <c r="AA68" s="13" t="str">
        <f>IF(AA$4="Yes",INDEX(List!$E$2:$CD$173,MATCH('Selection Pane Data'!$B68,List!$E$2:$E$173,0),MATCH('Selection Pane Data'!AA$3,List!$E$2:$CD$2,0)),"")</f>
        <v>N</v>
      </c>
      <c r="AB68" s="13" t="str">
        <f>IF(AB$4="Yes",INDEX(List!$E$2:$CD$173,MATCH('Selection Pane Data'!$B68,List!$E$2:$E$173,0),MATCH('Selection Pane Data'!AB$3,List!$E$2:$CD$2,0)),"")</f>
        <v/>
      </c>
      <c r="AC68" s="13" t="str">
        <f>IF(AC$4="Yes",INDEX(List!$E$2:$CD$173,MATCH('Selection Pane Data'!$B68,List!$E$2:$E$173,0),MATCH('Selection Pane Data'!AC$3,List!$E$2:$CD$2,0)),"")</f>
        <v/>
      </c>
      <c r="AD68" s="13" t="str">
        <f>IF(AD$4="Yes",INDEX(List!$E$2:$CD$173,MATCH('Selection Pane Data'!$B68,List!$E$2:$E$173,0),MATCH('Selection Pane Data'!AD$3,List!$E$2:$CD$2,0)),"")</f>
        <v/>
      </c>
      <c r="AE68" s="13" t="str">
        <f>IF(AE$4="Yes",INDEX(List!$E$2:$CD$173,MATCH('Selection Pane Data'!$B68,List!$E$2:$E$173,0),MATCH('Selection Pane Data'!AE$3,List!$E$2:$CD$2,0)),"")</f>
        <v/>
      </c>
      <c r="AF68" s="13" t="str">
        <f>IF(AF$4="Yes",INDEX(List!$E$2:$CD$173,MATCH('Selection Pane Data'!$B68,List!$E$2:$E$173,0),MATCH('Selection Pane Data'!AF$3,List!$E$2:$CD$2,0)),"")</f>
        <v/>
      </c>
      <c r="AG68" s="13" t="str">
        <f>IF(AG$4="Yes",INDEX(List!$E$2:$CD$173,MATCH('Selection Pane Data'!$B68,List!$E$2:$E$173,0),MATCH('Selection Pane Data'!AG$3,List!$E$2:$CD$2,0)),"")</f>
        <v/>
      </c>
      <c r="AH68" s="13" t="str">
        <f>IF(AH$4="Yes",INDEX(List!$E$2:$CD$173,MATCH('Selection Pane Data'!$B68,List!$E$2:$E$173,0),MATCH('Selection Pane Data'!AH$3,List!$E$2:$CD$2,0)),"")</f>
        <v/>
      </c>
      <c r="AI68" s="13" t="str">
        <f>IF(AI$4="Yes",INDEX(List!$E$2:$CD$173,MATCH('Selection Pane Data'!$B68,List!$E$2:$E$173,0),MATCH('Selection Pane Data'!AI$3,List!$E$2:$CD$2,0)),"")</f>
        <v/>
      </c>
      <c r="AJ68" s="13" t="str">
        <f>IF(AJ$4="Yes",INDEX(List!$E$2:$CD$173,MATCH('Selection Pane Data'!$B68,List!$E$2:$E$173,0),MATCH('Selection Pane Data'!AJ$3,List!$E$2:$CD$2,0)),"")</f>
        <v/>
      </c>
      <c r="AK68" s="13" t="str">
        <f>IF(AK$4="Yes",INDEX(List!$E$2:$CD$173,MATCH('Selection Pane Data'!$B68,List!$E$2:$E$173,0),MATCH('Selection Pane Data'!AK$3,List!$E$2:$CD$2,0)),"")</f>
        <v/>
      </c>
      <c r="AL68" s="13" t="str">
        <f>IF(AL$4="Yes",INDEX(List!$E$2:$CD$173,MATCH('Selection Pane Data'!$B68,List!$E$2:$E$173,0),MATCH('Selection Pane Data'!AL$3,List!$E$2:$CD$2,0)),"")</f>
        <v/>
      </c>
      <c r="AM68" s="13" t="str">
        <f>IF(AM$4="Yes",INDEX(List!$E$2:$CD$173,MATCH('Selection Pane Data'!$B68,List!$E$2:$E$173,0),MATCH('Selection Pane Data'!AM$3,List!$E$2:$CD$2,0)),"")</f>
        <v/>
      </c>
      <c r="AN68" s="13" t="str">
        <f>IF(AN$4="Yes",INDEX(List!$E$2:$CD$173,MATCH('Selection Pane Data'!$B68,List!$E$2:$E$173,0),MATCH('Selection Pane Data'!AN$3,List!$E$2:$CD$2,0)),"")</f>
        <v/>
      </c>
      <c r="AO68" s="13" t="str">
        <f>IF(AO$4="Yes",INDEX(List!$E$2:$CD$173,MATCH('Selection Pane Data'!$B68,List!$E$2:$E$173,0),MATCH('Selection Pane Data'!AO$3,List!$E$2:$CD$2,0)),"")</f>
        <v/>
      </c>
      <c r="AP68" s="13" t="str">
        <f>IF(AP$4="Yes",INDEX(List!$E$2:$CD$173,MATCH('Selection Pane Data'!$B68,List!$E$2:$E$173,0),MATCH('Selection Pane Data'!AP$3,List!$E$2:$CD$2,0)),"")</f>
        <v/>
      </c>
      <c r="AQ68" s="13" t="str">
        <f>IF(AQ$4="Yes",INDEX(List!$E$2:$CD$173,MATCH('Selection Pane Data'!$B68,List!$E$2:$E$173,0),MATCH('Selection Pane Data'!AQ$3,List!$E$2:$CD$2,0)),"")</f>
        <v/>
      </c>
      <c r="AR68" s="13" t="str">
        <f>IF(AR$4="Yes",INDEX(List!$E$2:$CD$173,MATCH('Selection Pane Data'!$B68,List!$E$2:$E$173,0),MATCH('Selection Pane Data'!AR$3,List!$E$2:$CD$2,0)),"")</f>
        <v/>
      </c>
      <c r="AS68" s="13" t="str">
        <f>IF(AS$4="Yes",INDEX(List!$E$2:$CD$173,MATCH('Selection Pane Data'!$B68,List!$E$2:$E$173,0),MATCH('Selection Pane Data'!AS$3,List!$E$2:$CD$2,0)),"")</f>
        <v/>
      </c>
      <c r="AT68" s="13" t="str">
        <f>IF(AT$4="Yes",INDEX(List!$E$2:$CD$173,MATCH('Selection Pane Data'!$B68,List!$E$2:$E$173,0),MATCH('Selection Pane Data'!AT$3,List!$E$2:$CD$2,0)),"")</f>
        <v/>
      </c>
      <c r="AU68" s="13" t="str">
        <f>IF(AU$4="Yes",INDEX(List!$E$2:$CD$173,MATCH('Selection Pane Data'!$B68,List!$E$2:$E$173,0),MATCH('Selection Pane Data'!AU$3,List!$E$2:$CD$2,0)),"")</f>
        <v/>
      </c>
      <c r="AV68" s="13" t="str">
        <f>IF(AV$4="Yes",INDEX(List!$E$2:$CD$173,MATCH('Selection Pane Data'!$B68,List!$E$2:$E$173,0),MATCH('Selection Pane Data'!AV$3,List!$E$2:$CD$2,0)),"")</f>
        <v/>
      </c>
      <c r="AW68" s="13" t="str">
        <f>IF(AW$4="Yes",INDEX(List!$E$2:$CD$173,MATCH('Selection Pane Data'!$B68,List!$E$2:$E$173,0),MATCH('Selection Pane Data'!AW$3,List!$E$2:$CD$2,0)),"")</f>
        <v/>
      </c>
      <c r="AX68" s="13" t="str">
        <f>IF(AX$4="Yes",INDEX(List!$E$2:$CD$173,MATCH('Selection Pane Data'!$B68,List!$E$2:$E$173,0),MATCH('Selection Pane Data'!AX$3,List!$E$2:$CD$2,0)),"")</f>
        <v/>
      </c>
      <c r="AY68" s="13" t="str">
        <f>IF(AY$4="Yes",INDEX(List!$E$2:$CD$173,MATCH('Selection Pane Data'!$B68,List!$E$2:$E$173,0),MATCH('Selection Pane Data'!AY$3,List!$E$2:$CD$2,0)),"")</f>
        <v/>
      </c>
      <c r="AZ68" s="13" t="str">
        <f>IF(AZ$4="Yes",INDEX(List!$E$2:$CD$173,MATCH('Selection Pane Data'!$B68,List!$E$2:$E$173,0),MATCH('Selection Pane Data'!AZ$3,List!$E$2:$CD$2,0)),"")</f>
        <v/>
      </c>
      <c r="BA68" s="13" t="str">
        <f>IF(BA$4="Yes",INDEX(List!$E$2:$CD$173,MATCH('Selection Pane Data'!$B68,List!$E$2:$E$173,0),MATCH('Selection Pane Data'!BA$3,List!$E$2:$CD$2,0)),"")</f>
        <v/>
      </c>
      <c r="BB68" s="13" t="str">
        <f>IF(BB$4="Yes",INDEX(List!$E$2:$CD$173,MATCH('Selection Pane Data'!$B68,List!$E$2:$E$173,0),MATCH('Selection Pane Data'!BB$3,List!$E$2:$CD$2,0)),"")</f>
        <v/>
      </c>
      <c r="BC68" s="13" t="str">
        <f>IF(BC$4="Yes",INDEX(List!$E$2:$CD$173,MATCH('Selection Pane Data'!$B68,List!$E$2:$E$173,0),MATCH('Selection Pane Data'!BC$3,List!$E$2:$CD$2,0)),"")</f>
        <v/>
      </c>
      <c r="BD68" s="13" t="str">
        <f>IF(BD$4="Yes",INDEX(List!$E$2:$CD$173,MATCH('Selection Pane Data'!$B68,List!$E$2:$E$173,0),MATCH('Selection Pane Data'!BD$3,List!$E$2:$CD$2,0)),"")</f>
        <v/>
      </c>
      <c r="BE68" s="13" t="str">
        <f>IF(BE$4="Yes",INDEX(List!$E$2:$CD$173,MATCH('Selection Pane Data'!$B68,List!$E$2:$E$173,0),MATCH('Selection Pane Data'!BE$3,List!$E$2:$CD$2,0)),"")</f>
        <v/>
      </c>
      <c r="BF68" s="13" t="str">
        <f>IF(BF$4="Yes",INDEX(List!$E$2:$CD$173,MATCH('Selection Pane Data'!$B68,List!$E$2:$E$173,0),MATCH('Selection Pane Data'!BF$3,List!$E$2:$CD$2,0)),"")</f>
        <v/>
      </c>
      <c r="BG68" s="13" t="str">
        <f>IF(BG$4="Yes",INDEX(List!$E$2:$CD$173,MATCH('Selection Pane Data'!$B68,List!$E$2:$E$173,0),MATCH('Selection Pane Data'!BG$3,List!$E$2:$CD$2,0)),"")</f>
        <v/>
      </c>
      <c r="BH68" s="13" t="str">
        <f>IF(BH$4="Yes",INDEX(List!$E$2:$CD$173,MATCH('Selection Pane Data'!$B68,List!$E$2:$E$173,0),MATCH('Selection Pane Data'!BH$3,List!$E$2:$CD$2,0)),"")</f>
        <v/>
      </c>
      <c r="BI68" s="13" t="str">
        <f>IF(BI$4="Yes",INDEX(List!$E$2:$CD$173,MATCH('Selection Pane Data'!$B68,List!$E$2:$E$173,0),MATCH('Selection Pane Data'!BI$3,List!$E$2:$CD$2,0)),"")</f>
        <v/>
      </c>
      <c r="BJ68" s="13" t="str">
        <f>IF(BJ$4="Yes",INDEX(List!$E$2:$CD$173,MATCH('Selection Pane Data'!$B68,List!$E$2:$E$173,0),MATCH('Selection Pane Data'!BJ$3,List!$E$2:$CD$2,0)),"")</f>
        <v/>
      </c>
      <c r="BK68" s="13" t="str">
        <f>IF(BK$4="Yes",INDEX(List!$E$2:$CD$173,MATCH('Selection Pane Data'!$B68,List!$E$2:$E$173,0),MATCH('Selection Pane Data'!BK$3,List!$E$2:$CD$2,0)),"")</f>
        <v/>
      </c>
      <c r="BL68" s="13" t="str">
        <f>IF(BL$4="Yes",INDEX(List!$E$2:$CD$173,MATCH('Selection Pane Data'!$B68,List!$E$2:$E$173,0),MATCH('Selection Pane Data'!BL$3,List!$E$2:$CD$2,0)),"")</f>
        <v/>
      </c>
      <c r="BM68" s="13" t="str">
        <f>IF(BM$4="Yes",INDEX(List!$E$2:$CD$173,MATCH('Selection Pane Data'!$B68,List!$E$2:$E$173,0),MATCH('Selection Pane Data'!BM$3,List!$E$2:$CD$2,0)),"")</f>
        <v/>
      </c>
      <c r="BN68" s="13" t="str">
        <f>IF(BN$4="Yes",INDEX(List!$E$2:$CD$173,MATCH('Selection Pane Data'!$B68,List!$E$2:$E$173,0),MATCH('Selection Pane Data'!BN$3,List!$E$2:$CD$2,0)),"")</f>
        <v/>
      </c>
      <c r="BO68" s="13" t="str">
        <f>IF(BO$4="Yes",INDEX(List!$E$2:$CD$173,MATCH('Selection Pane Data'!$B68,List!$E$2:$E$173,0),MATCH('Selection Pane Data'!BO$3,List!$E$2:$CD$2,0)),"")</f>
        <v/>
      </c>
      <c r="BP68" s="13" t="str">
        <f>IF(BP$4="Yes",INDEX(List!$E$2:$CD$173,MATCH('Selection Pane Data'!$B68,List!$E$2:$E$173,0),MATCH('Selection Pane Data'!BP$3,List!$E$2:$CD$2,0)),"")</f>
        <v/>
      </c>
      <c r="BQ68" s="13" t="str">
        <f>IF(BQ$4="Yes",INDEX(List!$E$2:$CD$173,MATCH('Selection Pane Data'!$B68,List!$E$2:$E$173,0),MATCH('Selection Pane Data'!BQ$3,List!$E$2:$CD$2,0)),"")</f>
        <v/>
      </c>
      <c r="BR68" s="13" t="str">
        <f>IF(BR$4="Yes",INDEX(List!$E$2:$CD$173,MATCH('Selection Pane Data'!$B68,List!$E$2:$E$173,0),MATCH('Selection Pane Data'!BR$3,List!$E$2:$CD$2,0)),"")</f>
        <v/>
      </c>
      <c r="BS68" s="13" t="str">
        <f>IF(BS$4="Yes",INDEX(List!$E$2:$CD$173,MATCH('Selection Pane Data'!$B68,List!$E$2:$E$173,0),MATCH('Selection Pane Data'!BS$3,List!$E$2:$CD$2,0)),"")</f>
        <v/>
      </c>
      <c r="BT68" s="13" t="str">
        <f>IF(BT$4="Yes",INDEX(List!$E$2:$CD$173,MATCH('Selection Pane Data'!$B68,List!$E$2:$E$173,0),MATCH('Selection Pane Data'!BT$3,List!$E$2:$CD$2,0)),"")</f>
        <v/>
      </c>
      <c r="BU68" s="13" t="str">
        <f>IF(BU$4="Yes",INDEX(List!$E$2:$CD$173,MATCH('Selection Pane Data'!$B68,List!$E$2:$E$173,0),MATCH('Selection Pane Data'!BU$3,List!$E$2:$CD$2,0)),"")</f>
        <v/>
      </c>
      <c r="BV68" s="13" t="str">
        <f>IF(BV$4="Yes",INDEX(List!$E$2:$CD$173,MATCH('Selection Pane Data'!$B68,List!$E$2:$E$173,0),MATCH('Selection Pane Data'!BV$3,List!$E$2:$CD$2,0)),"")</f>
        <v/>
      </c>
      <c r="BW68" s="13" t="str">
        <f>IF(BW$4="Yes",INDEX(List!$E$2:$CD$173,MATCH('Selection Pane Data'!$B68,List!$E$2:$E$173,0),MATCH('Selection Pane Data'!BW$3,List!$E$2:$CD$2,0)),"")</f>
        <v/>
      </c>
      <c r="BX68" s="13" t="str">
        <f>IF(BX$4="Yes",INDEX(List!$E$2:$CD$173,MATCH('Selection Pane Data'!$B68,List!$E$2:$E$173,0),MATCH('Selection Pane Data'!BX$3,List!$E$2:$CD$2,0)),"")</f>
        <v/>
      </c>
      <c r="BY68" s="13" t="str">
        <f>IF(BY$4="Yes",INDEX(List!$E$2:$CD$173,MATCH('Selection Pane Data'!$B68,List!$E$2:$E$173,0),MATCH('Selection Pane Data'!BY$3,List!$E$2:$CD$2,0)),"")</f>
        <v/>
      </c>
      <c r="BZ68" s="13" t="str">
        <f>IF(BZ$4="Yes",INDEX(List!$E$2:$CD$173,MATCH('Selection Pane Data'!$B68,List!$E$2:$E$173,0),MATCH('Selection Pane Data'!BZ$3,List!$E$2:$CD$2,0)),"")</f>
        <v/>
      </c>
      <c r="CA68" s="13" t="str">
        <f>IF(CA$4="Yes",INDEX(List!$E$2:$CD$173,MATCH('Selection Pane Data'!$B68,List!$E$2:$E$173,0),MATCH('Selection Pane Data'!CA$3,List!$E$2:$CD$2,0)),"")</f>
        <v/>
      </c>
      <c r="CB68" s="13" t="str">
        <f>IF(CB$4="Yes",INDEX(List!$E$2:$CD$173,MATCH('Selection Pane Data'!$B68,List!$E$2:$E$173,0),MATCH('Selection Pane Data'!CB$3,List!$E$2:$CD$2,0)),"")</f>
        <v/>
      </c>
      <c r="CC68" s="13" t="str">
        <f>IF(CC$4="Yes",INDEX(List!$E$2:$CD$173,MATCH('Selection Pane Data'!$B68,List!$E$2:$E$173,0),MATCH('Selection Pane Data'!CC$3,List!$E$2:$CD$2,0)),"")</f>
        <v/>
      </c>
      <c r="CD68" s="13" t="str">
        <f>IF(CD$4="Yes",INDEX(List!$E$2:$CD$173,MATCH('Selection Pane Data'!$B68,List!$E$2:$E$173,0),MATCH('Selection Pane Data'!CD$3,List!$E$2:$CD$2,0)),"")</f>
        <v/>
      </c>
      <c r="CE68" s="13" t="str">
        <f>IF(CE$4="Yes",INDEX(List!$E$2:$CD$173,MATCH('Selection Pane Data'!$B68,List!$E$2:$E$173,0),MATCH('Selection Pane Data'!CE$3,List!$E$2:$CD$2,0)),"")</f>
        <v/>
      </c>
    </row>
    <row r="69" spans="2:83" x14ac:dyDescent="0.35">
      <c r="B69" s="21" t="s">
        <v>356</v>
      </c>
      <c r="C69" s="126" t="str">
        <f>VLOOKUP(B69,List!$E$2:$G$173,2,FALSE)</f>
        <v>CM.L3-3.4.8</v>
      </c>
      <c r="D69" s="31" t="str">
        <f>List!G67</f>
        <v>Not Applicable</v>
      </c>
      <c r="E69" s="31" t="str">
        <f>IF(Placemat!$F$4="All Practices","All Practices",IF(VLOOKUP(B69,Table7[#All],6,FALSE)="No Mapping","New CMMC Practices","Practices with NIST 800-171 Mappings"))</f>
        <v>Practices with NIST 800-171 Mappings</v>
      </c>
      <c r="F69" t="str">
        <f>INDEX('CMMC Levels'!$A$1:$F$172,MATCH('Selection Pane Data'!$C69,'CMMC Levels'!$A$1:$A$172,0),MATCH(Placemat!$F$4,'CMMC Levels'!$A$1:$F$1,0))</f>
        <v>N/A</v>
      </c>
      <c r="G69" s="192" t="s">
        <v>215</v>
      </c>
      <c r="H69" s="13" t="str">
        <f>IF(H$4="Yes",INDEX(List!$E$2:$CD$173,MATCH('Selection Pane Data'!$B69,List!$E$2:$E$173,0),MATCH('Selection Pane Data'!H$3,List!$E$2:$CD$2,0)),"")</f>
        <v/>
      </c>
      <c r="I69" s="13" t="str">
        <f>IF(I$4="Yes",INDEX(List!$E$2:$CD$173,MATCH('Selection Pane Data'!$B69,List!$E$2:$E$173,0),MATCH('Selection Pane Data'!I$3,List!$E$2:$CD$2,0)),"")</f>
        <v/>
      </c>
      <c r="J69" s="13" t="str">
        <f>IF(J$4="Yes",INDEX(List!$E$2:$CD$173,MATCH('Selection Pane Data'!$B69,List!$E$2:$E$173,0),MATCH('Selection Pane Data'!J$3,List!$E$2:$CD$2,0)),"")</f>
        <v>N</v>
      </c>
      <c r="K69" s="13" t="str">
        <f>IF(K$4="Yes",INDEX(List!$E$2:$CD$173,MATCH('Selection Pane Data'!$B69,List!$E$2:$E$173,0),MATCH('Selection Pane Data'!K$3,List!$E$2:$CD$2,0)),"")</f>
        <v/>
      </c>
      <c r="L69" s="13" t="str">
        <f>IF(L$4="Yes",INDEX(List!$E$2:$CD$173,MATCH('Selection Pane Data'!$B69,List!$E$2:$E$173,0),MATCH('Selection Pane Data'!L$3,List!$E$2:$CD$2,0)),"")</f>
        <v/>
      </c>
      <c r="M69" s="13" t="str">
        <f>IF(M$4="Yes",INDEX(List!$E$2:$CD$173,MATCH('Selection Pane Data'!$B69,List!$E$2:$E$173,0),MATCH('Selection Pane Data'!M$3,List!$E$2:$CD$2,0)),"")</f>
        <v/>
      </c>
      <c r="N69" s="13" t="str">
        <f>IF(N$4="Yes",INDEX(List!$E$2:$CD$173,MATCH('Selection Pane Data'!$B69,List!$E$2:$E$173,0),MATCH('Selection Pane Data'!N$3,List!$E$2:$CD$2,0)),"")</f>
        <v/>
      </c>
      <c r="O69" s="13" t="str">
        <f>IF(O$4="Yes",INDEX(List!$E$2:$CD$173,MATCH('Selection Pane Data'!$B69,List!$E$2:$E$173,0),MATCH('Selection Pane Data'!O$3,List!$E$2:$CD$2,0)),"")</f>
        <v/>
      </c>
      <c r="P69" s="13" t="str">
        <f>IF(P$4="Yes",INDEX(List!$E$2:$CD$173,MATCH('Selection Pane Data'!$B69,List!$E$2:$E$173,0),MATCH('Selection Pane Data'!P$3,List!$E$2:$CD$2,0)),"")</f>
        <v/>
      </c>
      <c r="Q69" s="13" t="str">
        <f>IF(Q$4="Yes",INDEX(List!$E$2:$CD$173,MATCH('Selection Pane Data'!$B69,List!$E$2:$E$173,0),MATCH('Selection Pane Data'!Q$3,List!$E$2:$CD$2,0)),"")</f>
        <v/>
      </c>
      <c r="R69" s="13" t="str">
        <f>IF(R$4="Yes",INDEX(List!$E$2:$CD$173,MATCH('Selection Pane Data'!$B69,List!$E$2:$E$173,0),MATCH('Selection Pane Data'!R$3,List!$E$2:$CD$2,0)),"")</f>
        <v/>
      </c>
      <c r="S69" s="13" t="str">
        <f>IF(S$4="Yes",INDEX(List!$E$2:$CD$173,MATCH('Selection Pane Data'!$B69,List!$E$2:$E$173,0),MATCH('Selection Pane Data'!S$3,List!$E$2:$CD$2,0)),"")</f>
        <v/>
      </c>
      <c r="T69" s="13" t="str">
        <f>IF(T$4="Yes",INDEX(List!$E$2:$CD$173,MATCH('Selection Pane Data'!$B69,List!$E$2:$E$173,0),MATCH('Selection Pane Data'!T$3,List!$E$2:$CD$2,0)),"")</f>
        <v/>
      </c>
      <c r="U69" s="13" t="str">
        <f>IF(U$4="Yes",INDEX(List!$E$2:$CD$173,MATCH('Selection Pane Data'!$B69,List!$E$2:$E$173,0),MATCH('Selection Pane Data'!U$3,List!$E$2:$CD$2,0)),"")</f>
        <v/>
      </c>
      <c r="V69" s="13" t="str">
        <f>IF(V$4="Yes",INDEX(List!$E$2:$CD$173,MATCH('Selection Pane Data'!$B69,List!$E$2:$E$173,0),MATCH('Selection Pane Data'!V$3,List!$E$2:$CD$2,0)),"")</f>
        <v/>
      </c>
      <c r="W69" s="13" t="str">
        <f>IF(W$4="Yes",INDEX(List!$E$2:$CD$173,MATCH('Selection Pane Data'!$B69,List!$E$2:$E$173,0),MATCH('Selection Pane Data'!W$3,List!$E$2:$CD$2,0)),"")</f>
        <v/>
      </c>
      <c r="X69" s="13" t="str">
        <f>IF(X$4="Yes",INDEX(List!$E$2:$CD$173,MATCH('Selection Pane Data'!$B69,List!$E$2:$E$173,0),MATCH('Selection Pane Data'!X$3,List!$E$2:$CD$2,0)),"")</f>
        <v/>
      </c>
      <c r="Y69" s="13" t="str">
        <f>IF(Y$4="Yes",INDEX(List!$E$2:$CD$173,MATCH('Selection Pane Data'!$B69,List!$E$2:$E$173,0),MATCH('Selection Pane Data'!Y$3,List!$E$2:$CD$2,0)),"")</f>
        <v/>
      </c>
      <c r="Z69" s="13" t="str">
        <f>IF(Z$4="Yes",INDEX(List!$E$2:$CD$173,MATCH('Selection Pane Data'!$B69,List!$E$2:$E$173,0),MATCH('Selection Pane Data'!Z$3,List!$E$2:$CD$2,0)),"")</f>
        <v/>
      </c>
      <c r="AA69" s="13" t="str">
        <f>IF(AA$4="Yes",INDEX(List!$E$2:$CD$173,MATCH('Selection Pane Data'!$B69,List!$E$2:$E$173,0),MATCH('Selection Pane Data'!AA$3,List!$E$2:$CD$2,0)),"")</f>
        <v>N</v>
      </c>
      <c r="AB69" s="13" t="str">
        <f>IF(AB$4="Yes",INDEX(List!$E$2:$CD$173,MATCH('Selection Pane Data'!$B69,List!$E$2:$E$173,0),MATCH('Selection Pane Data'!AB$3,List!$E$2:$CD$2,0)),"")</f>
        <v/>
      </c>
      <c r="AC69" s="13" t="str">
        <f>IF(AC$4="Yes",INDEX(List!$E$2:$CD$173,MATCH('Selection Pane Data'!$B69,List!$E$2:$E$173,0),MATCH('Selection Pane Data'!AC$3,List!$E$2:$CD$2,0)),"")</f>
        <v/>
      </c>
      <c r="AD69" s="13" t="str">
        <f>IF(AD$4="Yes",INDEX(List!$E$2:$CD$173,MATCH('Selection Pane Data'!$B69,List!$E$2:$E$173,0),MATCH('Selection Pane Data'!AD$3,List!$E$2:$CD$2,0)),"")</f>
        <v/>
      </c>
      <c r="AE69" s="13" t="str">
        <f>IF(AE$4="Yes",INDEX(List!$E$2:$CD$173,MATCH('Selection Pane Data'!$B69,List!$E$2:$E$173,0),MATCH('Selection Pane Data'!AE$3,List!$E$2:$CD$2,0)),"")</f>
        <v/>
      </c>
      <c r="AF69" s="13" t="str">
        <f>IF(AF$4="Yes",INDEX(List!$E$2:$CD$173,MATCH('Selection Pane Data'!$B69,List!$E$2:$E$173,0),MATCH('Selection Pane Data'!AF$3,List!$E$2:$CD$2,0)),"")</f>
        <v/>
      </c>
      <c r="AG69" s="13" t="str">
        <f>IF(AG$4="Yes",INDEX(List!$E$2:$CD$173,MATCH('Selection Pane Data'!$B69,List!$E$2:$E$173,0),MATCH('Selection Pane Data'!AG$3,List!$E$2:$CD$2,0)),"")</f>
        <v/>
      </c>
      <c r="AH69" s="13" t="str">
        <f>IF(AH$4="Yes",INDEX(List!$E$2:$CD$173,MATCH('Selection Pane Data'!$B69,List!$E$2:$E$173,0),MATCH('Selection Pane Data'!AH$3,List!$E$2:$CD$2,0)),"")</f>
        <v/>
      </c>
      <c r="AI69" s="13" t="str">
        <f>IF(AI$4="Yes",INDEX(List!$E$2:$CD$173,MATCH('Selection Pane Data'!$B69,List!$E$2:$E$173,0),MATCH('Selection Pane Data'!AI$3,List!$E$2:$CD$2,0)),"")</f>
        <v/>
      </c>
      <c r="AJ69" s="13" t="str">
        <f>IF(AJ$4="Yes",INDEX(List!$E$2:$CD$173,MATCH('Selection Pane Data'!$B69,List!$E$2:$E$173,0),MATCH('Selection Pane Data'!AJ$3,List!$E$2:$CD$2,0)),"")</f>
        <v/>
      </c>
      <c r="AK69" s="13" t="str">
        <f>IF(AK$4="Yes",INDEX(List!$E$2:$CD$173,MATCH('Selection Pane Data'!$B69,List!$E$2:$E$173,0),MATCH('Selection Pane Data'!AK$3,List!$E$2:$CD$2,0)),"")</f>
        <v/>
      </c>
      <c r="AL69" s="13" t="str">
        <f>IF(AL$4="Yes",INDEX(List!$E$2:$CD$173,MATCH('Selection Pane Data'!$B69,List!$E$2:$E$173,0),MATCH('Selection Pane Data'!AL$3,List!$E$2:$CD$2,0)),"")</f>
        <v/>
      </c>
      <c r="AM69" s="13" t="str">
        <f>IF(AM$4="Yes",INDEX(List!$E$2:$CD$173,MATCH('Selection Pane Data'!$B69,List!$E$2:$E$173,0),MATCH('Selection Pane Data'!AM$3,List!$E$2:$CD$2,0)),"")</f>
        <v/>
      </c>
      <c r="AN69" s="13" t="str">
        <f>IF(AN$4="Yes",INDEX(List!$E$2:$CD$173,MATCH('Selection Pane Data'!$B69,List!$E$2:$E$173,0),MATCH('Selection Pane Data'!AN$3,List!$E$2:$CD$2,0)),"")</f>
        <v/>
      </c>
      <c r="AO69" s="13" t="str">
        <f>IF(AO$4="Yes",INDEX(List!$E$2:$CD$173,MATCH('Selection Pane Data'!$B69,List!$E$2:$E$173,0),MATCH('Selection Pane Data'!AO$3,List!$E$2:$CD$2,0)),"")</f>
        <v/>
      </c>
      <c r="AP69" s="13" t="str">
        <f>IF(AP$4="Yes",INDEX(List!$E$2:$CD$173,MATCH('Selection Pane Data'!$B69,List!$E$2:$E$173,0),MATCH('Selection Pane Data'!AP$3,List!$E$2:$CD$2,0)),"")</f>
        <v/>
      </c>
      <c r="AQ69" s="13" t="str">
        <f>IF(AQ$4="Yes",INDEX(List!$E$2:$CD$173,MATCH('Selection Pane Data'!$B69,List!$E$2:$E$173,0),MATCH('Selection Pane Data'!AQ$3,List!$E$2:$CD$2,0)),"")</f>
        <v/>
      </c>
      <c r="AR69" s="13" t="str">
        <f>IF(AR$4="Yes",INDEX(List!$E$2:$CD$173,MATCH('Selection Pane Data'!$B69,List!$E$2:$E$173,0),MATCH('Selection Pane Data'!AR$3,List!$E$2:$CD$2,0)),"")</f>
        <v/>
      </c>
      <c r="AS69" s="13" t="str">
        <f>IF(AS$4="Yes",INDEX(List!$E$2:$CD$173,MATCH('Selection Pane Data'!$B69,List!$E$2:$E$173,0),MATCH('Selection Pane Data'!AS$3,List!$E$2:$CD$2,0)),"")</f>
        <v/>
      </c>
      <c r="AT69" s="13" t="str">
        <f>IF(AT$4="Yes",INDEX(List!$E$2:$CD$173,MATCH('Selection Pane Data'!$B69,List!$E$2:$E$173,0),MATCH('Selection Pane Data'!AT$3,List!$E$2:$CD$2,0)),"")</f>
        <v/>
      </c>
      <c r="AU69" s="13" t="str">
        <f>IF(AU$4="Yes",INDEX(List!$E$2:$CD$173,MATCH('Selection Pane Data'!$B69,List!$E$2:$E$173,0),MATCH('Selection Pane Data'!AU$3,List!$E$2:$CD$2,0)),"")</f>
        <v/>
      </c>
      <c r="AV69" s="13" t="str">
        <f>IF(AV$4="Yes",INDEX(List!$E$2:$CD$173,MATCH('Selection Pane Data'!$B69,List!$E$2:$E$173,0),MATCH('Selection Pane Data'!AV$3,List!$E$2:$CD$2,0)),"")</f>
        <v/>
      </c>
      <c r="AW69" s="13" t="str">
        <f>IF(AW$4="Yes",INDEX(List!$E$2:$CD$173,MATCH('Selection Pane Data'!$B69,List!$E$2:$E$173,0),MATCH('Selection Pane Data'!AW$3,List!$E$2:$CD$2,0)),"")</f>
        <v/>
      </c>
      <c r="AX69" s="13" t="str">
        <f>IF(AX$4="Yes",INDEX(List!$E$2:$CD$173,MATCH('Selection Pane Data'!$B69,List!$E$2:$E$173,0),MATCH('Selection Pane Data'!AX$3,List!$E$2:$CD$2,0)),"")</f>
        <v/>
      </c>
      <c r="AY69" s="13" t="str">
        <f>IF(AY$4="Yes",INDEX(List!$E$2:$CD$173,MATCH('Selection Pane Data'!$B69,List!$E$2:$E$173,0),MATCH('Selection Pane Data'!AY$3,List!$E$2:$CD$2,0)),"")</f>
        <v/>
      </c>
      <c r="AZ69" s="13" t="str">
        <f>IF(AZ$4="Yes",INDEX(List!$E$2:$CD$173,MATCH('Selection Pane Data'!$B69,List!$E$2:$E$173,0),MATCH('Selection Pane Data'!AZ$3,List!$E$2:$CD$2,0)),"")</f>
        <v/>
      </c>
      <c r="BA69" s="13" t="str">
        <f>IF(BA$4="Yes",INDEX(List!$E$2:$CD$173,MATCH('Selection Pane Data'!$B69,List!$E$2:$E$173,0),MATCH('Selection Pane Data'!BA$3,List!$E$2:$CD$2,0)),"")</f>
        <v/>
      </c>
      <c r="BB69" s="13" t="str">
        <f>IF(BB$4="Yes",INDEX(List!$E$2:$CD$173,MATCH('Selection Pane Data'!$B69,List!$E$2:$E$173,0),MATCH('Selection Pane Data'!BB$3,List!$E$2:$CD$2,0)),"")</f>
        <v/>
      </c>
      <c r="BC69" s="13" t="str">
        <f>IF(BC$4="Yes",INDEX(List!$E$2:$CD$173,MATCH('Selection Pane Data'!$B69,List!$E$2:$E$173,0),MATCH('Selection Pane Data'!BC$3,List!$E$2:$CD$2,0)),"")</f>
        <v/>
      </c>
      <c r="BD69" s="13" t="str">
        <f>IF(BD$4="Yes",INDEX(List!$E$2:$CD$173,MATCH('Selection Pane Data'!$B69,List!$E$2:$E$173,0),MATCH('Selection Pane Data'!BD$3,List!$E$2:$CD$2,0)),"")</f>
        <v/>
      </c>
      <c r="BE69" s="13" t="str">
        <f>IF(BE$4="Yes",INDEX(List!$E$2:$CD$173,MATCH('Selection Pane Data'!$B69,List!$E$2:$E$173,0),MATCH('Selection Pane Data'!BE$3,List!$E$2:$CD$2,0)),"")</f>
        <v/>
      </c>
      <c r="BF69" s="13" t="str">
        <f>IF(BF$4="Yes",INDEX(List!$E$2:$CD$173,MATCH('Selection Pane Data'!$B69,List!$E$2:$E$173,0),MATCH('Selection Pane Data'!BF$3,List!$E$2:$CD$2,0)),"")</f>
        <v/>
      </c>
      <c r="BG69" s="13" t="str">
        <f>IF(BG$4="Yes",INDEX(List!$E$2:$CD$173,MATCH('Selection Pane Data'!$B69,List!$E$2:$E$173,0),MATCH('Selection Pane Data'!BG$3,List!$E$2:$CD$2,0)),"")</f>
        <v/>
      </c>
      <c r="BH69" s="13" t="str">
        <f>IF(BH$4="Yes",INDEX(List!$E$2:$CD$173,MATCH('Selection Pane Data'!$B69,List!$E$2:$E$173,0),MATCH('Selection Pane Data'!BH$3,List!$E$2:$CD$2,0)),"")</f>
        <v/>
      </c>
      <c r="BI69" s="13" t="str">
        <f>IF(BI$4="Yes",INDEX(List!$E$2:$CD$173,MATCH('Selection Pane Data'!$B69,List!$E$2:$E$173,0),MATCH('Selection Pane Data'!BI$3,List!$E$2:$CD$2,0)),"")</f>
        <v/>
      </c>
      <c r="BJ69" s="13" t="str">
        <f>IF(BJ$4="Yes",INDEX(List!$E$2:$CD$173,MATCH('Selection Pane Data'!$B69,List!$E$2:$E$173,0),MATCH('Selection Pane Data'!BJ$3,List!$E$2:$CD$2,0)),"")</f>
        <v/>
      </c>
      <c r="BK69" s="13" t="str">
        <f>IF(BK$4="Yes",INDEX(List!$E$2:$CD$173,MATCH('Selection Pane Data'!$B69,List!$E$2:$E$173,0),MATCH('Selection Pane Data'!BK$3,List!$E$2:$CD$2,0)),"")</f>
        <v/>
      </c>
      <c r="BL69" s="13" t="str">
        <f>IF(BL$4="Yes",INDEX(List!$E$2:$CD$173,MATCH('Selection Pane Data'!$B69,List!$E$2:$E$173,0),MATCH('Selection Pane Data'!BL$3,List!$E$2:$CD$2,0)),"")</f>
        <v/>
      </c>
      <c r="BM69" s="13" t="str">
        <f>IF(BM$4="Yes",INDEX(List!$E$2:$CD$173,MATCH('Selection Pane Data'!$B69,List!$E$2:$E$173,0),MATCH('Selection Pane Data'!BM$3,List!$E$2:$CD$2,0)),"")</f>
        <v/>
      </c>
      <c r="BN69" s="13" t="str">
        <f>IF(BN$4="Yes",INDEX(List!$E$2:$CD$173,MATCH('Selection Pane Data'!$B69,List!$E$2:$E$173,0),MATCH('Selection Pane Data'!BN$3,List!$E$2:$CD$2,0)),"")</f>
        <v/>
      </c>
      <c r="BO69" s="13" t="str">
        <f>IF(BO$4="Yes",INDEX(List!$E$2:$CD$173,MATCH('Selection Pane Data'!$B69,List!$E$2:$E$173,0),MATCH('Selection Pane Data'!BO$3,List!$E$2:$CD$2,0)),"")</f>
        <v/>
      </c>
      <c r="BP69" s="13" t="str">
        <f>IF(BP$4="Yes",INDEX(List!$E$2:$CD$173,MATCH('Selection Pane Data'!$B69,List!$E$2:$E$173,0),MATCH('Selection Pane Data'!BP$3,List!$E$2:$CD$2,0)),"")</f>
        <v/>
      </c>
      <c r="BQ69" s="13" t="str">
        <f>IF(BQ$4="Yes",INDEX(List!$E$2:$CD$173,MATCH('Selection Pane Data'!$B69,List!$E$2:$E$173,0),MATCH('Selection Pane Data'!BQ$3,List!$E$2:$CD$2,0)),"")</f>
        <v/>
      </c>
      <c r="BR69" s="13" t="str">
        <f>IF(BR$4="Yes",INDEX(List!$E$2:$CD$173,MATCH('Selection Pane Data'!$B69,List!$E$2:$E$173,0),MATCH('Selection Pane Data'!BR$3,List!$E$2:$CD$2,0)),"")</f>
        <v/>
      </c>
      <c r="BS69" s="13" t="str">
        <f>IF(BS$4="Yes",INDEX(List!$E$2:$CD$173,MATCH('Selection Pane Data'!$B69,List!$E$2:$E$173,0),MATCH('Selection Pane Data'!BS$3,List!$E$2:$CD$2,0)),"")</f>
        <v/>
      </c>
      <c r="BT69" s="13" t="str">
        <f>IF(BT$4="Yes",INDEX(List!$E$2:$CD$173,MATCH('Selection Pane Data'!$B69,List!$E$2:$E$173,0),MATCH('Selection Pane Data'!BT$3,List!$E$2:$CD$2,0)),"")</f>
        <v/>
      </c>
      <c r="BU69" s="13" t="str">
        <f>IF(BU$4="Yes",INDEX(List!$E$2:$CD$173,MATCH('Selection Pane Data'!$B69,List!$E$2:$E$173,0),MATCH('Selection Pane Data'!BU$3,List!$E$2:$CD$2,0)),"")</f>
        <v/>
      </c>
      <c r="BV69" s="13" t="str">
        <f>IF(BV$4="Yes",INDEX(List!$E$2:$CD$173,MATCH('Selection Pane Data'!$B69,List!$E$2:$E$173,0),MATCH('Selection Pane Data'!BV$3,List!$E$2:$CD$2,0)),"")</f>
        <v/>
      </c>
      <c r="BW69" s="13" t="str">
        <f>IF(BW$4="Yes",INDEX(List!$E$2:$CD$173,MATCH('Selection Pane Data'!$B69,List!$E$2:$E$173,0),MATCH('Selection Pane Data'!BW$3,List!$E$2:$CD$2,0)),"")</f>
        <v/>
      </c>
      <c r="BX69" s="13" t="str">
        <f>IF(BX$4="Yes",INDEX(List!$E$2:$CD$173,MATCH('Selection Pane Data'!$B69,List!$E$2:$E$173,0),MATCH('Selection Pane Data'!BX$3,List!$E$2:$CD$2,0)),"")</f>
        <v/>
      </c>
      <c r="BY69" s="13" t="str">
        <f>IF(BY$4="Yes",INDEX(List!$E$2:$CD$173,MATCH('Selection Pane Data'!$B69,List!$E$2:$E$173,0),MATCH('Selection Pane Data'!BY$3,List!$E$2:$CD$2,0)),"")</f>
        <v/>
      </c>
      <c r="BZ69" s="13" t="str">
        <f>IF(BZ$4="Yes",INDEX(List!$E$2:$CD$173,MATCH('Selection Pane Data'!$B69,List!$E$2:$E$173,0),MATCH('Selection Pane Data'!BZ$3,List!$E$2:$CD$2,0)),"")</f>
        <v/>
      </c>
      <c r="CA69" s="13" t="str">
        <f>IF(CA$4="Yes",INDEX(List!$E$2:$CD$173,MATCH('Selection Pane Data'!$B69,List!$E$2:$E$173,0),MATCH('Selection Pane Data'!CA$3,List!$E$2:$CD$2,0)),"")</f>
        <v/>
      </c>
      <c r="CB69" s="13" t="str">
        <f>IF(CB$4="Yes",INDEX(List!$E$2:$CD$173,MATCH('Selection Pane Data'!$B69,List!$E$2:$E$173,0),MATCH('Selection Pane Data'!CB$3,List!$E$2:$CD$2,0)),"")</f>
        <v/>
      </c>
      <c r="CC69" s="13" t="str">
        <f>IF(CC$4="Yes",INDEX(List!$E$2:$CD$173,MATCH('Selection Pane Data'!$B69,List!$E$2:$E$173,0),MATCH('Selection Pane Data'!CC$3,List!$E$2:$CD$2,0)),"")</f>
        <v/>
      </c>
      <c r="CD69" s="13" t="str">
        <f>IF(CD$4="Yes",INDEX(List!$E$2:$CD$173,MATCH('Selection Pane Data'!$B69,List!$E$2:$E$173,0),MATCH('Selection Pane Data'!CD$3,List!$E$2:$CD$2,0)),"")</f>
        <v/>
      </c>
      <c r="CE69" s="13" t="str">
        <f>IF(CE$4="Yes",INDEX(List!$E$2:$CD$173,MATCH('Selection Pane Data'!$B69,List!$E$2:$E$173,0),MATCH('Selection Pane Data'!CE$3,List!$E$2:$CD$2,0)),"")</f>
        <v/>
      </c>
    </row>
    <row r="70" spans="2:83" x14ac:dyDescent="0.35">
      <c r="B70" s="21" t="s">
        <v>357</v>
      </c>
      <c r="C70" s="126" t="str">
        <f>VLOOKUP(B70,List!$E$2:$G$173,2,FALSE)</f>
        <v>CM.L3-5</v>
      </c>
      <c r="D70" s="31" t="str">
        <f>List!G68</f>
        <v>Not Applicable</v>
      </c>
      <c r="E70" s="31" t="str">
        <f>IF(Placemat!$F$4="All Practices","All Practices",IF(VLOOKUP(B70,Table7[#All],6,FALSE)="No Mapping","New CMMC Practices","Practices with NIST 800-171 Mappings"))</f>
        <v>Practices with NIST 800-171 Mappings</v>
      </c>
      <c r="F70" t="str">
        <f>INDEX('CMMC Levels'!$A$1:$F$172,MATCH('Selection Pane Data'!$C70,'CMMC Levels'!$A$1:$A$172,0),MATCH(Placemat!$F$4,'CMMC Levels'!$A$1:$F$1,0))</f>
        <v>N/A</v>
      </c>
      <c r="G70" s="77" t="str">
        <f>IF((COUNTIF(List!H68:CE68,"P")+COUNTIF(List!H68:CE68,"S"))=0,"N",IF(COUNTIF(H70:CE70,"P"),"P",IF(COUNTIF(H70:CE70,"S"),"S","U")))</f>
        <v>N</v>
      </c>
      <c r="H70" s="13" t="str">
        <f>IF(H$4="Yes",INDEX(List!$E$2:$CD$173,MATCH('Selection Pane Data'!$B70,List!$E$2:$E$173,0),MATCH('Selection Pane Data'!H$3,List!$E$2:$CD$2,0)),"")</f>
        <v/>
      </c>
      <c r="I70" s="13" t="str">
        <f>IF(I$4="Yes",INDEX(List!$E$2:$CD$173,MATCH('Selection Pane Data'!$B70,List!$E$2:$E$173,0),MATCH('Selection Pane Data'!I$3,List!$E$2:$CD$2,0)),"")</f>
        <v/>
      </c>
      <c r="J70" s="13" t="str">
        <f>IF(J$4="Yes",INDEX(List!$E$2:$CD$173,MATCH('Selection Pane Data'!$B70,List!$E$2:$E$173,0),MATCH('Selection Pane Data'!J$3,List!$E$2:$CD$2,0)),"")</f>
        <v>N</v>
      </c>
      <c r="K70" s="13" t="str">
        <f>IF(K$4="Yes",INDEX(List!$E$2:$CD$173,MATCH('Selection Pane Data'!$B70,List!$E$2:$E$173,0),MATCH('Selection Pane Data'!K$3,List!$E$2:$CD$2,0)),"")</f>
        <v/>
      </c>
      <c r="L70" s="13" t="str">
        <f>IF(L$4="Yes",INDEX(List!$E$2:$CD$173,MATCH('Selection Pane Data'!$B70,List!$E$2:$E$173,0),MATCH('Selection Pane Data'!L$3,List!$E$2:$CD$2,0)),"")</f>
        <v/>
      </c>
      <c r="M70" s="13" t="str">
        <f>IF(M$4="Yes",INDEX(List!$E$2:$CD$173,MATCH('Selection Pane Data'!$B70,List!$E$2:$E$173,0),MATCH('Selection Pane Data'!M$3,List!$E$2:$CD$2,0)),"")</f>
        <v/>
      </c>
      <c r="N70" s="13" t="str">
        <f>IF(N$4="Yes",INDEX(List!$E$2:$CD$173,MATCH('Selection Pane Data'!$B70,List!$E$2:$E$173,0),MATCH('Selection Pane Data'!N$3,List!$E$2:$CD$2,0)),"")</f>
        <v/>
      </c>
      <c r="O70" s="13" t="str">
        <f>IF(O$4="Yes",INDEX(List!$E$2:$CD$173,MATCH('Selection Pane Data'!$B70,List!$E$2:$E$173,0),MATCH('Selection Pane Data'!O$3,List!$E$2:$CD$2,0)),"")</f>
        <v/>
      </c>
      <c r="P70" s="13" t="str">
        <f>IF(P$4="Yes",INDEX(List!$E$2:$CD$173,MATCH('Selection Pane Data'!$B70,List!$E$2:$E$173,0),MATCH('Selection Pane Data'!P$3,List!$E$2:$CD$2,0)),"")</f>
        <v/>
      </c>
      <c r="Q70" s="13" t="str">
        <f>IF(Q$4="Yes",INDEX(List!$E$2:$CD$173,MATCH('Selection Pane Data'!$B70,List!$E$2:$E$173,0),MATCH('Selection Pane Data'!Q$3,List!$E$2:$CD$2,0)),"")</f>
        <v/>
      </c>
      <c r="R70" s="13" t="str">
        <f>IF(R$4="Yes",INDEX(List!$E$2:$CD$173,MATCH('Selection Pane Data'!$B70,List!$E$2:$E$173,0),MATCH('Selection Pane Data'!R$3,List!$E$2:$CD$2,0)),"")</f>
        <v/>
      </c>
      <c r="S70" s="13" t="str">
        <f>IF(S$4="Yes",INDEX(List!$E$2:$CD$173,MATCH('Selection Pane Data'!$B70,List!$E$2:$E$173,0),MATCH('Selection Pane Data'!S$3,List!$E$2:$CD$2,0)),"")</f>
        <v/>
      </c>
      <c r="T70" s="13" t="str">
        <f>IF(T$4="Yes",INDEX(List!$E$2:$CD$173,MATCH('Selection Pane Data'!$B70,List!$E$2:$E$173,0),MATCH('Selection Pane Data'!T$3,List!$E$2:$CD$2,0)),"")</f>
        <v/>
      </c>
      <c r="U70" s="13" t="str">
        <f>IF(U$4="Yes",INDEX(List!$E$2:$CD$173,MATCH('Selection Pane Data'!$B70,List!$E$2:$E$173,0),MATCH('Selection Pane Data'!U$3,List!$E$2:$CD$2,0)),"")</f>
        <v/>
      </c>
      <c r="V70" s="13" t="str">
        <f>IF(V$4="Yes",INDEX(List!$E$2:$CD$173,MATCH('Selection Pane Data'!$B70,List!$E$2:$E$173,0),MATCH('Selection Pane Data'!V$3,List!$E$2:$CD$2,0)),"")</f>
        <v/>
      </c>
      <c r="W70" s="13" t="str">
        <f>IF(W$4="Yes",INDEX(List!$E$2:$CD$173,MATCH('Selection Pane Data'!$B70,List!$E$2:$E$173,0),MATCH('Selection Pane Data'!W$3,List!$E$2:$CD$2,0)),"")</f>
        <v/>
      </c>
      <c r="X70" s="13" t="str">
        <f>IF(X$4="Yes",INDEX(List!$E$2:$CD$173,MATCH('Selection Pane Data'!$B70,List!$E$2:$E$173,0),MATCH('Selection Pane Data'!X$3,List!$E$2:$CD$2,0)),"")</f>
        <v/>
      </c>
      <c r="Y70" s="13" t="str">
        <f>IF(Y$4="Yes",INDEX(List!$E$2:$CD$173,MATCH('Selection Pane Data'!$B70,List!$E$2:$E$173,0),MATCH('Selection Pane Data'!Y$3,List!$E$2:$CD$2,0)),"")</f>
        <v/>
      </c>
      <c r="Z70" s="13" t="str">
        <f>IF(Z$4="Yes",INDEX(List!$E$2:$CD$173,MATCH('Selection Pane Data'!$B70,List!$E$2:$E$173,0),MATCH('Selection Pane Data'!Z$3,List!$E$2:$CD$2,0)),"")</f>
        <v/>
      </c>
      <c r="AA70" s="13" t="str">
        <f>IF(AA$4="Yes",INDEX(List!$E$2:$CD$173,MATCH('Selection Pane Data'!$B70,List!$E$2:$E$173,0),MATCH('Selection Pane Data'!AA$3,List!$E$2:$CD$2,0)),"")</f>
        <v>N</v>
      </c>
      <c r="AB70" s="13" t="str">
        <f>IF(AB$4="Yes",INDEX(List!$E$2:$CD$173,MATCH('Selection Pane Data'!$B70,List!$E$2:$E$173,0),MATCH('Selection Pane Data'!AB$3,List!$E$2:$CD$2,0)),"")</f>
        <v/>
      </c>
      <c r="AC70" s="13" t="str">
        <f>IF(AC$4="Yes",INDEX(List!$E$2:$CD$173,MATCH('Selection Pane Data'!$B70,List!$E$2:$E$173,0),MATCH('Selection Pane Data'!AC$3,List!$E$2:$CD$2,0)),"")</f>
        <v/>
      </c>
      <c r="AD70" s="13" t="str">
        <f>IF(AD$4="Yes",INDEX(List!$E$2:$CD$173,MATCH('Selection Pane Data'!$B70,List!$E$2:$E$173,0),MATCH('Selection Pane Data'!AD$3,List!$E$2:$CD$2,0)),"")</f>
        <v/>
      </c>
      <c r="AE70" s="13" t="str">
        <f>IF(AE$4="Yes",INDEX(List!$E$2:$CD$173,MATCH('Selection Pane Data'!$B70,List!$E$2:$E$173,0),MATCH('Selection Pane Data'!AE$3,List!$E$2:$CD$2,0)),"")</f>
        <v/>
      </c>
      <c r="AF70" s="13" t="str">
        <f>IF(AF$4="Yes",INDEX(List!$E$2:$CD$173,MATCH('Selection Pane Data'!$B70,List!$E$2:$E$173,0),MATCH('Selection Pane Data'!AF$3,List!$E$2:$CD$2,0)),"")</f>
        <v/>
      </c>
      <c r="AG70" s="13" t="str">
        <f>IF(AG$4="Yes",INDEX(List!$E$2:$CD$173,MATCH('Selection Pane Data'!$B70,List!$E$2:$E$173,0),MATCH('Selection Pane Data'!AG$3,List!$E$2:$CD$2,0)),"")</f>
        <v/>
      </c>
      <c r="AH70" s="13" t="str">
        <f>IF(AH$4="Yes",INDEX(List!$E$2:$CD$173,MATCH('Selection Pane Data'!$B70,List!$E$2:$E$173,0),MATCH('Selection Pane Data'!AH$3,List!$E$2:$CD$2,0)),"")</f>
        <v/>
      </c>
      <c r="AI70" s="13" t="str">
        <f>IF(AI$4="Yes",INDEX(List!$E$2:$CD$173,MATCH('Selection Pane Data'!$B70,List!$E$2:$E$173,0),MATCH('Selection Pane Data'!AI$3,List!$E$2:$CD$2,0)),"")</f>
        <v/>
      </c>
      <c r="AJ70" s="13" t="str">
        <f>IF(AJ$4="Yes",INDEX(List!$E$2:$CD$173,MATCH('Selection Pane Data'!$B70,List!$E$2:$E$173,0),MATCH('Selection Pane Data'!AJ$3,List!$E$2:$CD$2,0)),"")</f>
        <v/>
      </c>
      <c r="AK70" s="13" t="str">
        <f>IF(AK$4="Yes",INDEX(List!$E$2:$CD$173,MATCH('Selection Pane Data'!$B70,List!$E$2:$E$173,0),MATCH('Selection Pane Data'!AK$3,List!$E$2:$CD$2,0)),"")</f>
        <v/>
      </c>
      <c r="AL70" s="13" t="str">
        <f>IF(AL$4="Yes",INDEX(List!$E$2:$CD$173,MATCH('Selection Pane Data'!$B70,List!$E$2:$E$173,0),MATCH('Selection Pane Data'!AL$3,List!$E$2:$CD$2,0)),"")</f>
        <v/>
      </c>
      <c r="AM70" s="13" t="str">
        <f>IF(AM$4="Yes",INDEX(List!$E$2:$CD$173,MATCH('Selection Pane Data'!$B70,List!$E$2:$E$173,0),MATCH('Selection Pane Data'!AM$3,List!$E$2:$CD$2,0)),"")</f>
        <v/>
      </c>
      <c r="AN70" s="13" t="str">
        <f>IF(AN$4="Yes",INDEX(List!$E$2:$CD$173,MATCH('Selection Pane Data'!$B70,List!$E$2:$E$173,0),MATCH('Selection Pane Data'!AN$3,List!$E$2:$CD$2,0)),"")</f>
        <v/>
      </c>
      <c r="AO70" s="13" t="str">
        <f>IF(AO$4="Yes",INDEX(List!$E$2:$CD$173,MATCH('Selection Pane Data'!$B70,List!$E$2:$E$173,0),MATCH('Selection Pane Data'!AO$3,List!$E$2:$CD$2,0)),"")</f>
        <v/>
      </c>
      <c r="AP70" s="13" t="str">
        <f>IF(AP$4="Yes",INDEX(List!$E$2:$CD$173,MATCH('Selection Pane Data'!$B70,List!$E$2:$E$173,0),MATCH('Selection Pane Data'!AP$3,List!$E$2:$CD$2,0)),"")</f>
        <v/>
      </c>
      <c r="AQ70" s="13" t="str">
        <f>IF(AQ$4="Yes",INDEX(List!$E$2:$CD$173,MATCH('Selection Pane Data'!$B70,List!$E$2:$E$173,0),MATCH('Selection Pane Data'!AQ$3,List!$E$2:$CD$2,0)),"")</f>
        <v/>
      </c>
      <c r="AR70" s="13" t="str">
        <f>IF(AR$4="Yes",INDEX(List!$E$2:$CD$173,MATCH('Selection Pane Data'!$B70,List!$E$2:$E$173,0),MATCH('Selection Pane Data'!AR$3,List!$E$2:$CD$2,0)),"")</f>
        <v/>
      </c>
      <c r="AS70" s="13" t="str">
        <f>IF(AS$4="Yes",INDEX(List!$E$2:$CD$173,MATCH('Selection Pane Data'!$B70,List!$E$2:$E$173,0),MATCH('Selection Pane Data'!AS$3,List!$E$2:$CD$2,0)),"")</f>
        <v/>
      </c>
      <c r="AT70" s="13" t="str">
        <f>IF(AT$4="Yes",INDEX(List!$E$2:$CD$173,MATCH('Selection Pane Data'!$B70,List!$E$2:$E$173,0),MATCH('Selection Pane Data'!AT$3,List!$E$2:$CD$2,0)),"")</f>
        <v/>
      </c>
      <c r="AU70" s="13" t="str">
        <f>IF(AU$4="Yes",INDEX(List!$E$2:$CD$173,MATCH('Selection Pane Data'!$B70,List!$E$2:$E$173,0),MATCH('Selection Pane Data'!AU$3,List!$E$2:$CD$2,0)),"")</f>
        <v/>
      </c>
      <c r="AV70" s="13" t="str">
        <f>IF(AV$4="Yes",INDEX(List!$E$2:$CD$173,MATCH('Selection Pane Data'!$B70,List!$E$2:$E$173,0),MATCH('Selection Pane Data'!AV$3,List!$E$2:$CD$2,0)),"")</f>
        <v/>
      </c>
      <c r="AW70" s="13" t="str">
        <f>IF(AW$4="Yes",INDEX(List!$E$2:$CD$173,MATCH('Selection Pane Data'!$B70,List!$E$2:$E$173,0),MATCH('Selection Pane Data'!AW$3,List!$E$2:$CD$2,0)),"")</f>
        <v/>
      </c>
      <c r="AX70" s="13" t="str">
        <f>IF(AX$4="Yes",INDEX(List!$E$2:$CD$173,MATCH('Selection Pane Data'!$B70,List!$E$2:$E$173,0),MATCH('Selection Pane Data'!AX$3,List!$E$2:$CD$2,0)),"")</f>
        <v/>
      </c>
      <c r="AY70" s="13" t="str">
        <f>IF(AY$4="Yes",INDEX(List!$E$2:$CD$173,MATCH('Selection Pane Data'!$B70,List!$E$2:$E$173,0),MATCH('Selection Pane Data'!AY$3,List!$E$2:$CD$2,0)),"")</f>
        <v/>
      </c>
      <c r="AZ70" s="13" t="str">
        <f>IF(AZ$4="Yes",INDEX(List!$E$2:$CD$173,MATCH('Selection Pane Data'!$B70,List!$E$2:$E$173,0),MATCH('Selection Pane Data'!AZ$3,List!$E$2:$CD$2,0)),"")</f>
        <v/>
      </c>
      <c r="BA70" s="13" t="str">
        <f>IF(BA$4="Yes",INDEX(List!$E$2:$CD$173,MATCH('Selection Pane Data'!$B70,List!$E$2:$E$173,0),MATCH('Selection Pane Data'!BA$3,List!$E$2:$CD$2,0)),"")</f>
        <v/>
      </c>
      <c r="BB70" s="13" t="str">
        <f>IF(BB$4="Yes",INDEX(List!$E$2:$CD$173,MATCH('Selection Pane Data'!$B70,List!$E$2:$E$173,0),MATCH('Selection Pane Data'!BB$3,List!$E$2:$CD$2,0)),"")</f>
        <v/>
      </c>
      <c r="BC70" s="13" t="str">
        <f>IF(BC$4="Yes",INDEX(List!$E$2:$CD$173,MATCH('Selection Pane Data'!$B70,List!$E$2:$E$173,0),MATCH('Selection Pane Data'!BC$3,List!$E$2:$CD$2,0)),"")</f>
        <v/>
      </c>
      <c r="BD70" s="13" t="str">
        <f>IF(BD$4="Yes",INDEX(List!$E$2:$CD$173,MATCH('Selection Pane Data'!$B70,List!$E$2:$E$173,0),MATCH('Selection Pane Data'!BD$3,List!$E$2:$CD$2,0)),"")</f>
        <v/>
      </c>
      <c r="BE70" s="13" t="str">
        <f>IF(BE$4="Yes",INDEX(List!$E$2:$CD$173,MATCH('Selection Pane Data'!$B70,List!$E$2:$E$173,0),MATCH('Selection Pane Data'!BE$3,List!$E$2:$CD$2,0)),"")</f>
        <v/>
      </c>
      <c r="BF70" s="13" t="str">
        <f>IF(BF$4="Yes",INDEX(List!$E$2:$CD$173,MATCH('Selection Pane Data'!$B70,List!$E$2:$E$173,0),MATCH('Selection Pane Data'!BF$3,List!$E$2:$CD$2,0)),"")</f>
        <v/>
      </c>
      <c r="BG70" s="13" t="str">
        <f>IF(BG$4="Yes",INDEX(List!$E$2:$CD$173,MATCH('Selection Pane Data'!$B70,List!$E$2:$E$173,0),MATCH('Selection Pane Data'!BG$3,List!$E$2:$CD$2,0)),"")</f>
        <v/>
      </c>
      <c r="BH70" s="13" t="str">
        <f>IF(BH$4="Yes",INDEX(List!$E$2:$CD$173,MATCH('Selection Pane Data'!$B70,List!$E$2:$E$173,0),MATCH('Selection Pane Data'!BH$3,List!$E$2:$CD$2,0)),"")</f>
        <v/>
      </c>
      <c r="BI70" s="13" t="str">
        <f>IF(BI$4="Yes",INDEX(List!$E$2:$CD$173,MATCH('Selection Pane Data'!$B70,List!$E$2:$E$173,0),MATCH('Selection Pane Data'!BI$3,List!$E$2:$CD$2,0)),"")</f>
        <v/>
      </c>
      <c r="BJ70" s="13" t="str">
        <f>IF(BJ$4="Yes",INDEX(List!$E$2:$CD$173,MATCH('Selection Pane Data'!$B70,List!$E$2:$E$173,0),MATCH('Selection Pane Data'!BJ$3,List!$E$2:$CD$2,0)),"")</f>
        <v/>
      </c>
      <c r="BK70" s="13" t="str">
        <f>IF(BK$4="Yes",INDEX(List!$E$2:$CD$173,MATCH('Selection Pane Data'!$B70,List!$E$2:$E$173,0),MATCH('Selection Pane Data'!BK$3,List!$E$2:$CD$2,0)),"")</f>
        <v/>
      </c>
      <c r="BL70" s="13" t="str">
        <f>IF(BL$4="Yes",INDEX(List!$E$2:$CD$173,MATCH('Selection Pane Data'!$B70,List!$E$2:$E$173,0),MATCH('Selection Pane Data'!BL$3,List!$E$2:$CD$2,0)),"")</f>
        <v/>
      </c>
      <c r="BM70" s="13" t="str">
        <f>IF(BM$4="Yes",INDEX(List!$E$2:$CD$173,MATCH('Selection Pane Data'!$B70,List!$E$2:$E$173,0),MATCH('Selection Pane Data'!BM$3,List!$E$2:$CD$2,0)),"")</f>
        <v/>
      </c>
      <c r="BN70" s="13" t="str">
        <f>IF(BN$4="Yes",INDEX(List!$E$2:$CD$173,MATCH('Selection Pane Data'!$B70,List!$E$2:$E$173,0),MATCH('Selection Pane Data'!BN$3,List!$E$2:$CD$2,0)),"")</f>
        <v/>
      </c>
      <c r="BO70" s="13" t="str">
        <f>IF(BO$4="Yes",INDEX(List!$E$2:$CD$173,MATCH('Selection Pane Data'!$B70,List!$E$2:$E$173,0),MATCH('Selection Pane Data'!BO$3,List!$E$2:$CD$2,0)),"")</f>
        <v/>
      </c>
      <c r="BP70" s="13" t="str">
        <f>IF(BP$4="Yes",INDEX(List!$E$2:$CD$173,MATCH('Selection Pane Data'!$B70,List!$E$2:$E$173,0),MATCH('Selection Pane Data'!BP$3,List!$E$2:$CD$2,0)),"")</f>
        <v/>
      </c>
      <c r="BQ70" s="13" t="str">
        <f>IF(BQ$4="Yes",INDEX(List!$E$2:$CD$173,MATCH('Selection Pane Data'!$B70,List!$E$2:$E$173,0),MATCH('Selection Pane Data'!BQ$3,List!$E$2:$CD$2,0)),"")</f>
        <v/>
      </c>
      <c r="BR70" s="13" t="str">
        <f>IF(BR$4="Yes",INDEX(List!$E$2:$CD$173,MATCH('Selection Pane Data'!$B70,List!$E$2:$E$173,0),MATCH('Selection Pane Data'!BR$3,List!$E$2:$CD$2,0)),"")</f>
        <v/>
      </c>
      <c r="BS70" s="13" t="str">
        <f>IF(BS$4="Yes",INDEX(List!$E$2:$CD$173,MATCH('Selection Pane Data'!$B70,List!$E$2:$E$173,0),MATCH('Selection Pane Data'!BS$3,List!$E$2:$CD$2,0)),"")</f>
        <v/>
      </c>
      <c r="BT70" s="13" t="str">
        <f>IF(BT$4="Yes",INDEX(List!$E$2:$CD$173,MATCH('Selection Pane Data'!$B70,List!$E$2:$E$173,0),MATCH('Selection Pane Data'!BT$3,List!$E$2:$CD$2,0)),"")</f>
        <v/>
      </c>
      <c r="BU70" s="13" t="str">
        <f>IF(BU$4="Yes",INDEX(List!$E$2:$CD$173,MATCH('Selection Pane Data'!$B70,List!$E$2:$E$173,0),MATCH('Selection Pane Data'!BU$3,List!$E$2:$CD$2,0)),"")</f>
        <v/>
      </c>
      <c r="BV70" s="13" t="str">
        <f>IF(BV$4="Yes",INDEX(List!$E$2:$CD$173,MATCH('Selection Pane Data'!$B70,List!$E$2:$E$173,0),MATCH('Selection Pane Data'!BV$3,List!$E$2:$CD$2,0)),"")</f>
        <v/>
      </c>
      <c r="BW70" s="13" t="str">
        <f>IF(BW$4="Yes",INDEX(List!$E$2:$CD$173,MATCH('Selection Pane Data'!$B70,List!$E$2:$E$173,0),MATCH('Selection Pane Data'!BW$3,List!$E$2:$CD$2,0)),"")</f>
        <v/>
      </c>
      <c r="BX70" s="13" t="str">
        <f>IF(BX$4="Yes",INDEX(List!$E$2:$CD$173,MATCH('Selection Pane Data'!$B70,List!$E$2:$E$173,0),MATCH('Selection Pane Data'!BX$3,List!$E$2:$CD$2,0)),"")</f>
        <v/>
      </c>
      <c r="BY70" s="13" t="str">
        <f>IF(BY$4="Yes",INDEX(List!$E$2:$CD$173,MATCH('Selection Pane Data'!$B70,List!$E$2:$E$173,0),MATCH('Selection Pane Data'!BY$3,List!$E$2:$CD$2,0)),"")</f>
        <v/>
      </c>
      <c r="BZ70" s="13" t="str">
        <f>IF(BZ$4="Yes",INDEX(List!$E$2:$CD$173,MATCH('Selection Pane Data'!$B70,List!$E$2:$E$173,0),MATCH('Selection Pane Data'!BZ$3,List!$E$2:$CD$2,0)),"")</f>
        <v/>
      </c>
      <c r="CA70" s="13" t="str">
        <f>IF(CA$4="Yes",INDEX(List!$E$2:$CD$173,MATCH('Selection Pane Data'!$B70,List!$E$2:$E$173,0),MATCH('Selection Pane Data'!CA$3,List!$E$2:$CD$2,0)),"")</f>
        <v/>
      </c>
      <c r="CB70" s="13" t="str">
        <f>IF(CB$4="Yes",INDEX(List!$E$2:$CD$173,MATCH('Selection Pane Data'!$B70,List!$E$2:$E$173,0),MATCH('Selection Pane Data'!CB$3,List!$E$2:$CD$2,0)),"")</f>
        <v/>
      </c>
      <c r="CC70" s="13" t="str">
        <f>IF(CC$4="Yes",INDEX(List!$E$2:$CD$173,MATCH('Selection Pane Data'!$B70,List!$E$2:$E$173,0),MATCH('Selection Pane Data'!CC$3,List!$E$2:$CD$2,0)),"")</f>
        <v/>
      </c>
      <c r="CD70" s="13" t="str">
        <f>IF(CD$4="Yes",INDEX(List!$E$2:$CD$173,MATCH('Selection Pane Data'!$B70,List!$E$2:$E$173,0),MATCH('Selection Pane Data'!CD$3,List!$E$2:$CD$2,0)),"")</f>
        <v/>
      </c>
      <c r="CE70" s="13" t="str">
        <f>IF(CE$4="Yes",INDEX(List!$E$2:$CD$173,MATCH('Selection Pane Data'!$B70,List!$E$2:$E$173,0),MATCH('Selection Pane Data'!CE$3,List!$E$2:$CD$2,0)),"")</f>
        <v/>
      </c>
    </row>
    <row r="71" spans="2:83" x14ac:dyDescent="0.35">
      <c r="B71" s="21" t="s">
        <v>358</v>
      </c>
      <c r="C71" s="126" t="str">
        <f>VLOOKUP(B71,List!$E$2:$G$173,2,FALSE)</f>
        <v>IA.L1-3.5.1</v>
      </c>
      <c r="D71" s="31" t="str">
        <f>List!G69</f>
        <v>Shared Coverage</v>
      </c>
      <c r="E71" s="31" t="str">
        <f>IF(Placemat!$F$4="All Practices","All Practices",IF(VLOOKUP(B71,Table7[#All],6,FALSE)="No Mapping","New CMMC Practices","Practices with NIST 800-171 Mappings"))</f>
        <v>Practices with NIST 800-171 Mappings</v>
      </c>
      <c r="F71" t="str">
        <f>INDEX('CMMC Levels'!$A$1:$F$172,MATCH('Selection Pane Data'!$C71,'CMMC Levels'!$A$1:$A$172,0),MATCH(Placemat!$F$4,'CMMC Levels'!$A$1:$F$1,0))</f>
        <v>X</v>
      </c>
      <c r="G71" s="77" t="str">
        <f>IF((COUNTIF(List!H69:CE69,"P")+COUNTIF(List!H69:CE69,"S"))=0,"N",IF(COUNTIF(H71:CE71,"P"),"P",IF(COUNTIF(H71:CE71,"S"),"S","U")))</f>
        <v>U</v>
      </c>
      <c r="H71" s="13" t="str">
        <f>IF(H$4="Yes",INDEX(List!$E$2:$CD$173,MATCH('Selection Pane Data'!$B71,List!$E$2:$E$173,0),MATCH('Selection Pane Data'!H$3,List!$E$2:$CD$2,0)),"")</f>
        <v/>
      </c>
      <c r="I71" s="13" t="str">
        <f>IF(I$4="Yes",INDEX(List!$E$2:$CD$173,MATCH('Selection Pane Data'!$B71,List!$E$2:$E$173,0),MATCH('Selection Pane Data'!I$3,List!$E$2:$CD$2,0)),"")</f>
        <v/>
      </c>
      <c r="J71" s="13" t="str">
        <f>IF(J$4="Yes",INDEX(List!$E$2:$CD$173,MATCH('Selection Pane Data'!$B71,List!$E$2:$E$173,0),MATCH('Selection Pane Data'!J$3,List!$E$2:$CD$2,0)),"")</f>
        <v>N</v>
      </c>
      <c r="K71" s="13" t="str">
        <f>IF(K$4="Yes",INDEX(List!$E$2:$CD$173,MATCH('Selection Pane Data'!$B71,List!$E$2:$E$173,0),MATCH('Selection Pane Data'!K$3,List!$E$2:$CD$2,0)),"")</f>
        <v/>
      </c>
      <c r="L71" s="13" t="str">
        <f>IF(L$4="Yes",INDEX(List!$E$2:$CD$173,MATCH('Selection Pane Data'!$B71,List!$E$2:$E$173,0),MATCH('Selection Pane Data'!L$3,List!$E$2:$CD$2,0)),"")</f>
        <v/>
      </c>
      <c r="M71" s="13" t="str">
        <f>IF(M$4="Yes",INDEX(List!$E$2:$CD$173,MATCH('Selection Pane Data'!$B71,List!$E$2:$E$173,0),MATCH('Selection Pane Data'!M$3,List!$E$2:$CD$2,0)),"")</f>
        <v/>
      </c>
      <c r="N71" s="13" t="str">
        <f>IF(N$4="Yes",INDEX(List!$E$2:$CD$173,MATCH('Selection Pane Data'!$B71,List!$E$2:$E$173,0),MATCH('Selection Pane Data'!N$3,List!$E$2:$CD$2,0)),"")</f>
        <v/>
      </c>
      <c r="O71" s="13" t="str">
        <f>IF(O$4="Yes",INDEX(List!$E$2:$CD$173,MATCH('Selection Pane Data'!$B71,List!$E$2:$E$173,0),MATCH('Selection Pane Data'!O$3,List!$E$2:$CD$2,0)),"")</f>
        <v/>
      </c>
      <c r="P71" s="13" t="str">
        <f>IF(P$4="Yes",INDEX(List!$E$2:$CD$173,MATCH('Selection Pane Data'!$B71,List!$E$2:$E$173,0),MATCH('Selection Pane Data'!P$3,List!$E$2:$CD$2,0)),"")</f>
        <v/>
      </c>
      <c r="Q71" s="13" t="str">
        <f>IF(Q$4="Yes",INDEX(List!$E$2:$CD$173,MATCH('Selection Pane Data'!$B71,List!$E$2:$E$173,0),MATCH('Selection Pane Data'!Q$3,List!$E$2:$CD$2,0)),"")</f>
        <v/>
      </c>
      <c r="R71" s="13" t="str">
        <f>IF(R$4="Yes",INDEX(List!$E$2:$CD$173,MATCH('Selection Pane Data'!$B71,List!$E$2:$E$173,0),MATCH('Selection Pane Data'!R$3,List!$E$2:$CD$2,0)),"")</f>
        <v/>
      </c>
      <c r="S71" s="13" t="str">
        <f>IF(S$4="Yes",INDEX(List!$E$2:$CD$173,MATCH('Selection Pane Data'!$B71,List!$E$2:$E$173,0),MATCH('Selection Pane Data'!S$3,List!$E$2:$CD$2,0)),"")</f>
        <v/>
      </c>
      <c r="T71" s="13" t="str">
        <f>IF(T$4="Yes",INDEX(List!$E$2:$CD$173,MATCH('Selection Pane Data'!$B71,List!$E$2:$E$173,0),MATCH('Selection Pane Data'!T$3,List!$E$2:$CD$2,0)),"")</f>
        <v/>
      </c>
      <c r="U71" s="13" t="str">
        <f>IF(U$4="Yes",INDEX(List!$E$2:$CD$173,MATCH('Selection Pane Data'!$B71,List!$E$2:$E$173,0),MATCH('Selection Pane Data'!U$3,List!$E$2:$CD$2,0)),"")</f>
        <v/>
      </c>
      <c r="V71" s="13" t="str">
        <f>IF(V$4="Yes",INDEX(List!$E$2:$CD$173,MATCH('Selection Pane Data'!$B71,List!$E$2:$E$173,0),MATCH('Selection Pane Data'!V$3,List!$E$2:$CD$2,0)),"")</f>
        <v/>
      </c>
      <c r="W71" s="13" t="str">
        <f>IF(W$4="Yes",INDEX(List!$E$2:$CD$173,MATCH('Selection Pane Data'!$B71,List!$E$2:$E$173,0),MATCH('Selection Pane Data'!W$3,List!$E$2:$CD$2,0)),"")</f>
        <v/>
      </c>
      <c r="X71" s="13" t="str">
        <f>IF(X$4="Yes",INDEX(List!$E$2:$CD$173,MATCH('Selection Pane Data'!$B71,List!$E$2:$E$173,0),MATCH('Selection Pane Data'!X$3,List!$E$2:$CD$2,0)),"")</f>
        <v/>
      </c>
      <c r="Y71" s="13" t="str">
        <f>IF(Y$4="Yes",INDEX(List!$E$2:$CD$173,MATCH('Selection Pane Data'!$B71,List!$E$2:$E$173,0),MATCH('Selection Pane Data'!Y$3,List!$E$2:$CD$2,0)),"")</f>
        <v/>
      </c>
      <c r="Z71" s="13" t="str">
        <f>IF(Z$4="Yes",INDEX(List!$E$2:$CD$173,MATCH('Selection Pane Data'!$B71,List!$E$2:$E$173,0),MATCH('Selection Pane Data'!Z$3,List!$E$2:$CD$2,0)),"")</f>
        <v/>
      </c>
      <c r="AA71" s="13" t="str">
        <f>IF(AA$4="Yes",INDEX(List!$E$2:$CD$173,MATCH('Selection Pane Data'!$B71,List!$E$2:$E$173,0),MATCH('Selection Pane Data'!AA$3,List!$E$2:$CD$2,0)),"")</f>
        <v>N</v>
      </c>
      <c r="AB71" s="13" t="str">
        <f>IF(AB$4="Yes",INDEX(List!$E$2:$CD$173,MATCH('Selection Pane Data'!$B71,List!$E$2:$E$173,0),MATCH('Selection Pane Data'!AB$3,List!$E$2:$CD$2,0)),"")</f>
        <v/>
      </c>
      <c r="AC71" s="13" t="str">
        <f>IF(AC$4="Yes",INDEX(List!$E$2:$CD$173,MATCH('Selection Pane Data'!$B71,List!$E$2:$E$173,0),MATCH('Selection Pane Data'!AC$3,List!$E$2:$CD$2,0)),"")</f>
        <v/>
      </c>
      <c r="AD71" s="13" t="str">
        <f>IF(AD$4="Yes",INDEX(List!$E$2:$CD$173,MATCH('Selection Pane Data'!$B71,List!$E$2:$E$173,0),MATCH('Selection Pane Data'!AD$3,List!$E$2:$CD$2,0)),"")</f>
        <v/>
      </c>
      <c r="AE71" s="13" t="str">
        <f>IF(AE$4="Yes",INDEX(List!$E$2:$CD$173,MATCH('Selection Pane Data'!$B71,List!$E$2:$E$173,0),MATCH('Selection Pane Data'!AE$3,List!$E$2:$CD$2,0)),"")</f>
        <v/>
      </c>
      <c r="AF71" s="13" t="str">
        <f>IF(AF$4="Yes",INDEX(List!$E$2:$CD$173,MATCH('Selection Pane Data'!$B71,List!$E$2:$E$173,0),MATCH('Selection Pane Data'!AF$3,List!$E$2:$CD$2,0)),"")</f>
        <v/>
      </c>
      <c r="AG71" s="13" t="str">
        <f>IF(AG$4="Yes",INDEX(List!$E$2:$CD$173,MATCH('Selection Pane Data'!$B71,List!$E$2:$E$173,0),MATCH('Selection Pane Data'!AG$3,List!$E$2:$CD$2,0)),"")</f>
        <v/>
      </c>
      <c r="AH71" s="13" t="str">
        <f>IF(AH$4="Yes",INDEX(List!$E$2:$CD$173,MATCH('Selection Pane Data'!$B71,List!$E$2:$E$173,0),MATCH('Selection Pane Data'!AH$3,List!$E$2:$CD$2,0)),"")</f>
        <v/>
      </c>
      <c r="AI71" s="13" t="str">
        <f>IF(AI$4="Yes",INDEX(List!$E$2:$CD$173,MATCH('Selection Pane Data'!$B71,List!$E$2:$E$173,0),MATCH('Selection Pane Data'!AI$3,List!$E$2:$CD$2,0)),"")</f>
        <v/>
      </c>
      <c r="AJ71" s="13" t="str">
        <f>IF(AJ$4="Yes",INDEX(List!$E$2:$CD$173,MATCH('Selection Pane Data'!$B71,List!$E$2:$E$173,0),MATCH('Selection Pane Data'!AJ$3,List!$E$2:$CD$2,0)),"")</f>
        <v/>
      </c>
      <c r="AK71" s="13" t="str">
        <f>IF(AK$4="Yes",INDEX(List!$E$2:$CD$173,MATCH('Selection Pane Data'!$B71,List!$E$2:$E$173,0),MATCH('Selection Pane Data'!AK$3,List!$E$2:$CD$2,0)),"")</f>
        <v/>
      </c>
      <c r="AL71" s="13" t="str">
        <f>IF(AL$4="Yes",INDEX(List!$E$2:$CD$173,MATCH('Selection Pane Data'!$B71,List!$E$2:$E$173,0),MATCH('Selection Pane Data'!AL$3,List!$E$2:$CD$2,0)),"")</f>
        <v/>
      </c>
      <c r="AM71" s="13" t="str">
        <f>IF(AM$4="Yes",INDEX(List!$E$2:$CD$173,MATCH('Selection Pane Data'!$B71,List!$E$2:$E$173,0),MATCH('Selection Pane Data'!AM$3,List!$E$2:$CD$2,0)),"")</f>
        <v/>
      </c>
      <c r="AN71" s="13" t="str">
        <f>IF(AN$4="Yes",INDEX(List!$E$2:$CD$173,MATCH('Selection Pane Data'!$B71,List!$E$2:$E$173,0),MATCH('Selection Pane Data'!AN$3,List!$E$2:$CD$2,0)),"")</f>
        <v/>
      </c>
      <c r="AO71" s="13" t="str">
        <f>IF(AO$4="Yes",INDEX(List!$E$2:$CD$173,MATCH('Selection Pane Data'!$B71,List!$E$2:$E$173,0),MATCH('Selection Pane Data'!AO$3,List!$E$2:$CD$2,0)),"")</f>
        <v/>
      </c>
      <c r="AP71" s="13" t="str">
        <f>IF(AP$4="Yes",INDEX(List!$E$2:$CD$173,MATCH('Selection Pane Data'!$B71,List!$E$2:$E$173,0),MATCH('Selection Pane Data'!AP$3,List!$E$2:$CD$2,0)),"")</f>
        <v/>
      </c>
      <c r="AQ71" s="13" t="str">
        <f>IF(AQ$4="Yes",INDEX(List!$E$2:$CD$173,MATCH('Selection Pane Data'!$B71,List!$E$2:$E$173,0),MATCH('Selection Pane Data'!AQ$3,List!$E$2:$CD$2,0)),"")</f>
        <v/>
      </c>
      <c r="AR71" s="13" t="str">
        <f>IF(AR$4="Yes",INDEX(List!$E$2:$CD$173,MATCH('Selection Pane Data'!$B71,List!$E$2:$E$173,0),MATCH('Selection Pane Data'!AR$3,List!$E$2:$CD$2,0)),"")</f>
        <v/>
      </c>
      <c r="AS71" s="13" t="str">
        <f>IF(AS$4="Yes",INDEX(List!$E$2:$CD$173,MATCH('Selection Pane Data'!$B71,List!$E$2:$E$173,0),MATCH('Selection Pane Data'!AS$3,List!$E$2:$CD$2,0)),"")</f>
        <v/>
      </c>
      <c r="AT71" s="13" t="str">
        <f>IF(AT$4="Yes",INDEX(List!$E$2:$CD$173,MATCH('Selection Pane Data'!$B71,List!$E$2:$E$173,0),MATCH('Selection Pane Data'!AT$3,List!$E$2:$CD$2,0)),"")</f>
        <v/>
      </c>
      <c r="AU71" s="13" t="str">
        <f>IF(AU$4="Yes",INDEX(List!$E$2:$CD$173,MATCH('Selection Pane Data'!$B71,List!$E$2:$E$173,0),MATCH('Selection Pane Data'!AU$3,List!$E$2:$CD$2,0)),"")</f>
        <v/>
      </c>
      <c r="AV71" s="13" t="str">
        <f>IF(AV$4="Yes",INDEX(List!$E$2:$CD$173,MATCH('Selection Pane Data'!$B71,List!$E$2:$E$173,0),MATCH('Selection Pane Data'!AV$3,List!$E$2:$CD$2,0)),"")</f>
        <v/>
      </c>
      <c r="AW71" s="13" t="str">
        <f>IF(AW$4="Yes",INDEX(List!$E$2:$CD$173,MATCH('Selection Pane Data'!$B71,List!$E$2:$E$173,0),MATCH('Selection Pane Data'!AW$3,List!$E$2:$CD$2,0)),"")</f>
        <v/>
      </c>
      <c r="AX71" s="13" t="str">
        <f>IF(AX$4="Yes",INDEX(List!$E$2:$CD$173,MATCH('Selection Pane Data'!$B71,List!$E$2:$E$173,0),MATCH('Selection Pane Data'!AX$3,List!$E$2:$CD$2,0)),"")</f>
        <v/>
      </c>
      <c r="AY71" s="13" t="str">
        <f>IF(AY$4="Yes",INDEX(List!$E$2:$CD$173,MATCH('Selection Pane Data'!$B71,List!$E$2:$E$173,0),MATCH('Selection Pane Data'!AY$3,List!$E$2:$CD$2,0)),"")</f>
        <v/>
      </c>
      <c r="AZ71" s="13" t="str">
        <f>IF(AZ$4="Yes",INDEX(List!$E$2:$CD$173,MATCH('Selection Pane Data'!$B71,List!$E$2:$E$173,0),MATCH('Selection Pane Data'!AZ$3,List!$E$2:$CD$2,0)),"")</f>
        <v/>
      </c>
      <c r="BA71" s="13" t="str">
        <f>IF(BA$4="Yes",INDEX(List!$E$2:$CD$173,MATCH('Selection Pane Data'!$B71,List!$E$2:$E$173,0),MATCH('Selection Pane Data'!BA$3,List!$E$2:$CD$2,0)),"")</f>
        <v/>
      </c>
      <c r="BB71" s="13" t="str">
        <f>IF(BB$4="Yes",INDEX(List!$E$2:$CD$173,MATCH('Selection Pane Data'!$B71,List!$E$2:$E$173,0),MATCH('Selection Pane Data'!BB$3,List!$E$2:$CD$2,0)),"")</f>
        <v/>
      </c>
      <c r="BC71" s="13" t="str">
        <f>IF(BC$4="Yes",INDEX(List!$E$2:$CD$173,MATCH('Selection Pane Data'!$B71,List!$E$2:$E$173,0),MATCH('Selection Pane Data'!BC$3,List!$E$2:$CD$2,0)),"")</f>
        <v/>
      </c>
      <c r="BD71" s="13" t="str">
        <f>IF(BD$4="Yes",INDEX(List!$E$2:$CD$173,MATCH('Selection Pane Data'!$B71,List!$E$2:$E$173,0),MATCH('Selection Pane Data'!BD$3,List!$E$2:$CD$2,0)),"")</f>
        <v/>
      </c>
      <c r="BE71" s="13" t="str">
        <f>IF(BE$4="Yes",INDEX(List!$E$2:$CD$173,MATCH('Selection Pane Data'!$B71,List!$E$2:$E$173,0),MATCH('Selection Pane Data'!BE$3,List!$E$2:$CD$2,0)),"")</f>
        <v/>
      </c>
      <c r="BF71" s="13" t="str">
        <f>IF(BF$4="Yes",INDEX(List!$E$2:$CD$173,MATCH('Selection Pane Data'!$B71,List!$E$2:$E$173,0),MATCH('Selection Pane Data'!BF$3,List!$E$2:$CD$2,0)),"")</f>
        <v/>
      </c>
      <c r="BG71" s="13" t="str">
        <f>IF(BG$4="Yes",INDEX(List!$E$2:$CD$173,MATCH('Selection Pane Data'!$B71,List!$E$2:$E$173,0),MATCH('Selection Pane Data'!BG$3,List!$E$2:$CD$2,0)),"")</f>
        <v/>
      </c>
      <c r="BH71" s="13" t="str">
        <f>IF(BH$4="Yes",INDEX(List!$E$2:$CD$173,MATCH('Selection Pane Data'!$B71,List!$E$2:$E$173,0),MATCH('Selection Pane Data'!BH$3,List!$E$2:$CD$2,0)),"")</f>
        <v/>
      </c>
      <c r="BI71" s="13" t="str">
        <f>IF(BI$4="Yes",INDEX(List!$E$2:$CD$173,MATCH('Selection Pane Data'!$B71,List!$E$2:$E$173,0),MATCH('Selection Pane Data'!BI$3,List!$E$2:$CD$2,0)),"")</f>
        <v/>
      </c>
      <c r="BJ71" s="13" t="str">
        <f>IF(BJ$4="Yes",INDEX(List!$E$2:$CD$173,MATCH('Selection Pane Data'!$B71,List!$E$2:$E$173,0),MATCH('Selection Pane Data'!BJ$3,List!$E$2:$CD$2,0)),"")</f>
        <v/>
      </c>
      <c r="BK71" s="13" t="str">
        <f>IF(BK$4="Yes",INDEX(List!$E$2:$CD$173,MATCH('Selection Pane Data'!$B71,List!$E$2:$E$173,0),MATCH('Selection Pane Data'!BK$3,List!$E$2:$CD$2,0)),"")</f>
        <v/>
      </c>
      <c r="BL71" s="13" t="str">
        <f>IF(BL$4="Yes",INDEX(List!$E$2:$CD$173,MATCH('Selection Pane Data'!$B71,List!$E$2:$E$173,0),MATCH('Selection Pane Data'!BL$3,List!$E$2:$CD$2,0)),"")</f>
        <v/>
      </c>
      <c r="BM71" s="13" t="str">
        <f>IF(BM$4="Yes",INDEX(List!$E$2:$CD$173,MATCH('Selection Pane Data'!$B71,List!$E$2:$E$173,0),MATCH('Selection Pane Data'!BM$3,List!$E$2:$CD$2,0)),"")</f>
        <v/>
      </c>
      <c r="BN71" s="13" t="str">
        <f>IF(BN$4="Yes",INDEX(List!$E$2:$CD$173,MATCH('Selection Pane Data'!$B71,List!$E$2:$E$173,0),MATCH('Selection Pane Data'!BN$3,List!$E$2:$CD$2,0)),"")</f>
        <v/>
      </c>
      <c r="BO71" s="13" t="str">
        <f>IF(BO$4="Yes",INDEX(List!$E$2:$CD$173,MATCH('Selection Pane Data'!$B71,List!$E$2:$E$173,0),MATCH('Selection Pane Data'!BO$3,List!$E$2:$CD$2,0)),"")</f>
        <v/>
      </c>
      <c r="BP71" s="13" t="str">
        <f>IF(BP$4="Yes",INDEX(List!$E$2:$CD$173,MATCH('Selection Pane Data'!$B71,List!$E$2:$E$173,0),MATCH('Selection Pane Data'!BP$3,List!$E$2:$CD$2,0)),"")</f>
        <v/>
      </c>
      <c r="BQ71" s="13" t="str">
        <f>IF(BQ$4="Yes",INDEX(List!$E$2:$CD$173,MATCH('Selection Pane Data'!$B71,List!$E$2:$E$173,0),MATCH('Selection Pane Data'!BQ$3,List!$E$2:$CD$2,0)),"")</f>
        <v/>
      </c>
      <c r="BR71" s="13" t="str">
        <f>IF(BR$4="Yes",INDEX(List!$E$2:$CD$173,MATCH('Selection Pane Data'!$B71,List!$E$2:$E$173,0),MATCH('Selection Pane Data'!BR$3,List!$E$2:$CD$2,0)),"")</f>
        <v/>
      </c>
      <c r="BS71" s="13" t="str">
        <f>IF(BS$4="Yes",INDEX(List!$E$2:$CD$173,MATCH('Selection Pane Data'!$B71,List!$E$2:$E$173,0),MATCH('Selection Pane Data'!BS$3,List!$E$2:$CD$2,0)),"")</f>
        <v/>
      </c>
      <c r="BT71" s="13" t="str">
        <f>IF(BT$4="Yes",INDEX(List!$E$2:$CD$173,MATCH('Selection Pane Data'!$B71,List!$E$2:$E$173,0),MATCH('Selection Pane Data'!BT$3,List!$E$2:$CD$2,0)),"")</f>
        <v/>
      </c>
      <c r="BU71" s="13" t="str">
        <f>IF(BU$4="Yes",INDEX(List!$E$2:$CD$173,MATCH('Selection Pane Data'!$B71,List!$E$2:$E$173,0),MATCH('Selection Pane Data'!BU$3,List!$E$2:$CD$2,0)),"")</f>
        <v/>
      </c>
      <c r="BV71" s="13" t="str">
        <f>IF(BV$4="Yes",INDEX(List!$E$2:$CD$173,MATCH('Selection Pane Data'!$B71,List!$E$2:$E$173,0),MATCH('Selection Pane Data'!BV$3,List!$E$2:$CD$2,0)),"")</f>
        <v/>
      </c>
      <c r="BW71" s="13" t="str">
        <f>IF(BW$4="Yes",INDEX(List!$E$2:$CD$173,MATCH('Selection Pane Data'!$B71,List!$E$2:$E$173,0),MATCH('Selection Pane Data'!BW$3,List!$E$2:$CD$2,0)),"")</f>
        <v/>
      </c>
      <c r="BX71" s="13" t="str">
        <f>IF(BX$4="Yes",INDEX(List!$E$2:$CD$173,MATCH('Selection Pane Data'!$B71,List!$E$2:$E$173,0),MATCH('Selection Pane Data'!BX$3,List!$E$2:$CD$2,0)),"")</f>
        <v/>
      </c>
      <c r="BY71" s="13" t="str">
        <f>IF(BY$4="Yes",INDEX(List!$E$2:$CD$173,MATCH('Selection Pane Data'!$B71,List!$E$2:$E$173,0),MATCH('Selection Pane Data'!BY$3,List!$E$2:$CD$2,0)),"")</f>
        <v/>
      </c>
      <c r="BZ71" s="13" t="str">
        <f>IF(BZ$4="Yes",INDEX(List!$E$2:$CD$173,MATCH('Selection Pane Data'!$B71,List!$E$2:$E$173,0),MATCH('Selection Pane Data'!BZ$3,List!$E$2:$CD$2,0)),"")</f>
        <v/>
      </c>
      <c r="CA71" s="13" t="str">
        <f>IF(CA$4="Yes",INDEX(List!$E$2:$CD$173,MATCH('Selection Pane Data'!$B71,List!$E$2:$E$173,0),MATCH('Selection Pane Data'!CA$3,List!$E$2:$CD$2,0)),"")</f>
        <v/>
      </c>
      <c r="CB71" s="13" t="str">
        <f>IF(CB$4="Yes",INDEX(List!$E$2:$CD$173,MATCH('Selection Pane Data'!$B71,List!$E$2:$E$173,0),MATCH('Selection Pane Data'!CB$3,List!$E$2:$CD$2,0)),"")</f>
        <v/>
      </c>
      <c r="CC71" s="13" t="str">
        <f>IF(CC$4="Yes",INDEX(List!$E$2:$CD$173,MATCH('Selection Pane Data'!$B71,List!$E$2:$E$173,0),MATCH('Selection Pane Data'!CC$3,List!$E$2:$CD$2,0)),"")</f>
        <v/>
      </c>
      <c r="CD71" s="13" t="str">
        <f>IF(CD$4="Yes",INDEX(List!$E$2:$CD$173,MATCH('Selection Pane Data'!$B71,List!$E$2:$E$173,0),MATCH('Selection Pane Data'!CD$3,List!$E$2:$CD$2,0)),"")</f>
        <v/>
      </c>
      <c r="CE71" s="13" t="str">
        <f>IF(CE$4="Yes",INDEX(List!$E$2:$CD$173,MATCH('Selection Pane Data'!$B71,List!$E$2:$E$173,0),MATCH('Selection Pane Data'!CE$3,List!$E$2:$CD$2,0)),"")</f>
        <v/>
      </c>
    </row>
    <row r="72" spans="2:83" x14ac:dyDescent="0.35">
      <c r="B72" s="21" t="s">
        <v>359</v>
      </c>
      <c r="C72" s="126" t="str">
        <f>VLOOKUP(B72,List!$E$2:$G$173,2,FALSE)</f>
        <v>IA.L1-3.5.2</v>
      </c>
      <c r="D72" s="31" t="str">
        <f>List!G70</f>
        <v>Shared Coverage</v>
      </c>
      <c r="E72" s="31" t="str">
        <f>IF(Placemat!$F$4="All Practices","All Practices",IF(VLOOKUP(B72,Table7[#All],6,FALSE)="No Mapping","New CMMC Practices","Practices with NIST 800-171 Mappings"))</f>
        <v>Practices with NIST 800-171 Mappings</v>
      </c>
      <c r="F72" t="str">
        <f>INDEX('CMMC Levels'!$A$1:$F$172,MATCH('Selection Pane Data'!$C72,'CMMC Levels'!$A$1:$A$172,0),MATCH(Placemat!$F$4,'CMMC Levels'!$A$1:$F$1,0))</f>
        <v>X</v>
      </c>
      <c r="G72" s="77" t="str">
        <f>IF((COUNTIF(List!H70:CE70,"P")+COUNTIF(List!H70:CE70,"S"))=0,"N",IF(COUNTIF(H72:CE72,"P"),"P",IF(COUNTIF(H72:CE72,"S"),"S","U")))</f>
        <v>U</v>
      </c>
      <c r="H72" s="13" t="str">
        <f>IF(H$4="Yes",INDEX(List!$E$2:$CD$173,MATCH('Selection Pane Data'!$B72,List!$E$2:$E$173,0),MATCH('Selection Pane Data'!H$3,List!$E$2:$CD$2,0)),"")</f>
        <v/>
      </c>
      <c r="I72" s="13" t="str">
        <f>IF(I$4="Yes",INDEX(List!$E$2:$CD$173,MATCH('Selection Pane Data'!$B72,List!$E$2:$E$173,0),MATCH('Selection Pane Data'!I$3,List!$E$2:$CD$2,0)),"")</f>
        <v/>
      </c>
      <c r="J72" s="13" t="str">
        <f>IF(J$4="Yes",INDEX(List!$E$2:$CD$173,MATCH('Selection Pane Data'!$B72,List!$E$2:$E$173,0),MATCH('Selection Pane Data'!J$3,List!$E$2:$CD$2,0)),"")</f>
        <v>N</v>
      </c>
      <c r="K72" s="13" t="str">
        <f>IF(K$4="Yes",INDEX(List!$E$2:$CD$173,MATCH('Selection Pane Data'!$B72,List!$E$2:$E$173,0),MATCH('Selection Pane Data'!K$3,List!$E$2:$CD$2,0)),"")</f>
        <v/>
      </c>
      <c r="L72" s="13" t="str">
        <f>IF(L$4="Yes",INDEX(List!$E$2:$CD$173,MATCH('Selection Pane Data'!$B72,List!$E$2:$E$173,0),MATCH('Selection Pane Data'!L$3,List!$E$2:$CD$2,0)),"")</f>
        <v/>
      </c>
      <c r="M72" s="13" t="str">
        <f>IF(M$4="Yes",INDEX(List!$E$2:$CD$173,MATCH('Selection Pane Data'!$B72,List!$E$2:$E$173,0),MATCH('Selection Pane Data'!M$3,List!$E$2:$CD$2,0)),"")</f>
        <v/>
      </c>
      <c r="N72" s="13" t="str">
        <f>IF(N$4="Yes",INDEX(List!$E$2:$CD$173,MATCH('Selection Pane Data'!$B72,List!$E$2:$E$173,0),MATCH('Selection Pane Data'!N$3,List!$E$2:$CD$2,0)),"")</f>
        <v/>
      </c>
      <c r="O72" s="13" t="str">
        <f>IF(O$4="Yes",INDEX(List!$E$2:$CD$173,MATCH('Selection Pane Data'!$B72,List!$E$2:$E$173,0),MATCH('Selection Pane Data'!O$3,List!$E$2:$CD$2,0)),"")</f>
        <v/>
      </c>
      <c r="P72" s="13" t="str">
        <f>IF(P$4="Yes",INDEX(List!$E$2:$CD$173,MATCH('Selection Pane Data'!$B72,List!$E$2:$E$173,0),MATCH('Selection Pane Data'!P$3,List!$E$2:$CD$2,0)),"")</f>
        <v/>
      </c>
      <c r="Q72" s="13" t="str">
        <f>IF(Q$4="Yes",INDEX(List!$E$2:$CD$173,MATCH('Selection Pane Data'!$B72,List!$E$2:$E$173,0),MATCH('Selection Pane Data'!Q$3,List!$E$2:$CD$2,0)),"")</f>
        <v/>
      </c>
      <c r="R72" s="13" t="str">
        <f>IF(R$4="Yes",INDEX(List!$E$2:$CD$173,MATCH('Selection Pane Data'!$B72,List!$E$2:$E$173,0),MATCH('Selection Pane Data'!R$3,List!$E$2:$CD$2,0)),"")</f>
        <v/>
      </c>
      <c r="S72" s="13" t="str">
        <f>IF(S$4="Yes",INDEX(List!$E$2:$CD$173,MATCH('Selection Pane Data'!$B72,List!$E$2:$E$173,0),MATCH('Selection Pane Data'!S$3,List!$E$2:$CD$2,0)),"")</f>
        <v/>
      </c>
      <c r="T72" s="13" t="str">
        <f>IF(T$4="Yes",INDEX(List!$E$2:$CD$173,MATCH('Selection Pane Data'!$B72,List!$E$2:$E$173,0),MATCH('Selection Pane Data'!T$3,List!$E$2:$CD$2,0)),"")</f>
        <v/>
      </c>
      <c r="U72" s="13" t="str">
        <f>IF(U$4="Yes",INDEX(List!$E$2:$CD$173,MATCH('Selection Pane Data'!$B72,List!$E$2:$E$173,0),MATCH('Selection Pane Data'!U$3,List!$E$2:$CD$2,0)),"")</f>
        <v/>
      </c>
      <c r="V72" s="13" t="str">
        <f>IF(V$4="Yes",INDEX(List!$E$2:$CD$173,MATCH('Selection Pane Data'!$B72,List!$E$2:$E$173,0),MATCH('Selection Pane Data'!V$3,List!$E$2:$CD$2,0)),"")</f>
        <v/>
      </c>
      <c r="W72" s="13" t="str">
        <f>IF(W$4="Yes",INDEX(List!$E$2:$CD$173,MATCH('Selection Pane Data'!$B72,List!$E$2:$E$173,0),MATCH('Selection Pane Data'!W$3,List!$E$2:$CD$2,0)),"")</f>
        <v/>
      </c>
      <c r="X72" s="13" t="str">
        <f>IF(X$4="Yes",INDEX(List!$E$2:$CD$173,MATCH('Selection Pane Data'!$B72,List!$E$2:$E$173,0),MATCH('Selection Pane Data'!X$3,List!$E$2:$CD$2,0)),"")</f>
        <v/>
      </c>
      <c r="Y72" s="13" t="str">
        <f>IF(Y$4="Yes",INDEX(List!$E$2:$CD$173,MATCH('Selection Pane Data'!$B72,List!$E$2:$E$173,0),MATCH('Selection Pane Data'!Y$3,List!$E$2:$CD$2,0)),"")</f>
        <v/>
      </c>
      <c r="Z72" s="13" t="str">
        <f>IF(Z$4="Yes",INDEX(List!$E$2:$CD$173,MATCH('Selection Pane Data'!$B72,List!$E$2:$E$173,0),MATCH('Selection Pane Data'!Z$3,List!$E$2:$CD$2,0)),"")</f>
        <v/>
      </c>
      <c r="AA72" s="13" t="str">
        <f>IF(AA$4="Yes",INDEX(List!$E$2:$CD$173,MATCH('Selection Pane Data'!$B72,List!$E$2:$E$173,0),MATCH('Selection Pane Data'!AA$3,List!$E$2:$CD$2,0)),"")</f>
        <v>N</v>
      </c>
      <c r="AB72" s="13" t="str">
        <f>IF(AB$4="Yes",INDEX(List!$E$2:$CD$173,MATCH('Selection Pane Data'!$B72,List!$E$2:$E$173,0),MATCH('Selection Pane Data'!AB$3,List!$E$2:$CD$2,0)),"")</f>
        <v/>
      </c>
      <c r="AC72" s="13" t="str">
        <f>IF(AC$4="Yes",INDEX(List!$E$2:$CD$173,MATCH('Selection Pane Data'!$B72,List!$E$2:$E$173,0),MATCH('Selection Pane Data'!AC$3,List!$E$2:$CD$2,0)),"")</f>
        <v/>
      </c>
      <c r="AD72" s="13" t="str">
        <f>IF(AD$4="Yes",INDEX(List!$E$2:$CD$173,MATCH('Selection Pane Data'!$B72,List!$E$2:$E$173,0),MATCH('Selection Pane Data'!AD$3,List!$E$2:$CD$2,0)),"")</f>
        <v/>
      </c>
      <c r="AE72" s="13" t="str">
        <f>IF(AE$4="Yes",INDEX(List!$E$2:$CD$173,MATCH('Selection Pane Data'!$B72,List!$E$2:$E$173,0),MATCH('Selection Pane Data'!AE$3,List!$E$2:$CD$2,0)),"")</f>
        <v/>
      </c>
      <c r="AF72" s="13" t="str">
        <f>IF(AF$4="Yes",INDEX(List!$E$2:$CD$173,MATCH('Selection Pane Data'!$B72,List!$E$2:$E$173,0),MATCH('Selection Pane Data'!AF$3,List!$E$2:$CD$2,0)),"")</f>
        <v/>
      </c>
      <c r="AG72" s="13" t="str">
        <f>IF(AG$4="Yes",INDEX(List!$E$2:$CD$173,MATCH('Selection Pane Data'!$B72,List!$E$2:$E$173,0),MATCH('Selection Pane Data'!AG$3,List!$E$2:$CD$2,0)),"")</f>
        <v/>
      </c>
      <c r="AH72" s="13" t="str">
        <f>IF(AH$4="Yes",INDEX(List!$E$2:$CD$173,MATCH('Selection Pane Data'!$B72,List!$E$2:$E$173,0),MATCH('Selection Pane Data'!AH$3,List!$E$2:$CD$2,0)),"")</f>
        <v/>
      </c>
      <c r="AI72" s="13" t="str">
        <f>IF(AI$4="Yes",INDEX(List!$E$2:$CD$173,MATCH('Selection Pane Data'!$B72,List!$E$2:$E$173,0),MATCH('Selection Pane Data'!AI$3,List!$E$2:$CD$2,0)),"")</f>
        <v/>
      </c>
      <c r="AJ72" s="13" t="str">
        <f>IF(AJ$4="Yes",INDEX(List!$E$2:$CD$173,MATCH('Selection Pane Data'!$B72,List!$E$2:$E$173,0),MATCH('Selection Pane Data'!AJ$3,List!$E$2:$CD$2,0)),"")</f>
        <v/>
      </c>
      <c r="AK72" s="13" t="str">
        <f>IF(AK$4="Yes",INDEX(List!$E$2:$CD$173,MATCH('Selection Pane Data'!$B72,List!$E$2:$E$173,0),MATCH('Selection Pane Data'!AK$3,List!$E$2:$CD$2,0)),"")</f>
        <v/>
      </c>
      <c r="AL72" s="13" t="str">
        <f>IF(AL$4="Yes",INDEX(List!$E$2:$CD$173,MATCH('Selection Pane Data'!$B72,List!$E$2:$E$173,0),MATCH('Selection Pane Data'!AL$3,List!$E$2:$CD$2,0)),"")</f>
        <v/>
      </c>
      <c r="AM72" s="13" t="str">
        <f>IF(AM$4="Yes",INDEX(List!$E$2:$CD$173,MATCH('Selection Pane Data'!$B72,List!$E$2:$E$173,0),MATCH('Selection Pane Data'!AM$3,List!$E$2:$CD$2,0)),"")</f>
        <v/>
      </c>
      <c r="AN72" s="13" t="str">
        <f>IF(AN$4="Yes",INDEX(List!$E$2:$CD$173,MATCH('Selection Pane Data'!$B72,List!$E$2:$E$173,0),MATCH('Selection Pane Data'!AN$3,List!$E$2:$CD$2,0)),"")</f>
        <v/>
      </c>
      <c r="AO72" s="13" t="str">
        <f>IF(AO$4="Yes",INDEX(List!$E$2:$CD$173,MATCH('Selection Pane Data'!$B72,List!$E$2:$E$173,0),MATCH('Selection Pane Data'!AO$3,List!$E$2:$CD$2,0)),"")</f>
        <v/>
      </c>
      <c r="AP72" s="13" t="str">
        <f>IF(AP$4="Yes",INDEX(List!$E$2:$CD$173,MATCH('Selection Pane Data'!$B72,List!$E$2:$E$173,0),MATCH('Selection Pane Data'!AP$3,List!$E$2:$CD$2,0)),"")</f>
        <v/>
      </c>
      <c r="AQ72" s="13" t="str">
        <f>IF(AQ$4="Yes",INDEX(List!$E$2:$CD$173,MATCH('Selection Pane Data'!$B72,List!$E$2:$E$173,0),MATCH('Selection Pane Data'!AQ$3,List!$E$2:$CD$2,0)),"")</f>
        <v/>
      </c>
      <c r="AR72" s="13" t="str">
        <f>IF(AR$4="Yes",INDEX(List!$E$2:$CD$173,MATCH('Selection Pane Data'!$B72,List!$E$2:$E$173,0),MATCH('Selection Pane Data'!AR$3,List!$E$2:$CD$2,0)),"")</f>
        <v/>
      </c>
      <c r="AS72" s="13" t="str">
        <f>IF(AS$4="Yes",INDEX(List!$E$2:$CD$173,MATCH('Selection Pane Data'!$B72,List!$E$2:$E$173,0),MATCH('Selection Pane Data'!AS$3,List!$E$2:$CD$2,0)),"")</f>
        <v/>
      </c>
      <c r="AT72" s="13" t="str">
        <f>IF(AT$4="Yes",INDEX(List!$E$2:$CD$173,MATCH('Selection Pane Data'!$B72,List!$E$2:$E$173,0),MATCH('Selection Pane Data'!AT$3,List!$E$2:$CD$2,0)),"")</f>
        <v/>
      </c>
      <c r="AU72" s="13" t="str">
        <f>IF(AU$4="Yes",INDEX(List!$E$2:$CD$173,MATCH('Selection Pane Data'!$B72,List!$E$2:$E$173,0),MATCH('Selection Pane Data'!AU$3,List!$E$2:$CD$2,0)),"")</f>
        <v/>
      </c>
      <c r="AV72" s="13" t="str">
        <f>IF(AV$4="Yes",INDEX(List!$E$2:$CD$173,MATCH('Selection Pane Data'!$B72,List!$E$2:$E$173,0),MATCH('Selection Pane Data'!AV$3,List!$E$2:$CD$2,0)),"")</f>
        <v/>
      </c>
      <c r="AW72" s="13" t="str">
        <f>IF(AW$4="Yes",INDEX(List!$E$2:$CD$173,MATCH('Selection Pane Data'!$B72,List!$E$2:$E$173,0),MATCH('Selection Pane Data'!AW$3,List!$E$2:$CD$2,0)),"")</f>
        <v/>
      </c>
      <c r="AX72" s="13" t="str">
        <f>IF(AX$4="Yes",INDEX(List!$E$2:$CD$173,MATCH('Selection Pane Data'!$B72,List!$E$2:$E$173,0),MATCH('Selection Pane Data'!AX$3,List!$E$2:$CD$2,0)),"")</f>
        <v/>
      </c>
      <c r="AY72" s="13" t="str">
        <f>IF(AY$4="Yes",INDEX(List!$E$2:$CD$173,MATCH('Selection Pane Data'!$B72,List!$E$2:$E$173,0),MATCH('Selection Pane Data'!AY$3,List!$E$2:$CD$2,0)),"")</f>
        <v/>
      </c>
      <c r="AZ72" s="13" t="str">
        <f>IF(AZ$4="Yes",INDEX(List!$E$2:$CD$173,MATCH('Selection Pane Data'!$B72,List!$E$2:$E$173,0),MATCH('Selection Pane Data'!AZ$3,List!$E$2:$CD$2,0)),"")</f>
        <v/>
      </c>
      <c r="BA72" s="13" t="str">
        <f>IF(BA$4="Yes",INDEX(List!$E$2:$CD$173,MATCH('Selection Pane Data'!$B72,List!$E$2:$E$173,0),MATCH('Selection Pane Data'!BA$3,List!$E$2:$CD$2,0)),"")</f>
        <v/>
      </c>
      <c r="BB72" s="13" t="str">
        <f>IF(BB$4="Yes",INDEX(List!$E$2:$CD$173,MATCH('Selection Pane Data'!$B72,List!$E$2:$E$173,0),MATCH('Selection Pane Data'!BB$3,List!$E$2:$CD$2,0)),"")</f>
        <v/>
      </c>
      <c r="BC72" s="13" t="str">
        <f>IF(BC$4="Yes",INDEX(List!$E$2:$CD$173,MATCH('Selection Pane Data'!$B72,List!$E$2:$E$173,0),MATCH('Selection Pane Data'!BC$3,List!$E$2:$CD$2,0)),"")</f>
        <v/>
      </c>
      <c r="BD72" s="13" t="str">
        <f>IF(BD$4="Yes",INDEX(List!$E$2:$CD$173,MATCH('Selection Pane Data'!$B72,List!$E$2:$E$173,0),MATCH('Selection Pane Data'!BD$3,List!$E$2:$CD$2,0)),"")</f>
        <v/>
      </c>
      <c r="BE72" s="13" t="str">
        <f>IF(BE$4="Yes",INDEX(List!$E$2:$CD$173,MATCH('Selection Pane Data'!$B72,List!$E$2:$E$173,0),MATCH('Selection Pane Data'!BE$3,List!$E$2:$CD$2,0)),"")</f>
        <v/>
      </c>
      <c r="BF72" s="13" t="str">
        <f>IF(BF$4="Yes",INDEX(List!$E$2:$CD$173,MATCH('Selection Pane Data'!$B72,List!$E$2:$E$173,0),MATCH('Selection Pane Data'!BF$3,List!$E$2:$CD$2,0)),"")</f>
        <v/>
      </c>
      <c r="BG72" s="13" t="str">
        <f>IF(BG$4="Yes",INDEX(List!$E$2:$CD$173,MATCH('Selection Pane Data'!$B72,List!$E$2:$E$173,0),MATCH('Selection Pane Data'!BG$3,List!$E$2:$CD$2,0)),"")</f>
        <v/>
      </c>
      <c r="BH72" s="13" t="str">
        <f>IF(BH$4="Yes",INDEX(List!$E$2:$CD$173,MATCH('Selection Pane Data'!$B72,List!$E$2:$E$173,0),MATCH('Selection Pane Data'!BH$3,List!$E$2:$CD$2,0)),"")</f>
        <v/>
      </c>
      <c r="BI72" s="13" t="str">
        <f>IF(BI$4="Yes",INDEX(List!$E$2:$CD$173,MATCH('Selection Pane Data'!$B72,List!$E$2:$E$173,0),MATCH('Selection Pane Data'!BI$3,List!$E$2:$CD$2,0)),"")</f>
        <v/>
      </c>
      <c r="BJ72" s="13" t="str">
        <f>IF(BJ$4="Yes",INDEX(List!$E$2:$CD$173,MATCH('Selection Pane Data'!$B72,List!$E$2:$E$173,0),MATCH('Selection Pane Data'!BJ$3,List!$E$2:$CD$2,0)),"")</f>
        <v/>
      </c>
      <c r="BK72" s="13" t="str">
        <f>IF(BK$4="Yes",INDEX(List!$E$2:$CD$173,MATCH('Selection Pane Data'!$B72,List!$E$2:$E$173,0),MATCH('Selection Pane Data'!BK$3,List!$E$2:$CD$2,0)),"")</f>
        <v/>
      </c>
      <c r="BL72" s="13" t="str">
        <f>IF(BL$4="Yes",INDEX(List!$E$2:$CD$173,MATCH('Selection Pane Data'!$B72,List!$E$2:$E$173,0),MATCH('Selection Pane Data'!BL$3,List!$E$2:$CD$2,0)),"")</f>
        <v/>
      </c>
      <c r="BM72" s="13" t="str">
        <f>IF(BM$4="Yes",INDEX(List!$E$2:$CD$173,MATCH('Selection Pane Data'!$B72,List!$E$2:$E$173,0),MATCH('Selection Pane Data'!BM$3,List!$E$2:$CD$2,0)),"")</f>
        <v/>
      </c>
      <c r="BN72" s="13" t="str">
        <f>IF(BN$4="Yes",INDEX(List!$E$2:$CD$173,MATCH('Selection Pane Data'!$B72,List!$E$2:$E$173,0),MATCH('Selection Pane Data'!BN$3,List!$E$2:$CD$2,0)),"")</f>
        <v/>
      </c>
      <c r="BO72" s="13" t="str">
        <f>IF(BO$4="Yes",INDEX(List!$E$2:$CD$173,MATCH('Selection Pane Data'!$B72,List!$E$2:$E$173,0),MATCH('Selection Pane Data'!BO$3,List!$E$2:$CD$2,0)),"")</f>
        <v/>
      </c>
      <c r="BP72" s="13" t="str">
        <f>IF(BP$4="Yes",INDEX(List!$E$2:$CD$173,MATCH('Selection Pane Data'!$B72,List!$E$2:$E$173,0),MATCH('Selection Pane Data'!BP$3,List!$E$2:$CD$2,0)),"")</f>
        <v/>
      </c>
      <c r="BQ72" s="13" t="str">
        <f>IF(BQ$4="Yes",INDEX(List!$E$2:$CD$173,MATCH('Selection Pane Data'!$B72,List!$E$2:$E$173,0),MATCH('Selection Pane Data'!BQ$3,List!$E$2:$CD$2,0)),"")</f>
        <v/>
      </c>
      <c r="BR72" s="13" t="str">
        <f>IF(BR$4="Yes",INDEX(List!$E$2:$CD$173,MATCH('Selection Pane Data'!$B72,List!$E$2:$E$173,0),MATCH('Selection Pane Data'!BR$3,List!$E$2:$CD$2,0)),"")</f>
        <v/>
      </c>
      <c r="BS72" s="13" t="str">
        <f>IF(BS$4="Yes",INDEX(List!$E$2:$CD$173,MATCH('Selection Pane Data'!$B72,List!$E$2:$E$173,0),MATCH('Selection Pane Data'!BS$3,List!$E$2:$CD$2,0)),"")</f>
        <v/>
      </c>
      <c r="BT72" s="13" t="str">
        <f>IF(BT$4="Yes",INDEX(List!$E$2:$CD$173,MATCH('Selection Pane Data'!$B72,List!$E$2:$E$173,0),MATCH('Selection Pane Data'!BT$3,List!$E$2:$CD$2,0)),"")</f>
        <v/>
      </c>
      <c r="BU72" s="13" t="str">
        <f>IF(BU$4="Yes",INDEX(List!$E$2:$CD$173,MATCH('Selection Pane Data'!$B72,List!$E$2:$E$173,0),MATCH('Selection Pane Data'!BU$3,List!$E$2:$CD$2,0)),"")</f>
        <v/>
      </c>
      <c r="BV72" s="13" t="str">
        <f>IF(BV$4="Yes",INDEX(List!$E$2:$CD$173,MATCH('Selection Pane Data'!$B72,List!$E$2:$E$173,0),MATCH('Selection Pane Data'!BV$3,List!$E$2:$CD$2,0)),"")</f>
        <v/>
      </c>
      <c r="BW72" s="13" t="str">
        <f>IF(BW$4="Yes",INDEX(List!$E$2:$CD$173,MATCH('Selection Pane Data'!$B72,List!$E$2:$E$173,0),MATCH('Selection Pane Data'!BW$3,List!$E$2:$CD$2,0)),"")</f>
        <v/>
      </c>
      <c r="BX72" s="13" t="str">
        <f>IF(BX$4="Yes",INDEX(List!$E$2:$CD$173,MATCH('Selection Pane Data'!$B72,List!$E$2:$E$173,0),MATCH('Selection Pane Data'!BX$3,List!$E$2:$CD$2,0)),"")</f>
        <v/>
      </c>
      <c r="BY72" s="13" t="str">
        <f>IF(BY$4="Yes",INDEX(List!$E$2:$CD$173,MATCH('Selection Pane Data'!$B72,List!$E$2:$E$173,0),MATCH('Selection Pane Data'!BY$3,List!$E$2:$CD$2,0)),"")</f>
        <v/>
      </c>
      <c r="BZ72" s="13" t="str">
        <f>IF(BZ$4="Yes",INDEX(List!$E$2:$CD$173,MATCH('Selection Pane Data'!$B72,List!$E$2:$E$173,0),MATCH('Selection Pane Data'!BZ$3,List!$E$2:$CD$2,0)),"")</f>
        <v/>
      </c>
      <c r="CA72" s="13" t="str">
        <f>IF(CA$4="Yes",INDEX(List!$E$2:$CD$173,MATCH('Selection Pane Data'!$B72,List!$E$2:$E$173,0),MATCH('Selection Pane Data'!CA$3,List!$E$2:$CD$2,0)),"")</f>
        <v/>
      </c>
      <c r="CB72" s="13" t="str">
        <f>IF(CB$4="Yes",INDEX(List!$E$2:$CD$173,MATCH('Selection Pane Data'!$B72,List!$E$2:$E$173,0),MATCH('Selection Pane Data'!CB$3,List!$E$2:$CD$2,0)),"")</f>
        <v/>
      </c>
      <c r="CC72" s="13" t="str">
        <f>IF(CC$4="Yes",INDEX(List!$E$2:$CD$173,MATCH('Selection Pane Data'!$B72,List!$E$2:$E$173,0),MATCH('Selection Pane Data'!CC$3,List!$E$2:$CD$2,0)),"")</f>
        <v/>
      </c>
      <c r="CD72" s="13" t="str">
        <f>IF(CD$4="Yes",INDEX(List!$E$2:$CD$173,MATCH('Selection Pane Data'!$B72,List!$E$2:$E$173,0),MATCH('Selection Pane Data'!CD$3,List!$E$2:$CD$2,0)),"")</f>
        <v/>
      </c>
      <c r="CE72" s="13" t="str">
        <f>IF(CE$4="Yes",INDEX(List!$E$2:$CD$173,MATCH('Selection Pane Data'!$B72,List!$E$2:$E$173,0),MATCH('Selection Pane Data'!CE$3,List!$E$2:$CD$2,0)),"")</f>
        <v/>
      </c>
    </row>
    <row r="73" spans="2:83" x14ac:dyDescent="0.35">
      <c r="B73" s="21" t="s">
        <v>360</v>
      </c>
      <c r="C73" s="126" t="str">
        <f>VLOOKUP(B73,List!$E$2:$G$173,2,FALSE)</f>
        <v>IA.L2-3.5.7</v>
      </c>
      <c r="D73" s="31" t="str">
        <f>List!G71</f>
        <v>Shared Coverage</v>
      </c>
      <c r="E73" s="31" t="str">
        <f>IF(Placemat!$F$4="All Practices","All Practices",IF(VLOOKUP(B73,Table7[#All],6,FALSE)="No Mapping","New CMMC Practices","Practices with NIST 800-171 Mappings"))</f>
        <v>Practices with NIST 800-171 Mappings</v>
      </c>
      <c r="F73" t="str">
        <f>INDEX('CMMC Levels'!$A$1:$F$172,MATCH('Selection Pane Data'!$C73,'CMMC Levels'!$A$1:$A$172,0),MATCH(Placemat!$F$4,'CMMC Levels'!$A$1:$F$1,0))</f>
        <v>X</v>
      </c>
      <c r="G73" s="77" t="str">
        <f>IF((COUNTIF(List!H71:CE71,"P")+COUNTIF(List!H71:CE71,"S"))=0,"N",IF(COUNTIF(H73:CE73,"P"),"P",IF(COUNTIF(H73:CE73,"S"),"S","U")))</f>
        <v>U</v>
      </c>
      <c r="H73" s="13" t="str">
        <f>IF(H$4="Yes",INDEX(List!$E$2:$CD$173,MATCH('Selection Pane Data'!$B73,List!$E$2:$E$173,0),MATCH('Selection Pane Data'!H$3,List!$E$2:$CD$2,0)),"")</f>
        <v/>
      </c>
      <c r="I73" s="13" t="str">
        <f>IF(I$4="Yes",INDEX(List!$E$2:$CD$173,MATCH('Selection Pane Data'!$B73,List!$E$2:$E$173,0),MATCH('Selection Pane Data'!I$3,List!$E$2:$CD$2,0)),"")</f>
        <v/>
      </c>
      <c r="J73" s="13" t="str">
        <f>IF(J$4="Yes",INDEX(List!$E$2:$CD$173,MATCH('Selection Pane Data'!$B73,List!$E$2:$E$173,0),MATCH('Selection Pane Data'!J$3,List!$E$2:$CD$2,0)),"")</f>
        <v>N</v>
      </c>
      <c r="K73" s="13" t="str">
        <f>IF(K$4="Yes",INDEX(List!$E$2:$CD$173,MATCH('Selection Pane Data'!$B73,List!$E$2:$E$173,0),MATCH('Selection Pane Data'!K$3,List!$E$2:$CD$2,0)),"")</f>
        <v/>
      </c>
      <c r="L73" s="13" t="str">
        <f>IF(L$4="Yes",INDEX(List!$E$2:$CD$173,MATCH('Selection Pane Data'!$B73,List!$E$2:$E$173,0),MATCH('Selection Pane Data'!L$3,List!$E$2:$CD$2,0)),"")</f>
        <v/>
      </c>
      <c r="M73" s="13" t="str">
        <f>IF(M$4="Yes",INDEX(List!$E$2:$CD$173,MATCH('Selection Pane Data'!$B73,List!$E$2:$E$173,0),MATCH('Selection Pane Data'!M$3,List!$E$2:$CD$2,0)),"")</f>
        <v/>
      </c>
      <c r="N73" s="13" t="str">
        <f>IF(N$4="Yes",INDEX(List!$E$2:$CD$173,MATCH('Selection Pane Data'!$B73,List!$E$2:$E$173,0),MATCH('Selection Pane Data'!N$3,List!$E$2:$CD$2,0)),"")</f>
        <v/>
      </c>
      <c r="O73" s="13" t="str">
        <f>IF(O$4="Yes",INDEX(List!$E$2:$CD$173,MATCH('Selection Pane Data'!$B73,List!$E$2:$E$173,0),MATCH('Selection Pane Data'!O$3,List!$E$2:$CD$2,0)),"")</f>
        <v/>
      </c>
      <c r="P73" s="13" t="str">
        <f>IF(P$4="Yes",INDEX(List!$E$2:$CD$173,MATCH('Selection Pane Data'!$B73,List!$E$2:$E$173,0),MATCH('Selection Pane Data'!P$3,List!$E$2:$CD$2,0)),"")</f>
        <v/>
      </c>
      <c r="Q73" s="13" t="str">
        <f>IF(Q$4="Yes",INDEX(List!$E$2:$CD$173,MATCH('Selection Pane Data'!$B73,List!$E$2:$E$173,0),MATCH('Selection Pane Data'!Q$3,List!$E$2:$CD$2,0)),"")</f>
        <v/>
      </c>
      <c r="R73" s="13" t="str">
        <f>IF(R$4="Yes",INDEX(List!$E$2:$CD$173,MATCH('Selection Pane Data'!$B73,List!$E$2:$E$173,0),MATCH('Selection Pane Data'!R$3,List!$E$2:$CD$2,0)),"")</f>
        <v/>
      </c>
      <c r="S73" s="13" t="str">
        <f>IF(S$4="Yes",INDEX(List!$E$2:$CD$173,MATCH('Selection Pane Data'!$B73,List!$E$2:$E$173,0),MATCH('Selection Pane Data'!S$3,List!$E$2:$CD$2,0)),"")</f>
        <v/>
      </c>
      <c r="T73" s="13" t="str">
        <f>IF(T$4="Yes",INDEX(List!$E$2:$CD$173,MATCH('Selection Pane Data'!$B73,List!$E$2:$E$173,0),MATCH('Selection Pane Data'!T$3,List!$E$2:$CD$2,0)),"")</f>
        <v/>
      </c>
      <c r="U73" s="13" t="str">
        <f>IF(U$4="Yes",INDEX(List!$E$2:$CD$173,MATCH('Selection Pane Data'!$B73,List!$E$2:$E$173,0),MATCH('Selection Pane Data'!U$3,List!$E$2:$CD$2,0)),"")</f>
        <v/>
      </c>
      <c r="V73" s="13" t="str">
        <f>IF(V$4="Yes",INDEX(List!$E$2:$CD$173,MATCH('Selection Pane Data'!$B73,List!$E$2:$E$173,0),MATCH('Selection Pane Data'!V$3,List!$E$2:$CD$2,0)),"")</f>
        <v/>
      </c>
      <c r="W73" s="13" t="str">
        <f>IF(W$4="Yes",INDEX(List!$E$2:$CD$173,MATCH('Selection Pane Data'!$B73,List!$E$2:$E$173,0),MATCH('Selection Pane Data'!W$3,List!$E$2:$CD$2,0)),"")</f>
        <v/>
      </c>
      <c r="X73" s="13" t="str">
        <f>IF(X$4="Yes",INDEX(List!$E$2:$CD$173,MATCH('Selection Pane Data'!$B73,List!$E$2:$E$173,0),MATCH('Selection Pane Data'!X$3,List!$E$2:$CD$2,0)),"")</f>
        <v/>
      </c>
      <c r="Y73" s="13" t="str">
        <f>IF(Y$4="Yes",INDEX(List!$E$2:$CD$173,MATCH('Selection Pane Data'!$B73,List!$E$2:$E$173,0),MATCH('Selection Pane Data'!Y$3,List!$E$2:$CD$2,0)),"")</f>
        <v/>
      </c>
      <c r="Z73" s="13" t="str">
        <f>IF(Z$4="Yes",INDEX(List!$E$2:$CD$173,MATCH('Selection Pane Data'!$B73,List!$E$2:$E$173,0),MATCH('Selection Pane Data'!Z$3,List!$E$2:$CD$2,0)),"")</f>
        <v/>
      </c>
      <c r="AA73" s="13" t="str">
        <f>IF(AA$4="Yes",INDEX(List!$E$2:$CD$173,MATCH('Selection Pane Data'!$B73,List!$E$2:$E$173,0),MATCH('Selection Pane Data'!AA$3,List!$E$2:$CD$2,0)),"")</f>
        <v>N</v>
      </c>
      <c r="AB73" s="13" t="str">
        <f>IF(AB$4="Yes",INDEX(List!$E$2:$CD$173,MATCH('Selection Pane Data'!$B73,List!$E$2:$E$173,0),MATCH('Selection Pane Data'!AB$3,List!$E$2:$CD$2,0)),"")</f>
        <v/>
      </c>
      <c r="AC73" s="13" t="str">
        <f>IF(AC$4="Yes",INDEX(List!$E$2:$CD$173,MATCH('Selection Pane Data'!$B73,List!$E$2:$E$173,0),MATCH('Selection Pane Data'!AC$3,List!$E$2:$CD$2,0)),"")</f>
        <v/>
      </c>
      <c r="AD73" s="13" t="str">
        <f>IF(AD$4="Yes",INDEX(List!$E$2:$CD$173,MATCH('Selection Pane Data'!$B73,List!$E$2:$E$173,0),MATCH('Selection Pane Data'!AD$3,List!$E$2:$CD$2,0)),"")</f>
        <v/>
      </c>
      <c r="AE73" s="13" t="str">
        <f>IF(AE$4="Yes",INDEX(List!$E$2:$CD$173,MATCH('Selection Pane Data'!$B73,List!$E$2:$E$173,0),MATCH('Selection Pane Data'!AE$3,List!$E$2:$CD$2,0)),"")</f>
        <v/>
      </c>
      <c r="AF73" s="13" t="str">
        <f>IF(AF$4="Yes",INDEX(List!$E$2:$CD$173,MATCH('Selection Pane Data'!$B73,List!$E$2:$E$173,0),MATCH('Selection Pane Data'!AF$3,List!$E$2:$CD$2,0)),"")</f>
        <v/>
      </c>
      <c r="AG73" s="13" t="str">
        <f>IF(AG$4="Yes",INDEX(List!$E$2:$CD$173,MATCH('Selection Pane Data'!$B73,List!$E$2:$E$173,0),MATCH('Selection Pane Data'!AG$3,List!$E$2:$CD$2,0)),"")</f>
        <v/>
      </c>
      <c r="AH73" s="13" t="str">
        <f>IF(AH$4="Yes",INDEX(List!$E$2:$CD$173,MATCH('Selection Pane Data'!$B73,List!$E$2:$E$173,0),MATCH('Selection Pane Data'!AH$3,List!$E$2:$CD$2,0)),"")</f>
        <v/>
      </c>
      <c r="AI73" s="13" t="str">
        <f>IF(AI$4="Yes",INDEX(List!$E$2:$CD$173,MATCH('Selection Pane Data'!$B73,List!$E$2:$E$173,0),MATCH('Selection Pane Data'!AI$3,List!$E$2:$CD$2,0)),"")</f>
        <v/>
      </c>
      <c r="AJ73" s="13" t="str">
        <f>IF(AJ$4="Yes",INDEX(List!$E$2:$CD$173,MATCH('Selection Pane Data'!$B73,List!$E$2:$E$173,0),MATCH('Selection Pane Data'!AJ$3,List!$E$2:$CD$2,0)),"")</f>
        <v/>
      </c>
      <c r="AK73" s="13" t="str">
        <f>IF(AK$4="Yes",INDEX(List!$E$2:$CD$173,MATCH('Selection Pane Data'!$B73,List!$E$2:$E$173,0),MATCH('Selection Pane Data'!AK$3,List!$E$2:$CD$2,0)),"")</f>
        <v/>
      </c>
      <c r="AL73" s="13" t="str">
        <f>IF(AL$4="Yes",INDEX(List!$E$2:$CD$173,MATCH('Selection Pane Data'!$B73,List!$E$2:$E$173,0),MATCH('Selection Pane Data'!AL$3,List!$E$2:$CD$2,0)),"")</f>
        <v/>
      </c>
      <c r="AM73" s="13" t="str">
        <f>IF(AM$4="Yes",INDEX(List!$E$2:$CD$173,MATCH('Selection Pane Data'!$B73,List!$E$2:$E$173,0),MATCH('Selection Pane Data'!AM$3,List!$E$2:$CD$2,0)),"")</f>
        <v/>
      </c>
      <c r="AN73" s="13" t="str">
        <f>IF(AN$4="Yes",INDEX(List!$E$2:$CD$173,MATCH('Selection Pane Data'!$B73,List!$E$2:$E$173,0),MATCH('Selection Pane Data'!AN$3,List!$E$2:$CD$2,0)),"")</f>
        <v/>
      </c>
      <c r="AO73" s="13" t="str">
        <f>IF(AO$4="Yes",INDEX(List!$E$2:$CD$173,MATCH('Selection Pane Data'!$B73,List!$E$2:$E$173,0),MATCH('Selection Pane Data'!AO$3,List!$E$2:$CD$2,0)),"")</f>
        <v/>
      </c>
      <c r="AP73" s="13" t="str">
        <f>IF(AP$4="Yes",INDEX(List!$E$2:$CD$173,MATCH('Selection Pane Data'!$B73,List!$E$2:$E$173,0),MATCH('Selection Pane Data'!AP$3,List!$E$2:$CD$2,0)),"")</f>
        <v/>
      </c>
      <c r="AQ73" s="13" t="str">
        <f>IF(AQ$4="Yes",INDEX(List!$E$2:$CD$173,MATCH('Selection Pane Data'!$B73,List!$E$2:$E$173,0),MATCH('Selection Pane Data'!AQ$3,List!$E$2:$CD$2,0)),"")</f>
        <v/>
      </c>
      <c r="AR73" s="13" t="str">
        <f>IF(AR$4="Yes",INDEX(List!$E$2:$CD$173,MATCH('Selection Pane Data'!$B73,List!$E$2:$E$173,0),MATCH('Selection Pane Data'!AR$3,List!$E$2:$CD$2,0)),"")</f>
        <v/>
      </c>
      <c r="AS73" s="13" t="str">
        <f>IF(AS$4="Yes",INDEX(List!$E$2:$CD$173,MATCH('Selection Pane Data'!$B73,List!$E$2:$E$173,0),MATCH('Selection Pane Data'!AS$3,List!$E$2:$CD$2,0)),"")</f>
        <v/>
      </c>
      <c r="AT73" s="13" t="str">
        <f>IF(AT$4="Yes",INDEX(List!$E$2:$CD$173,MATCH('Selection Pane Data'!$B73,List!$E$2:$E$173,0),MATCH('Selection Pane Data'!AT$3,List!$E$2:$CD$2,0)),"")</f>
        <v/>
      </c>
      <c r="AU73" s="13" t="str">
        <f>IF(AU$4="Yes",INDEX(List!$E$2:$CD$173,MATCH('Selection Pane Data'!$B73,List!$E$2:$E$173,0),MATCH('Selection Pane Data'!AU$3,List!$E$2:$CD$2,0)),"")</f>
        <v/>
      </c>
      <c r="AV73" s="13" t="str">
        <f>IF(AV$4="Yes",INDEX(List!$E$2:$CD$173,MATCH('Selection Pane Data'!$B73,List!$E$2:$E$173,0),MATCH('Selection Pane Data'!AV$3,List!$E$2:$CD$2,0)),"")</f>
        <v/>
      </c>
      <c r="AW73" s="13" t="str">
        <f>IF(AW$4="Yes",INDEX(List!$E$2:$CD$173,MATCH('Selection Pane Data'!$B73,List!$E$2:$E$173,0),MATCH('Selection Pane Data'!AW$3,List!$E$2:$CD$2,0)),"")</f>
        <v/>
      </c>
      <c r="AX73" s="13" t="str">
        <f>IF(AX$4="Yes",INDEX(List!$E$2:$CD$173,MATCH('Selection Pane Data'!$B73,List!$E$2:$E$173,0),MATCH('Selection Pane Data'!AX$3,List!$E$2:$CD$2,0)),"")</f>
        <v/>
      </c>
      <c r="AY73" s="13" t="str">
        <f>IF(AY$4="Yes",INDEX(List!$E$2:$CD$173,MATCH('Selection Pane Data'!$B73,List!$E$2:$E$173,0),MATCH('Selection Pane Data'!AY$3,List!$E$2:$CD$2,0)),"")</f>
        <v/>
      </c>
      <c r="AZ73" s="13" t="str">
        <f>IF(AZ$4="Yes",INDEX(List!$E$2:$CD$173,MATCH('Selection Pane Data'!$B73,List!$E$2:$E$173,0),MATCH('Selection Pane Data'!AZ$3,List!$E$2:$CD$2,0)),"")</f>
        <v/>
      </c>
      <c r="BA73" s="13" t="str">
        <f>IF(BA$4="Yes",INDEX(List!$E$2:$CD$173,MATCH('Selection Pane Data'!$B73,List!$E$2:$E$173,0),MATCH('Selection Pane Data'!BA$3,List!$E$2:$CD$2,0)),"")</f>
        <v/>
      </c>
      <c r="BB73" s="13" t="str">
        <f>IF(BB$4="Yes",INDEX(List!$E$2:$CD$173,MATCH('Selection Pane Data'!$B73,List!$E$2:$E$173,0),MATCH('Selection Pane Data'!BB$3,List!$E$2:$CD$2,0)),"")</f>
        <v/>
      </c>
      <c r="BC73" s="13" t="str">
        <f>IF(BC$4="Yes",INDEX(List!$E$2:$CD$173,MATCH('Selection Pane Data'!$B73,List!$E$2:$E$173,0),MATCH('Selection Pane Data'!BC$3,List!$E$2:$CD$2,0)),"")</f>
        <v/>
      </c>
      <c r="BD73" s="13" t="str">
        <f>IF(BD$4="Yes",INDEX(List!$E$2:$CD$173,MATCH('Selection Pane Data'!$B73,List!$E$2:$E$173,0),MATCH('Selection Pane Data'!BD$3,List!$E$2:$CD$2,0)),"")</f>
        <v/>
      </c>
      <c r="BE73" s="13" t="str">
        <f>IF(BE$4="Yes",INDEX(List!$E$2:$CD$173,MATCH('Selection Pane Data'!$B73,List!$E$2:$E$173,0),MATCH('Selection Pane Data'!BE$3,List!$E$2:$CD$2,0)),"")</f>
        <v/>
      </c>
      <c r="BF73" s="13" t="str">
        <f>IF(BF$4="Yes",INDEX(List!$E$2:$CD$173,MATCH('Selection Pane Data'!$B73,List!$E$2:$E$173,0),MATCH('Selection Pane Data'!BF$3,List!$E$2:$CD$2,0)),"")</f>
        <v/>
      </c>
      <c r="BG73" s="13" t="str">
        <f>IF(BG$4="Yes",INDEX(List!$E$2:$CD$173,MATCH('Selection Pane Data'!$B73,List!$E$2:$E$173,0),MATCH('Selection Pane Data'!BG$3,List!$E$2:$CD$2,0)),"")</f>
        <v/>
      </c>
      <c r="BH73" s="13" t="str">
        <f>IF(BH$4="Yes",INDEX(List!$E$2:$CD$173,MATCH('Selection Pane Data'!$B73,List!$E$2:$E$173,0),MATCH('Selection Pane Data'!BH$3,List!$E$2:$CD$2,0)),"")</f>
        <v/>
      </c>
      <c r="BI73" s="13" t="str">
        <f>IF(BI$4="Yes",INDEX(List!$E$2:$CD$173,MATCH('Selection Pane Data'!$B73,List!$E$2:$E$173,0),MATCH('Selection Pane Data'!BI$3,List!$E$2:$CD$2,0)),"")</f>
        <v/>
      </c>
      <c r="BJ73" s="13" t="str">
        <f>IF(BJ$4="Yes",INDEX(List!$E$2:$CD$173,MATCH('Selection Pane Data'!$B73,List!$E$2:$E$173,0),MATCH('Selection Pane Data'!BJ$3,List!$E$2:$CD$2,0)),"")</f>
        <v/>
      </c>
      <c r="BK73" s="13" t="str">
        <f>IF(BK$4="Yes",INDEX(List!$E$2:$CD$173,MATCH('Selection Pane Data'!$B73,List!$E$2:$E$173,0),MATCH('Selection Pane Data'!BK$3,List!$E$2:$CD$2,0)),"")</f>
        <v/>
      </c>
      <c r="BL73" s="13" t="str">
        <f>IF(BL$4="Yes",INDEX(List!$E$2:$CD$173,MATCH('Selection Pane Data'!$B73,List!$E$2:$E$173,0),MATCH('Selection Pane Data'!BL$3,List!$E$2:$CD$2,0)),"")</f>
        <v/>
      </c>
      <c r="BM73" s="13" t="str">
        <f>IF(BM$4="Yes",INDEX(List!$E$2:$CD$173,MATCH('Selection Pane Data'!$B73,List!$E$2:$E$173,0),MATCH('Selection Pane Data'!BM$3,List!$E$2:$CD$2,0)),"")</f>
        <v/>
      </c>
      <c r="BN73" s="13" t="str">
        <f>IF(BN$4="Yes",INDEX(List!$E$2:$CD$173,MATCH('Selection Pane Data'!$B73,List!$E$2:$E$173,0),MATCH('Selection Pane Data'!BN$3,List!$E$2:$CD$2,0)),"")</f>
        <v/>
      </c>
      <c r="BO73" s="13" t="str">
        <f>IF(BO$4="Yes",INDEX(List!$E$2:$CD$173,MATCH('Selection Pane Data'!$B73,List!$E$2:$E$173,0),MATCH('Selection Pane Data'!BO$3,List!$E$2:$CD$2,0)),"")</f>
        <v/>
      </c>
      <c r="BP73" s="13" t="str">
        <f>IF(BP$4="Yes",INDEX(List!$E$2:$CD$173,MATCH('Selection Pane Data'!$B73,List!$E$2:$E$173,0),MATCH('Selection Pane Data'!BP$3,List!$E$2:$CD$2,0)),"")</f>
        <v/>
      </c>
      <c r="BQ73" s="13" t="str">
        <f>IF(BQ$4="Yes",INDEX(List!$E$2:$CD$173,MATCH('Selection Pane Data'!$B73,List!$E$2:$E$173,0),MATCH('Selection Pane Data'!BQ$3,List!$E$2:$CD$2,0)),"")</f>
        <v/>
      </c>
      <c r="BR73" s="13" t="str">
        <f>IF(BR$4="Yes",INDEX(List!$E$2:$CD$173,MATCH('Selection Pane Data'!$B73,List!$E$2:$E$173,0),MATCH('Selection Pane Data'!BR$3,List!$E$2:$CD$2,0)),"")</f>
        <v/>
      </c>
      <c r="BS73" s="13" t="str">
        <f>IF(BS$4="Yes",INDEX(List!$E$2:$CD$173,MATCH('Selection Pane Data'!$B73,List!$E$2:$E$173,0),MATCH('Selection Pane Data'!BS$3,List!$E$2:$CD$2,0)),"")</f>
        <v/>
      </c>
      <c r="BT73" s="13" t="str">
        <f>IF(BT$4="Yes",INDEX(List!$E$2:$CD$173,MATCH('Selection Pane Data'!$B73,List!$E$2:$E$173,0),MATCH('Selection Pane Data'!BT$3,List!$E$2:$CD$2,0)),"")</f>
        <v/>
      </c>
      <c r="BU73" s="13" t="str">
        <f>IF(BU$4="Yes",INDEX(List!$E$2:$CD$173,MATCH('Selection Pane Data'!$B73,List!$E$2:$E$173,0),MATCH('Selection Pane Data'!BU$3,List!$E$2:$CD$2,0)),"")</f>
        <v/>
      </c>
      <c r="BV73" s="13" t="str">
        <f>IF(BV$4="Yes",INDEX(List!$E$2:$CD$173,MATCH('Selection Pane Data'!$B73,List!$E$2:$E$173,0),MATCH('Selection Pane Data'!BV$3,List!$E$2:$CD$2,0)),"")</f>
        <v/>
      </c>
      <c r="BW73" s="13" t="str">
        <f>IF(BW$4="Yes",INDEX(List!$E$2:$CD$173,MATCH('Selection Pane Data'!$B73,List!$E$2:$E$173,0),MATCH('Selection Pane Data'!BW$3,List!$E$2:$CD$2,0)),"")</f>
        <v/>
      </c>
      <c r="BX73" s="13" t="str">
        <f>IF(BX$4="Yes",INDEX(List!$E$2:$CD$173,MATCH('Selection Pane Data'!$B73,List!$E$2:$E$173,0),MATCH('Selection Pane Data'!BX$3,List!$E$2:$CD$2,0)),"")</f>
        <v/>
      </c>
      <c r="BY73" s="13" t="str">
        <f>IF(BY$4="Yes",INDEX(List!$E$2:$CD$173,MATCH('Selection Pane Data'!$B73,List!$E$2:$E$173,0),MATCH('Selection Pane Data'!BY$3,List!$E$2:$CD$2,0)),"")</f>
        <v/>
      </c>
      <c r="BZ73" s="13" t="str">
        <f>IF(BZ$4="Yes",INDEX(List!$E$2:$CD$173,MATCH('Selection Pane Data'!$B73,List!$E$2:$E$173,0),MATCH('Selection Pane Data'!BZ$3,List!$E$2:$CD$2,0)),"")</f>
        <v/>
      </c>
      <c r="CA73" s="13" t="str">
        <f>IF(CA$4="Yes",INDEX(List!$E$2:$CD$173,MATCH('Selection Pane Data'!$B73,List!$E$2:$E$173,0),MATCH('Selection Pane Data'!CA$3,List!$E$2:$CD$2,0)),"")</f>
        <v/>
      </c>
      <c r="CB73" s="13" t="str">
        <f>IF(CB$4="Yes",INDEX(List!$E$2:$CD$173,MATCH('Selection Pane Data'!$B73,List!$E$2:$E$173,0),MATCH('Selection Pane Data'!CB$3,List!$E$2:$CD$2,0)),"")</f>
        <v/>
      </c>
      <c r="CC73" s="13" t="str">
        <f>IF(CC$4="Yes",INDEX(List!$E$2:$CD$173,MATCH('Selection Pane Data'!$B73,List!$E$2:$E$173,0),MATCH('Selection Pane Data'!CC$3,List!$E$2:$CD$2,0)),"")</f>
        <v/>
      </c>
      <c r="CD73" s="13" t="str">
        <f>IF(CD$4="Yes",INDEX(List!$E$2:$CD$173,MATCH('Selection Pane Data'!$B73,List!$E$2:$E$173,0),MATCH('Selection Pane Data'!CD$3,List!$E$2:$CD$2,0)),"")</f>
        <v/>
      </c>
      <c r="CE73" s="13" t="str">
        <f>IF(CE$4="Yes",INDEX(List!$E$2:$CD$173,MATCH('Selection Pane Data'!$B73,List!$E$2:$E$173,0),MATCH('Selection Pane Data'!CE$3,List!$E$2:$CD$2,0)),"")</f>
        <v/>
      </c>
    </row>
    <row r="74" spans="2:83" x14ac:dyDescent="0.35">
      <c r="B74" s="21" t="s">
        <v>361</v>
      </c>
      <c r="C74" s="126" t="str">
        <f>VLOOKUP(B74,List!$E$2:$G$173,2,FALSE)</f>
        <v>IA.L2-3.5.8</v>
      </c>
      <c r="D74" s="31" t="str">
        <f>List!G72</f>
        <v>Shared Coverage</v>
      </c>
      <c r="E74" s="31" t="str">
        <f>IF(Placemat!$F$4="All Practices","All Practices",IF(VLOOKUP(B74,Table7[#All],6,FALSE)="No Mapping","New CMMC Practices","Practices with NIST 800-171 Mappings"))</f>
        <v>Practices with NIST 800-171 Mappings</v>
      </c>
      <c r="F74" t="str">
        <f>INDEX('CMMC Levels'!$A$1:$F$172,MATCH('Selection Pane Data'!$C74,'CMMC Levels'!$A$1:$A$172,0),MATCH(Placemat!$F$4,'CMMC Levels'!$A$1:$F$1,0))</f>
        <v>X</v>
      </c>
      <c r="G74" s="77" t="str">
        <f>IF((COUNTIF(List!H72:CE72,"P")+COUNTIF(List!H72:CE72,"S"))=0,"N",IF(COUNTIF(H74:CE74,"P"),"P",IF(COUNTIF(H74:CE74,"S"),"S","U")))</f>
        <v>U</v>
      </c>
      <c r="H74" s="13" t="str">
        <f>IF(H$4="Yes",INDEX(List!$E$2:$CD$173,MATCH('Selection Pane Data'!$B74,List!$E$2:$E$173,0),MATCH('Selection Pane Data'!H$3,List!$E$2:$CD$2,0)),"")</f>
        <v/>
      </c>
      <c r="I74" s="13" t="str">
        <f>IF(I$4="Yes",INDEX(List!$E$2:$CD$173,MATCH('Selection Pane Data'!$B74,List!$E$2:$E$173,0),MATCH('Selection Pane Data'!I$3,List!$E$2:$CD$2,0)),"")</f>
        <v/>
      </c>
      <c r="J74" s="13" t="str">
        <f>IF(J$4="Yes",INDEX(List!$E$2:$CD$173,MATCH('Selection Pane Data'!$B74,List!$E$2:$E$173,0),MATCH('Selection Pane Data'!J$3,List!$E$2:$CD$2,0)),"")</f>
        <v>N</v>
      </c>
      <c r="K74" s="13" t="str">
        <f>IF(K$4="Yes",INDEX(List!$E$2:$CD$173,MATCH('Selection Pane Data'!$B74,List!$E$2:$E$173,0),MATCH('Selection Pane Data'!K$3,List!$E$2:$CD$2,0)),"")</f>
        <v/>
      </c>
      <c r="L74" s="13" t="str">
        <f>IF(L$4="Yes",INDEX(List!$E$2:$CD$173,MATCH('Selection Pane Data'!$B74,List!$E$2:$E$173,0),MATCH('Selection Pane Data'!L$3,List!$E$2:$CD$2,0)),"")</f>
        <v/>
      </c>
      <c r="M74" s="13" t="str">
        <f>IF(M$4="Yes",INDEX(List!$E$2:$CD$173,MATCH('Selection Pane Data'!$B74,List!$E$2:$E$173,0),MATCH('Selection Pane Data'!M$3,List!$E$2:$CD$2,0)),"")</f>
        <v/>
      </c>
      <c r="N74" s="13" t="str">
        <f>IF(N$4="Yes",INDEX(List!$E$2:$CD$173,MATCH('Selection Pane Data'!$B74,List!$E$2:$E$173,0),MATCH('Selection Pane Data'!N$3,List!$E$2:$CD$2,0)),"")</f>
        <v/>
      </c>
      <c r="O74" s="13" t="str">
        <f>IF(O$4="Yes",INDEX(List!$E$2:$CD$173,MATCH('Selection Pane Data'!$B74,List!$E$2:$E$173,0),MATCH('Selection Pane Data'!O$3,List!$E$2:$CD$2,0)),"")</f>
        <v/>
      </c>
      <c r="P74" s="13" t="str">
        <f>IF(P$4="Yes",INDEX(List!$E$2:$CD$173,MATCH('Selection Pane Data'!$B74,List!$E$2:$E$173,0),MATCH('Selection Pane Data'!P$3,List!$E$2:$CD$2,0)),"")</f>
        <v/>
      </c>
      <c r="Q74" s="13" t="str">
        <f>IF(Q$4="Yes",INDEX(List!$E$2:$CD$173,MATCH('Selection Pane Data'!$B74,List!$E$2:$E$173,0),MATCH('Selection Pane Data'!Q$3,List!$E$2:$CD$2,0)),"")</f>
        <v/>
      </c>
      <c r="R74" s="13" t="str">
        <f>IF(R$4="Yes",INDEX(List!$E$2:$CD$173,MATCH('Selection Pane Data'!$B74,List!$E$2:$E$173,0),MATCH('Selection Pane Data'!R$3,List!$E$2:$CD$2,0)),"")</f>
        <v/>
      </c>
      <c r="S74" s="13" t="str">
        <f>IF(S$4="Yes",INDEX(List!$E$2:$CD$173,MATCH('Selection Pane Data'!$B74,List!$E$2:$E$173,0),MATCH('Selection Pane Data'!S$3,List!$E$2:$CD$2,0)),"")</f>
        <v/>
      </c>
      <c r="T74" s="13" t="str">
        <f>IF(T$4="Yes",INDEX(List!$E$2:$CD$173,MATCH('Selection Pane Data'!$B74,List!$E$2:$E$173,0),MATCH('Selection Pane Data'!T$3,List!$E$2:$CD$2,0)),"")</f>
        <v/>
      </c>
      <c r="U74" s="13" t="str">
        <f>IF(U$4="Yes",INDEX(List!$E$2:$CD$173,MATCH('Selection Pane Data'!$B74,List!$E$2:$E$173,0),MATCH('Selection Pane Data'!U$3,List!$E$2:$CD$2,0)),"")</f>
        <v/>
      </c>
      <c r="V74" s="13" t="str">
        <f>IF(V$4="Yes",INDEX(List!$E$2:$CD$173,MATCH('Selection Pane Data'!$B74,List!$E$2:$E$173,0),MATCH('Selection Pane Data'!V$3,List!$E$2:$CD$2,0)),"")</f>
        <v/>
      </c>
      <c r="W74" s="13" t="str">
        <f>IF(W$4="Yes",INDEX(List!$E$2:$CD$173,MATCH('Selection Pane Data'!$B74,List!$E$2:$E$173,0),MATCH('Selection Pane Data'!W$3,List!$E$2:$CD$2,0)),"")</f>
        <v/>
      </c>
      <c r="X74" s="13" t="str">
        <f>IF(X$4="Yes",INDEX(List!$E$2:$CD$173,MATCH('Selection Pane Data'!$B74,List!$E$2:$E$173,0),MATCH('Selection Pane Data'!X$3,List!$E$2:$CD$2,0)),"")</f>
        <v/>
      </c>
      <c r="Y74" s="13" t="str">
        <f>IF(Y$4="Yes",INDEX(List!$E$2:$CD$173,MATCH('Selection Pane Data'!$B74,List!$E$2:$E$173,0),MATCH('Selection Pane Data'!Y$3,List!$E$2:$CD$2,0)),"")</f>
        <v/>
      </c>
      <c r="Z74" s="13" t="str">
        <f>IF(Z$4="Yes",INDEX(List!$E$2:$CD$173,MATCH('Selection Pane Data'!$B74,List!$E$2:$E$173,0),MATCH('Selection Pane Data'!Z$3,List!$E$2:$CD$2,0)),"")</f>
        <v/>
      </c>
      <c r="AA74" s="13" t="str">
        <f>IF(AA$4="Yes",INDEX(List!$E$2:$CD$173,MATCH('Selection Pane Data'!$B74,List!$E$2:$E$173,0),MATCH('Selection Pane Data'!AA$3,List!$E$2:$CD$2,0)),"")</f>
        <v>N</v>
      </c>
      <c r="AB74" s="13" t="str">
        <f>IF(AB$4="Yes",INDEX(List!$E$2:$CD$173,MATCH('Selection Pane Data'!$B74,List!$E$2:$E$173,0),MATCH('Selection Pane Data'!AB$3,List!$E$2:$CD$2,0)),"")</f>
        <v/>
      </c>
      <c r="AC74" s="13" t="str">
        <f>IF(AC$4="Yes",INDEX(List!$E$2:$CD$173,MATCH('Selection Pane Data'!$B74,List!$E$2:$E$173,0),MATCH('Selection Pane Data'!AC$3,List!$E$2:$CD$2,0)),"")</f>
        <v/>
      </c>
      <c r="AD74" s="13" t="str">
        <f>IF(AD$4="Yes",INDEX(List!$E$2:$CD$173,MATCH('Selection Pane Data'!$B74,List!$E$2:$E$173,0),MATCH('Selection Pane Data'!AD$3,List!$E$2:$CD$2,0)),"")</f>
        <v/>
      </c>
      <c r="AE74" s="13" t="str">
        <f>IF(AE$4="Yes",INDEX(List!$E$2:$CD$173,MATCH('Selection Pane Data'!$B74,List!$E$2:$E$173,0),MATCH('Selection Pane Data'!AE$3,List!$E$2:$CD$2,0)),"")</f>
        <v/>
      </c>
      <c r="AF74" s="13" t="str">
        <f>IF(AF$4="Yes",INDEX(List!$E$2:$CD$173,MATCH('Selection Pane Data'!$B74,List!$E$2:$E$173,0),MATCH('Selection Pane Data'!AF$3,List!$E$2:$CD$2,0)),"")</f>
        <v/>
      </c>
      <c r="AG74" s="13" t="str">
        <f>IF(AG$4="Yes",INDEX(List!$E$2:$CD$173,MATCH('Selection Pane Data'!$B74,List!$E$2:$E$173,0),MATCH('Selection Pane Data'!AG$3,List!$E$2:$CD$2,0)),"")</f>
        <v/>
      </c>
      <c r="AH74" s="13" t="str">
        <f>IF(AH$4="Yes",INDEX(List!$E$2:$CD$173,MATCH('Selection Pane Data'!$B74,List!$E$2:$E$173,0),MATCH('Selection Pane Data'!AH$3,List!$E$2:$CD$2,0)),"")</f>
        <v/>
      </c>
      <c r="AI74" s="13" t="str">
        <f>IF(AI$4="Yes",INDEX(List!$E$2:$CD$173,MATCH('Selection Pane Data'!$B74,List!$E$2:$E$173,0),MATCH('Selection Pane Data'!AI$3,List!$E$2:$CD$2,0)),"")</f>
        <v/>
      </c>
      <c r="AJ74" s="13" t="str">
        <f>IF(AJ$4="Yes",INDEX(List!$E$2:$CD$173,MATCH('Selection Pane Data'!$B74,List!$E$2:$E$173,0),MATCH('Selection Pane Data'!AJ$3,List!$E$2:$CD$2,0)),"")</f>
        <v/>
      </c>
      <c r="AK74" s="13" t="str">
        <f>IF(AK$4="Yes",INDEX(List!$E$2:$CD$173,MATCH('Selection Pane Data'!$B74,List!$E$2:$E$173,0),MATCH('Selection Pane Data'!AK$3,List!$E$2:$CD$2,0)),"")</f>
        <v/>
      </c>
      <c r="AL74" s="13" t="str">
        <f>IF(AL$4="Yes",INDEX(List!$E$2:$CD$173,MATCH('Selection Pane Data'!$B74,List!$E$2:$E$173,0),MATCH('Selection Pane Data'!AL$3,List!$E$2:$CD$2,0)),"")</f>
        <v/>
      </c>
      <c r="AM74" s="13" t="str">
        <f>IF(AM$4="Yes",INDEX(List!$E$2:$CD$173,MATCH('Selection Pane Data'!$B74,List!$E$2:$E$173,0),MATCH('Selection Pane Data'!AM$3,List!$E$2:$CD$2,0)),"")</f>
        <v/>
      </c>
      <c r="AN74" s="13" t="str">
        <f>IF(AN$4="Yes",INDEX(List!$E$2:$CD$173,MATCH('Selection Pane Data'!$B74,List!$E$2:$E$173,0),MATCH('Selection Pane Data'!AN$3,List!$E$2:$CD$2,0)),"")</f>
        <v/>
      </c>
      <c r="AO74" s="13" t="str">
        <f>IF(AO$4="Yes",INDEX(List!$E$2:$CD$173,MATCH('Selection Pane Data'!$B74,List!$E$2:$E$173,0),MATCH('Selection Pane Data'!AO$3,List!$E$2:$CD$2,0)),"")</f>
        <v/>
      </c>
      <c r="AP74" s="13" t="str">
        <f>IF(AP$4="Yes",INDEX(List!$E$2:$CD$173,MATCH('Selection Pane Data'!$B74,List!$E$2:$E$173,0),MATCH('Selection Pane Data'!AP$3,List!$E$2:$CD$2,0)),"")</f>
        <v/>
      </c>
      <c r="AQ74" s="13" t="str">
        <f>IF(AQ$4="Yes",INDEX(List!$E$2:$CD$173,MATCH('Selection Pane Data'!$B74,List!$E$2:$E$173,0),MATCH('Selection Pane Data'!AQ$3,List!$E$2:$CD$2,0)),"")</f>
        <v/>
      </c>
      <c r="AR74" s="13" t="str">
        <f>IF(AR$4="Yes",INDEX(List!$E$2:$CD$173,MATCH('Selection Pane Data'!$B74,List!$E$2:$E$173,0),MATCH('Selection Pane Data'!AR$3,List!$E$2:$CD$2,0)),"")</f>
        <v/>
      </c>
      <c r="AS74" s="13" t="str">
        <f>IF(AS$4="Yes",INDEX(List!$E$2:$CD$173,MATCH('Selection Pane Data'!$B74,List!$E$2:$E$173,0),MATCH('Selection Pane Data'!AS$3,List!$E$2:$CD$2,0)),"")</f>
        <v/>
      </c>
      <c r="AT74" s="13" t="str">
        <f>IF(AT$4="Yes",INDEX(List!$E$2:$CD$173,MATCH('Selection Pane Data'!$B74,List!$E$2:$E$173,0),MATCH('Selection Pane Data'!AT$3,List!$E$2:$CD$2,0)),"")</f>
        <v/>
      </c>
      <c r="AU74" s="13" t="str">
        <f>IF(AU$4="Yes",INDEX(List!$E$2:$CD$173,MATCH('Selection Pane Data'!$B74,List!$E$2:$E$173,0),MATCH('Selection Pane Data'!AU$3,List!$E$2:$CD$2,0)),"")</f>
        <v/>
      </c>
      <c r="AV74" s="13" t="str">
        <f>IF(AV$4="Yes",INDEX(List!$E$2:$CD$173,MATCH('Selection Pane Data'!$B74,List!$E$2:$E$173,0),MATCH('Selection Pane Data'!AV$3,List!$E$2:$CD$2,0)),"")</f>
        <v/>
      </c>
      <c r="AW74" s="13" t="str">
        <f>IF(AW$4="Yes",INDEX(List!$E$2:$CD$173,MATCH('Selection Pane Data'!$B74,List!$E$2:$E$173,0),MATCH('Selection Pane Data'!AW$3,List!$E$2:$CD$2,0)),"")</f>
        <v/>
      </c>
      <c r="AX74" s="13" t="str">
        <f>IF(AX$4="Yes",INDEX(List!$E$2:$CD$173,MATCH('Selection Pane Data'!$B74,List!$E$2:$E$173,0),MATCH('Selection Pane Data'!AX$3,List!$E$2:$CD$2,0)),"")</f>
        <v/>
      </c>
      <c r="AY74" s="13" t="str">
        <f>IF(AY$4="Yes",INDEX(List!$E$2:$CD$173,MATCH('Selection Pane Data'!$B74,List!$E$2:$E$173,0),MATCH('Selection Pane Data'!AY$3,List!$E$2:$CD$2,0)),"")</f>
        <v/>
      </c>
      <c r="AZ74" s="13" t="str">
        <f>IF(AZ$4="Yes",INDEX(List!$E$2:$CD$173,MATCH('Selection Pane Data'!$B74,List!$E$2:$E$173,0),MATCH('Selection Pane Data'!AZ$3,List!$E$2:$CD$2,0)),"")</f>
        <v/>
      </c>
      <c r="BA74" s="13" t="str">
        <f>IF(BA$4="Yes",INDEX(List!$E$2:$CD$173,MATCH('Selection Pane Data'!$B74,List!$E$2:$E$173,0),MATCH('Selection Pane Data'!BA$3,List!$E$2:$CD$2,0)),"")</f>
        <v/>
      </c>
      <c r="BB74" s="13" t="str">
        <f>IF(BB$4="Yes",INDEX(List!$E$2:$CD$173,MATCH('Selection Pane Data'!$B74,List!$E$2:$E$173,0),MATCH('Selection Pane Data'!BB$3,List!$E$2:$CD$2,0)),"")</f>
        <v/>
      </c>
      <c r="BC74" s="13" t="str">
        <f>IF(BC$4="Yes",INDEX(List!$E$2:$CD$173,MATCH('Selection Pane Data'!$B74,List!$E$2:$E$173,0),MATCH('Selection Pane Data'!BC$3,List!$E$2:$CD$2,0)),"")</f>
        <v/>
      </c>
      <c r="BD74" s="13" t="str">
        <f>IF(BD$4="Yes",INDEX(List!$E$2:$CD$173,MATCH('Selection Pane Data'!$B74,List!$E$2:$E$173,0),MATCH('Selection Pane Data'!BD$3,List!$E$2:$CD$2,0)),"")</f>
        <v/>
      </c>
      <c r="BE74" s="13" t="str">
        <f>IF(BE$4="Yes",INDEX(List!$E$2:$CD$173,MATCH('Selection Pane Data'!$B74,List!$E$2:$E$173,0),MATCH('Selection Pane Data'!BE$3,List!$E$2:$CD$2,0)),"")</f>
        <v/>
      </c>
      <c r="BF74" s="13" t="str">
        <f>IF(BF$4="Yes",INDEX(List!$E$2:$CD$173,MATCH('Selection Pane Data'!$B74,List!$E$2:$E$173,0),MATCH('Selection Pane Data'!BF$3,List!$E$2:$CD$2,0)),"")</f>
        <v/>
      </c>
      <c r="BG74" s="13" t="str">
        <f>IF(BG$4="Yes",INDEX(List!$E$2:$CD$173,MATCH('Selection Pane Data'!$B74,List!$E$2:$E$173,0),MATCH('Selection Pane Data'!BG$3,List!$E$2:$CD$2,0)),"")</f>
        <v/>
      </c>
      <c r="BH74" s="13" t="str">
        <f>IF(BH$4="Yes",INDEX(List!$E$2:$CD$173,MATCH('Selection Pane Data'!$B74,List!$E$2:$E$173,0),MATCH('Selection Pane Data'!BH$3,List!$E$2:$CD$2,0)),"")</f>
        <v/>
      </c>
      <c r="BI74" s="13" t="str">
        <f>IF(BI$4="Yes",INDEX(List!$E$2:$CD$173,MATCH('Selection Pane Data'!$B74,List!$E$2:$E$173,0),MATCH('Selection Pane Data'!BI$3,List!$E$2:$CD$2,0)),"")</f>
        <v/>
      </c>
      <c r="BJ74" s="13" t="str">
        <f>IF(BJ$4="Yes",INDEX(List!$E$2:$CD$173,MATCH('Selection Pane Data'!$B74,List!$E$2:$E$173,0),MATCH('Selection Pane Data'!BJ$3,List!$E$2:$CD$2,0)),"")</f>
        <v/>
      </c>
      <c r="BK74" s="13" t="str">
        <f>IF(BK$4="Yes",INDEX(List!$E$2:$CD$173,MATCH('Selection Pane Data'!$B74,List!$E$2:$E$173,0),MATCH('Selection Pane Data'!BK$3,List!$E$2:$CD$2,0)),"")</f>
        <v/>
      </c>
      <c r="BL74" s="13" t="str">
        <f>IF(BL$4="Yes",INDEX(List!$E$2:$CD$173,MATCH('Selection Pane Data'!$B74,List!$E$2:$E$173,0),MATCH('Selection Pane Data'!BL$3,List!$E$2:$CD$2,0)),"")</f>
        <v/>
      </c>
      <c r="BM74" s="13" t="str">
        <f>IF(BM$4="Yes",INDEX(List!$E$2:$CD$173,MATCH('Selection Pane Data'!$B74,List!$E$2:$E$173,0),MATCH('Selection Pane Data'!BM$3,List!$E$2:$CD$2,0)),"")</f>
        <v/>
      </c>
      <c r="BN74" s="13" t="str">
        <f>IF(BN$4="Yes",INDEX(List!$E$2:$CD$173,MATCH('Selection Pane Data'!$B74,List!$E$2:$E$173,0),MATCH('Selection Pane Data'!BN$3,List!$E$2:$CD$2,0)),"")</f>
        <v/>
      </c>
      <c r="BO74" s="13" t="str">
        <f>IF(BO$4="Yes",INDEX(List!$E$2:$CD$173,MATCH('Selection Pane Data'!$B74,List!$E$2:$E$173,0),MATCH('Selection Pane Data'!BO$3,List!$E$2:$CD$2,0)),"")</f>
        <v/>
      </c>
      <c r="BP74" s="13" t="str">
        <f>IF(BP$4="Yes",INDEX(List!$E$2:$CD$173,MATCH('Selection Pane Data'!$B74,List!$E$2:$E$173,0),MATCH('Selection Pane Data'!BP$3,List!$E$2:$CD$2,0)),"")</f>
        <v/>
      </c>
      <c r="BQ74" s="13" t="str">
        <f>IF(BQ$4="Yes",INDEX(List!$E$2:$CD$173,MATCH('Selection Pane Data'!$B74,List!$E$2:$E$173,0),MATCH('Selection Pane Data'!BQ$3,List!$E$2:$CD$2,0)),"")</f>
        <v/>
      </c>
      <c r="BR74" s="13" t="str">
        <f>IF(BR$4="Yes",INDEX(List!$E$2:$CD$173,MATCH('Selection Pane Data'!$B74,List!$E$2:$E$173,0),MATCH('Selection Pane Data'!BR$3,List!$E$2:$CD$2,0)),"")</f>
        <v/>
      </c>
      <c r="BS74" s="13" t="str">
        <f>IF(BS$4="Yes",INDEX(List!$E$2:$CD$173,MATCH('Selection Pane Data'!$B74,List!$E$2:$E$173,0),MATCH('Selection Pane Data'!BS$3,List!$E$2:$CD$2,0)),"")</f>
        <v/>
      </c>
      <c r="BT74" s="13" t="str">
        <f>IF(BT$4="Yes",INDEX(List!$E$2:$CD$173,MATCH('Selection Pane Data'!$B74,List!$E$2:$E$173,0),MATCH('Selection Pane Data'!BT$3,List!$E$2:$CD$2,0)),"")</f>
        <v/>
      </c>
      <c r="BU74" s="13" t="str">
        <f>IF(BU$4="Yes",INDEX(List!$E$2:$CD$173,MATCH('Selection Pane Data'!$B74,List!$E$2:$E$173,0),MATCH('Selection Pane Data'!BU$3,List!$E$2:$CD$2,0)),"")</f>
        <v/>
      </c>
      <c r="BV74" s="13" t="str">
        <f>IF(BV$4="Yes",INDEX(List!$E$2:$CD$173,MATCH('Selection Pane Data'!$B74,List!$E$2:$E$173,0),MATCH('Selection Pane Data'!BV$3,List!$E$2:$CD$2,0)),"")</f>
        <v/>
      </c>
      <c r="BW74" s="13" t="str">
        <f>IF(BW$4="Yes",INDEX(List!$E$2:$CD$173,MATCH('Selection Pane Data'!$B74,List!$E$2:$E$173,0),MATCH('Selection Pane Data'!BW$3,List!$E$2:$CD$2,0)),"")</f>
        <v/>
      </c>
      <c r="BX74" s="13" t="str">
        <f>IF(BX$4="Yes",INDEX(List!$E$2:$CD$173,MATCH('Selection Pane Data'!$B74,List!$E$2:$E$173,0),MATCH('Selection Pane Data'!BX$3,List!$E$2:$CD$2,0)),"")</f>
        <v/>
      </c>
      <c r="BY74" s="13" t="str">
        <f>IF(BY$4="Yes",INDEX(List!$E$2:$CD$173,MATCH('Selection Pane Data'!$B74,List!$E$2:$E$173,0),MATCH('Selection Pane Data'!BY$3,List!$E$2:$CD$2,0)),"")</f>
        <v/>
      </c>
      <c r="BZ74" s="13" t="str">
        <f>IF(BZ$4="Yes",INDEX(List!$E$2:$CD$173,MATCH('Selection Pane Data'!$B74,List!$E$2:$E$173,0),MATCH('Selection Pane Data'!BZ$3,List!$E$2:$CD$2,0)),"")</f>
        <v/>
      </c>
      <c r="CA74" s="13" t="str">
        <f>IF(CA$4="Yes",INDEX(List!$E$2:$CD$173,MATCH('Selection Pane Data'!$B74,List!$E$2:$E$173,0),MATCH('Selection Pane Data'!CA$3,List!$E$2:$CD$2,0)),"")</f>
        <v/>
      </c>
      <c r="CB74" s="13" t="str">
        <f>IF(CB$4="Yes",INDEX(List!$E$2:$CD$173,MATCH('Selection Pane Data'!$B74,List!$E$2:$E$173,0),MATCH('Selection Pane Data'!CB$3,List!$E$2:$CD$2,0)),"")</f>
        <v/>
      </c>
      <c r="CC74" s="13" t="str">
        <f>IF(CC$4="Yes",INDEX(List!$E$2:$CD$173,MATCH('Selection Pane Data'!$B74,List!$E$2:$E$173,0),MATCH('Selection Pane Data'!CC$3,List!$E$2:$CD$2,0)),"")</f>
        <v/>
      </c>
      <c r="CD74" s="13" t="str">
        <f>IF(CD$4="Yes",INDEX(List!$E$2:$CD$173,MATCH('Selection Pane Data'!$B74,List!$E$2:$E$173,0),MATCH('Selection Pane Data'!CD$3,List!$E$2:$CD$2,0)),"")</f>
        <v/>
      </c>
      <c r="CE74" s="13" t="str">
        <f>IF(CE$4="Yes",INDEX(List!$E$2:$CD$173,MATCH('Selection Pane Data'!$B74,List!$E$2:$E$173,0),MATCH('Selection Pane Data'!CE$3,List!$E$2:$CD$2,0)),"")</f>
        <v/>
      </c>
    </row>
    <row r="75" spans="2:83" x14ac:dyDescent="0.35">
      <c r="B75" s="21" t="s">
        <v>362</v>
      </c>
      <c r="C75" s="126" t="str">
        <f>VLOOKUP(B75,List!$E$2:$G$173,2,FALSE)</f>
        <v>IA.L2-3.5.9</v>
      </c>
      <c r="D75" s="31" t="str">
        <f>List!G73</f>
        <v>Customer Responsibility</v>
      </c>
      <c r="E75" s="31" t="str">
        <f>IF(Placemat!$F$4="All Practices","All Practices",IF(VLOOKUP(B75,Table7[#All],6,FALSE)="No Mapping","New CMMC Practices","Practices with NIST 800-171 Mappings"))</f>
        <v>Practices with NIST 800-171 Mappings</v>
      </c>
      <c r="F75" t="str">
        <f>INDEX('CMMC Levels'!$A$1:$F$172,MATCH('Selection Pane Data'!$C75,'CMMC Levels'!$A$1:$A$172,0),MATCH(Placemat!$F$4,'CMMC Levels'!$A$1:$F$1,0))</f>
        <v>X</v>
      </c>
      <c r="G75" s="77" t="str">
        <f>IF((COUNTIF(List!H73:CE73,"P")+COUNTIF(List!H73:CE73,"S"))=0,"N",IF(COUNTIF(H75:CE75,"P"),"P",IF(COUNTIF(H75:CE75,"S"),"S","U")))</f>
        <v>U</v>
      </c>
      <c r="H75" s="13" t="str">
        <f>IF(H$4="Yes",INDEX(List!$E$2:$CD$173,MATCH('Selection Pane Data'!$B75,List!$E$2:$E$173,0),MATCH('Selection Pane Data'!H$3,List!$E$2:$CD$2,0)),"")</f>
        <v/>
      </c>
      <c r="I75" s="13" t="str">
        <f>IF(I$4="Yes",INDEX(List!$E$2:$CD$173,MATCH('Selection Pane Data'!$B75,List!$E$2:$E$173,0),MATCH('Selection Pane Data'!I$3,List!$E$2:$CD$2,0)),"")</f>
        <v/>
      </c>
      <c r="J75" s="13" t="str">
        <f>IF(J$4="Yes",INDEX(List!$E$2:$CD$173,MATCH('Selection Pane Data'!$B75,List!$E$2:$E$173,0),MATCH('Selection Pane Data'!J$3,List!$E$2:$CD$2,0)),"")</f>
        <v>N</v>
      </c>
      <c r="K75" s="13" t="str">
        <f>IF(K$4="Yes",INDEX(List!$E$2:$CD$173,MATCH('Selection Pane Data'!$B75,List!$E$2:$E$173,0),MATCH('Selection Pane Data'!K$3,List!$E$2:$CD$2,0)),"")</f>
        <v/>
      </c>
      <c r="L75" s="13" t="str">
        <f>IF(L$4="Yes",INDEX(List!$E$2:$CD$173,MATCH('Selection Pane Data'!$B75,List!$E$2:$E$173,0),MATCH('Selection Pane Data'!L$3,List!$E$2:$CD$2,0)),"")</f>
        <v/>
      </c>
      <c r="M75" s="13" t="str">
        <f>IF(M$4="Yes",INDEX(List!$E$2:$CD$173,MATCH('Selection Pane Data'!$B75,List!$E$2:$E$173,0),MATCH('Selection Pane Data'!M$3,List!$E$2:$CD$2,0)),"")</f>
        <v/>
      </c>
      <c r="N75" s="13" t="str">
        <f>IF(N$4="Yes",INDEX(List!$E$2:$CD$173,MATCH('Selection Pane Data'!$B75,List!$E$2:$E$173,0),MATCH('Selection Pane Data'!N$3,List!$E$2:$CD$2,0)),"")</f>
        <v/>
      </c>
      <c r="O75" s="13" t="str">
        <f>IF(O$4="Yes",INDEX(List!$E$2:$CD$173,MATCH('Selection Pane Data'!$B75,List!$E$2:$E$173,0),MATCH('Selection Pane Data'!O$3,List!$E$2:$CD$2,0)),"")</f>
        <v/>
      </c>
      <c r="P75" s="13" t="str">
        <f>IF(P$4="Yes",INDEX(List!$E$2:$CD$173,MATCH('Selection Pane Data'!$B75,List!$E$2:$E$173,0),MATCH('Selection Pane Data'!P$3,List!$E$2:$CD$2,0)),"")</f>
        <v/>
      </c>
      <c r="Q75" s="13" t="str">
        <f>IF(Q$4="Yes",INDEX(List!$E$2:$CD$173,MATCH('Selection Pane Data'!$B75,List!$E$2:$E$173,0),MATCH('Selection Pane Data'!Q$3,List!$E$2:$CD$2,0)),"")</f>
        <v/>
      </c>
      <c r="R75" s="13" t="str">
        <f>IF(R$4="Yes",INDEX(List!$E$2:$CD$173,MATCH('Selection Pane Data'!$B75,List!$E$2:$E$173,0),MATCH('Selection Pane Data'!R$3,List!$E$2:$CD$2,0)),"")</f>
        <v/>
      </c>
      <c r="S75" s="13" t="str">
        <f>IF(S$4="Yes",INDEX(List!$E$2:$CD$173,MATCH('Selection Pane Data'!$B75,List!$E$2:$E$173,0),MATCH('Selection Pane Data'!S$3,List!$E$2:$CD$2,0)),"")</f>
        <v/>
      </c>
      <c r="T75" s="13" t="str">
        <f>IF(T$4="Yes",INDEX(List!$E$2:$CD$173,MATCH('Selection Pane Data'!$B75,List!$E$2:$E$173,0),MATCH('Selection Pane Data'!T$3,List!$E$2:$CD$2,0)),"")</f>
        <v/>
      </c>
      <c r="U75" s="13" t="str">
        <f>IF(U$4="Yes",INDEX(List!$E$2:$CD$173,MATCH('Selection Pane Data'!$B75,List!$E$2:$E$173,0),MATCH('Selection Pane Data'!U$3,List!$E$2:$CD$2,0)),"")</f>
        <v/>
      </c>
      <c r="V75" s="13" t="str">
        <f>IF(V$4="Yes",INDEX(List!$E$2:$CD$173,MATCH('Selection Pane Data'!$B75,List!$E$2:$E$173,0),MATCH('Selection Pane Data'!V$3,List!$E$2:$CD$2,0)),"")</f>
        <v/>
      </c>
      <c r="W75" s="13" t="str">
        <f>IF(W$4="Yes",INDEX(List!$E$2:$CD$173,MATCH('Selection Pane Data'!$B75,List!$E$2:$E$173,0),MATCH('Selection Pane Data'!W$3,List!$E$2:$CD$2,0)),"")</f>
        <v/>
      </c>
      <c r="X75" s="13" t="str">
        <f>IF(X$4="Yes",INDEX(List!$E$2:$CD$173,MATCH('Selection Pane Data'!$B75,List!$E$2:$E$173,0),MATCH('Selection Pane Data'!X$3,List!$E$2:$CD$2,0)),"")</f>
        <v/>
      </c>
      <c r="Y75" s="13" t="str">
        <f>IF(Y$4="Yes",INDEX(List!$E$2:$CD$173,MATCH('Selection Pane Data'!$B75,List!$E$2:$E$173,0),MATCH('Selection Pane Data'!Y$3,List!$E$2:$CD$2,0)),"")</f>
        <v/>
      </c>
      <c r="Z75" s="13" t="str">
        <f>IF(Z$4="Yes",INDEX(List!$E$2:$CD$173,MATCH('Selection Pane Data'!$B75,List!$E$2:$E$173,0),MATCH('Selection Pane Data'!Z$3,List!$E$2:$CD$2,0)),"")</f>
        <v/>
      </c>
      <c r="AA75" s="13" t="str">
        <f>IF(AA$4="Yes",INDEX(List!$E$2:$CD$173,MATCH('Selection Pane Data'!$B75,List!$E$2:$E$173,0),MATCH('Selection Pane Data'!AA$3,List!$E$2:$CD$2,0)),"")</f>
        <v>N</v>
      </c>
      <c r="AB75" s="13" t="str">
        <f>IF(AB$4="Yes",INDEX(List!$E$2:$CD$173,MATCH('Selection Pane Data'!$B75,List!$E$2:$E$173,0),MATCH('Selection Pane Data'!AB$3,List!$E$2:$CD$2,0)),"")</f>
        <v/>
      </c>
      <c r="AC75" s="13" t="str">
        <f>IF(AC$4="Yes",INDEX(List!$E$2:$CD$173,MATCH('Selection Pane Data'!$B75,List!$E$2:$E$173,0),MATCH('Selection Pane Data'!AC$3,List!$E$2:$CD$2,0)),"")</f>
        <v/>
      </c>
      <c r="AD75" s="13" t="str">
        <f>IF(AD$4="Yes",INDEX(List!$E$2:$CD$173,MATCH('Selection Pane Data'!$B75,List!$E$2:$E$173,0),MATCH('Selection Pane Data'!AD$3,List!$E$2:$CD$2,0)),"")</f>
        <v/>
      </c>
      <c r="AE75" s="13" t="str">
        <f>IF(AE$4="Yes",INDEX(List!$E$2:$CD$173,MATCH('Selection Pane Data'!$B75,List!$E$2:$E$173,0),MATCH('Selection Pane Data'!AE$3,List!$E$2:$CD$2,0)),"")</f>
        <v/>
      </c>
      <c r="AF75" s="13" t="str">
        <f>IF(AF$4="Yes",INDEX(List!$E$2:$CD$173,MATCH('Selection Pane Data'!$B75,List!$E$2:$E$173,0),MATCH('Selection Pane Data'!AF$3,List!$E$2:$CD$2,0)),"")</f>
        <v/>
      </c>
      <c r="AG75" s="13" t="str">
        <f>IF(AG$4="Yes",INDEX(List!$E$2:$CD$173,MATCH('Selection Pane Data'!$B75,List!$E$2:$E$173,0),MATCH('Selection Pane Data'!AG$3,List!$E$2:$CD$2,0)),"")</f>
        <v/>
      </c>
      <c r="AH75" s="13" t="str">
        <f>IF(AH$4="Yes",INDEX(List!$E$2:$CD$173,MATCH('Selection Pane Data'!$B75,List!$E$2:$E$173,0),MATCH('Selection Pane Data'!AH$3,List!$E$2:$CD$2,0)),"")</f>
        <v/>
      </c>
      <c r="AI75" s="13" t="str">
        <f>IF(AI$4="Yes",INDEX(List!$E$2:$CD$173,MATCH('Selection Pane Data'!$B75,List!$E$2:$E$173,0),MATCH('Selection Pane Data'!AI$3,List!$E$2:$CD$2,0)),"")</f>
        <v/>
      </c>
      <c r="AJ75" s="13" t="str">
        <f>IF(AJ$4="Yes",INDEX(List!$E$2:$CD$173,MATCH('Selection Pane Data'!$B75,List!$E$2:$E$173,0),MATCH('Selection Pane Data'!AJ$3,List!$E$2:$CD$2,0)),"")</f>
        <v/>
      </c>
      <c r="AK75" s="13" t="str">
        <f>IF(AK$4="Yes",INDEX(List!$E$2:$CD$173,MATCH('Selection Pane Data'!$B75,List!$E$2:$E$173,0),MATCH('Selection Pane Data'!AK$3,List!$E$2:$CD$2,0)),"")</f>
        <v/>
      </c>
      <c r="AL75" s="13" t="str">
        <f>IF(AL$4="Yes",INDEX(List!$E$2:$CD$173,MATCH('Selection Pane Data'!$B75,List!$E$2:$E$173,0),MATCH('Selection Pane Data'!AL$3,List!$E$2:$CD$2,0)),"")</f>
        <v/>
      </c>
      <c r="AM75" s="13" t="str">
        <f>IF(AM$4="Yes",INDEX(List!$E$2:$CD$173,MATCH('Selection Pane Data'!$B75,List!$E$2:$E$173,0),MATCH('Selection Pane Data'!AM$3,List!$E$2:$CD$2,0)),"")</f>
        <v/>
      </c>
      <c r="AN75" s="13" t="str">
        <f>IF(AN$4="Yes",INDEX(List!$E$2:$CD$173,MATCH('Selection Pane Data'!$B75,List!$E$2:$E$173,0),MATCH('Selection Pane Data'!AN$3,List!$E$2:$CD$2,0)),"")</f>
        <v/>
      </c>
      <c r="AO75" s="13" t="str">
        <f>IF(AO$4="Yes",INDEX(List!$E$2:$CD$173,MATCH('Selection Pane Data'!$B75,List!$E$2:$E$173,0),MATCH('Selection Pane Data'!AO$3,List!$E$2:$CD$2,0)),"")</f>
        <v/>
      </c>
      <c r="AP75" s="13" t="str">
        <f>IF(AP$4="Yes",INDEX(List!$E$2:$CD$173,MATCH('Selection Pane Data'!$B75,List!$E$2:$E$173,0),MATCH('Selection Pane Data'!AP$3,List!$E$2:$CD$2,0)),"")</f>
        <v/>
      </c>
      <c r="AQ75" s="13" t="str">
        <f>IF(AQ$4="Yes",INDEX(List!$E$2:$CD$173,MATCH('Selection Pane Data'!$B75,List!$E$2:$E$173,0),MATCH('Selection Pane Data'!AQ$3,List!$E$2:$CD$2,0)),"")</f>
        <v/>
      </c>
      <c r="AR75" s="13" t="str">
        <f>IF(AR$4="Yes",INDEX(List!$E$2:$CD$173,MATCH('Selection Pane Data'!$B75,List!$E$2:$E$173,0),MATCH('Selection Pane Data'!AR$3,List!$E$2:$CD$2,0)),"")</f>
        <v/>
      </c>
      <c r="AS75" s="13" t="str">
        <f>IF(AS$4="Yes",INDEX(List!$E$2:$CD$173,MATCH('Selection Pane Data'!$B75,List!$E$2:$E$173,0),MATCH('Selection Pane Data'!AS$3,List!$E$2:$CD$2,0)),"")</f>
        <v/>
      </c>
      <c r="AT75" s="13" t="str">
        <f>IF(AT$4="Yes",INDEX(List!$E$2:$CD$173,MATCH('Selection Pane Data'!$B75,List!$E$2:$E$173,0),MATCH('Selection Pane Data'!AT$3,List!$E$2:$CD$2,0)),"")</f>
        <v/>
      </c>
      <c r="AU75" s="13" t="str">
        <f>IF(AU$4="Yes",INDEX(List!$E$2:$CD$173,MATCH('Selection Pane Data'!$B75,List!$E$2:$E$173,0),MATCH('Selection Pane Data'!AU$3,List!$E$2:$CD$2,0)),"")</f>
        <v/>
      </c>
      <c r="AV75" s="13" t="str">
        <f>IF(AV$4="Yes",INDEX(List!$E$2:$CD$173,MATCH('Selection Pane Data'!$B75,List!$E$2:$E$173,0),MATCH('Selection Pane Data'!AV$3,List!$E$2:$CD$2,0)),"")</f>
        <v/>
      </c>
      <c r="AW75" s="13" t="str">
        <f>IF(AW$4="Yes",INDEX(List!$E$2:$CD$173,MATCH('Selection Pane Data'!$B75,List!$E$2:$E$173,0),MATCH('Selection Pane Data'!AW$3,List!$E$2:$CD$2,0)),"")</f>
        <v/>
      </c>
      <c r="AX75" s="13" t="str">
        <f>IF(AX$4="Yes",INDEX(List!$E$2:$CD$173,MATCH('Selection Pane Data'!$B75,List!$E$2:$E$173,0),MATCH('Selection Pane Data'!AX$3,List!$E$2:$CD$2,0)),"")</f>
        <v/>
      </c>
      <c r="AY75" s="13" t="str">
        <f>IF(AY$4="Yes",INDEX(List!$E$2:$CD$173,MATCH('Selection Pane Data'!$B75,List!$E$2:$E$173,0),MATCH('Selection Pane Data'!AY$3,List!$E$2:$CD$2,0)),"")</f>
        <v/>
      </c>
      <c r="AZ75" s="13" t="str">
        <f>IF(AZ$4="Yes",INDEX(List!$E$2:$CD$173,MATCH('Selection Pane Data'!$B75,List!$E$2:$E$173,0),MATCH('Selection Pane Data'!AZ$3,List!$E$2:$CD$2,0)),"")</f>
        <v/>
      </c>
      <c r="BA75" s="13" t="str">
        <f>IF(BA$4="Yes",INDEX(List!$E$2:$CD$173,MATCH('Selection Pane Data'!$B75,List!$E$2:$E$173,0),MATCH('Selection Pane Data'!BA$3,List!$E$2:$CD$2,0)),"")</f>
        <v/>
      </c>
      <c r="BB75" s="13" t="str">
        <f>IF(BB$4="Yes",INDEX(List!$E$2:$CD$173,MATCH('Selection Pane Data'!$B75,List!$E$2:$E$173,0),MATCH('Selection Pane Data'!BB$3,List!$E$2:$CD$2,0)),"")</f>
        <v/>
      </c>
      <c r="BC75" s="13" t="str">
        <f>IF(BC$4="Yes",INDEX(List!$E$2:$CD$173,MATCH('Selection Pane Data'!$B75,List!$E$2:$E$173,0),MATCH('Selection Pane Data'!BC$3,List!$E$2:$CD$2,0)),"")</f>
        <v/>
      </c>
      <c r="BD75" s="13" t="str">
        <f>IF(BD$4="Yes",INDEX(List!$E$2:$CD$173,MATCH('Selection Pane Data'!$B75,List!$E$2:$E$173,0),MATCH('Selection Pane Data'!BD$3,List!$E$2:$CD$2,0)),"")</f>
        <v/>
      </c>
      <c r="BE75" s="13" t="str">
        <f>IF(BE$4="Yes",INDEX(List!$E$2:$CD$173,MATCH('Selection Pane Data'!$B75,List!$E$2:$E$173,0),MATCH('Selection Pane Data'!BE$3,List!$E$2:$CD$2,0)),"")</f>
        <v/>
      </c>
      <c r="BF75" s="13" t="str">
        <f>IF(BF$4="Yes",INDEX(List!$E$2:$CD$173,MATCH('Selection Pane Data'!$B75,List!$E$2:$E$173,0),MATCH('Selection Pane Data'!BF$3,List!$E$2:$CD$2,0)),"")</f>
        <v/>
      </c>
      <c r="BG75" s="13" t="str">
        <f>IF(BG$4="Yes",INDEX(List!$E$2:$CD$173,MATCH('Selection Pane Data'!$B75,List!$E$2:$E$173,0),MATCH('Selection Pane Data'!BG$3,List!$E$2:$CD$2,0)),"")</f>
        <v/>
      </c>
      <c r="BH75" s="13" t="str">
        <f>IF(BH$4="Yes",INDEX(List!$E$2:$CD$173,MATCH('Selection Pane Data'!$B75,List!$E$2:$E$173,0),MATCH('Selection Pane Data'!BH$3,List!$E$2:$CD$2,0)),"")</f>
        <v/>
      </c>
      <c r="BI75" s="13" t="str">
        <f>IF(BI$4="Yes",INDEX(List!$E$2:$CD$173,MATCH('Selection Pane Data'!$B75,List!$E$2:$E$173,0),MATCH('Selection Pane Data'!BI$3,List!$E$2:$CD$2,0)),"")</f>
        <v/>
      </c>
      <c r="BJ75" s="13" t="str">
        <f>IF(BJ$4="Yes",INDEX(List!$E$2:$CD$173,MATCH('Selection Pane Data'!$B75,List!$E$2:$E$173,0),MATCH('Selection Pane Data'!BJ$3,List!$E$2:$CD$2,0)),"")</f>
        <v/>
      </c>
      <c r="BK75" s="13" t="str">
        <f>IF(BK$4="Yes",INDEX(List!$E$2:$CD$173,MATCH('Selection Pane Data'!$B75,List!$E$2:$E$173,0),MATCH('Selection Pane Data'!BK$3,List!$E$2:$CD$2,0)),"")</f>
        <v/>
      </c>
      <c r="BL75" s="13" t="str">
        <f>IF(BL$4="Yes",INDEX(List!$E$2:$CD$173,MATCH('Selection Pane Data'!$B75,List!$E$2:$E$173,0),MATCH('Selection Pane Data'!BL$3,List!$E$2:$CD$2,0)),"")</f>
        <v/>
      </c>
      <c r="BM75" s="13" t="str">
        <f>IF(BM$4="Yes",INDEX(List!$E$2:$CD$173,MATCH('Selection Pane Data'!$B75,List!$E$2:$E$173,0),MATCH('Selection Pane Data'!BM$3,List!$E$2:$CD$2,0)),"")</f>
        <v/>
      </c>
      <c r="BN75" s="13" t="str">
        <f>IF(BN$4="Yes",INDEX(List!$E$2:$CD$173,MATCH('Selection Pane Data'!$B75,List!$E$2:$E$173,0),MATCH('Selection Pane Data'!BN$3,List!$E$2:$CD$2,0)),"")</f>
        <v/>
      </c>
      <c r="BO75" s="13" t="str">
        <f>IF(BO$4="Yes",INDEX(List!$E$2:$CD$173,MATCH('Selection Pane Data'!$B75,List!$E$2:$E$173,0),MATCH('Selection Pane Data'!BO$3,List!$E$2:$CD$2,0)),"")</f>
        <v/>
      </c>
      <c r="BP75" s="13" t="str">
        <f>IF(BP$4="Yes",INDEX(List!$E$2:$CD$173,MATCH('Selection Pane Data'!$B75,List!$E$2:$E$173,0),MATCH('Selection Pane Data'!BP$3,List!$E$2:$CD$2,0)),"")</f>
        <v/>
      </c>
      <c r="BQ75" s="13" t="str">
        <f>IF(BQ$4="Yes",INDEX(List!$E$2:$CD$173,MATCH('Selection Pane Data'!$B75,List!$E$2:$E$173,0),MATCH('Selection Pane Data'!BQ$3,List!$E$2:$CD$2,0)),"")</f>
        <v/>
      </c>
      <c r="BR75" s="13" t="str">
        <f>IF(BR$4="Yes",INDEX(List!$E$2:$CD$173,MATCH('Selection Pane Data'!$B75,List!$E$2:$E$173,0),MATCH('Selection Pane Data'!BR$3,List!$E$2:$CD$2,0)),"")</f>
        <v/>
      </c>
      <c r="BS75" s="13" t="str">
        <f>IF(BS$4="Yes",INDEX(List!$E$2:$CD$173,MATCH('Selection Pane Data'!$B75,List!$E$2:$E$173,0),MATCH('Selection Pane Data'!BS$3,List!$E$2:$CD$2,0)),"")</f>
        <v/>
      </c>
      <c r="BT75" s="13" t="str">
        <f>IF(BT$4="Yes",INDEX(List!$E$2:$CD$173,MATCH('Selection Pane Data'!$B75,List!$E$2:$E$173,0),MATCH('Selection Pane Data'!BT$3,List!$E$2:$CD$2,0)),"")</f>
        <v/>
      </c>
      <c r="BU75" s="13" t="str">
        <f>IF(BU$4="Yes",INDEX(List!$E$2:$CD$173,MATCH('Selection Pane Data'!$B75,List!$E$2:$E$173,0),MATCH('Selection Pane Data'!BU$3,List!$E$2:$CD$2,0)),"")</f>
        <v/>
      </c>
      <c r="BV75" s="13" t="str">
        <f>IF(BV$4="Yes",INDEX(List!$E$2:$CD$173,MATCH('Selection Pane Data'!$B75,List!$E$2:$E$173,0),MATCH('Selection Pane Data'!BV$3,List!$E$2:$CD$2,0)),"")</f>
        <v/>
      </c>
      <c r="BW75" s="13" t="str">
        <f>IF(BW$4="Yes",INDEX(List!$E$2:$CD$173,MATCH('Selection Pane Data'!$B75,List!$E$2:$E$173,0),MATCH('Selection Pane Data'!BW$3,List!$E$2:$CD$2,0)),"")</f>
        <v/>
      </c>
      <c r="BX75" s="13" t="str">
        <f>IF(BX$4="Yes",INDEX(List!$E$2:$CD$173,MATCH('Selection Pane Data'!$B75,List!$E$2:$E$173,0),MATCH('Selection Pane Data'!BX$3,List!$E$2:$CD$2,0)),"")</f>
        <v/>
      </c>
      <c r="BY75" s="13" t="str">
        <f>IF(BY$4="Yes",INDEX(List!$E$2:$CD$173,MATCH('Selection Pane Data'!$B75,List!$E$2:$E$173,0),MATCH('Selection Pane Data'!BY$3,List!$E$2:$CD$2,0)),"")</f>
        <v/>
      </c>
      <c r="BZ75" s="13" t="str">
        <f>IF(BZ$4="Yes",INDEX(List!$E$2:$CD$173,MATCH('Selection Pane Data'!$B75,List!$E$2:$E$173,0),MATCH('Selection Pane Data'!BZ$3,List!$E$2:$CD$2,0)),"")</f>
        <v/>
      </c>
      <c r="CA75" s="13" t="str">
        <f>IF(CA$4="Yes",INDEX(List!$E$2:$CD$173,MATCH('Selection Pane Data'!$B75,List!$E$2:$E$173,0),MATCH('Selection Pane Data'!CA$3,List!$E$2:$CD$2,0)),"")</f>
        <v/>
      </c>
      <c r="CB75" s="13" t="str">
        <f>IF(CB$4="Yes",INDEX(List!$E$2:$CD$173,MATCH('Selection Pane Data'!$B75,List!$E$2:$E$173,0),MATCH('Selection Pane Data'!CB$3,List!$E$2:$CD$2,0)),"")</f>
        <v/>
      </c>
      <c r="CC75" s="13" t="str">
        <f>IF(CC$4="Yes",INDEX(List!$E$2:$CD$173,MATCH('Selection Pane Data'!$B75,List!$E$2:$E$173,0),MATCH('Selection Pane Data'!CC$3,List!$E$2:$CD$2,0)),"")</f>
        <v/>
      </c>
      <c r="CD75" s="13" t="str">
        <f>IF(CD$4="Yes",INDEX(List!$E$2:$CD$173,MATCH('Selection Pane Data'!$B75,List!$E$2:$E$173,0),MATCH('Selection Pane Data'!CD$3,List!$E$2:$CD$2,0)),"")</f>
        <v/>
      </c>
      <c r="CE75" s="13" t="str">
        <f>IF(CE$4="Yes",INDEX(List!$E$2:$CD$173,MATCH('Selection Pane Data'!$B75,List!$E$2:$E$173,0),MATCH('Selection Pane Data'!CE$3,List!$E$2:$CD$2,0)),"")</f>
        <v/>
      </c>
    </row>
    <row r="76" spans="2:83" x14ac:dyDescent="0.35">
      <c r="B76" s="21" t="s">
        <v>363</v>
      </c>
      <c r="C76" s="126" t="str">
        <f>VLOOKUP(B76,List!$E$2:$G$173,2,FALSE)</f>
        <v>IA.L2-3.5.10</v>
      </c>
      <c r="D76" s="31" t="str">
        <f>List!G74</f>
        <v>Shared Coverage</v>
      </c>
      <c r="E76" s="31" t="str">
        <f>IF(Placemat!$F$4="All Practices","All Practices",IF(VLOOKUP(B76,Table7[#All],6,FALSE)="No Mapping","New CMMC Practices","Practices with NIST 800-171 Mappings"))</f>
        <v>Practices with NIST 800-171 Mappings</v>
      </c>
      <c r="F76" t="str">
        <f>INDEX('CMMC Levels'!$A$1:$F$172,MATCH('Selection Pane Data'!$C76,'CMMC Levels'!$A$1:$A$172,0),MATCH(Placemat!$F$4,'CMMC Levels'!$A$1:$F$1,0))</f>
        <v>X</v>
      </c>
      <c r="G76" s="77" t="str">
        <f>IF((COUNTIF(List!H74:CE74,"P")+COUNTIF(List!H74:CE74,"S"))=0,"N",IF(COUNTIF(H76:CE76,"P"),"P",IF(COUNTIF(H76:CE76,"S"),"S","U")))</f>
        <v>P</v>
      </c>
      <c r="H76" s="13" t="str">
        <f>IF(H$4="Yes",INDEX(List!$E$2:$CD$173,MATCH('Selection Pane Data'!$B76,List!$E$2:$E$173,0),MATCH('Selection Pane Data'!H$3,List!$E$2:$CD$2,0)),"")</f>
        <v/>
      </c>
      <c r="I76" s="13" t="str">
        <f>IF(I$4="Yes",INDEX(List!$E$2:$CD$173,MATCH('Selection Pane Data'!$B76,List!$E$2:$E$173,0),MATCH('Selection Pane Data'!I$3,List!$E$2:$CD$2,0)),"")</f>
        <v/>
      </c>
      <c r="J76" s="13" t="str">
        <f>IF(J$4="Yes",INDEX(List!$E$2:$CD$173,MATCH('Selection Pane Data'!$B76,List!$E$2:$E$173,0),MATCH('Selection Pane Data'!J$3,List!$E$2:$CD$2,0)),"")</f>
        <v>N</v>
      </c>
      <c r="K76" s="13" t="str">
        <f>IF(K$4="Yes",INDEX(List!$E$2:$CD$173,MATCH('Selection Pane Data'!$B76,List!$E$2:$E$173,0),MATCH('Selection Pane Data'!K$3,List!$E$2:$CD$2,0)),"")</f>
        <v/>
      </c>
      <c r="L76" s="13" t="str">
        <f>IF(L$4="Yes",INDEX(List!$E$2:$CD$173,MATCH('Selection Pane Data'!$B76,List!$E$2:$E$173,0),MATCH('Selection Pane Data'!L$3,List!$E$2:$CD$2,0)),"")</f>
        <v/>
      </c>
      <c r="M76" s="13" t="str">
        <f>IF(M$4="Yes",INDEX(List!$E$2:$CD$173,MATCH('Selection Pane Data'!$B76,List!$E$2:$E$173,0),MATCH('Selection Pane Data'!M$3,List!$E$2:$CD$2,0)),"")</f>
        <v/>
      </c>
      <c r="N76" s="13" t="str">
        <f>IF(N$4="Yes",INDEX(List!$E$2:$CD$173,MATCH('Selection Pane Data'!$B76,List!$E$2:$E$173,0),MATCH('Selection Pane Data'!N$3,List!$E$2:$CD$2,0)),"")</f>
        <v/>
      </c>
      <c r="O76" s="13" t="str">
        <f>IF(O$4="Yes",INDEX(List!$E$2:$CD$173,MATCH('Selection Pane Data'!$B76,List!$E$2:$E$173,0),MATCH('Selection Pane Data'!O$3,List!$E$2:$CD$2,0)),"")</f>
        <v/>
      </c>
      <c r="P76" s="13" t="str">
        <f>IF(P$4="Yes",INDEX(List!$E$2:$CD$173,MATCH('Selection Pane Data'!$B76,List!$E$2:$E$173,0),MATCH('Selection Pane Data'!P$3,List!$E$2:$CD$2,0)),"")</f>
        <v/>
      </c>
      <c r="Q76" s="13" t="str">
        <f>IF(Q$4="Yes",INDEX(List!$E$2:$CD$173,MATCH('Selection Pane Data'!$B76,List!$E$2:$E$173,0),MATCH('Selection Pane Data'!Q$3,List!$E$2:$CD$2,0)),"")</f>
        <v/>
      </c>
      <c r="R76" s="13" t="str">
        <f>IF(R$4="Yes",INDEX(List!$E$2:$CD$173,MATCH('Selection Pane Data'!$B76,List!$E$2:$E$173,0),MATCH('Selection Pane Data'!R$3,List!$E$2:$CD$2,0)),"")</f>
        <v/>
      </c>
      <c r="S76" s="13" t="str">
        <f>IF(S$4="Yes",INDEX(List!$E$2:$CD$173,MATCH('Selection Pane Data'!$B76,List!$E$2:$E$173,0),MATCH('Selection Pane Data'!S$3,List!$E$2:$CD$2,0)),"")</f>
        <v/>
      </c>
      <c r="T76" s="13" t="str">
        <f>IF(T$4="Yes",INDEX(List!$E$2:$CD$173,MATCH('Selection Pane Data'!$B76,List!$E$2:$E$173,0),MATCH('Selection Pane Data'!T$3,List!$E$2:$CD$2,0)),"")</f>
        <v/>
      </c>
      <c r="U76" s="13" t="str">
        <f>IF(U$4="Yes",INDEX(List!$E$2:$CD$173,MATCH('Selection Pane Data'!$B76,List!$E$2:$E$173,0),MATCH('Selection Pane Data'!U$3,List!$E$2:$CD$2,0)),"")</f>
        <v/>
      </c>
      <c r="V76" s="13" t="str">
        <f>IF(V$4="Yes",INDEX(List!$E$2:$CD$173,MATCH('Selection Pane Data'!$B76,List!$E$2:$E$173,0),MATCH('Selection Pane Data'!V$3,List!$E$2:$CD$2,0)),"")</f>
        <v/>
      </c>
      <c r="W76" s="13" t="str">
        <f>IF(W$4="Yes",INDEX(List!$E$2:$CD$173,MATCH('Selection Pane Data'!$B76,List!$E$2:$E$173,0),MATCH('Selection Pane Data'!W$3,List!$E$2:$CD$2,0)),"")</f>
        <v/>
      </c>
      <c r="X76" s="13" t="str">
        <f>IF(X$4="Yes",INDEX(List!$E$2:$CD$173,MATCH('Selection Pane Data'!$B76,List!$E$2:$E$173,0),MATCH('Selection Pane Data'!X$3,List!$E$2:$CD$2,0)),"")</f>
        <v/>
      </c>
      <c r="Y76" s="13" t="str">
        <f>IF(Y$4="Yes",INDEX(List!$E$2:$CD$173,MATCH('Selection Pane Data'!$B76,List!$E$2:$E$173,0),MATCH('Selection Pane Data'!Y$3,List!$E$2:$CD$2,0)),"")</f>
        <v/>
      </c>
      <c r="Z76" s="13" t="str">
        <f>IF(Z$4="Yes",INDEX(List!$E$2:$CD$173,MATCH('Selection Pane Data'!$B76,List!$E$2:$E$173,0),MATCH('Selection Pane Data'!Z$3,List!$E$2:$CD$2,0)),"")</f>
        <v/>
      </c>
      <c r="AA76" s="13" t="str">
        <f>IF(AA$4="Yes",INDEX(List!$E$2:$CD$173,MATCH('Selection Pane Data'!$B76,List!$E$2:$E$173,0),MATCH('Selection Pane Data'!AA$3,List!$E$2:$CD$2,0)),"")</f>
        <v>P</v>
      </c>
      <c r="AB76" s="13" t="str">
        <f>IF(AB$4="Yes",INDEX(List!$E$2:$CD$173,MATCH('Selection Pane Data'!$B76,List!$E$2:$E$173,0),MATCH('Selection Pane Data'!AB$3,List!$E$2:$CD$2,0)),"")</f>
        <v/>
      </c>
      <c r="AC76" s="13" t="str">
        <f>IF(AC$4="Yes",INDEX(List!$E$2:$CD$173,MATCH('Selection Pane Data'!$B76,List!$E$2:$E$173,0),MATCH('Selection Pane Data'!AC$3,List!$E$2:$CD$2,0)),"")</f>
        <v/>
      </c>
      <c r="AD76" s="13" t="str">
        <f>IF(AD$4="Yes",INDEX(List!$E$2:$CD$173,MATCH('Selection Pane Data'!$B76,List!$E$2:$E$173,0),MATCH('Selection Pane Data'!AD$3,List!$E$2:$CD$2,0)),"")</f>
        <v/>
      </c>
      <c r="AE76" s="13" t="str">
        <f>IF(AE$4="Yes",INDEX(List!$E$2:$CD$173,MATCH('Selection Pane Data'!$B76,List!$E$2:$E$173,0),MATCH('Selection Pane Data'!AE$3,List!$E$2:$CD$2,0)),"")</f>
        <v/>
      </c>
      <c r="AF76" s="13" t="str">
        <f>IF(AF$4="Yes",INDEX(List!$E$2:$CD$173,MATCH('Selection Pane Data'!$B76,List!$E$2:$E$173,0),MATCH('Selection Pane Data'!AF$3,List!$E$2:$CD$2,0)),"")</f>
        <v/>
      </c>
      <c r="AG76" s="13" t="str">
        <f>IF(AG$4="Yes",INDEX(List!$E$2:$CD$173,MATCH('Selection Pane Data'!$B76,List!$E$2:$E$173,0),MATCH('Selection Pane Data'!AG$3,List!$E$2:$CD$2,0)),"")</f>
        <v/>
      </c>
      <c r="AH76" s="13" t="str">
        <f>IF(AH$4="Yes",INDEX(List!$E$2:$CD$173,MATCH('Selection Pane Data'!$B76,List!$E$2:$E$173,0),MATCH('Selection Pane Data'!AH$3,List!$E$2:$CD$2,0)),"")</f>
        <v/>
      </c>
      <c r="AI76" s="13" t="str">
        <f>IF(AI$4="Yes",INDEX(List!$E$2:$CD$173,MATCH('Selection Pane Data'!$B76,List!$E$2:$E$173,0),MATCH('Selection Pane Data'!AI$3,List!$E$2:$CD$2,0)),"")</f>
        <v/>
      </c>
      <c r="AJ76" s="13" t="str">
        <f>IF(AJ$4="Yes",INDEX(List!$E$2:$CD$173,MATCH('Selection Pane Data'!$B76,List!$E$2:$E$173,0),MATCH('Selection Pane Data'!AJ$3,List!$E$2:$CD$2,0)),"")</f>
        <v/>
      </c>
      <c r="AK76" s="13" t="str">
        <f>IF(AK$4="Yes",INDEX(List!$E$2:$CD$173,MATCH('Selection Pane Data'!$B76,List!$E$2:$E$173,0),MATCH('Selection Pane Data'!AK$3,List!$E$2:$CD$2,0)),"")</f>
        <v/>
      </c>
      <c r="AL76" s="13" t="str">
        <f>IF(AL$4="Yes",INDEX(List!$E$2:$CD$173,MATCH('Selection Pane Data'!$B76,List!$E$2:$E$173,0),MATCH('Selection Pane Data'!AL$3,List!$E$2:$CD$2,0)),"")</f>
        <v/>
      </c>
      <c r="AM76" s="13" t="str">
        <f>IF(AM$4="Yes",INDEX(List!$E$2:$CD$173,MATCH('Selection Pane Data'!$B76,List!$E$2:$E$173,0),MATCH('Selection Pane Data'!AM$3,List!$E$2:$CD$2,0)),"")</f>
        <v/>
      </c>
      <c r="AN76" s="13" t="str">
        <f>IF(AN$4="Yes",INDEX(List!$E$2:$CD$173,MATCH('Selection Pane Data'!$B76,List!$E$2:$E$173,0),MATCH('Selection Pane Data'!AN$3,List!$E$2:$CD$2,0)),"")</f>
        <v/>
      </c>
      <c r="AO76" s="13" t="str">
        <f>IF(AO$4="Yes",INDEX(List!$E$2:$CD$173,MATCH('Selection Pane Data'!$B76,List!$E$2:$E$173,0),MATCH('Selection Pane Data'!AO$3,List!$E$2:$CD$2,0)),"")</f>
        <v/>
      </c>
      <c r="AP76" s="13" t="str">
        <f>IF(AP$4="Yes",INDEX(List!$E$2:$CD$173,MATCH('Selection Pane Data'!$B76,List!$E$2:$E$173,0),MATCH('Selection Pane Data'!AP$3,List!$E$2:$CD$2,0)),"")</f>
        <v/>
      </c>
      <c r="AQ76" s="13" t="str">
        <f>IF(AQ$4="Yes",INDEX(List!$E$2:$CD$173,MATCH('Selection Pane Data'!$B76,List!$E$2:$E$173,0),MATCH('Selection Pane Data'!AQ$3,List!$E$2:$CD$2,0)),"")</f>
        <v/>
      </c>
      <c r="AR76" s="13" t="str">
        <f>IF(AR$4="Yes",INDEX(List!$E$2:$CD$173,MATCH('Selection Pane Data'!$B76,List!$E$2:$E$173,0),MATCH('Selection Pane Data'!AR$3,List!$E$2:$CD$2,0)),"")</f>
        <v/>
      </c>
      <c r="AS76" s="13" t="str">
        <f>IF(AS$4="Yes",INDEX(List!$E$2:$CD$173,MATCH('Selection Pane Data'!$B76,List!$E$2:$E$173,0),MATCH('Selection Pane Data'!AS$3,List!$E$2:$CD$2,0)),"")</f>
        <v/>
      </c>
      <c r="AT76" s="13" t="str">
        <f>IF(AT$4="Yes",INDEX(List!$E$2:$CD$173,MATCH('Selection Pane Data'!$B76,List!$E$2:$E$173,0),MATCH('Selection Pane Data'!AT$3,List!$E$2:$CD$2,0)),"")</f>
        <v/>
      </c>
      <c r="AU76" s="13" t="str">
        <f>IF(AU$4="Yes",INDEX(List!$E$2:$CD$173,MATCH('Selection Pane Data'!$B76,List!$E$2:$E$173,0),MATCH('Selection Pane Data'!AU$3,List!$E$2:$CD$2,0)),"")</f>
        <v/>
      </c>
      <c r="AV76" s="13" t="str">
        <f>IF(AV$4="Yes",INDEX(List!$E$2:$CD$173,MATCH('Selection Pane Data'!$B76,List!$E$2:$E$173,0),MATCH('Selection Pane Data'!AV$3,List!$E$2:$CD$2,0)),"")</f>
        <v/>
      </c>
      <c r="AW76" s="13" t="str">
        <f>IF(AW$4="Yes",INDEX(List!$E$2:$CD$173,MATCH('Selection Pane Data'!$B76,List!$E$2:$E$173,0),MATCH('Selection Pane Data'!AW$3,List!$E$2:$CD$2,0)),"")</f>
        <v/>
      </c>
      <c r="AX76" s="13" t="str">
        <f>IF(AX$4="Yes",INDEX(List!$E$2:$CD$173,MATCH('Selection Pane Data'!$B76,List!$E$2:$E$173,0),MATCH('Selection Pane Data'!AX$3,List!$E$2:$CD$2,0)),"")</f>
        <v/>
      </c>
      <c r="AY76" s="13" t="str">
        <f>IF(AY$4="Yes",INDEX(List!$E$2:$CD$173,MATCH('Selection Pane Data'!$B76,List!$E$2:$E$173,0),MATCH('Selection Pane Data'!AY$3,List!$E$2:$CD$2,0)),"")</f>
        <v/>
      </c>
      <c r="AZ76" s="13" t="str">
        <f>IF(AZ$4="Yes",INDEX(List!$E$2:$CD$173,MATCH('Selection Pane Data'!$B76,List!$E$2:$E$173,0),MATCH('Selection Pane Data'!AZ$3,List!$E$2:$CD$2,0)),"")</f>
        <v/>
      </c>
      <c r="BA76" s="13" t="str">
        <f>IF(BA$4="Yes",INDEX(List!$E$2:$CD$173,MATCH('Selection Pane Data'!$B76,List!$E$2:$E$173,0),MATCH('Selection Pane Data'!BA$3,List!$E$2:$CD$2,0)),"")</f>
        <v/>
      </c>
      <c r="BB76" s="13" t="str">
        <f>IF(BB$4="Yes",INDEX(List!$E$2:$CD$173,MATCH('Selection Pane Data'!$B76,List!$E$2:$E$173,0),MATCH('Selection Pane Data'!BB$3,List!$E$2:$CD$2,0)),"")</f>
        <v/>
      </c>
      <c r="BC76" s="13" t="str">
        <f>IF(BC$4="Yes",INDEX(List!$E$2:$CD$173,MATCH('Selection Pane Data'!$B76,List!$E$2:$E$173,0),MATCH('Selection Pane Data'!BC$3,List!$E$2:$CD$2,0)),"")</f>
        <v/>
      </c>
      <c r="BD76" s="13" t="str">
        <f>IF(BD$4="Yes",INDEX(List!$E$2:$CD$173,MATCH('Selection Pane Data'!$B76,List!$E$2:$E$173,0),MATCH('Selection Pane Data'!BD$3,List!$E$2:$CD$2,0)),"")</f>
        <v/>
      </c>
      <c r="BE76" s="13" t="str">
        <f>IF(BE$4="Yes",INDEX(List!$E$2:$CD$173,MATCH('Selection Pane Data'!$B76,List!$E$2:$E$173,0),MATCH('Selection Pane Data'!BE$3,List!$E$2:$CD$2,0)),"")</f>
        <v/>
      </c>
      <c r="BF76" s="13" t="str">
        <f>IF(BF$4="Yes",INDEX(List!$E$2:$CD$173,MATCH('Selection Pane Data'!$B76,List!$E$2:$E$173,0),MATCH('Selection Pane Data'!BF$3,List!$E$2:$CD$2,0)),"")</f>
        <v/>
      </c>
      <c r="BG76" s="13" t="str">
        <f>IF(BG$4="Yes",INDEX(List!$E$2:$CD$173,MATCH('Selection Pane Data'!$B76,List!$E$2:$E$173,0),MATCH('Selection Pane Data'!BG$3,List!$E$2:$CD$2,0)),"")</f>
        <v/>
      </c>
      <c r="BH76" s="13" t="str">
        <f>IF(BH$4="Yes",INDEX(List!$E$2:$CD$173,MATCH('Selection Pane Data'!$B76,List!$E$2:$E$173,0),MATCH('Selection Pane Data'!BH$3,List!$E$2:$CD$2,0)),"")</f>
        <v/>
      </c>
      <c r="BI76" s="13" t="str">
        <f>IF(BI$4="Yes",INDEX(List!$E$2:$CD$173,MATCH('Selection Pane Data'!$B76,List!$E$2:$E$173,0),MATCH('Selection Pane Data'!BI$3,List!$E$2:$CD$2,0)),"")</f>
        <v/>
      </c>
      <c r="BJ76" s="13" t="str">
        <f>IF(BJ$4="Yes",INDEX(List!$E$2:$CD$173,MATCH('Selection Pane Data'!$B76,List!$E$2:$E$173,0),MATCH('Selection Pane Data'!BJ$3,List!$E$2:$CD$2,0)),"")</f>
        <v/>
      </c>
      <c r="BK76" s="13" t="str">
        <f>IF(BK$4="Yes",INDEX(List!$E$2:$CD$173,MATCH('Selection Pane Data'!$B76,List!$E$2:$E$173,0),MATCH('Selection Pane Data'!BK$3,List!$E$2:$CD$2,0)),"")</f>
        <v/>
      </c>
      <c r="BL76" s="13" t="str">
        <f>IF(BL$4="Yes",INDEX(List!$E$2:$CD$173,MATCH('Selection Pane Data'!$B76,List!$E$2:$E$173,0),MATCH('Selection Pane Data'!BL$3,List!$E$2:$CD$2,0)),"")</f>
        <v/>
      </c>
      <c r="BM76" s="13" t="str">
        <f>IF(BM$4="Yes",INDEX(List!$E$2:$CD$173,MATCH('Selection Pane Data'!$B76,List!$E$2:$E$173,0),MATCH('Selection Pane Data'!BM$3,List!$E$2:$CD$2,0)),"")</f>
        <v/>
      </c>
      <c r="BN76" s="13" t="str">
        <f>IF(BN$4="Yes",INDEX(List!$E$2:$CD$173,MATCH('Selection Pane Data'!$B76,List!$E$2:$E$173,0),MATCH('Selection Pane Data'!BN$3,List!$E$2:$CD$2,0)),"")</f>
        <v/>
      </c>
      <c r="BO76" s="13" t="str">
        <f>IF(BO$4="Yes",INDEX(List!$E$2:$CD$173,MATCH('Selection Pane Data'!$B76,List!$E$2:$E$173,0),MATCH('Selection Pane Data'!BO$3,List!$E$2:$CD$2,0)),"")</f>
        <v/>
      </c>
      <c r="BP76" s="13" t="str">
        <f>IF(BP$4="Yes",INDEX(List!$E$2:$CD$173,MATCH('Selection Pane Data'!$B76,List!$E$2:$E$173,0),MATCH('Selection Pane Data'!BP$3,List!$E$2:$CD$2,0)),"")</f>
        <v/>
      </c>
      <c r="BQ76" s="13" t="str">
        <f>IF(BQ$4="Yes",INDEX(List!$E$2:$CD$173,MATCH('Selection Pane Data'!$B76,List!$E$2:$E$173,0),MATCH('Selection Pane Data'!BQ$3,List!$E$2:$CD$2,0)),"")</f>
        <v/>
      </c>
      <c r="BR76" s="13" t="str">
        <f>IF(BR$4="Yes",INDEX(List!$E$2:$CD$173,MATCH('Selection Pane Data'!$B76,List!$E$2:$E$173,0),MATCH('Selection Pane Data'!BR$3,List!$E$2:$CD$2,0)),"")</f>
        <v/>
      </c>
      <c r="BS76" s="13" t="str">
        <f>IF(BS$4="Yes",INDEX(List!$E$2:$CD$173,MATCH('Selection Pane Data'!$B76,List!$E$2:$E$173,0),MATCH('Selection Pane Data'!BS$3,List!$E$2:$CD$2,0)),"")</f>
        <v/>
      </c>
      <c r="BT76" s="13" t="str">
        <f>IF(BT$4="Yes",INDEX(List!$E$2:$CD$173,MATCH('Selection Pane Data'!$B76,List!$E$2:$E$173,0),MATCH('Selection Pane Data'!BT$3,List!$E$2:$CD$2,0)),"")</f>
        <v/>
      </c>
      <c r="BU76" s="13" t="str">
        <f>IF(BU$4="Yes",INDEX(List!$E$2:$CD$173,MATCH('Selection Pane Data'!$B76,List!$E$2:$E$173,0),MATCH('Selection Pane Data'!BU$3,List!$E$2:$CD$2,0)),"")</f>
        <v/>
      </c>
      <c r="BV76" s="13" t="str">
        <f>IF(BV$4="Yes",INDEX(List!$E$2:$CD$173,MATCH('Selection Pane Data'!$B76,List!$E$2:$E$173,0),MATCH('Selection Pane Data'!BV$3,List!$E$2:$CD$2,0)),"")</f>
        <v/>
      </c>
      <c r="BW76" s="13" t="str">
        <f>IF(BW$4="Yes",INDEX(List!$E$2:$CD$173,MATCH('Selection Pane Data'!$B76,List!$E$2:$E$173,0),MATCH('Selection Pane Data'!BW$3,List!$E$2:$CD$2,0)),"")</f>
        <v/>
      </c>
      <c r="BX76" s="13" t="str">
        <f>IF(BX$4="Yes",INDEX(List!$E$2:$CD$173,MATCH('Selection Pane Data'!$B76,List!$E$2:$E$173,0),MATCH('Selection Pane Data'!BX$3,List!$E$2:$CD$2,0)),"")</f>
        <v/>
      </c>
      <c r="BY76" s="13" t="str">
        <f>IF(BY$4="Yes",INDEX(List!$E$2:$CD$173,MATCH('Selection Pane Data'!$B76,List!$E$2:$E$173,0),MATCH('Selection Pane Data'!BY$3,List!$E$2:$CD$2,0)),"")</f>
        <v/>
      </c>
      <c r="BZ76" s="13" t="str">
        <f>IF(BZ$4="Yes",INDEX(List!$E$2:$CD$173,MATCH('Selection Pane Data'!$B76,List!$E$2:$E$173,0),MATCH('Selection Pane Data'!BZ$3,List!$E$2:$CD$2,0)),"")</f>
        <v/>
      </c>
      <c r="CA76" s="13" t="str">
        <f>IF(CA$4="Yes",INDEX(List!$E$2:$CD$173,MATCH('Selection Pane Data'!$B76,List!$E$2:$E$173,0),MATCH('Selection Pane Data'!CA$3,List!$E$2:$CD$2,0)),"")</f>
        <v/>
      </c>
      <c r="CB76" s="13" t="str">
        <f>IF(CB$4="Yes",INDEX(List!$E$2:$CD$173,MATCH('Selection Pane Data'!$B76,List!$E$2:$E$173,0),MATCH('Selection Pane Data'!CB$3,List!$E$2:$CD$2,0)),"")</f>
        <v/>
      </c>
      <c r="CC76" s="13" t="str">
        <f>IF(CC$4="Yes",INDEX(List!$E$2:$CD$173,MATCH('Selection Pane Data'!$B76,List!$E$2:$E$173,0),MATCH('Selection Pane Data'!CC$3,List!$E$2:$CD$2,0)),"")</f>
        <v/>
      </c>
      <c r="CD76" s="13" t="str">
        <f>IF(CD$4="Yes",INDEX(List!$E$2:$CD$173,MATCH('Selection Pane Data'!$B76,List!$E$2:$E$173,0),MATCH('Selection Pane Data'!CD$3,List!$E$2:$CD$2,0)),"")</f>
        <v/>
      </c>
      <c r="CE76" s="13" t="str">
        <f>IF(CE$4="Yes",INDEX(List!$E$2:$CD$173,MATCH('Selection Pane Data'!$B76,List!$E$2:$E$173,0),MATCH('Selection Pane Data'!CE$3,List!$E$2:$CD$2,0)),"")</f>
        <v/>
      </c>
    </row>
    <row r="77" spans="2:83" x14ac:dyDescent="0.35">
      <c r="B77" s="21" t="s">
        <v>364</v>
      </c>
      <c r="C77" s="126" t="str">
        <f>VLOOKUP(B77,List!$E$2:$G$173,2,FALSE)</f>
        <v>IA.L2-3.5.11</v>
      </c>
      <c r="D77" s="31" t="str">
        <f>List!G75</f>
        <v>Shared Coverage</v>
      </c>
      <c r="E77" s="31" t="str">
        <f>IF(Placemat!$F$4="All Practices","All Practices",IF(VLOOKUP(B77,Table7[#All],6,FALSE)="No Mapping","New CMMC Practices","Practices with NIST 800-171 Mappings"))</f>
        <v>Practices with NIST 800-171 Mappings</v>
      </c>
      <c r="F77" t="str">
        <f>INDEX('CMMC Levels'!$A$1:$F$172,MATCH('Selection Pane Data'!$C77,'CMMC Levels'!$A$1:$A$172,0),MATCH(Placemat!$F$4,'CMMC Levels'!$A$1:$F$1,0))</f>
        <v>X</v>
      </c>
      <c r="G77" s="77" t="str">
        <f>IF((COUNTIF(List!H75:CE75,"P")+COUNTIF(List!H75:CE75,"S"))=0,"N",IF(COUNTIF(H77:CE77,"P"),"P",IF(COUNTIF(H77:CE77,"S"),"S","U")))</f>
        <v>S</v>
      </c>
      <c r="H77" s="13" t="str">
        <f>IF(H$4="Yes",INDEX(List!$E$2:$CD$173,MATCH('Selection Pane Data'!$B77,List!$E$2:$E$173,0),MATCH('Selection Pane Data'!H$3,List!$E$2:$CD$2,0)),"")</f>
        <v/>
      </c>
      <c r="I77" s="13" t="str">
        <f>IF(I$4="Yes",INDEX(List!$E$2:$CD$173,MATCH('Selection Pane Data'!$B77,List!$E$2:$E$173,0),MATCH('Selection Pane Data'!I$3,List!$E$2:$CD$2,0)),"")</f>
        <v/>
      </c>
      <c r="J77" s="13" t="str">
        <f>IF(J$4="Yes",INDEX(List!$E$2:$CD$173,MATCH('Selection Pane Data'!$B77,List!$E$2:$E$173,0),MATCH('Selection Pane Data'!J$3,List!$E$2:$CD$2,0)),"")</f>
        <v>N</v>
      </c>
      <c r="K77" s="13" t="str">
        <f>IF(K$4="Yes",INDEX(List!$E$2:$CD$173,MATCH('Selection Pane Data'!$B77,List!$E$2:$E$173,0),MATCH('Selection Pane Data'!K$3,List!$E$2:$CD$2,0)),"")</f>
        <v/>
      </c>
      <c r="L77" s="13" t="str">
        <f>IF(L$4="Yes",INDEX(List!$E$2:$CD$173,MATCH('Selection Pane Data'!$B77,List!$E$2:$E$173,0),MATCH('Selection Pane Data'!L$3,List!$E$2:$CD$2,0)),"")</f>
        <v/>
      </c>
      <c r="M77" s="13" t="str">
        <f>IF(M$4="Yes",INDEX(List!$E$2:$CD$173,MATCH('Selection Pane Data'!$B77,List!$E$2:$E$173,0),MATCH('Selection Pane Data'!M$3,List!$E$2:$CD$2,0)),"")</f>
        <v/>
      </c>
      <c r="N77" s="13" t="str">
        <f>IF(N$4="Yes",INDEX(List!$E$2:$CD$173,MATCH('Selection Pane Data'!$B77,List!$E$2:$E$173,0),MATCH('Selection Pane Data'!N$3,List!$E$2:$CD$2,0)),"")</f>
        <v/>
      </c>
      <c r="O77" s="13" t="str">
        <f>IF(O$4="Yes",INDEX(List!$E$2:$CD$173,MATCH('Selection Pane Data'!$B77,List!$E$2:$E$173,0),MATCH('Selection Pane Data'!O$3,List!$E$2:$CD$2,0)),"")</f>
        <v/>
      </c>
      <c r="P77" s="13" t="str">
        <f>IF(P$4="Yes",INDEX(List!$E$2:$CD$173,MATCH('Selection Pane Data'!$B77,List!$E$2:$E$173,0),MATCH('Selection Pane Data'!P$3,List!$E$2:$CD$2,0)),"")</f>
        <v/>
      </c>
      <c r="Q77" s="13" t="str">
        <f>IF(Q$4="Yes",INDEX(List!$E$2:$CD$173,MATCH('Selection Pane Data'!$B77,List!$E$2:$E$173,0),MATCH('Selection Pane Data'!Q$3,List!$E$2:$CD$2,0)),"")</f>
        <v/>
      </c>
      <c r="R77" s="13" t="str">
        <f>IF(R$4="Yes",INDEX(List!$E$2:$CD$173,MATCH('Selection Pane Data'!$B77,List!$E$2:$E$173,0),MATCH('Selection Pane Data'!R$3,List!$E$2:$CD$2,0)),"")</f>
        <v/>
      </c>
      <c r="S77" s="13" t="str">
        <f>IF(S$4="Yes",INDEX(List!$E$2:$CD$173,MATCH('Selection Pane Data'!$B77,List!$E$2:$E$173,0),MATCH('Selection Pane Data'!S$3,List!$E$2:$CD$2,0)),"")</f>
        <v/>
      </c>
      <c r="T77" s="13" t="str">
        <f>IF(T$4="Yes",INDEX(List!$E$2:$CD$173,MATCH('Selection Pane Data'!$B77,List!$E$2:$E$173,0),MATCH('Selection Pane Data'!T$3,List!$E$2:$CD$2,0)),"")</f>
        <v/>
      </c>
      <c r="U77" s="13" t="str">
        <f>IF(U$4="Yes",INDEX(List!$E$2:$CD$173,MATCH('Selection Pane Data'!$B77,List!$E$2:$E$173,0),MATCH('Selection Pane Data'!U$3,List!$E$2:$CD$2,0)),"")</f>
        <v/>
      </c>
      <c r="V77" s="13" t="str">
        <f>IF(V$4="Yes",INDEX(List!$E$2:$CD$173,MATCH('Selection Pane Data'!$B77,List!$E$2:$E$173,0),MATCH('Selection Pane Data'!V$3,List!$E$2:$CD$2,0)),"")</f>
        <v/>
      </c>
      <c r="W77" s="13" t="str">
        <f>IF(W$4="Yes",INDEX(List!$E$2:$CD$173,MATCH('Selection Pane Data'!$B77,List!$E$2:$E$173,0),MATCH('Selection Pane Data'!W$3,List!$E$2:$CD$2,0)),"")</f>
        <v/>
      </c>
      <c r="X77" s="13" t="str">
        <f>IF(X$4="Yes",INDEX(List!$E$2:$CD$173,MATCH('Selection Pane Data'!$B77,List!$E$2:$E$173,0),MATCH('Selection Pane Data'!X$3,List!$E$2:$CD$2,0)),"")</f>
        <v/>
      </c>
      <c r="Y77" s="13" t="str">
        <f>IF(Y$4="Yes",INDEX(List!$E$2:$CD$173,MATCH('Selection Pane Data'!$B77,List!$E$2:$E$173,0),MATCH('Selection Pane Data'!Y$3,List!$E$2:$CD$2,0)),"")</f>
        <v/>
      </c>
      <c r="Z77" s="13" t="str">
        <f>IF(Z$4="Yes",INDEX(List!$E$2:$CD$173,MATCH('Selection Pane Data'!$B77,List!$E$2:$E$173,0),MATCH('Selection Pane Data'!Z$3,List!$E$2:$CD$2,0)),"")</f>
        <v/>
      </c>
      <c r="AA77" s="13" t="str">
        <f>IF(AA$4="Yes",INDEX(List!$E$2:$CD$173,MATCH('Selection Pane Data'!$B77,List!$E$2:$E$173,0),MATCH('Selection Pane Data'!AA$3,List!$E$2:$CD$2,0)),"")</f>
        <v>S</v>
      </c>
      <c r="AB77" s="13" t="str">
        <f>IF(AB$4="Yes",INDEX(List!$E$2:$CD$173,MATCH('Selection Pane Data'!$B77,List!$E$2:$E$173,0),MATCH('Selection Pane Data'!AB$3,List!$E$2:$CD$2,0)),"")</f>
        <v/>
      </c>
      <c r="AC77" s="13" t="str">
        <f>IF(AC$4="Yes",INDEX(List!$E$2:$CD$173,MATCH('Selection Pane Data'!$B77,List!$E$2:$E$173,0),MATCH('Selection Pane Data'!AC$3,List!$E$2:$CD$2,0)),"")</f>
        <v/>
      </c>
      <c r="AD77" s="13" t="str">
        <f>IF(AD$4="Yes",INDEX(List!$E$2:$CD$173,MATCH('Selection Pane Data'!$B77,List!$E$2:$E$173,0),MATCH('Selection Pane Data'!AD$3,List!$E$2:$CD$2,0)),"")</f>
        <v/>
      </c>
      <c r="AE77" s="13" t="str">
        <f>IF(AE$4="Yes",INDEX(List!$E$2:$CD$173,MATCH('Selection Pane Data'!$B77,List!$E$2:$E$173,0),MATCH('Selection Pane Data'!AE$3,List!$E$2:$CD$2,0)),"")</f>
        <v/>
      </c>
      <c r="AF77" s="13" t="str">
        <f>IF(AF$4="Yes",INDEX(List!$E$2:$CD$173,MATCH('Selection Pane Data'!$B77,List!$E$2:$E$173,0),MATCH('Selection Pane Data'!AF$3,List!$E$2:$CD$2,0)),"")</f>
        <v/>
      </c>
      <c r="AG77" s="13" t="str">
        <f>IF(AG$4="Yes",INDEX(List!$E$2:$CD$173,MATCH('Selection Pane Data'!$B77,List!$E$2:$E$173,0),MATCH('Selection Pane Data'!AG$3,List!$E$2:$CD$2,0)),"")</f>
        <v/>
      </c>
      <c r="AH77" s="13" t="str">
        <f>IF(AH$4="Yes",INDEX(List!$E$2:$CD$173,MATCH('Selection Pane Data'!$B77,List!$E$2:$E$173,0),MATCH('Selection Pane Data'!AH$3,List!$E$2:$CD$2,0)),"")</f>
        <v/>
      </c>
      <c r="AI77" s="13" t="str">
        <f>IF(AI$4="Yes",INDEX(List!$E$2:$CD$173,MATCH('Selection Pane Data'!$B77,List!$E$2:$E$173,0),MATCH('Selection Pane Data'!AI$3,List!$E$2:$CD$2,0)),"")</f>
        <v/>
      </c>
      <c r="AJ77" s="13" t="str">
        <f>IF(AJ$4="Yes",INDEX(List!$E$2:$CD$173,MATCH('Selection Pane Data'!$B77,List!$E$2:$E$173,0),MATCH('Selection Pane Data'!AJ$3,List!$E$2:$CD$2,0)),"")</f>
        <v/>
      </c>
      <c r="AK77" s="13" t="str">
        <f>IF(AK$4="Yes",INDEX(List!$E$2:$CD$173,MATCH('Selection Pane Data'!$B77,List!$E$2:$E$173,0),MATCH('Selection Pane Data'!AK$3,List!$E$2:$CD$2,0)),"")</f>
        <v/>
      </c>
      <c r="AL77" s="13" t="str">
        <f>IF(AL$4="Yes",INDEX(List!$E$2:$CD$173,MATCH('Selection Pane Data'!$B77,List!$E$2:$E$173,0),MATCH('Selection Pane Data'!AL$3,List!$E$2:$CD$2,0)),"")</f>
        <v/>
      </c>
      <c r="AM77" s="13" t="str">
        <f>IF(AM$4="Yes",INDEX(List!$E$2:$CD$173,MATCH('Selection Pane Data'!$B77,List!$E$2:$E$173,0),MATCH('Selection Pane Data'!AM$3,List!$E$2:$CD$2,0)),"")</f>
        <v/>
      </c>
      <c r="AN77" s="13" t="str">
        <f>IF(AN$4="Yes",INDEX(List!$E$2:$CD$173,MATCH('Selection Pane Data'!$B77,List!$E$2:$E$173,0),MATCH('Selection Pane Data'!AN$3,List!$E$2:$CD$2,0)),"")</f>
        <v/>
      </c>
      <c r="AO77" s="13" t="str">
        <f>IF(AO$4="Yes",INDEX(List!$E$2:$CD$173,MATCH('Selection Pane Data'!$B77,List!$E$2:$E$173,0),MATCH('Selection Pane Data'!AO$3,List!$E$2:$CD$2,0)),"")</f>
        <v/>
      </c>
      <c r="AP77" s="13" t="str">
        <f>IF(AP$4="Yes",INDEX(List!$E$2:$CD$173,MATCH('Selection Pane Data'!$B77,List!$E$2:$E$173,0),MATCH('Selection Pane Data'!AP$3,List!$E$2:$CD$2,0)),"")</f>
        <v/>
      </c>
      <c r="AQ77" s="13" t="str">
        <f>IF(AQ$4="Yes",INDEX(List!$E$2:$CD$173,MATCH('Selection Pane Data'!$B77,List!$E$2:$E$173,0),MATCH('Selection Pane Data'!AQ$3,List!$E$2:$CD$2,0)),"")</f>
        <v/>
      </c>
      <c r="AR77" s="13" t="str">
        <f>IF(AR$4="Yes",INDEX(List!$E$2:$CD$173,MATCH('Selection Pane Data'!$B77,List!$E$2:$E$173,0),MATCH('Selection Pane Data'!AR$3,List!$E$2:$CD$2,0)),"")</f>
        <v/>
      </c>
      <c r="AS77" s="13" t="str">
        <f>IF(AS$4="Yes",INDEX(List!$E$2:$CD$173,MATCH('Selection Pane Data'!$B77,List!$E$2:$E$173,0),MATCH('Selection Pane Data'!AS$3,List!$E$2:$CD$2,0)),"")</f>
        <v/>
      </c>
      <c r="AT77" s="13" t="str">
        <f>IF(AT$4="Yes",INDEX(List!$E$2:$CD$173,MATCH('Selection Pane Data'!$B77,List!$E$2:$E$173,0),MATCH('Selection Pane Data'!AT$3,List!$E$2:$CD$2,0)),"")</f>
        <v/>
      </c>
      <c r="AU77" s="13" t="str">
        <f>IF(AU$4="Yes",INDEX(List!$E$2:$CD$173,MATCH('Selection Pane Data'!$B77,List!$E$2:$E$173,0),MATCH('Selection Pane Data'!AU$3,List!$E$2:$CD$2,0)),"")</f>
        <v/>
      </c>
      <c r="AV77" s="13" t="str">
        <f>IF(AV$4="Yes",INDEX(List!$E$2:$CD$173,MATCH('Selection Pane Data'!$B77,List!$E$2:$E$173,0),MATCH('Selection Pane Data'!AV$3,List!$E$2:$CD$2,0)),"")</f>
        <v/>
      </c>
      <c r="AW77" s="13" t="str">
        <f>IF(AW$4="Yes",INDEX(List!$E$2:$CD$173,MATCH('Selection Pane Data'!$B77,List!$E$2:$E$173,0),MATCH('Selection Pane Data'!AW$3,List!$E$2:$CD$2,0)),"")</f>
        <v/>
      </c>
      <c r="AX77" s="13" t="str">
        <f>IF(AX$4="Yes",INDEX(List!$E$2:$CD$173,MATCH('Selection Pane Data'!$B77,List!$E$2:$E$173,0),MATCH('Selection Pane Data'!AX$3,List!$E$2:$CD$2,0)),"")</f>
        <v/>
      </c>
      <c r="AY77" s="13" t="str">
        <f>IF(AY$4="Yes",INDEX(List!$E$2:$CD$173,MATCH('Selection Pane Data'!$B77,List!$E$2:$E$173,0),MATCH('Selection Pane Data'!AY$3,List!$E$2:$CD$2,0)),"")</f>
        <v/>
      </c>
      <c r="AZ77" s="13" t="str">
        <f>IF(AZ$4="Yes",INDEX(List!$E$2:$CD$173,MATCH('Selection Pane Data'!$B77,List!$E$2:$E$173,0),MATCH('Selection Pane Data'!AZ$3,List!$E$2:$CD$2,0)),"")</f>
        <v/>
      </c>
      <c r="BA77" s="13" t="str">
        <f>IF(BA$4="Yes",INDEX(List!$E$2:$CD$173,MATCH('Selection Pane Data'!$B77,List!$E$2:$E$173,0),MATCH('Selection Pane Data'!BA$3,List!$E$2:$CD$2,0)),"")</f>
        <v/>
      </c>
      <c r="BB77" s="13" t="str">
        <f>IF(BB$4="Yes",INDEX(List!$E$2:$CD$173,MATCH('Selection Pane Data'!$B77,List!$E$2:$E$173,0),MATCH('Selection Pane Data'!BB$3,List!$E$2:$CD$2,0)),"")</f>
        <v/>
      </c>
      <c r="BC77" s="13" t="str">
        <f>IF(BC$4="Yes",INDEX(List!$E$2:$CD$173,MATCH('Selection Pane Data'!$B77,List!$E$2:$E$173,0),MATCH('Selection Pane Data'!BC$3,List!$E$2:$CD$2,0)),"")</f>
        <v/>
      </c>
      <c r="BD77" s="13" t="str">
        <f>IF(BD$4="Yes",INDEX(List!$E$2:$CD$173,MATCH('Selection Pane Data'!$B77,List!$E$2:$E$173,0),MATCH('Selection Pane Data'!BD$3,List!$E$2:$CD$2,0)),"")</f>
        <v/>
      </c>
      <c r="BE77" s="13" t="str">
        <f>IF(BE$4="Yes",INDEX(List!$E$2:$CD$173,MATCH('Selection Pane Data'!$B77,List!$E$2:$E$173,0),MATCH('Selection Pane Data'!BE$3,List!$E$2:$CD$2,0)),"")</f>
        <v/>
      </c>
      <c r="BF77" s="13" t="str">
        <f>IF(BF$4="Yes",INDEX(List!$E$2:$CD$173,MATCH('Selection Pane Data'!$B77,List!$E$2:$E$173,0),MATCH('Selection Pane Data'!BF$3,List!$E$2:$CD$2,0)),"")</f>
        <v/>
      </c>
      <c r="BG77" s="13" t="str">
        <f>IF(BG$4="Yes",INDEX(List!$E$2:$CD$173,MATCH('Selection Pane Data'!$B77,List!$E$2:$E$173,0),MATCH('Selection Pane Data'!BG$3,List!$E$2:$CD$2,0)),"")</f>
        <v/>
      </c>
      <c r="BH77" s="13" t="str">
        <f>IF(BH$4="Yes",INDEX(List!$E$2:$CD$173,MATCH('Selection Pane Data'!$B77,List!$E$2:$E$173,0),MATCH('Selection Pane Data'!BH$3,List!$E$2:$CD$2,0)),"")</f>
        <v/>
      </c>
      <c r="BI77" s="13" t="str">
        <f>IF(BI$4="Yes",INDEX(List!$E$2:$CD$173,MATCH('Selection Pane Data'!$B77,List!$E$2:$E$173,0),MATCH('Selection Pane Data'!BI$3,List!$E$2:$CD$2,0)),"")</f>
        <v/>
      </c>
      <c r="BJ77" s="13" t="str">
        <f>IF(BJ$4="Yes",INDEX(List!$E$2:$CD$173,MATCH('Selection Pane Data'!$B77,List!$E$2:$E$173,0),MATCH('Selection Pane Data'!BJ$3,List!$E$2:$CD$2,0)),"")</f>
        <v/>
      </c>
      <c r="BK77" s="13" t="str">
        <f>IF(BK$4="Yes",INDEX(List!$E$2:$CD$173,MATCH('Selection Pane Data'!$B77,List!$E$2:$E$173,0),MATCH('Selection Pane Data'!BK$3,List!$E$2:$CD$2,0)),"")</f>
        <v/>
      </c>
      <c r="BL77" s="13" t="str">
        <f>IF(BL$4="Yes",INDEX(List!$E$2:$CD$173,MATCH('Selection Pane Data'!$B77,List!$E$2:$E$173,0),MATCH('Selection Pane Data'!BL$3,List!$E$2:$CD$2,0)),"")</f>
        <v/>
      </c>
      <c r="BM77" s="13" t="str">
        <f>IF(BM$4="Yes",INDEX(List!$E$2:$CD$173,MATCH('Selection Pane Data'!$B77,List!$E$2:$E$173,0),MATCH('Selection Pane Data'!BM$3,List!$E$2:$CD$2,0)),"")</f>
        <v/>
      </c>
      <c r="BN77" s="13" t="str">
        <f>IF(BN$4="Yes",INDEX(List!$E$2:$CD$173,MATCH('Selection Pane Data'!$B77,List!$E$2:$E$173,0),MATCH('Selection Pane Data'!BN$3,List!$E$2:$CD$2,0)),"")</f>
        <v/>
      </c>
      <c r="BO77" s="13" t="str">
        <f>IF(BO$4="Yes",INDEX(List!$E$2:$CD$173,MATCH('Selection Pane Data'!$B77,List!$E$2:$E$173,0),MATCH('Selection Pane Data'!BO$3,List!$E$2:$CD$2,0)),"")</f>
        <v/>
      </c>
      <c r="BP77" s="13" t="str">
        <f>IF(BP$4="Yes",INDEX(List!$E$2:$CD$173,MATCH('Selection Pane Data'!$B77,List!$E$2:$E$173,0),MATCH('Selection Pane Data'!BP$3,List!$E$2:$CD$2,0)),"")</f>
        <v/>
      </c>
      <c r="BQ77" s="13" t="str">
        <f>IF(BQ$4="Yes",INDEX(List!$E$2:$CD$173,MATCH('Selection Pane Data'!$B77,List!$E$2:$E$173,0),MATCH('Selection Pane Data'!BQ$3,List!$E$2:$CD$2,0)),"")</f>
        <v/>
      </c>
      <c r="BR77" s="13" t="str">
        <f>IF(BR$4="Yes",INDEX(List!$E$2:$CD$173,MATCH('Selection Pane Data'!$B77,List!$E$2:$E$173,0),MATCH('Selection Pane Data'!BR$3,List!$E$2:$CD$2,0)),"")</f>
        <v/>
      </c>
      <c r="BS77" s="13" t="str">
        <f>IF(BS$4="Yes",INDEX(List!$E$2:$CD$173,MATCH('Selection Pane Data'!$B77,List!$E$2:$E$173,0),MATCH('Selection Pane Data'!BS$3,List!$E$2:$CD$2,0)),"")</f>
        <v/>
      </c>
      <c r="BT77" s="13" t="str">
        <f>IF(BT$4="Yes",INDEX(List!$E$2:$CD$173,MATCH('Selection Pane Data'!$B77,List!$E$2:$E$173,0),MATCH('Selection Pane Data'!BT$3,List!$E$2:$CD$2,0)),"")</f>
        <v/>
      </c>
      <c r="BU77" s="13" t="str">
        <f>IF(BU$4="Yes",INDEX(List!$E$2:$CD$173,MATCH('Selection Pane Data'!$B77,List!$E$2:$E$173,0),MATCH('Selection Pane Data'!BU$3,List!$E$2:$CD$2,0)),"")</f>
        <v/>
      </c>
      <c r="BV77" s="13" t="str">
        <f>IF(BV$4="Yes",INDEX(List!$E$2:$CD$173,MATCH('Selection Pane Data'!$B77,List!$E$2:$E$173,0),MATCH('Selection Pane Data'!BV$3,List!$E$2:$CD$2,0)),"")</f>
        <v/>
      </c>
      <c r="BW77" s="13" t="str">
        <f>IF(BW$4="Yes",INDEX(List!$E$2:$CD$173,MATCH('Selection Pane Data'!$B77,List!$E$2:$E$173,0),MATCH('Selection Pane Data'!BW$3,List!$E$2:$CD$2,0)),"")</f>
        <v/>
      </c>
      <c r="BX77" s="13" t="str">
        <f>IF(BX$4="Yes",INDEX(List!$E$2:$CD$173,MATCH('Selection Pane Data'!$B77,List!$E$2:$E$173,0),MATCH('Selection Pane Data'!BX$3,List!$E$2:$CD$2,0)),"")</f>
        <v/>
      </c>
      <c r="BY77" s="13" t="str">
        <f>IF(BY$4="Yes",INDEX(List!$E$2:$CD$173,MATCH('Selection Pane Data'!$B77,List!$E$2:$E$173,0),MATCH('Selection Pane Data'!BY$3,List!$E$2:$CD$2,0)),"")</f>
        <v/>
      </c>
      <c r="BZ77" s="13" t="str">
        <f>IF(BZ$4="Yes",INDEX(List!$E$2:$CD$173,MATCH('Selection Pane Data'!$B77,List!$E$2:$E$173,0),MATCH('Selection Pane Data'!BZ$3,List!$E$2:$CD$2,0)),"")</f>
        <v/>
      </c>
      <c r="CA77" s="13" t="str">
        <f>IF(CA$4="Yes",INDEX(List!$E$2:$CD$173,MATCH('Selection Pane Data'!$B77,List!$E$2:$E$173,0),MATCH('Selection Pane Data'!CA$3,List!$E$2:$CD$2,0)),"")</f>
        <v/>
      </c>
      <c r="CB77" s="13" t="str">
        <f>IF(CB$4="Yes",INDEX(List!$E$2:$CD$173,MATCH('Selection Pane Data'!$B77,List!$E$2:$E$173,0),MATCH('Selection Pane Data'!CB$3,List!$E$2:$CD$2,0)),"")</f>
        <v/>
      </c>
      <c r="CC77" s="13" t="str">
        <f>IF(CC$4="Yes",INDEX(List!$E$2:$CD$173,MATCH('Selection Pane Data'!$B77,List!$E$2:$E$173,0),MATCH('Selection Pane Data'!CC$3,List!$E$2:$CD$2,0)),"")</f>
        <v/>
      </c>
      <c r="CD77" s="13" t="str">
        <f>IF(CD$4="Yes",INDEX(List!$E$2:$CD$173,MATCH('Selection Pane Data'!$B77,List!$E$2:$E$173,0),MATCH('Selection Pane Data'!CD$3,List!$E$2:$CD$2,0)),"")</f>
        <v/>
      </c>
      <c r="CE77" s="13" t="str">
        <f>IF(CE$4="Yes",INDEX(List!$E$2:$CD$173,MATCH('Selection Pane Data'!$B77,List!$E$2:$E$173,0),MATCH('Selection Pane Data'!CE$3,List!$E$2:$CD$2,0)),"")</f>
        <v/>
      </c>
    </row>
    <row r="78" spans="2:83" x14ac:dyDescent="0.35">
      <c r="B78" s="21" t="s">
        <v>365</v>
      </c>
      <c r="C78" s="126" t="str">
        <f>VLOOKUP(B78,List!$E$2:$G$173,2,FALSE)</f>
        <v>IA.L2-3.5.3</v>
      </c>
      <c r="D78" s="31" t="str">
        <f>List!G76</f>
        <v>Shared Coverage</v>
      </c>
      <c r="E78" s="31" t="str">
        <f>IF(Placemat!$F$4="All Practices","All Practices",IF(VLOOKUP(B78,Table7[#All],6,FALSE)="No Mapping","New CMMC Practices","Practices with NIST 800-171 Mappings"))</f>
        <v>Practices with NIST 800-171 Mappings</v>
      </c>
      <c r="F78" t="str">
        <f>INDEX('CMMC Levels'!$A$1:$F$172,MATCH('Selection Pane Data'!$C78,'CMMC Levels'!$A$1:$A$172,0),MATCH(Placemat!$F$4,'CMMC Levels'!$A$1:$F$1,0))</f>
        <v>X</v>
      </c>
      <c r="G78" s="77" t="str">
        <f>IF((COUNTIF(List!H76:CE76,"P")+COUNTIF(List!H76:CE76,"S"))=0,"N",IF(COUNTIF(H78:CE78,"P"),"P",IF(COUNTIF(H78:CE78,"S"),"S","U")))</f>
        <v>S</v>
      </c>
      <c r="H78" s="13" t="str">
        <f>IF(H$4="Yes",INDEX(List!$E$2:$CD$173,MATCH('Selection Pane Data'!$B78,List!$E$2:$E$173,0),MATCH('Selection Pane Data'!H$3,List!$E$2:$CD$2,0)),"")</f>
        <v/>
      </c>
      <c r="I78" s="13" t="str">
        <f>IF(I$4="Yes",INDEX(List!$E$2:$CD$173,MATCH('Selection Pane Data'!$B78,List!$E$2:$E$173,0),MATCH('Selection Pane Data'!I$3,List!$E$2:$CD$2,0)),"")</f>
        <v/>
      </c>
      <c r="J78" s="13" t="str">
        <f>IF(J$4="Yes",INDEX(List!$E$2:$CD$173,MATCH('Selection Pane Data'!$B78,List!$E$2:$E$173,0),MATCH('Selection Pane Data'!J$3,List!$E$2:$CD$2,0)),"")</f>
        <v>N</v>
      </c>
      <c r="K78" s="13" t="str">
        <f>IF(K$4="Yes",INDEX(List!$E$2:$CD$173,MATCH('Selection Pane Data'!$B78,List!$E$2:$E$173,0),MATCH('Selection Pane Data'!K$3,List!$E$2:$CD$2,0)),"")</f>
        <v/>
      </c>
      <c r="L78" s="13" t="str">
        <f>IF(L$4="Yes",INDEX(List!$E$2:$CD$173,MATCH('Selection Pane Data'!$B78,List!$E$2:$E$173,0),MATCH('Selection Pane Data'!L$3,List!$E$2:$CD$2,0)),"")</f>
        <v/>
      </c>
      <c r="M78" s="13" t="str">
        <f>IF(M$4="Yes",INDEX(List!$E$2:$CD$173,MATCH('Selection Pane Data'!$B78,List!$E$2:$E$173,0),MATCH('Selection Pane Data'!M$3,List!$E$2:$CD$2,0)),"")</f>
        <v/>
      </c>
      <c r="N78" s="13" t="str">
        <f>IF(N$4="Yes",INDEX(List!$E$2:$CD$173,MATCH('Selection Pane Data'!$B78,List!$E$2:$E$173,0),MATCH('Selection Pane Data'!N$3,List!$E$2:$CD$2,0)),"")</f>
        <v/>
      </c>
      <c r="O78" s="13" t="str">
        <f>IF(O$4="Yes",INDEX(List!$E$2:$CD$173,MATCH('Selection Pane Data'!$B78,List!$E$2:$E$173,0),MATCH('Selection Pane Data'!O$3,List!$E$2:$CD$2,0)),"")</f>
        <v/>
      </c>
      <c r="P78" s="13" t="str">
        <f>IF(P$4="Yes",INDEX(List!$E$2:$CD$173,MATCH('Selection Pane Data'!$B78,List!$E$2:$E$173,0),MATCH('Selection Pane Data'!P$3,List!$E$2:$CD$2,0)),"")</f>
        <v/>
      </c>
      <c r="Q78" s="13" t="str">
        <f>IF(Q$4="Yes",INDEX(List!$E$2:$CD$173,MATCH('Selection Pane Data'!$B78,List!$E$2:$E$173,0),MATCH('Selection Pane Data'!Q$3,List!$E$2:$CD$2,0)),"")</f>
        <v/>
      </c>
      <c r="R78" s="13" t="str">
        <f>IF(R$4="Yes",INDEX(List!$E$2:$CD$173,MATCH('Selection Pane Data'!$B78,List!$E$2:$E$173,0),MATCH('Selection Pane Data'!R$3,List!$E$2:$CD$2,0)),"")</f>
        <v/>
      </c>
      <c r="S78" s="13" t="str">
        <f>IF(S$4="Yes",INDEX(List!$E$2:$CD$173,MATCH('Selection Pane Data'!$B78,List!$E$2:$E$173,0),MATCH('Selection Pane Data'!S$3,List!$E$2:$CD$2,0)),"")</f>
        <v/>
      </c>
      <c r="T78" s="13" t="str">
        <f>IF(T$4="Yes",INDEX(List!$E$2:$CD$173,MATCH('Selection Pane Data'!$B78,List!$E$2:$E$173,0),MATCH('Selection Pane Data'!T$3,List!$E$2:$CD$2,0)),"")</f>
        <v/>
      </c>
      <c r="U78" s="13" t="str">
        <f>IF(U$4="Yes",INDEX(List!$E$2:$CD$173,MATCH('Selection Pane Data'!$B78,List!$E$2:$E$173,0),MATCH('Selection Pane Data'!U$3,List!$E$2:$CD$2,0)),"")</f>
        <v/>
      </c>
      <c r="V78" s="13" t="str">
        <f>IF(V$4="Yes",INDEX(List!$E$2:$CD$173,MATCH('Selection Pane Data'!$B78,List!$E$2:$E$173,0),MATCH('Selection Pane Data'!V$3,List!$E$2:$CD$2,0)),"")</f>
        <v/>
      </c>
      <c r="W78" s="13" t="str">
        <f>IF(W$4="Yes",INDEX(List!$E$2:$CD$173,MATCH('Selection Pane Data'!$B78,List!$E$2:$E$173,0),MATCH('Selection Pane Data'!W$3,List!$E$2:$CD$2,0)),"")</f>
        <v/>
      </c>
      <c r="X78" s="13" t="str">
        <f>IF(X$4="Yes",INDEX(List!$E$2:$CD$173,MATCH('Selection Pane Data'!$B78,List!$E$2:$E$173,0),MATCH('Selection Pane Data'!X$3,List!$E$2:$CD$2,0)),"")</f>
        <v/>
      </c>
      <c r="Y78" s="13" t="str">
        <f>IF(Y$4="Yes",INDEX(List!$E$2:$CD$173,MATCH('Selection Pane Data'!$B78,List!$E$2:$E$173,0),MATCH('Selection Pane Data'!Y$3,List!$E$2:$CD$2,0)),"")</f>
        <v/>
      </c>
      <c r="Z78" s="13" t="str">
        <f>IF(Z$4="Yes",INDEX(List!$E$2:$CD$173,MATCH('Selection Pane Data'!$B78,List!$E$2:$E$173,0),MATCH('Selection Pane Data'!Z$3,List!$E$2:$CD$2,0)),"")</f>
        <v/>
      </c>
      <c r="AA78" s="13" t="str">
        <f>IF(AA$4="Yes",INDEX(List!$E$2:$CD$173,MATCH('Selection Pane Data'!$B78,List!$E$2:$E$173,0),MATCH('Selection Pane Data'!AA$3,List!$E$2:$CD$2,0)),"")</f>
        <v>S</v>
      </c>
      <c r="AB78" s="13" t="str">
        <f>IF(AB$4="Yes",INDEX(List!$E$2:$CD$173,MATCH('Selection Pane Data'!$B78,List!$E$2:$E$173,0),MATCH('Selection Pane Data'!AB$3,List!$E$2:$CD$2,0)),"")</f>
        <v/>
      </c>
      <c r="AC78" s="13" t="str">
        <f>IF(AC$4="Yes",INDEX(List!$E$2:$CD$173,MATCH('Selection Pane Data'!$B78,List!$E$2:$E$173,0),MATCH('Selection Pane Data'!AC$3,List!$E$2:$CD$2,0)),"")</f>
        <v/>
      </c>
      <c r="AD78" s="13" t="str">
        <f>IF(AD$4="Yes",INDEX(List!$E$2:$CD$173,MATCH('Selection Pane Data'!$B78,List!$E$2:$E$173,0),MATCH('Selection Pane Data'!AD$3,List!$E$2:$CD$2,0)),"")</f>
        <v/>
      </c>
      <c r="AE78" s="13" t="str">
        <f>IF(AE$4="Yes",INDEX(List!$E$2:$CD$173,MATCH('Selection Pane Data'!$B78,List!$E$2:$E$173,0),MATCH('Selection Pane Data'!AE$3,List!$E$2:$CD$2,0)),"")</f>
        <v/>
      </c>
      <c r="AF78" s="13" t="str">
        <f>IF(AF$4="Yes",INDEX(List!$E$2:$CD$173,MATCH('Selection Pane Data'!$B78,List!$E$2:$E$173,0),MATCH('Selection Pane Data'!AF$3,List!$E$2:$CD$2,0)),"")</f>
        <v/>
      </c>
      <c r="AG78" s="13" t="str">
        <f>IF(AG$4="Yes",INDEX(List!$E$2:$CD$173,MATCH('Selection Pane Data'!$B78,List!$E$2:$E$173,0),MATCH('Selection Pane Data'!AG$3,List!$E$2:$CD$2,0)),"")</f>
        <v/>
      </c>
      <c r="AH78" s="13" t="str">
        <f>IF(AH$4="Yes",INDEX(List!$E$2:$CD$173,MATCH('Selection Pane Data'!$B78,List!$E$2:$E$173,0),MATCH('Selection Pane Data'!AH$3,List!$E$2:$CD$2,0)),"")</f>
        <v/>
      </c>
      <c r="AI78" s="13" t="str">
        <f>IF(AI$4="Yes",INDEX(List!$E$2:$CD$173,MATCH('Selection Pane Data'!$B78,List!$E$2:$E$173,0),MATCH('Selection Pane Data'!AI$3,List!$E$2:$CD$2,0)),"")</f>
        <v/>
      </c>
      <c r="AJ78" s="13" t="str">
        <f>IF(AJ$4="Yes",INDEX(List!$E$2:$CD$173,MATCH('Selection Pane Data'!$B78,List!$E$2:$E$173,0),MATCH('Selection Pane Data'!AJ$3,List!$E$2:$CD$2,0)),"")</f>
        <v/>
      </c>
      <c r="AK78" s="13" t="str">
        <f>IF(AK$4="Yes",INDEX(List!$E$2:$CD$173,MATCH('Selection Pane Data'!$B78,List!$E$2:$E$173,0),MATCH('Selection Pane Data'!AK$3,List!$E$2:$CD$2,0)),"")</f>
        <v/>
      </c>
      <c r="AL78" s="13" t="str">
        <f>IF(AL$4="Yes",INDEX(List!$E$2:$CD$173,MATCH('Selection Pane Data'!$B78,List!$E$2:$E$173,0),MATCH('Selection Pane Data'!AL$3,List!$E$2:$CD$2,0)),"")</f>
        <v/>
      </c>
      <c r="AM78" s="13" t="str">
        <f>IF(AM$4="Yes",INDEX(List!$E$2:$CD$173,MATCH('Selection Pane Data'!$B78,List!$E$2:$E$173,0),MATCH('Selection Pane Data'!AM$3,List!$E$2:$CD$2,0)),"")</f>
        <v/>
      </c>
      <c r="AN78" s="13" t="str">
        <f>IF(AN$4="Yes",INDEX(List!$E$2:$CD$173,MATCH('Selection Pane Data'!$B78,List!$E$2:$E$173,0),MATCH('Selection Pane Data'!AN$3,List!$E$2:$CD$2,0)),"")</f>
        <v/>
      </c>
      <c r="AO78" s="13" t="str">
        <f>IF(AO$4="Yes",INDEX(List!$E$2:$CD$173,MATCH('Selection Pane Data'!$B78,List!$E$2:$E$173,0),MATCH('Selection Pane Data'!AO$3,List!$E$2:$CD$2,0)),"")</f>
        <v/>
      </c>
      <c r="AP78" s="13" t="str">
        <f>IF(AP$4="Yes",INDEX(List!$E$2:$CD$173,MATCH('Selection Pane Data'!$B78,List!$E$2:$E$173,0),MATCH('Selection Pane Data'!AP$3,List!$E$2:$CD$2,0)),"")</f>
        <v/>
      </c>
      <c r="AQ78" s="13" t="str">
        <f>IF(AQ$4="Yes",INDEX(List!$E$2:$CD$173,MATCH('Selection Pane Data'!$B78,List!$E$2:$E$173,0),MATCH('Selection Pane Data'!AQ$3,List!$E$2:$CD$2,0)),"")</f>
        <v/>
      </c>
      <c r="AR78" s="13" t="str">
        <f>IF(AR$4="Yes",INDEX(List!$E$2:$CD$173,MATCH('Selection Pane Data'!$B78,List!$E$2:$E$173,0),MATCH('Selection Pane Data'!AR$3,List!$E$2:$CD$2,0)),"")</f>
        <v/>
      </c>
      <c r="AS78" s="13" t="str">
        <f>IF(AS$4="Yes",INDEX(List!$E$2:$CD$173,MATCH('Selection Pane Data'!$B78,List!$E$2:$E$173,0),MATCH('Selection Pane Data'!AS$3,List!$E$2:$CD$2,0)),"")</f>
        <v/>
      </c>
      <c r="AT78" s="13" t="str">
        <f>IF(AT$4="Yes",INDEX(List!$E$2:$CD$173,MATCH('Selection Pane Data'!$B78,List!$E$2:$E$173,0),MATCH('Selection Pane Data'!AT$3,List!$E$2:$CD$2,0)),"")</f>
        <v/>
      </c>
      <c r="AU78" s="13" t="str">
        <f>IF(AU$4="Yes",INDEX(List!$E$2:$CD$173,MATCH('Selection Pane Data'!$B78,List!$E$2:$E$173,0),MATCH('Selection Pane Data'!AU$3,List!$E$2:$CD$2,0)),"")</f>
        <v/>
      </c>
      <c r="AV78" s="13" t="str">
        <f>IF(AV$4="Yes",INDEX(List!$E$2:$CD$173,MATCH('Selection Pane Data'!$B78,List!$E$2:$E$173,0),MATCH('Selection Pane Data'!AV$3,List!$E$2:$CD$2,0)),"")</f>
        <v/>
      </c>
      <c r="AW78" s="13" t="str">
        <f>IF(AW$4="Yes",INDEX(List!$E$2:$CD$173,MATCH('Selection Pane Data'!$B78,List!$E$2:$E$173,0),MATCH('Selection Pane Data'!AW$3,List!$E$2:$CD$2,0)),"")</f>
        <v/>
      </c>
      <c r="AX78" s="13" t="str">
        <f>IF(AX$4="Yes",INDEX(List!$E$2:$CD$173,MATCH('Selection Pane Data'!$B78,List!$E$2:$E$173,0),MATCH('Selection Pane Data'!AX$3,List!$E$2:$CD$2,0)),"")</f>
        <v/>
      </c>
      <c r="AY78" s="13" t="str">
        <f>IF(AY$4="Yes",INDEX(List!$E$2:$CD$173,MATCH('Selection Pane Data'!$B78,List!$E$2:$E$173,0),MATCH('Selection Pane Data'!AY$3,List!$E$2:$CD$2,0)),"")</f>
        <v/>
      </c>
      <c r="AZ78" s="13" t="str">
        <f>IF(AZ$4="Yes",INDEX(List!$E$2:$CD$173,MATCH('Selection Pane Data'!$B78,List!$E$2:$E$173,0),MATCH('Selection Pane Data'!AZ$3,List!$E$2:$CD$2,0)),"")</f>
        <v/>
      </c>
      <c r="BA78" s="13" t="str">
        <f>IF(BA$4="Yes",INDEX(List!$E$2:$CD$173,MATCH('Selection Pane Data'!$B78,List!$E$2:$E$173,0),MATCH('Selection Pane Data'!BA$3,List!$E$2:$CD$2,0)),"")</f>
        <v/>
      </c>
      <c r="BB78" s="13" t="str">
        <f>IF(BB$4="Yes",INDEX(List!$E$2:$CD$173,MATCH('Selection Pane Data'!$B78,List!$E$2:$E$173,0),MATCH('Selection Pane Data'!BB$3,List!$E$2:$CD$2,0)),"")</f>
        <v/>
      </c>
      <c r="BC78" s="13" t="str">
        <f>IF(BC$4="Yes",INDEX(List!$E$2:$CD$173,MATCH('Selection Pane Data'!$B78,List!$E$2:$E$173,0),MATCH('Selection Pane Data'!BC$3,List!$E$2:$CD$2,0)),"")</f>
        <v/>
      </c>
      <c r="BD78" s="13" t="str">
        <f>IF(BD$4="Yes",INDEX(List!$E$2:$CD$173,MATCH('Selection Pane Data'!$B78,List!$E$2:$E$173,0),MATCH('Selection Pane Data'!BD$3,List!$E$2:$CD$2,0)),"")</f>
        <v/>
      </c>
      <c r="BE78" s="13" t="str">
        <f>IF(BE$4="Yes",INDEX(List!$E$2:$CD$173,MATCH('Selection Pane Data'!$B78,List!$E$2:$E$173,0),MATCH('Selection Pane Data'!BE$3,List!$E$2:$CD$2,0)),"")</f>
        <v/>
      </c>
      <c r="BF78" s="13" t="str">
        <f>IF(BF$4="Yes",INDEX(List!$E$2:$CD$173,MATCH('Selection Pane Data'!$B78,List!$E$2:$E$173,0),MATCH('Selection Pane Data'!BF$3,List!$E$2:$CD$2,0)),"")</f>
        <v/>
      </c>
      <c r="BG78" s="13" t="str">
        <f>IF(BG$4="Yes",INDEX(List!$E$2:$CD$173,MATCH('Selection Pane Data'!$B78,List!$E$2:$E$173,0),MATCH('Selection Pane Data'!BG$3,List!$E$2:$CD$2,0)),"")</f>
        <v/>
      </c>
      <c r="BH78" s="13" t="str">
        <f>IF(BH$4="Yes",INDEX(List!$E$2:$CD$173,MATCH('Selection Pane Data'!$B78,List!$E$2:$E$173,0),MATCH('Selection Pane Data'!BH$3,List!$E$2:$CD$2,0)),"")</f>
        <v/>
      </c>
      <c r="BI78" s="13" t="str">
        <f>IF(BI$4="Yes",INDEX(List!$E$2:$CD$173,MATCH('Selection Pane Data'!$B78,List!$E$2:$E$173,0),MATCH('Selection Pane Data'!BI$3,List!$E$2:$CD$2,0)),"")</f>
        <v/>
      </c>
      <c r="BJ78" s="13" t="str">
        <f>IF(BJ$4="Yes",INDEX(List!$E$2:$CD$173,MATCH('Selection Pane Data'!$B78,List!$E$2:$E$173,0),MATCH('Selection Pane Data'!BJ$3,List!$E$2:$CD$2,0)),"")</f>
        <v/>
      </c>
      <c r="BK78" s="13" t="str">
        <f>IF(BK$4="Yes",INDEX(List!$E$2:$CD$173,MATCH('Selection Pane Data'!$B78,List!$E$2:$E$173,0),MATCH('Selection Pane Data'!BK$3,List!$E$2:$CD$2,0)),"")</f>
        <v/>
      </c>
      <c r="BL78" s="13" t="str">
        <f>IF(BL$4="Yes",INDEX(List!$E$2:$CD$173,MATCH('Selection Pane Data'!$B78,List!$E$2:$E$173,0),MATCH('Selection Pane Data'!BL$3,List!$E$2:$CD$2,0)),"")</f>
        <v/>
      </c>
      <c r="BM78" s="13" t="str">
        <f>IF(BM$4="Yes",INDEX(List!$E$2:$CD$173,MATCH('Selection Pane Data'!$B78,List!$E$2:$E$173,0),MATCH('Selection Pane Data'!BM$3,List!$E$2:$CD$2,0)),"")</f>
        <v/>
      </c>
      <c r="BN78" s="13" t="str">
        <f>IF(BN$4="Yes",INDEX(List!$E$2:$CD$173,MATCH('Selection Pane Data'!$B78,List!$E$2:$E$173,0),MATCH('Selection Pane Data'!BN$3,List!$E$2:$CD$2,0)),"")</f>
        <v/>
      </c>
      <c r="BO78" s="13" t="str">
        <f>IF(BO$4="Yes",INDEX(List!$E$2:$CD$173,MATCH('Selection Pane Data'!$B78,List!$E$2:$E$173,0),MATCH('Selection Pane Data'!BO$3,List!$E$2:$CD$2,0)),"")</f>
        <v/>
      </c>
      <c r="BP78" s="13" t="str">
        <f>IF(BP$4="Yes",INDEX(List!$E$2:$CD$173,MATCH('Selection Pane Data'!$B78,List!$E$2:$E$173,0),MATCH('Selection Pane Data'!BP$3,List!$E$2:$CD$2,0)),"")</f>
        <v/>
      </c>
      <c r="BQ78" s="13" t="str">
        <f>IF(BQ$4="Yes",INDEX(List!$E$2:$CD$173,MATCH('Selection Pane Data'!$B78,List!$E$2:$E$173,0),MATCH('Selection Pane Data'!BQ$3,List!$E$2:$CD$2,0)),"")</f>
        <v/>
      </c>
      <c r="BR78" s="13" t="str">
        <f>IF(BR$4="Yes",INDEX(List!$E$2:$CD$173,MATCH('Selection Pane Data'!$B78,List!$E$2:$E$173,0),MATCH('Selection Pane Data'!BR$3,List!$E$2:$CD$2,0)),"")</f>
        <v/>
      </c>
      <c r="BS78" s="13" t="str">
        <f>IF(BS$4="Yes",INDEX(List!$E$2:$CD$173,MATCH('Selection Pane Data'!$B78,List!$E$2:$E$173,0),MATCH('Selection Pane Data'!BS$3,List!$E$2:$CD$2,0)),"")</f>
        <v/>
      </c>
      <c r="BT78" s="13" t="str">
        <f>IF(BT$4="Yes",INDEX(List!$E$2:$CD$173,MATCH('Selection Pane Data'!$B78,List!$E$2:$E$173,0),MATCH('Selection Pane Data'!BT$3,List!$E$2:$CD$2,0)),"")</f>
        <v/>
      </c>
      <c r="BU78" s="13" t="str">
        <f>IF(BU$4="Yes",INDEX(List!$E$2:$CD$173,MATCH('Selection Pane Data'!$B78,List!$E$2:$E$173,0),MATCH('Selection Pane Data'!BU$3,List!$E$2:$CD$2,0)),"")</f>
        <v/>
      </c>
      <c r="BV78" s="13" t="str">
        <f>IF(BV$4="Yes",INDEX(List!$E$2:$CD$173,MATCH('Selection Pane Data'!$B78,List!$E$2:$E$173,0),MATCH('Selection Pane Data'!BV$3,List!$E$2:$CD$2,0)),"")</f>
        <v/>
      </c>
      <c r="BW78" s="13" t="str">
        <f>IF(BW$4="Yes",INDEX(List!$E$2:$CD$173,MATCH('Selection Pane Data'!$B78,List!$E$2:$E$173,0),MATCH('Selection Pane Data'!BW$3,List!$E$2:$CD$2,0)),"")</f>
        <v/>
      </c>
      <c r="BX78" s="13" t="str">
        <f>IF(BX$4="Yes",INDEX(List!$E$2:$CD$173,MATCH('Selection Pane Data'!$B78,List!$E$2:$E$173,0),MATCH('Selection Pane Data'!BX$3,List!$E$2:$CD$2,0)),"")</f>
        <v/>
      </c>
      <c r="BY78" s="13" t="str">
        <f>IF(BY$4="Yes",INDEX(List!$E$2:$CD$173,MATCH('Selection Pane Data'!$B78,List!$E$2:$E$173,0),MATCH('Selection Pane Data'!BY$3,List!$E$2:$CD$2,0)),"")</f>
        <v/>
      </c>
      <c r="BZ78" s="13" t="str">
        <f>IF(BZ$4="Yes",INDEX(List!$E$2:$CD$173,MATCH('Selection Pane Data'!$B78,List!$E$2:$E$173,0),MATCH('Selection Pane Data'!BZ$3,List!$E$2:$CD$2,0)),"")</f>
        <v/>
      </c>
      <c r="CA78" s="13" t="str">
        <f>IF(CA$4="Yes",INDEX(List!$E$2:$CD$173,MATCH('Selection Pane Data'!$B78,List!$E$2:$E$173,0),MATCH('Selection Pane Data'!CA$3,List!$E$2:$CD$2,0)),"")</f>
        <v/>
      </c>
      <c r="CB78" s="13" t="str">
        <f>IF(CB$4="Yes",INDEX(List!$E$2:$CD$173,MATCH('Selection Pane Data'!$B78,List!$E$2:$E$173,0),MATCH('Selection Pane Data'!CB$3,List!$E$2:$CD$2,0)),"")</f>
        <v/>
      </c>
      <c r="CC78" s="13" t="str">
        <f>IF(CC$4="Yes",INDEX(List!$E$2:$CD$173,MATCH('Selection Pane Data'!$B78,List!$E$2:$E$173,0),MATCH('Selection Pane Data'!CC$3,List!$E$2:$CD$2,0)),"")</f>
        <v/>
      </c>
      <c r="CD78" s="13" t="str">
        <f>IF(CD$4="Yes",INDEX(List!$E$2:$CD$173,MATCH('Selection Pane Data'!$B78,List!$E$2:$E$173,0),MATCH('Selection Pane Data'!CD$3,List!$E$2:$CD$2,0)),"")</f>
        <v/>
      </c>
      <c r="CE78" s="13" t="str">
        <f>IF(CE$4="Yes",INDEX(List!$E$2:$CD$173,MATCH('Selection Pane Data'!$B78,List!$E$2:$E$173,0),MATCH('Selection Pane Data'!CE$3,List!$E$2:$CD$2,0)),"")</f>
        <v/>
      </c>
    </row>
    <row r="79" spans="2:83" x14ac:dyDescent="0.35">
      <c r="B79" s="21" t="s">
        <v>366</v>
      </c>
      <c r="C79" s="126" t="str">
        <f>VLOOKUP(B79,List!$E$2:$G$173,2,FALSE)</f>
        <v>IA.L2-3.5.4</v>
      </c>
      <c r="D79" s="31" t="str">
        <f>List!G77</f>
        <v>Shared Coverage</v>
      </c>
      <c r="E79" s="31" t="str">
        <f>IF(Placemat!$F$4="All Practices","All Practices",IF(VLOOKUP(B79,Table7[#All],6,FALSE)="No Mapping","New CMMC Practices","Practices with NIST 800-171 Mappings"))</f>
        <v>Practices with NIST 800-171 Mappings</v>
      </c>
      <c r="F79" t="str">
        <f>INDEX('CMMC Levels'!$A$1:$F$172,MATCH('Selection Pane Data'!$C79,'CMMC Levels'!$A$1:$A$172,0),MATCH(Placemat!$F$4,'CMMC Levels'!$A$1:$F$1,0))</f>
        <v>X</v>
      </c>
      <c r="G79" s="77" t="str">
        <f>IF((COUNTIF(List!H77:CE77,"P")+COUNTIF(List!H77:CE77,"S"))=0,"N",IF(COUNTIF(H79:CE79,"P"),"P",IF(COUNTIF(H79:CE79,"S"),"S","U")))</f>
        <v>P</v>
      </c>
      <c r="H79" s="13" t="str">
        <f>IF(H$4="Yes",INDEX(List!$E$2:$CD$173,MATCH('Selection Pane Data'!$B79,List!$E$2:$E$173,0),MATCH('Selection Pane Data'!H$3,List!$E$2:$CD$2,0)),"")</f>
        <v/>
      </c>
      <c r="I79" s="13" t="str">
        <f>IF(I$4="Yes",INDEX(List!$E$2:$CD$173,MATCH('Selection Pane Data'!$B79,List!$E$2:$E$173,0),MATCH('Selection Pane Data'!I$3,List!$E$2:$CD$2,0)),"")</f>
        <v/>
      </c>
      <c r="J79" s="13" t="str">
        <f>IF(J$4="Yes",INDEX(List!$E$2:$CD$173,MATCH('Selection Pane Data'!$B79,List!$E$2:$E$173,0),MATCH('Selection Pane Data'!J$3,List!$E$2:$CD$2,0)),"")</f>
        <v>N</v>
      </c>
      <c r="K79" s="13" t="str">
        <f>IF(K$4="Yes",INDEX(List!$E$2:$CD$173,MATCH('Selection Pane Data'!$B79,List!$E$2:$E$173,0),MATCH('Selection Pane Data'!K$3,List!$E$2:$CD$2,0)),"")</f>
        <v/>
      </c>
      <c r="L79" s="13" t="str">
        <f>IF(L$4="Yes",INDEX(List!$E$2:$CD$173,MATCH('Selection Pane Data'!$B79,List!$E$2:$E$173,0),MATCH('Selection Pane Data'!L$3,List!$E$2:$CD$2,0)),"")</f>
        <v/>
      </c>
      <c r="M79" s="13" t="str">
        <f>IF(M$4="Yes",INDEX(List!$E$2:$CD$173,MATCH('Selection Pane Data'!$B79,List!$E$2:$E$173,0),MATCH('Selection Pane Data'!M$3,List!$E$2:$CD$2,0)),"")</f>
        <v/>
      </c>
      <c r="N79" s="13" t="str">
        <f>IF(N$4="Yes",INDEX(List!$E$2:$CD$173,MATCH('Selection Pane Data'!$B79,List!$E$2:$E$173,0),MATCH('Selection Pane Data'!N$3,List!$E$2:$CD$2,0)),"")</f>
        <v/>
      </c>
      <c r="O79" s="13" t="str">
        <f>IF(O$4="Yes",INDEX(List!$E$2:$CD$173,MATCH('Selection Pane Data'!$B79,List!$E$2:$E$173,0),MATCH('Selection Pane Data'!O$3,List!$E$2:$CD$2,0)),"")</f>
        <v/>
      </c>
      <c r="P79" s="13" t="str">
        <f>IF(P$4="Yes",INDEX(List!$E$2:$CD$173,MATCH('Selection Pane Data'!$B79,List!$E$2:$E$173,0),MATCH('Selection Pane Data'!P$3,List!$E$2:$CD$2,0)),"")</f>
        <v/>
      </c>
      <c r="Q79" s="13" t="str">
        <f>IF(Q$4="Yes",INDEX(List!$E$2:$CD$173,MATCH('Selection Pane Data'!$B79,List!$E$2:$E$173,0),MATCH('Selection Pane Data'!Q$3,List!$E$2:$CD$2,0)),"")</f>
        <v/>
      </c>
      <c r="R79" s="13" t="str">
        <f>IF(R$4="Yes",INDEX(List!$E$2:$CD$173,MATCH('Selection Pane Data'!$B79,List!$E$2:$E$173,0),MATCH('Selection Pane Data'!R$3,List!$E$2:$CD$2,0)),"")</f>
        <v/>
      </c>
      <c r="S79" s="13" t="str">
        <f>IF(S$4="Yes",INDEX(List!$E$2:$CD$173,MATCH('Selection Pane Data'!$B79,List!$E$2:$E$173,0),MATCH('Selection Pane Data'!S$3,List!$E$2:$CD$2,0)),"")</f>
        <v/>
      </c>
      <c r="T79" s="13" t="str">
        <f>IF(T$4="Yes",INDEX(List!$E$2:$CD$173,MATCH('Selection Pane Data'!$B79,List!$E$2:$E$173,0),MATCH('Selection Pane Data'!T$3,List!$E$2:$CD$2,0)),"")</f>
        <v/>
      </c>
      <c r="U79" s="13" t="str">
        <f>IF(U$4="Yes",INDEX(List!$E$2:$CD$173,MATCH('Selection Pane Data'!$B79,List!$E$2:$E$173,0),MATCH('Selection Pane Data'!U$3,List!$E$2:$CD$2,0)),"")</f>
        <v/>
      </c>
      <c r="V79" s="13" t="str">
        <f>IF(V$4="Yes",INDEX(List!$E$2:$CD$173,MATCH('Selection Pane Data'!$B79,List!$E$2:$E$173,0),MATCH('Selection Pane Data'!V$3,List!$E$2:$CD$2,0)),"")</f>
        <v/>
      </c>
      <c r="W79" s="13" t="str">
        <f>IF(W$4="Yes",INDEX(List!$E$2:$CD$173,MATCH('Selection Pane Data'!$B79,List!$E$2:$E$173,0),MATCH('Selection Pane Data'!W$3,List!$E$2:$CD$2,0)),"")</f>
        <v/>
      </c>
      <c r="X79" s="13" t="str">
        <f>IF(X$4="Yes",INDEX(List!$E$2:$CD$173,MATCH('Selection Pane Data'!$B79,List!$E$2:$E$173,0),MATCH('Selection Pane Data'!X$3,List!$E$2:$CD$2,0)),"")</f>
        <v/>
      </c>
      <c r="Y79" s="13" t="str">
        <f>IF(Y$4="Yes",INDEX(List!$E$2:$CD$173,MATCH('Selection Pane Data'!$B79,List!$E$2:$E$173,0),MATCH('Selection Pane Data'!Y$3,List!$E$2:$CD$2,0)),"")</f>
        <v/>
      </c>
      <c r="Z79" s="13" t="str">
        <f>IF(Z$4="Yes",INDEX(List!$E$2:$CD$173,MATCH('Selection Pane Data'!$B79,List!$E$2:$E$173,0),MATCH('Selection Pane Data'!Z$3,List!$E$2:$CD$2,0)),"")</f>
        <v/>
      </c>
      <c r="AA79" s="13" t="str">
        <f>IF(AA$4="Yes",INDEX(List!$E$2:$CD$173,MATCH('Selection Pane Data'!$B79,List!$E$2:$E$173,0),MATCH('Selection Pane Data'!AA$3,List!$E$2:$CD$2,0)),"")</f>
        <v>P</v>
      </c>
      <c r="AB79" s="13" t="str">
        <f>IF(AB$4="Yes",INDEX(List!$E$2:$CD$173,MATCH('Selection Pane Data'!$B79,List!$E$2:$E$173,0),MATCH('Selection Pane Data'!AB$3,List!$E$2:$CD$2,0)),"")</f>
        <v/>
      </c>
      <c r="AC79" s="13" t="str">
        <f>IF(AC$4="Yes",INDEX(List!$E$2:$CD$173,MATCH('Selection Pane Data'!$B79,List!$E$2:$E$173,0),MATCH('Selection Pane Data'!AC$3,List!$E$2:$CD$2,0)),"")</f>
        <v/>
      </c>
      <c r="AD79" s="13" t="str">
        <f>IF(AD$4="Yes",INDEX(List!$E$2:$CD$173,MATCH('Selection Pane Data'!$B79,List!$E$2:$E$173,0),MATCH('Selection Pane Data'!AD$3,List!$E$2:$CD$2,0)),"")</f>
        <v/>
      </c>
      <c r="AE79" s="13" t="str">
        <f>IF(AE$4="Yes",INDEX(List!$E$2:$CD$173,MATCH('Selection Pane Data'!$B79,List!$E$2:$E$173,0),MATCH('Selection Pane Data'!AE$3,List!$E$2:$CD$2,0)),"")</f>
        <v/>
      </c>
      <c r="AF79" s="13" t="str">
        <f>IF(AF$4="Yes",INDEX(List!$E$2:$CD$173,MATCH('Selection Pane Data'!$B79,List!$E$2:$E$173,0),MATCH('Selection Pane Data'!AF$3,List!$E$2:$CD$2,0)),"")</f>
        <v/>
      </c>
      <c r="AG79" s="13" t="str">
        <f>IF(AG$4="Yes",INDEX(List!$E$2:$CD$173,MATCH('Selection Pane Data'!$B79,List!$E$2:$E$173,0),MATCH('Selection Pane Data'!AG$3,List!$E$2:$CD$2,0)),"")</f>
        <v/>
      </c>
      <c r="AH79" s="13" t="str">
        <f>IF(AH$4="Yes",INDEX(List!$E$2:$CD$173,MATCH('Selection Pane Data'!$B79,List!$E$2:$E$173,0),MATCH('Selection Pane Data'!AH$3,List!$E$2:$CD$2,0)),"")</f>
        <v/>
      </c>
      <c r="AI79" s="13" t="str">
        <f>IF(AI$4="Yes",INDEX(List!$E$2:$CD$173,MATCH('Selection Pane Data'!$B79,List!$E$2:$E$173,0),MATCH('Selection Pane Data'!AI$3,List!$E$2:$CD$2,0)),"")</f>
        <v/>
      </c>
      <c r="AJ79" s="13" t="str">
        <f>IF(AJ$4="Yes",INDEX(List!$E$2:$CD$173,MATCH('Selection Pane Data'!$B79,List!$E$2:$E$173,0),MATCH('Selection Pane Data'!AJ$3,List!$E$2:$CD$2,0)),"")</f>
        <v/>
      </c>
      <c r="AK79" s="13" t="str">
        <f>IF(AK$4="Yes",INDEX(List!$E$2:$CD$173,MATCH('Selection Pane Data'!$B79,List!$E$2:$E$173,0),MATCH('Selection Pane Data'!AK$3,List!$E$2:$CD$2,0)),"")</f>
        <v/>
      </c>
      <c r="AL79" s="13" t="str">
        <f>IF(AL$4="Yes",INDEX(List!$E$2:$CD$173,MATCH('Selection Pane Data'!$B79,List!$E$2:$E$173,0),MATCH('Selection Pane Data'!AL$3,List!$E$2:$CD$2,0)),"")</f>
        <v/>
      </c>
      <c r="AM79" s="13" t="str">
        <f>IF(AM$4="Yes",INDEX(List!$E$2:$CD$173,MATCH('Selection Pane Data'!$B79,List!$E$2:$E$173,0),MATCH('Selection Pane Data'!AM$3,List!$E$2:$CD$2,0)),"")</f>
        <v/>
      </c>
      <c r="AN79" s="13" t="str">
        <f>IF(AN$4="Yes",INDEX(List!$E$2:$CD$173,MATCH('Selection Pane Data'!$B79,List!$E$2:$E$173,0),MATCH('Selection Pane Data'!AN$3,List!$E$2:$CD$2,0)),"")</f>
        <v/>
      </c>
      <c r="AO79" s="13" t="str">
        <f>IF(AO$4="Yes",INDEX(List!$E$2:$CD$173,MATCH('Selection Pane Data'!$B79,List!$E$2:$E$173,0),MATCH('Selection Pane Data'!AO$3,List!$E$2:$CD$2,0)),"")</f>
        <v/>
      </c>
      <c r="AP79" s="13" t="str">
        <f>IF(AP$4="Yes",INDEX(List!$E$2:$CD$173,MATCH('Selection Pane Data'!$B79,List!$E$2:$E$173,0),MATCH('Selection Pane Data'!AP$3,List!$E$2:$CD$2,0)),"")</f>
        <v/>
      </c>
      <c r="AQ79" s="13" t="str">
        <f>IF(AQ$4="Yes",INDEX(List!$E$2:$CD$173,MATCH('Selection Pane Data'!$B79,List!$E$2:$E$173,0),MATCH('Selection Pane Data'!AQ$3,List!$E$2:$CD$2,0)),"")</f>
        <v/>
      </c>
      <c r="AR79" s="13" t="str">
        <f>IF(AR$4="Yes",INDEX(List!$E$2:$CD$173,MATCH('Selection Pane Data'!$B79,List!$E$2:$E$173,0),MATCH('Selection Pane Data'!AR$3,List!$E$2:$CD$2,0)),"")</f>
        <v/>
      </c>
      <c r="AS79" s="13" t="str">
        <f>IF(AS$4="Yes",INDEX(List!$E$2:$CD$173,MATCH('Selection Pane Data'!$B79,List!$E$2:$E$173,0),MATCH('Selection Pane Data'!AS$3,List!$E$2:$CD$2,0)),"")</f>
        <v/>
      </c>
      <c r="AT79" s="13" t="str">
        <f>IF(AT$4="Yes",INDEX(List!$E$2:$CD$173,MATCH('Selection Pane Data'!$B79,List!$E$2:$E$173,0),MATCH('Selection Pane Data'!AT$3,List!$E$2:$CD$2,0)),"")</f>
        <v/>
      </c>
      <c r="AU79" s="13" t="str">
        <f>IF(AU$4="Yes",INDEX(List!$E$2:$CD$173,MATCH('Selection Pane Data'!$B79,List!$E$2:$E$173,0),MATCH('Selection Pane Data'!AU$3,List!$E$2:$CD$2,0)),"")</f>
        <v/>
      </c>
      <c r="AV79" s="13" t="str">
        <f>IF(AV$4="Yes",INDEX(List!$E$2:$CD$173,MATCH('Selection Pane Data'!$B79,List!$E$2:$E$173,0),MATCH('Selection Pane Data'!AV$3,List!$E$2:$CD$2,0)),"")</f>
        <v/>
      </c>
      <c r="AW79" s="13" t="str">
        <f>IF(AW$4="Yes",INDEX(List!$E$2:$CD$173,MATCH('Selection Pane Data'!$B79,List!$E$2:$E$173,0),MATCH('Selection Pane Data'!AW$3,List!$E$2:$CD$2,0)),"")</f>
        <v/>
      </c>
      <c r="AX79" s="13" t="str">
        <f>IF(AX$4="Yes",INDEX(List!$E$2:$CD$173,MATCH('Selection Pane Data'!$B79,List!$E$2:$E$173,0),MATCH('Selection Pane Data'!AX$3,List!$E$2:$CD$2,0)),"")</f>
        <v/>
      </c>
      <c r="AY79" s="13" t="str">
        <f>IF(AY$4="Yes",INDEX(List!$E$2:$CD$173,MATCH('Selection Pane Data'!$B79,List!$E$2:$E$173,0),MATCH('Selection Pane Data'!AY$3,List!$E$2:$CD$2,0)),"")</f>
        <v/>
      </c>
      <c r="AZ79" s="13" t="str">
        <f>IF(AZ$4="Yes",INDEX(List!$E$2:$CD$173,MATCH('Selection Pane Data'!$B79,List!$E$2:$E$173,0),MATCH('Selection Pane Data'!AZ$3,List!$E$2:$CD$2,0)),"")</f>
        <v/>
      </c>
      <c r="BA79" s="13" t="str">
        <f>IF(BA$4="Yes",INDEX(List!$E$2:$CD$173,MATCH('Selection Pane Data'!$B79,List!$E$2:$E$173,0),MATCH('Selection Pane Data'!BA$3,List!$E$2:$CD$2,0)),"")</f>
        <v/>
      </c>
      <c r="BB79" s="13" t="str">
        <f>IF(BB$4="Yes",INDEX(List!$E$2:$CD$173,MATCH('Selection Pane Data'!$B79,List!$E$2:$E$173,0),MATCH('Selection Pane Data'!BB$3,List!$E$2:$CD$2,0)),"")</f>
        <v/>
      </c>
      <c r="BC79" s="13" t="str">
        <f>IF(BC$4="Yes",INDEX(List!$E$2:$CD$173,MATCH('Selection Pane Data'!$B79,List!$E$2:$E$173,0),MATCH('Selection Pane Data'!BC$3,List!$E$2:$CD$2,0)),"")</f>
        <v/>
      </c>
      <c r="BD79" s="13" t="str">
        <f>IF(BD$4="Yes",INDEX(List!$E$2:$CD$173,MATCH('Selection Pane Data'!$B79,List!$E$2:$E$173,0),MATCH('Selection Pane Data'!BD$3,List!$E$2:$CD$2,0)),"")</f>
        <v/>
      </c>
      <c r="BE79" s="13" t="str">
        <f>IF(BE$4="Yes",INDEX(List!$E$2:$CD$173,MATCH('Selection Pane Data'!$B79,List!$E$2:$E$173,0),MATCH('Selection Pane Data'!BE$3,List!$E$2:$CD$2,0)),"")</f>
        <v/>
      </c>
      <c r="BF79" s="13" t="str">
        <f>IF(BF$4="Yes",INDEX(List!$E$2:$CD$173,MATCH('Selection Pane Data'!$B79,List!$E$2:$E$173,0),MATCH('Selection Pane Data'!BF$3,List!$E$2:$CD$2,0)),"")</f>
        <v/>
      </c>
      <c r="BG79" s="13" t="str">
        <f>IF(BG$4="Yes",INDEX(List!$E$2:$CD$173,MATCH('Selection Pane Data'!$B79,List!$E$2:$E$173,0),MATCH('Selection Pane Data'!BG$3,List!$E$2:$CD$2,0)),"")</f>
        <v/>
      </c>
      <c r="BH79" s="13" t="str">
        <f>IF(BH$4="Yes",INDEX(List!$E$2:$CD$173,MATCH('Selection Pane Data'!$B79,List!$E$2:$E$173,0),MATCH('Selection Pane Data'!BH$3,List!$E$2:$CD$2,0)),"")</f>
        <v/>
      </c>
      <c r="BI79" s="13" t="str">
        <f>IF(BI$4="Yes",INDEX(List!$E$2:$CD$173,MATCH('Selection Pane Data'!$B79,List!$E$2:$E$173,0),MATCH('Selection Pane Data'!BI$3,List!$E$2:$CD$2,0)),"")</f>
        <v/>
      </c>
      <c r="BJ79" s="13" t="str">
        <f>IF(BJ$4="Yes",INDEX(List!$E$2:$CD$173,MATCH('Selection Pane Data'!$B79,List!$E$2:$E$173,0),MATCH('Selection Pane Data'!BJ$3,List!$E$2:$CD$2,0)),"")</f>
        <v/>
      </c>
      <c r="BK79" s="13" t="str">
        <f>IF(BK$4="Yes",INDEX(List!$E$2:$CD$173,MATCH('Selection Pane Data'!$B79,List!$E$2:$E$173,0),MATCH('Selection Pane Data'!BK$3,List!$E$2:$CD$2,0)),"")</f>
        <v/>
      </c>
      <c r="BL79" s="13" t="str">
        <f>IF(BL$4="Yes",INDEX(List!$E$2:$CD$173,MATCH('Selection Pane Data'!$B79,List!$E$2:$E$173,0),MATCH('Selection Pane Data'!BL$3,List!$E$2:$CD$2,0)),"")</f>
        <v/>
      </c>
      <c r="BM79" s="13" t="str">
        <f>IF(BM$4="Yes",INDEX(List!$E$2:$CD$173,MATCH('Selection Pane Data'!$B79,List!$E$2:$E$173,0),MATCH('Selection Pane Data'!BM$3,List!$E$2:$CD$2,0)),"")</f>
        <v/>
      </c>
      <c r="BN79" s="13" t="str">
        <f>IF(BN$4="Yes",INDEX(List!$E$2:$CD$173,MATCH('Selection Pane Data'!$B79,List!$E$2:$E$173,0),MATCH('Selection Pane Data'!BN$3,List!$E$2:$CD$2,0)),"")</f>
        <v/>
      </c>
      <c r="BO79" s="13" t="str">
        <f>IF(BO$4="Yes",INDEX(List!$E$2:$CD$173,MATCH('Selection Pane Data'!$B79,List!$E$2:$E$173,0),MATCH('Selection Pane Data'!BO$3,List!$E$2:$CD$2,0)),"")</f>
        <v/>
      </c>
      <c r="BP79" s="13" t="str">
        <f>IF(BP$4="Yes",INDEX(List!$E$2:$CD$173,MATCH('Selection Pane Data'!$B79,List!$E$2:$E$173,0),MATCH('Selection Pane Data'!BP$3,List!$E$2:$CD$2,0)),"")</f>
        <v/>
      </c>
      <c r="BQ79" s="13" t="str">
        <f>IF(BQ$4="Yes",INDEX(List!$E$2:$CD$173,MATCH('Selection Pane Data'!$B79,List!$E$2:$E$173,0),MATCH('Selection Pane Data'!BQ$3,List!$E$2:$CD$2,0)),"")</f>
        <v/>
      </c>
      <c r="BR79" s="13" t="str">
        <f>IF(BR$4="Yes",INDEX(List!$E$2:$CD$173,MATCH('Selection Pane Data'!$B79,List!$E$2:$E$173,0),MATCH('Selection Pane Data'!BR$3,List!$E$2:$CD$2,0)),"")</f>
        <v/>
      </c>
      <c r="BS79" s="13" t="str">
        <f>IF(BS$4="Yes",INDEX(List!$E$2:$CD$173,MATCH('Selection Pane Data'!$B79,List!$E$2:$E$173,0),MATCH('Selection Pane Data'!BS$3,List!$E$2:$CD$2,0)),"")</f>
        <v/>
      </c>
      <c r="BT79" s="13" t="str">
        <f>IF(BT$4="Yes",INDEX(List!$E$2:$CD$173,MATCH('Selection Pane Data'!$B79,List!$E$2:$E$173,0),MATCH('Selection Pane Data'!BT$3,List!$E$2:$CD$2,0)),"")</f>
        <v/>
      </c>
      <c r="BU79" s="13" t="str">
        <f>IF(BU$4="Yes",INDEX(List!$E$2:$CD$173,MATCH('Selection Pane Data'!$B79,List!$E$2:$E$173,0),MATCH('Selection Pane Data'!BU$3,List!$E$2:$CD$2,0)),"")</f>
        <v/>
      </c>
      <c r="BV79" s="13" t="str">
        <f>IF(BV$4="Yes",INDEX(List!$E$2:$CD$173,MATCH('Selection Pane Data'!$B79,List!$E$2:$E$173,0),MATCH('Selection Pane Data'!BV$3,List!$E$2:$CD$2,0)),"")</f>
        <v/>
      </c>
      <c r="BW79" s="13" t="str">
        <f>IF(BW$4="Yes",INDEX(List!$E$2:$CD$173,MATCH('Selection Pane Data'!$B79,List!$E$2:$E$173,0),MATCH('Selection Pane Data'!BW$3,List!$E$2:$CD$2,0)),"")</f>
        <v/>
      </c>
      <c r="BX79" s="13" t="str">
        <f>IF(BX$4="Yes",INDEX(List!$E$2:$CD$173,MATCH('Selection Pane Data'!$B79,List!$E$2:$E$173,0),MATCH('Selection Pane Data'!BX$3,List!$E$2:$CD$2,0)),"")</f>
        <v/>
      </c>
      <c r="BY79" s="13" t="str">
        <f>IF(BY$4="Yes",INDEX(List!$E$2:$CD$173,MATCH('Selection Pane Data'!$B79,List!$E$2:$E$173,0),MATCH('Selection Pane Data'!BY$3,List!$E$2:$CD$2,0)),"")</f>
        <v/>
      </c>
      <c r="BZ79" s="13" t="str">
        <f>IF(BZ$4="Yes",INDEX(List!$E$2:$CD$173,MATCH('Selection Pane Data'!$B79,List!$E$2:$E$173,0),MATCH('Selection Pane Data'!BZ$3,List!$E$2:$CD$2,0)),"")</f>
        <v/>
      </c>
      <c r="CA79" s="13" t="str">
        <f>IF(CA$4="Yes",INDEX(List!$E$2:$CD$173,MATCH('Selection Pane Data'!$B79,List!$E$2:$E$173,0),MATCH('Selection Pane Data'!CA$3,List!$E$2:$CD$2,0)),"")</f>
        <v/>
      </c>
      <c r="CB79" s="13" t="str">
        <f>IF(CB$4="Yes",INDEX(List!$E$2:$CD$173,MATCH('Selection Pane Data'!$B79,List!$E$2:$E$173,0),MATCH('Selection Pane Data'!CB$3,List!$E$2:$CD$2,0)),"")</f>
        <v/>
      </c>
      <c r="CC79" s="13" t="str">
        <f>IF(CC$4="Yes",INDEX(List!$E$2:$CD$173,MATCH('Selection Pane Data'!$B79,List!$E$2:$E$173,0),MATCH('Selection Pane Data'!CC$3,List!$E$2:$CD$2,0)),"")</f>
        <v/>
      </c>
      <c r="CD79" s="13" t="str">
        <f>IF(CD$4="Yes",INDEX(List!$E$2:$CD$173,MATCH('Selection Pane Data'!$B79,List!$E$2:$E$173,0),MATCH('Selection Pane Data'!CD$3,List!$E$2:$CD$2,0)),"")</f>
        <v/>
      </c>
      <c r="CE79" s="13" t="str">
        <f>IF(CE$4="Yes",INDEX(List!$E$2:$CD$173,MATCH('Selection Pane Data'!$B79,List!$E$2:$E$173,0),MATCH('Selection Pane Data'!CE$3,List!$E$2:$CD$2,0)),"")</f>
        <v/>
      </c>
    </row>
    <row r="80" spans="2:83" x14ac:dyDescent="0.35">
      <c r="B80" s="21" t="s">
        <v>367</v>
      </c>
      <c r="C80" s="126" t="str">
        <f>VLOOKUP(B80,List!$E$2:$G$173,2,FALSE)</f>
        <v>IA.L2-3.5.5</v>
      </c>
      <c r="D80" s="31" t="str">
        <f>List!G78</f>
        <v>Shared Coverage</v>
      </c>
      <c r="E80" s="31" t="str">
        <f>IF(Placemat!$F$4="All Practices","All Practices",IF(VLOOKUP(B80,Table7[#All],6,FALSE)="No Mapping","New CMMC Practices","Practices with NIST 800-171 Mappings"))</f>
        <v>Practices with NIST 800-171 Mappings</v>
      </c>
      <c r="F80" t="str">
        <f>INDEX('CMMC Levels'!$A$1:$F$172,MATCH('Selection Pane Data'!$C80,'CMMC Levels'!$A$1:$A$172,0),MATCH(Placemat!$F$4,'CMMC Levels'!$A$1:$F$1,0))</f>
        <v>X</v>
      </c>
      <c r="G80" s="77" t="str">
        <f>IF((COUNTIF(List!H78:CE78,"P")+COUNTIF(List!H78:CE78,"S"))=0,"N",IF(COUNTIF(H80:CE80,"P"),"P",IF(COUNTIF(H80:CE80,"S"),"S","U")))</f>
        <v>U</v>
      </c>
      <c r="H80" s="13" t="str">
        <f>IF(H$4="Yes",INDEX(List!$E$2:$CD$173,MATCH('Selection Pane Data'!$B80,List!$E$2:$E$173,0),MATCH('Selection Pane Data'!H$3,List!$E$2:$CD$2,0)),"")</f>
        <v/>
      </c>
      <c r="I80" s="13" t="str">
        <f>IF(I$4="Yes",INDEX(List!$E$2:$CD$173,MATCH('Selection Pane Data'!$B80,List!$E$2:$E$173,0),MATCH('Selection Pane Data'!I$3,List!$E$2:$CD$2,0)),"")</f>
        <v/>
      </c>
      <c r="J80" s="13" t="str">
        <f>IF(J$4="Yes",INDEX(List!$E$2:$CD$173,MATCH('Selection Pane Data'!$B80,List!$E$2:$E$173,0),MATCH('Selection Pane Data'!J$3,List!$E$2:$CD$2,0)),"")</f>
        <v>N</v>
      </c>
      <c r="K80" s="13" t="str">
        <f>IF(K$4="Yes",INDEX(List!$E$2:$CD$173,MATCH('Selection Pane Data'!$B80,List!$E$2:$E$173,0),MATCH('Selection Pane Data'!K$3,List!$E$2:$CD$2,0)),"")</f>
        <v/>
      </c>
      <c r="L80" s="13" t="str">
        <f>IF(L$4="Yes",INDEX(List!$E$2:$CD$173,MATCH('Selection Pane Data'!$B80,List!$E$2:$E$173,0),MATCH('Selection Pane Data'!L$3,List!$E$2:$CD$2,0)),"")</f>
        <v/>
      </c>
      <c r="M80" s="13" t="str">
        <f>IF(M$4="Yes",INDEX(List!$E$2:$CD$173,MATCH('Selection Pane Data'!$B80,List!$E$2:$E$173,0),MATCH('Selection Pane Data'!M$3,List!$E$2:$CD$2,0)),"")</f>
        <v/>
      </c>
      <c r="N80" s="13" t="str">
        <f>IF(N$4="Yes",INDEX(List!$E$2:$CD$173,MATCH('Selection Pane Data'!$B80,List!$E$2:$E$173,0),MATCH('Selection Pane Data'!N$3,List!$E$2:$CD$2,0)),"")</f>
        <v/>
      </c>
      <c r="O80" s="13" t="str">
        <f>IF(O$4="Yes",INDEX(List!$E$2:$CD$173,MATCH('Selection Pane Data'!$B80,List!$E$2:$E$173,0),MATCH('Selection Pane Data'!O$3,List!$E$2:$CD$2,0)),"")</f>
        <v/>
      </c>
      <c r="P80" s="13" t="str">
        <f>IF(P$4="Yes",INDEX(List!$E$2:$CD$173,MATCH('Selection Pane Data'!$B80,List!$E$2:$E$173,0),MATCH('Selection Pane Data'!P$3,List!$E$2:$CD$2,0)),"")</f>
        <v/>
      </c>
      <c r="Q80" s="13" t="str">
        <f>IF(Q$4="Yes",INDEX(List!$E$2:$CD$173,MATCH('Selection Pane Data'!$B80,List!$E$2:$E$173,0),MATCH('Selection Pane Data'!Q$3,List!$E$2:$CD$2,0)),"")</f>
        <v/>
      </c>
      <c r="R80" s="13" t="str">
        <f>IF(R$4="Yes",INDEX(List!$E$2:$CD$173,MATCH('Selection Pane Data'!$B80,List!$E$2:$E$173,0),MATCH('Selection Pane Data'!R$3,List!$E$2:$CD$2,0)),"")</f>
        <v/>
      </c>
      <c r="S80" s="13" t="str">
        <f>IF(S$4="Yes",INDEX(List!$E$2:$CD$173,MATCH('Selection Pane Data'!$B80,List!$E$2:$E$173,0),MATCH('Selection Pane Data'!S$3,List!$E$2:$CD$2,0)),"")</f>
        <v/>
      </c>
      <c r="T80" s="13" t="str">
        <f>IF(T$4="Yes",INDEX(List!$E$2:$CD$173,MATCH('Selection Pane Data'!$B80,List!$E$2:$E$173,0),MATCH('Selection Pane Data'!T$3,List!$E$2:$CD$2,0)),"")</f>
        <v/>
      </c>
      <c r="U80" s="13" t="str">
        <f>IF(U$4="Yes",INDEX(List!$E$2:$CD$173,MATCH('Selection Pane Data'!$B80,List!$E$2:$E$173,0),MATCH('Selection Pane Data'!U$3,List!$E$2:$CD$2,0)),"")</f>
        <v/>
      </c>
      <c r="V80" s="13" t="str">
        <f>IF(V$4="Yes",INDEX(List!$E$2:$CD$173,MATCH('Selection Pane Data'!$B80,List!$E$2:$E$173,0),MATCH('Selection Pane Data'!V$3,List!$E$2:$CD$2,0)),"")</f>
        <v/>
      </c>
      <c r="W80" s="13" t="str">
        <f>IF(W$4="Yes",INDEX(List!$E$2:$CD$173,MATCH('Selection Pane Data'!$B80,List!$E$2:$E$173,0),MATCH('Selection Pane Data'!W$3,List!$E$2:$CD$2,0)),"")</f>
        <v/>
      </c>
      <c r="X80" s="13" t="str">
        <f>IF(X$4="Yes",INDEX(List!$E$2:$CD$173,MATCH('Selection Pane Data'!$B80,List!$E$2:$E$173,0),MATCH('Selection Pane Data'!X$3,List!$E$2:$CD$2,0)),"")</f>
        <v/>
      </c>
      <c r="Y80" s="13" t="str">
        <f>IF(Y$4="Yes",INDEX(List!$E$2:$CD$173,MATCH('Selection Pane Data'!$B80,List!$E$2:$E$173,0),MATCH('Selection Pane Data'!Y$3,List!$E$2:$CD$2,0)),"")</f>
        <v/>
      </c>
      <c r="Z80" s="13" t="str">
        <f>IF(Z$4="Yes",INDEX(List!$E$2:$CD$173,MATCH('Selection Pane Data'!$B80,List!$E$2:$E$173,0),MATCH('Selection Pane Data'!Z$3,List!$E$2:$CD$2,0)),"")</f>
        <v/>
      </c>
      <c r="AA80" s="13" t="str">
        <f>IF(AA$4="Yes",INDEX(List!$E$2:$CD$173,MATCH('Selection Pane Data'!$B80,List!$E$2:$E$173,0),MATCH('Selection Pane Data'!AA$3,List!$E$2:$CD$2,0)),"")</f>
        <v>N</v>
      </c>
      <c r="AB80" s="13" t="str">
        <f>IF(AB$4="Yes",INDEX(List!$E$2:$CD$173,MATCH('Selection Pane Data'!$B80,List!$E$2:$E$173,0),MATCH('Selection Pane Data'!AB$3,List!$E$2:$CD$2,0)),"")</f>
        <v/>
      </c>
      <c r="AC80" s="13" t="str">
        <f>IF(AC$4="Yes",INDEX(List!$E$2:$CD$173,MATCH('Selection Pane Data'!$B80,List!$E$2:$E$173,0),MATCH('Selection Pane Data'!AC$3,List!$E$2:$CD$2,0)),"")</f>
        <v/>
      </c>
      <c r="AD80" s="13" t="str">
        <f>IF(AD$4="Yes",INDEX(List!$E$2:$CD$173,MATCH('Selection Pane Data'!$B80,List!$E$2:$E$173,0),MATCH('Selection Pane Data'!AD$3,List!$E$2:$CD$2,0)),"")</f>
        <v/>
      </c>
      <c r="AE80" s="13" t="str">
        <f>IF(AE$4="Yes",INDEX(List!$E$2:$CD$173,MATCH('Selection Pane Data'!$B80,List!$E$2:$E$173,0),MATCH('Selection Pane Data'!AE$3,List!$E$2:$CD$2,0)),"")</f>
        <v/>
      </c>
      <c r="AF80" s="13" t="str">
        <f>IF(AF$4="Yes",INDEX(List!$E$2:$CD$173,MATCH('Selection Pane Data'!$B80,List!$E$2:$E$173,0),MATCH('Selection Pane Data'!AF$3,List!$E$2:$CD$2,0)),"")</f>
        <v/>
      </c>
      <c r="AG80" s="13" t="str">
        <f>IF(AG$4="Yes",INDEX(List!$E$2:$CD$173,MATCH('Selection Pane Data'!$B80,List!$E$2:$E$173,0),MATCH('Selection Pane Data'!AG$3,List!$E$2:$CD$2,0)),"")</f>
        <v/>
      </c>
      <c r="AH80" s="13" t="str">
        <f>IF(AH$4="Yes",INDEX(List!$E$2:$CD$173,MATCH('Selection Pane Data'!$B80,List!$E$2:$E$173,0),MATCH('Selection Pane Data'!AH$3,List!$E$2:$CD$2,0)),"")</f>
        <v/>
      </c>
      <c r="AI80" s="13" t="str">
        <f>IF(AI$4="Yes",INDEX(List!$E$2:$CD$173,MATCH('Selection Pane Data'!$B80,List!$E$2:$E$173,0),MATCH('Selection Pane Data'!AI$3,List!$E$2:$CD$2,0)),"")</f>
        <v/>
      </c>
      <c r="AJ80" s="13" t="str">
        <f>IF(AJ$4="Yes",INDEX(List!$E$2:$CD$173,MATCH('Selection Pane Data'!$B80,List!$E$2:$E$173,0),MATCH('Selection Pane Data'!AJ$3,List!$E$2:$CD$2,0)),"")</f>
        <v/>
      </c>
      <c r="AK80" s="13" t="str">
        <f>IF(AK$4="Yes",INDEX(List!$E$2:$CD$173,MATCH('Selection Pane Data'!$B80,List!$E$2:$E$173,0),MATCH('Selection Pane Data'!AK$3,List!$E$2:$CD$2,0)),"")</f>
        <v/>
      </c>
      <c r="AL80" s="13" t="str">
        <f>IF(AL$4="Yes",INDEX(List!$E$2:$CD$173,MATCH('Selection Pane Data'!$B80,List!$E$2:$E$173,0),MATCH('Selection Pane Data'!AL$3,List!$E$2:$CD$2,0)),"")</f>
        <v/>
      </c>
      <c r="AM80" s="13" t="str">
        <f>IF(AM$4="Yes",INDEX(List!$E$2:$CD$173,MATCH('Selection Pane Data'!$B80,List!$E$2:$E$173,0),MATCH('Selection Pane Data'!AM$3,List!$E$2:$CD$2,0)),"")</f>
        <v/>
      </c>
      <c r="AN80" s="13" t="str">
        <f>IF(AN$4="Yes",INDEX(List!$E$2:$CD$173,MATCH('Selection Pane Data'!$B80,List!$E$2:$E$173,0),MATCH('Selection Pane Data'!AN$3,List!$E$2:$CD$2,0)),"")</f>
        <v/>
      </c>
      <c r="AO80" s="13" t="str">
        <f>IF(AO$4="Yes",INDEX(List!$E$2:$CD$173,MATCH('Selection Pane Data'!$B80,List!$E$2:$E$173,0),MATCH('Selection Pane Data'!AO$3,List!$E$2:$CD$2,0)),"")</f>
        <v/>
      </c>
      <c r="AP80" s="13" t="str">
        <f>IF(AP$4="Yes",INDEX(List!$E$2:$CD$173,MATCH('Selection Pane Data'!$B80,List!$E$2:$E$173,0),MATCH('Selection Pane Data'!AP$3,List!$E$2:$CD$2,0)),"")</f>
        <v/>
      </c>
      <c r="AQ80" s="13" t="str">
        <f>IF(AQ$4="Yes",INDEX(List!$E$2:$CD$173,MATCH('Selection Pane Data'!$B80,List!$E$2:$E$173,0),MATCH('Selection Pane Data'!AQ$3,List!$E$2:$CD$2,0)),"")</f>
        <v/>
      </c>
      <c r="AR80" s="13" t="str">
        <f>IF(AR$4="Yes",INDEX(List!$E$2:$CD$173,MATCH('Selection Pane Data'!$B80,List!$E$2:$E$173,0),MATCH('Selection Pane Data'!AR$3,List!$E$2:$CD$2,0)),"")</f>
        <v/>
      </c>
      <c r="AS80" s="13" t="str">
        <f>IF(AS$4="Yes",INDEX(List!$E$2:$CD$173,MATCH('Selection Pane Data'!$B80,List!$E$2:$E$173,0),MATCH('Selection Pane Data'!AS$3,List!$E$2:$CD$2,0)),"")</f>
        <v/>
      </c>
      <c r="AT80" s="13" t="str">
        <f>IF(AT$4="Yes",INDEX(List!$E$2:$CD$173,MATCH('Selection Pane Data'!$B80,List!$E$2:$E$173,0),MATCH('Selection Pane Data'!AT$3,List!$E$2:$CD$2,0)),"")</f>
        <v/>
      </c>
      <c r="AU80" s="13" t="str">
        <f>IF(AU$4="Yes",INDEX(List!$E$2:$CD$173,MATCH('Selection Pane Data'!$B80,List!$E$2:$E$173,0),MATCH('Selection Pane Data'!AU$3,List!$E$2:$CD$2,0)),"")</f>
        <v/>
      </c>
      <c r="AV80" s="13" t="str">
        <f>IF(AV$4="Yes",INDEX(List!$E$2:$CD$173,MATCH('Selection Pane Data'!$B80,List!$E$2:$E$173,0),MATCH('Selection Pane Data'!AV$3,List!$E$2:$CD$2,0)),"")</f>
        <v/>
      </c>
      <c r="AW80" s="13" t="str">
        <f>IF(AW$4="Yes",INDEX(List!$E$2:$CD$173,MATCH('Selection Pane Data'!$B80,List!$E$2:$E$173,0),MATCH('Selection Pane Data'!AW$3,List!$E$2:$CD$2,0)),"")</f>
        <v/>
      </c>
      <c r="AX80" s="13" t="str">
        <f>IF(AX$4="Yes",INDEX(List!$E$2:$CD$173,MATCH('Selection Pane Data'!$B80,List!$E$2:$E$173,0),MATCH('Selection Pane Data'!AX$3,List!$E$2:$CD$2,0)),"")</f>
        <v/>
      </c>
      <c r="AY80" s="13" t="str">
        <f>IF(AY$4="Yes",INDEX(List!$E$2:$CD$173,MATCH('Selection Pane Data'!$B80,List!$E$2:$E$173,0),MATCH('Selection Pane Data'!AY$3,List!$E$2:$CD$2,0)),"")</f>
        <v/>
      </c>
      <c r="AZ80" s="13" t="str">
        <f>IF(AZ$4="Yes",INDEX(List!$E$2:$CD$173,MATCH('Selection Pane Data'!$B80,List!$E$2:$E$173,0),MATCH('Selection Pane Data'!AZ$3,List!$E$2:$CD$2,0)),"")</f>
        <v/>
      </c>
      <c r="BA80" s="13" t="str">
        <f>IF(BA$4="Yes",INDEX(List!$E$2:$CD$173,MATCH('Selection Pane Data'!$B80,List!$E$2:$E$173,0),MATCH('Selection Pane Data'!BA$3,List!$E$2:$CD$2,0)),"")</f>
        <v/>
      </c>
      <c r="BB80" s="13" t="str">
        <f>IF(BB$4="Yes",INDEX(List!$E$2:$CD$173,MATCH('Selection Pane Data'!$B80,List!$E$2:$E$173,0),MATCH('Selection Pane Data'!BB$3,List!$E$2:$CD$2,0)),"")</f>
        <v/>
      </c>
      <c r="BC80" s="13" t="str">
        <f>IF(BC$4="Yes",INDEX(List!$E$2:$CD$173,MATCH('Selection Pane Data'!$B80,List!$E$2:$E$173,0),MATCH('Selection Pane Data'!BC$3,List!$E$2:$CD$2,0)),"")</f>
        <v/>
      </c>
      <c r="BD80" s="13" t="str">
        <f>IF(BD$4="Yes",INDEX(List!$E$2:$CD$173,MATCH('Selection Pane Data'!$B80,List!$E$2:$E$173,0),MATCH('Selection Pane Data'!BD$3,List!$E$2:$CD$2,0)),"")</f>
        <v/>
      </c>
      <c r="BE80" s="13" t="str">
        <f>IF(BE$4="Yes",INDEX(List!$E$2:$CD$173,MATCH('Selection Pane Data'!$B80,List!$E$2:$E$173,0),MATCH('Selection Pane Data'!BE$3,List!$E$2:$CD$2,0)),"")</f>
        <v/>
      </c>
      <c r="BF80" s="13" t="str">
        <f>IF(BF$4="Yes",INDEX(List!$E$2:$CD$173,MATCH('Selection Pane Data'!$B80,List!$E$2:$E$173,0),MATCH('Selection Pane Data'!BF$3,List!$E$2:$CD$2,0)),"")</f>
        <v/>
      </c>
      <c r="BG80" s="13" t="str">
        <f>IF(BG$4="Yes",INDEX(List!$E$2:$CD$173,MATCH('Selection Pane Data'!$B80,List!$E$2:$E$173,0),MATCH('Selection Pane Data'!BG$3,List!$E$2:$CD$2,0)),"")</f>
        <v/>
      </c>
      <c r="BH80" s="13" t="str">
        <f>IF(BH$4="Yes",INDEX(List!$E$2:$CD$173,MATCH('Selection Pane Data'!$B80,List!$E$2:$E$173,0),MATCH('Selection Pane Data'!BH$3,List!$E$2:$CD$2,0)),"")</f>
        <v/>
      </c>
      <c r="BI80" s="13" t="str">
        <f>IF(BI$4="Yes",INDEX(List!$E$2:$CD$173,MATCH('Selection Pane Data'!$B80,List!$E$2:$E$173,0),MATCH('Selection Pane Data'!BI$3,List!$E$2:$CD$2,0)),"")</f>
        <v/>
      </c>
      <c r="BJ80" s="13" t="str">
        <f>IF(BJ$4="Yes",INDEX(List!$E$2:$CD$173,MATCH('Selection Pane Data'!$B80,List!$E$2:$E$173,0),MATCH('Selection Pane Data'!BJ$3,List!$E$2:$CD$2,0)),"")</f>
        <v/>
      </c>
      <c r="BK80" s="13" t="str">
        <f>IF(BK$4="Yes",INDEX(List!$E$2:$CD$173,MATCH('Selection Pane Data'!$B80,List!$E$2:$E$173,0),MATCH('Selection Pane Data'!BK$3,List!$E$2:$CD$2,0)),"")</f>
        <v/>
      </c>
      <c r="BL80" s="13" t="str">
        <f>IF(BL$4="Yes",INDEX(List!$E$2:$CD$173,MATCH('Selection Pane Data'!$B80,List!$E$2:$E$173,0),MATCH('Selection Pane Data'!BL$3,List!$E$2:$CD$2,0)),"")</f>
        <v/>
      </c>
      <c r="BM80" s="13" t="str">
        <f>IF(BM$4="Yes",INDEX(List!$E$2:$CD$173,MATCH('Selection Pane Data'!$B80,List!$E$2:$E$173,0),MATCH('Selection Pane Data'!BM$3,List!$E$2:$CD$2,0)),"")</f>
        <v/>
      </c>
      <c r="BN80" s="13" t="str">
        <f>IF(BN$4="Yes",INDEX(List!$E$2:$CD$173,MATCH('Selection Pane Data'!$B80,List!$E$2:$E$173,0),MATCH('Selection Pane Data'!BN$3,List!$E$2:$CD$2,0)),"")</f>
        <v/>
      </c>
      <c r="BO80" s="13" t="str">
        <f>IF(BO$4="Yes",INDEX(List!$E$2:$CD$173,MATCH('Selection Pane Data'!$B80,List!$E$2:$E$173,0),MATCH('Selection Pane Data'!BO$3,List!$E$2:$CD$2,0)),"")</f>
        <v/>
      </c>
      <c r="BP80" s="13" t="str">
        <f>IF(BP$4="Yes",INDEX(List!$E$2:$CD$173,MATCH('Selection Pane Data'!$B80,List!$E$2:$E$173,0),MATCH('Selection Pane Data'!BP$3,List!$E$2:$CD$2,0)),"")</f>
        <v/>
      </c>
      <c r="BQ80" s="13" t="str">
        <f>IF(BQ$4="Yes",INDEX(List!$E$2:$CD$173,MATCH('Selection Pane Data'!$B80,List!$E$2:$E$173,0),MATCH('Selection Pane Data'!BQ$3,List!$E$2:$CD$2,0)),"")</f>
        <v/>
      </c>
      <c r="BR80" s="13" t="str">
        <f>IF(BR$4="Yes",INDEX(List!$E$2:$CD$173,MATCH('Selection Pane Data'!$B80,List!$E$2:$E$173,0),MATCH('Selection Pane Data'!BR$3,List!$E$2:$CD$2,0)),"")</f>
        <v/>
      </c>
      <c r="BS80" s="13" t="str">
        <f>IF(BS$4="Yes",INDEX(List!$E$2:$CD$173,MATCH('Selection Pane Data'!$B80,List!$E$2:$E$173,0),MATCH('Selection Pane Data'!BS$3,List!$E$2:$CD$2,0)),"")</f>
        <v/>
      </c>
      <c r="BT80" s="13" t="str">
        <f>IF(BT$4="Yes",INDEX(List!$E$2:$CD$173,MATCH('Selection Pane Data'!$B80,List!$E$2:$E$173,0),MATCH('Selection Pane Data'!BT$3,List!$E$2:$CD$2,0)),"")</f>
        <v/>
      </c>
      <c r="BU80" s="13" t="str">
        <f>IF(BU$4="Yes",INDEX(List!$E$2:$CD$173,MATCH('Selection Pane Data'!$B80,List!$E$2:$E$173,0),MATCH('Selection Pane Data'!BU$3,List!$E$2:$CD$2,0)),"")</f>
        <v/>
      </c>
      <c r="BV80" s="13" t="str">
        <f>IF(BV$4="Yes",INDEX(List!$E$2:$CD$173,MATCH('Selection Pane Data'!$B80,List!$E$2:$E$173,0),MATCH('Selection Pane Data'!BV$3,List!$E$2:$CD$2,0)),"")</f>
        <v/>
      </c>
      <c r="BW80" s="13" t="str">
        <f>IF(BW$4="Yes",INDEX(List!$E$2:$CD$173,MATCH('Selection Pane Data'!$B80,List!$E$2:$E$173,0),MATCH('Selection Pane Data'!BW$3,List!$E$2:$CD$2,0)),"")</f>
        <v/>
      </c>
      <c r="BX80" s="13" t="str">
        <f>IF(BX$4="Yes",INDEX(List!$E$2:$CD$173,MATCH('Selection Pane Data'!$B80,List!$E$2:$E$173,0),MATCH('Selection Pane Data'!BX$3,List!$E$2:$CD$2,0)),"")</f>
        <v/>
      </c>
      <c r="BY80" s="13" t="str">
        <f>IF(BY$4="Yes",INDEX(List!$E$2:$CD$173,MATCH('Selection Pane Data'!$B80,List!$E$2:$E$173,0),MATCH('Selection Pane Data'!BY$3,List!$E$2:$CD$2,0)),"")</f>
        <v/>
      </c>
      <c r="BZ80" s="13" t="str">
        <f>IF(BZ$4="Yes",INDEX(List!$E$2:$CD$173,MATCH('Selection Pane Data'!$B80,List!$E$2:$E$173,0),MATCH('Selection Pane Data'!BZ$3,List!$E$2:$CD$2,0)),"")</f>
        <v/>
      </c>
      <c r="CA80" s="13" t="str">
        <f>IF(CA$4="Yes",INDEX(List!$E$2:$CD$173,MATCH('Selection Pane Data'!$B80,List!$E$2:$E$173,0),MATCH('Selection Pane Data'!CA$3,List!$E$2:$CD$2,0)),"")</f>
        <v/>
      </c>
      <c r="CB80" s="13" t="str">
        <f>IF(CB$4="Yes",INDEX(List!$E$2:$CD$173,MATCH('Selection Pane Data'!$B80,List!$E$2:$E$173,0),MATCH('Selection Pane Data'!CB$3,List!$E$2:$CD$2,0)),"")</f>
        <v/>
      </c>
      <c r="CC80" s="13" t="str">
        <f>IF(CC$4="Yes",INDEX(List!$E$2:$CD$173,MATCH('Selection Pane Data'!$B80,List!$E$2:$E$173,0),MATCH('Selection Pane Data'!CC$3,List!$E$2:$CD$2,0)),"")</f>
        <v/>
      </c>
      <c r="CD80" s="13" t="str">
        <f>IF(CD$4="Yes",INDEX(List!$E$2:$CD$173,MATCH('Selection Pane Data'!$B80,List!$E$2:$E$173,0),MATCH('Selection Pane Data'!CD$3,List!$E$2:$CD$2,0)),"")</f>
        <v/>
      </c>
      <c r="CE80" s="13" t="str">
        <f>IF(CE$4="Yes",INDEX(List!$E$2:$CD$173,MATCH('Selection Pane Data'!$B80,List!$E$2:$E$173,0),MATCH('Selection Pane Data'!CE$3,List!$E$2:$CD$2,0)),"")</f>
        <v/>
      </c>
    </row>
    <row r="81" spans="2:83" x14ac:dyDescent="0.35">
      <c r="B81" s="21" t="s">
        <v>368</v>
      </c>
      <c r="C81" s="126" t="str">
        <f>VLOOKUP(B81,List!$E$2:$G$173,2,FALSE)</f>
        <v>IA.L2-3.5.6</v>
      </c>
      <c r="D81" s="31" t="str">
        <f>List!G79</f>
        <v>Shared Coverage</v>
      </c>
      <c r="E81" s="31" t="str">
        <f>IF(Placemat!$F$4="All Practices","All Practices",IF(VLOOKUP(B81,Table7[#All],6,FALSE)="No Mapping","New CMMC Practices","Practices with NIST 800-171 Mappings"))</f>
        <v>Practices with NIST 800-171 Mappings</v>
      </c>
      <c r="F81" t="str">
        <f>INDEX('CMMC Levels'!$A$1:$F$172,MATCH('Selection Pane Data'!$C81,'CMMC Levels'!$A$1:$A$172,0),MATCH(Placemat!$F$4,'CMMC Levels'!$A$1:$F$1,0))</f>
        <v>X</v>
      </c>
      <c r="G81" s="77" t="str">
        <f>IF((COUNTIF(List!H79:CE79,"P")+COUNTIF(List!H79:CE79,"S"))=0,"N",IF(COUNTIF(H81:CE81,"P"),"P",IF(COUNTIF(H81:CE81,"S"),"S","U")))</f>
        <v>U</v>
      </c>
      <c r="H81" s="13" t="str">
        <f>IF(H$4="Yes",INDEX(List!$E$2:$CD$173,MATCH('Selection Pane Data'!$B81,List!$E$2:$E$173,0),MATCH('Selection Pane Data'!H$3,List!$E$2:$CD$2,0)),"")</f>
        <v/>
      </c>
      <c r="I81" s="13" t="str">
        <f>IF(I$4="Yes",INDEX(List!$E$2:$CD$173,MATCH('Selection Pane Data'!$B81,List!$E$2:$E$173,0),MATCH('Selection Pane Data'!I$3,List!$E$2:$CD$2,0)),"")</f>
        <v/>
      </c>
      <c r="J81" s="13" t="str">
        <f>IF(J$4="Yes",INDEX(List!$E$2:$CD$173,MATCH('Selection Pane Data'!$B81,List!$E$2:$E$173,0),MATCH('Selection Pane Data'!J$3,List!$E$2:$CD$2,0)),"")</f>
        <v>N</v>
      </c>
      <c r="K81" s="13" t="str">
        <f>IF(K$4="Yes",INDEX(List!$E$2:$CD$173,MATCH('Selection Pane Data'!$B81,List!$E$2:$E$173,0),MATCH('Selection Pane Data'!K$3,List!$E$2:$CD$2,0)),"")</f>
        <v/>
      </c>
      <c r="L81" s="13" t="str">
        <f>IF(L$4="Yes",INDEX(List!$E$2:$CD$173,MATCH('Selection Pane Data'!$B81,List!$E$2:$E$173,0),MATCH('Selection Pane Data'!L$3,List!$E$2:$CD$2,0)),"")</f>
        <v/>
      </c>
      <c r="M81" s="13" t="str">
        <f>IF(M$4="Yes",INDEX(List!$E$2:$CD$173,MATCH('Selection Pane Data'!$B81,List!$E$2:$E$173,0),MATCH('Selection Pane Data'!M$3,List!$E$2:$CD$2,0)),"")</f>
        <v/>
      </c>
      <c r="N81" s="13" t="str">
        <f>IF(N$4="Yes",INDEX(List!$E$2:$CD$173,MATCH('Selection Pane Data'!$B81,List!$E$2:$E$173,0),MATCH('Selection Pane Data'!N$3,List!$E$2:$CD$2,0)),"")</f>
        <v/>
      </c>
      <c r="O81" s="13" t="str">
        <f>IF(O$4="Yes",INDEX(List!$E$2:$CD$173,MATCH('Selection Pane Data'!$B81,List!$E$2:$E$173,0),MATCH('Selection Pane Data'!O$3,List!$E$2:$CD$2,0)),"")</f>
        <v/>
      </c>
      <c r="P81" s="13" t="str">
        <f>IF(P$4="Yes",INDEX(List!$E$2:$CD$173,MATCH('Selection Pane Data'!$B81,List!$E$2:$E$173,0),MATCH('Selection Pane Data'!P$3,List!$E$2:$CD$2,0)),"")</f>
        <v/>
      </c>
      <c r="Q81" s="13" t="str">
        <f>IF(Q$4="Yes",INDEX(List!$E$2:$CD$173,MATCH('Selection Pane Data'!$B81,List!$E$2:$E$173,0),MATCH('Selection Pane Data'!Q$3,List!$E$2:$CD$2,0)),"")</f>
        <v/>
      </c>
      <c r="R81" s="13" t="str">
        <f>IF(R$4="Yes",INDEX(List!$E$2:$CD$173,MATCH('Selection Pane Data'!$B81,List!$E$2:$E$173,0),MATCH('Selection Pane Data'!R$3,List!$E$2:$CD$2,0)),"")</f>
        <v/>
      </c>
      <c r="S81" s="13" t="str">
        <f>IF(S$4="Yes",INDEX(List!$E$2:$CD$173,MATCH('Selection Pane Data'!$B81,List!$E$2:$E$173,0),MATCH('Selection Pane Data'!S$3,List!$E$2:$CD$2,0)),"")</f>
        <v/>
      </c>
      <c r="T81" s="13" t="str">
        <f>IF(T$4="Yes",INDEX(List!$E$2:$CD$173,MATCH('Selection Pane Data'!$B81,List!$E$2:$E$173,0),MATCH('Selection Pane Data'!T$3,List!$E$2:$CD$2,0)),"")</f>
        <v/>
      </c>
      <c r="U81" s="13" t="str">
        <f>IF(U$4="Yes",INDEX(List!$E$2:$CD$173,MATCH('Selection Pane Data'!$B81,List!$E$2:$E$173,0),MATCH('Selection Pane Data'!U$3,List!$E$2:$CD$2,0)),"")</f>
        <v/>
      </c>
      <c r="V81" s="13" t="str">
        <f>IF(V$4="Yes",INDEX(List!$E$2:$CD$173,MATCH('Selection Pane Data'!$B81,List!$E$2:$E$173,0),MATCH('Selection Pane Data'!V$3,List!$E$2:$CD$2,0)),"")</f>
        <v/>
      </c>
      <c r="W81" s="13" t="str">
        <f>IF(W$4="Yes",INDEX(List!$E$2:$CD$173,MATCH('Selection Pane Data'!$B81,List!$E$2:$E$173,0),MATCH('Selection Pane Data'!W$3,List!$E$2:$CD$2,0)),"")</f>
        <v/>
      </c>
      <c r="X81" s="13" t="str">
        <f>IF(X$4="Yes",INDEX(List!$E$2:$CD$173,MATCH('Selection Pane Data'!$B81,List!$E$2:$E$173,0),MATCH('Selection Pane Data'!X$3,List!$E$2:$CD$2,0)),"")</f>
        <v/>
      </c>
      <c r="Y81" s="13" t="str">
        <f>IF(Y$4="Yes",INDEX(List!$E$2:$CD$173,MATCH('Selection Pane Data'!$B81,List!$E$2:$E$173,0),MATCH('Selection Pane Data'!Y$3,List!$E$2:$CD$2,0)),"")</f>
        <v/>
      </c>
      <c r="Z81" s="13" t="str">
        <f>IF(Z$4="Yes",INDEX(List!$E$2:$CD$173,MATCH('Selection Pane Data'!$B81,List!$E$2:$E$173,0),MATCH('Selection Pane Data'!Z$3,List!$E$2:$CD$2,0)),"")</f>
        <v/>
      </c>
      <c r="AA81" s="13" t="str">
        <f>IF(AA$4="Yes",INDEX(List!$E$2:$CD$173,MATCH('Selection Pane Data'!$B81,List!$E$2:$E$173,0),MATCH('Selection Pane Data'!AA$3,List!$E$2:$CD$2,0)),"")</f>
        <v>N</v>
      </c>
      <c r="AB81" s="13" t="str">
        <f>IF(AB$4="Yes",INDEX(List!$E$2:$CD$173,MATCH('Selection Pane Data'!$B81,List!$E$2:$E$173,0),MATCH('Selection Pane Data'!AB$3,List!$E$2:$CD$2,0)),"")</f>
        <v/>
      </c>
      <c r="AC81" s="13" t="str">
        <f>IF(AC$4="Yes",INDEX(List!$E$2:$CD$173,MATCH('Selection Pane Data'!$B81,List!$E$2:$E$173,0),MATCH('Selection Pane Data'!AC$3,List!$E$2:$CD$2,0)),"")</f>
        <v/>
      </c>
      <c r="AD81" s="13" t="str">
        <f>IF(AD$4="Yes",INDEX(List!$E$2:$CD$173,MATCH('Selection Pane Data'!$B81,List!$E$2:$E$173,0),MATCH('Selection Pane Data'!AD$3,List!$E$2:$CD$2,0)),"")</f>
        <v/>
      </c>
      <c r="AE81" s="13" t="str">
        <f>IF(AE$4="Yes",INDEX(List!$E$2:$CD$173,MATCH('Selection Pane Data'!$B81,List!$E$2:$E$173,0),MATCH('Selection Pane Data'!AE$3,List!$E$2:$CD$2,0)),"")</f>
        <v/>
      </c>
      <c r="AF81" s="13" t="str">
        <f>IF(AF$4="Yes",INDEX(List!$E$2:$CD$173,MATCH('Selection Pane Data'!$B81,List!$E$2:$E$173,0),MATCH('Selection Pane Data'!AF$3,List!$E$2:$CD$2,0)),"")</f>
        <v/>
      </c>
      <c r="AG81" s="13" t="str">
        <f>IF(AG$4="Yes",INDEX(List!$E$2:$CD$173,MATCH('Selection Pane Data'!$B81,List!$E$2:$E$173,0),MATCH('Selection Pane Data'!AG$3,List!$E$2:$CD$2,0)),"")</f>
        <v/>
      </c>
      <c r="AH81" s="13" t="str">
        <f>IF(AH$4="Yes",INDEX(List!$E$2:$CD$173,MATCH('Selection Pane Data'!$B81,List!$E$2:$E$173,0),MATCH('Selection Pane Data'!AH$3,List!$E$2:$CD$2,0)),"")</f>
        <v/>
      </c>
      <c r="AI81" s="13" t="str">
        <f>IF(AI$4="Yes",INDEX(List!$E$2:$CD$173,MATCH('Selection Pane Data'!$B81,List!$E$2:$E$173,0),MATCH('Selection Pane Data'!AI$3,List!$E$2:$CD$2,0)),"")</f>
        <v/>
      </c>
      <c r="AJ81" s="13" t="str">
        <f>IF(AJ$4="Yes",INDEX(List!$E$2:$CD$173,MATCH('Selection Pane Data'!$B81,List!$E$2:$E$173,0),MATCH('Selection Pane Data'!AJ$3,List!$E$2:$CD$2,0)),"")</f>
        <v/>
      </c>
      <c r="AK81" s="13" t="str">
        <f>IF(AK$4="Yes",INDEX(List!$E$2:$CD$173,MATCH('Selection Pane Data'!$B81,List!$E$2:$E$173,0),MATCH('Selection Pane Data'!AK$3,List!$E$2:$CD$2,0)),"")</f>
        <v/>
      </c>
      <c r="AL81" s="13" t="str">
        <f>IF(AL$4="Yes",INDEX(List!$E$2:$CD$173,MATCH('Selection Pane Data'!$B81,List!$E$2:$E$173,0),MATCH('Selection Pane Data'!AL$3,List!$E$2:$CD$2,0)),"")</f>
        <v/>
      </c>
      <c r="AM81" s="13" t="str">
        <f>IF(AM$4="Yes",INDEX(List!$E$2:$CD$173,MATCH('Selection Pane Data'!$B81,List!$E$2:$E$173,0),MATCH('Selection Pane Data'!AM$3,List!$E$2:$CD$2,0)),"")</f>
        <v/>
      </c>
      <c r="AN81" s="13" t="str">
        <f>IF(AN$4="Yes",INDEX(List!$E$2:$CD$173,MATCH('Selection Pane Data'!$B81,List!$E$2:$E$173,0),MATCH('Selection Pane Data'!AN$3,List!$E$2:$CD$2,0)),"")</f>
        <v/>
      </c>
      <c r="AO81" s="13" t="str">
        <f>IF(AO$4="Yes",INDEX(List!$E$2:$CD$173,MATCH('Selection Pane Data'!$B81,List!$E$2:$E$173,0),MATCH('Selection Pane Data'!AO$3,List!$E$2:$CD$2,0)),"")</f>
        <v/>
      </c>
      <c r="AP81" s="13" t="str">
        <f>IF(AP$4="Yes",INDEX(List!$E$2:$CD$173,MATCH('Selection Pane Data'!$B81,List!$E$2:$E$173,0),MATCH('Selection Pane Data'!AP$3,List!$E$2:$CD$2,0)),"")</f>
        <v/>
      </c>
      <c r="AQ81" s="13" t="str">
        <f>IF(AQ$4="Yes",INDEX(List!$E$2:$CD$173,MATCH('Selection Pane Data'!$B81,List!$E$2:$E$173,0),MATCH('Selection Pane Data'!AQ$3,List!$E$2:$CD$2,0)),"")</f>
        <v/>
      </c>
      <c r="AR81" s="13" t="str">
        <f>IF(AR$4="Yes",INDEX(List!$E$2:$CD$173,MATCH('Selection Pane Data'!$B81,List!$E$2:$E$173,0),MATCH('Selection Pane Data'!AR$3,List!$E$2:$CD$2,0)),"")</f>
        <v/>
      </c>
      <c r="AS81" s="13" t="str">
        <f>IF(AS$4="Yes",INDEX(List!$E$2:$CD$173,MATCH('Selection Pane Data'!$B81,List!$E$2:$E$173,0),MATCH('Selection Pane Data'!AS$3,List!$E$2:$CD$2,0)),"")</f>
        <v/>
      </c>
      <c r="AT81" s="13" t="str">
        <f>IF(AT$4="Yes",INDEX(List!$E$2:$CD$173,MATCH('Selection Pane Data'!$B81,List!$E$2:$E$173,0),MATCH('Selection Pane Data'!AT$3,List!$E$2:$CD$2,0)),"")</f>
        <v/>
      </c>
      <c r="AU81" s="13" t="str">
        <f>IF(AU$4="Yes",INDEX(List!$E$2:$CD$173,MATCH('Selection Pane Data'!$B81,List!$E$2:$E$173,0),MATCH('Selection Pane Data'!AU$3,List!$E$2:$CD$2,0)),"")</f>
        <v/>
      </c>
      <c r="AV81" s="13" t="str">
        <f>IF(AV$4="Yes",INDEX(List!$E$2:$CD$173,MATCH('Selection Pane Data'!$B81,List!$E$2:$E$173,0),MATCH('Selection Pane Data'!AV$3,List!$E$2:$CD$2,0)),"")</f>
        <v/>
      </c>
      <c r="AW81" s="13" t="str">
        <f>IF(AW$4="Yes",INDEX(List!$E$2:$CD$173,MATCH('Selection Pane Data'!$B81,List!$E$2:$E$173,0),MATCH('Selection Pane Data'!AW$3,List!$E$2:$CD$2,0)),"")</f>
        <v/>
      </c>
      <c r="AX81" s="13" t="str">
        <f>IF(AX$4="Yes",INDEX(List!$E$2:$CD$173,MATCH('Selection Pane Data'!$B81,List!$E$2:$E$173,0),MATCH('Selection Pane Data'!AX$3,List!$E$2:$CD$2,0)),"")</f>
        <v/>
      </c>
      <c r="AY81" s="13" t="str">
        <f>IF(AY$4="Yes",INDEX(List!$E$2:$CD$173,MATCH('Selection Pane Data'!$B81,List!$E$2:$E$173,0),MATCH('Selection Pane Data'!AY$3,List!$E$2:$CD$2,0)),"")</f>
        <v/>
      </c>
      <c r="AZ81" s="13" t="str">
        <f>IF(AZ$4="Yes",INDEX(List!$E$2:$CD$173,MATCH('Selection Pane Data'!$B81,List!$E$2:$E$173,0),MATCH('Selection Pane Data'!AZ$3,List!$E$2:$CD$2,0)),"")</f>
        <v/>
      </c>
      <c r="BA81" s="13" t="str">
        <f>IF(BA$4="Yes",INDEX(List!$E$2:$CD$173,MATCH('Selection Pane Data'!$B81,List!$E$2:$E$173,0),MATCH('Selection Pane Data'!BA$3,List!$E$2:$CD$2,0)),"")</f>
        <v/>
      </c>
      <c r="BB81" s="13" t="str">
        <f>IF(BB$4="Yes",INDEX(List!$E$2:$CD$173,MATCH('Selection Pane Data'!$B81,List!$E$2:$E$173,0),MATCH('Selection Pane Data'!BB$3,List!$E$2:$CD$2,0)),"")</f>
        <v/>
      </c>
      <c r="BC81" s="13" t="str">
        <f>IF(BC$4="Yes",INDEX(List!$E$2:$CD$173,MATCH('Selection Pane Data'!$B81,List!$E$2:$E$173,0),MATCH('Selection Pane Data'!BC$3,List!$E$2:$CD$2,0)),"")</f>
        <v/>
      </c>
      <c r="BD81" s="13" t="str">
        <f>IF(BD$4="Yes",INDEX(List!$E$2:$CD$173,MATCH('Selection Pane Data'!$B81,List!$E$2:$E$173,0),MATCH('Selection Pane Data'!BD$3,List!$E$2:$CD$2,0)),"")</f>
        <v/>
      </c>
      <c r="BE81" s="13" t="str">
        <f>IF(BE$4="Yes",INDEX(List!$E$2:$CD$173,MATCH('Selection Pane Data'!$B81,List!$E$2:$E$173,0),MATCH('Selection Pane Data'!BE$3,List!$E$2:$CD$2,0)),"")</f>
        <v/>
      </c>
      <c r="BF81" s="13" t="str">
        <f>IF(BF$4="Yes",INDEX(List!$E$2:$CD$173,MATCH('Selection Pane Data'!$B81,List!$E$2:$E$173,0),MATCH('Selection Pane Data'!BF$3,List!$E$2:$CD$2,0)),"")</f>
        <v/>
      </c>
      <c r="BG81" s="13" t="str">
        <f>IF(BG$4="Yes",INDEX(List!$E$2:$CD$173,MATCH('Selection Pane Data'!$B81,List!$E$2:$E$173,0),MATCH('Selection Pane Data'!BG$3,List!$E$2:$CD$2,0)),"")</f>
        <v/>
      </c>
      <c r="BH81" s="13" t="str">
        <f>IF(BH$4="Yes",INDEX(List!$E$2:$CD$173,MATCH('Selection Pane Data'!$B81,List!$E$2:$E$173,0),MATCH('Selection Pane Data'!BH$3,List!$E$2:$CD$2,0)),"")</f>
        <v/>
      </c>
      <c r="BI81" s="13" t="str">
        <f>IF(BI$4="Yes",INDEX(List!$E$2:$CD$173,MATCH('Selection Pane Data'!$B81,List!$E$2:$E$173,0),MATCH('Selection Pane Data'!BI$3,List!$E$2:$CD$2,0)),"")</f>
        <v/>
      </c>
      <c r="BJ81" s="13" t="str">
        <f>IF(BJ$4="Yes",INDEX(List!$E$2:$CD$173,MATCH('Selection Pane Data'!$B81,List!$E$2:$E$173,0),MATCH('Selection Pane Data'!BJ$3,List!$E$2:$CD$2,0)),"")</f>
        <v/>
      </c>
      <c r="BK81" s="13" t="str">
        <f>IF(BK$4="Yes",INDEX(List!$E$2:$CD$173,MATCH('Selection Pane Data'!$B81,List!$E$2:$E$173,0),MATCH('Selection Pane Data'!BK$3,List!$E$2:$CD$2,0)),"")</f>
        <v/>
      </c>
      <c r="BL81" s="13" t="str">
        <f>IF(BL$4="Yes",INDEX(List!$E$2:$CD$173,MATCH('Selection Pane Data'!$B81,List!$E$2:$E$173,0),MATCH('Selection Pane Data'!BL$3,List!$E$2:$CD$2,0)),"")</f>
        <v/>
      </c>
      <c r="BM81" s="13" t="str">
        <f>IF(BM$4="Yes",INDEX(List!$E$2:$CD$173,MATCH('Selection Pane Data'!$B81,List!$E$2:$E$173,0),MATCH('Selection Pane Data'!BM$3,List!$E$2:$CD$2,0)),"")</f>
        <v/>
      </c>
      <c r="BN81" s="13" t="str">
        <f>IF(BN$4="Yes",INDEX(List!$E$2:$CD$173,MATCH('Selection Pane Data'!$B81,List!$E$2:$E$173,0),MATCH('Selection Pane Data'!BN$3,List!$E$2:$CD$2,0)),"")</f>
        <v/>
      </c>
      <c r="BO81" s="13" t="str">
        <f>IF(BO$4="Yes",INDEX(List!$E$2:$CD$173,MATCH('Selection Pane Data'!$B81,List!$E$2:$E$173,0),MATCH('Selection Pane Data'!BO$3,List!$E$2:$CD$2,0)),"")</f>
        <v/>
      </c>
      <c r="BP81" s="13" t="str">
        <f>IF(BP$4="Yes",INDEX(List!$E$2:$CD$173,MATCH('Selection Pane Data'!$B81,List!$E$2:$E$173,0),MATCH('Selection Pane Data'!BP$3,List!$E$2:$CD$2,0)),"")</f>
        <v/>
      </c>
      <c r="BQ81" s="13" t="str">
        <f>IF(BQ$4="Yes",INDEX(List!$E$2:$CD$173,MATCH('Selection Pane Data'!$B81,List!$E$2:$E$173,0),MATCH('Selection Pane Data'!BQ$3,List!$E$2:$CD$2,0)),"")</f>
        <v/>
      </c>
      <c r="BR81" s="13" t="str">
        <f>IF(BR$4="Yes",INDEX(List!$E$2:$CD$173,MATCH('Selection Pane Data'!$B81,List!$E$2:$E$173,0),MATCH('Selection Pane Data'!BR$3,List!$E$2:$CD$2,0)),"")</f>
        <v/>
      </c>
      <c r="BS81" s="13" t="str">
        <f>IF(BS$4="Yes",INDEX(List!$E$2:$CD$173,MATCH('Selection Pane Data'!$B81,List!$E$2:$E$173,0),MATCH('Selection Pane Data'!BS$3,List!$E$2:$CD$2,0)),"")</f>
        <v/>
      </c>
      <c r="BT81" s="13" t="str">
        <f>IF(BT$4="Yes",INDEX(List!$E$2:$CD$173,MATCH('Selection Pane Data'!$B81,List!$E$2:$E$173,0),MATCH('Selection Pane Data'!BT$3,List!$E$2:$CD$2,0)),"")</f>
        <v/>
      </c>
      <c r="BU81" s="13" t="str">
        <f>IF(BU$4="Yes",INDEX(List!$E$2:$CD$173,MATCH('Selection Pane Data'!$B81,List!$E$2:$E$173,0),MATCH('Selection Pane Data'!BU$3,List!$E$2:$CD$2,0)),"")</f>
        <v/>
      </c>
      <c r="BV81" s="13" t="str">
        <f>IF(BV$4="Yes",INDEX(List!$E$2:$CD$173,MATCH('Selection Pane Data'!$B81,List!$E$2:$E$173,0),MATCH('Selection Pane Data'!BV$3,List!$E$2:$CD$2,0)),"")</f>
        <v/>
      </c>
      <c r="BW81" s="13" t="str">
        <f>IF(BW$4="Yes",INDEX(List!$E$2:$CD$173,MATCH('Selection Pane Data'!$B81,List!$E$2:$E$173,0),MATCH('Selection Pane Data'!BW$3,List!$E$2:$CD$2,0)),"")</f>
        <v/>
      </c>
      <c r="BX81" s="13" t="str">
        <f>IF(BX$4="Yes",INDEX(List!$E$2:$CD$173,MATCH('Selection Pane Data'!$B81,List!$E$2:$E$173,0),MATCH('Selection Pane Data'!BX$3,List!$E$2:$CD$2,0)),"")</f>
        <v/>
      </c>
      <c r="BY81" s="13" t="str">
        <f>IF(BY$4="Yes",INDEX(List!$E$2:$CD$173,MATCH('Selection Pane Data'!$B81,List!$E$2:$E$173,0),MATCH('Selection Pane Data'!BY$3,List!$E$2:$CD$2,0)),"")</f>
        <v/>
      </c>
      <c r="BZ81" s="13" t="str">
        <f>IF(BZ$4="Yes",INDEX(List!$E$2:$CD$173,MATCH('Selection Pane Data'!$B81,List!$E$2:$E$173,0),MATCH('Selection Pane Data'!BZ$3,List!$E$2:$CD$2,0)),"")</f>
        <v/>
      </c>
      <c r="CA81" s="13" t="str">
        <f>IF(CA$4="Yes",INDEX(List!$E$2:$CD$173,MATCH('Selection Pane Data'!$B81,List!$E$2:$E$173,0),MATCH('Selection Pane Data'!CA$3,List!$E$2:$CD$2,0)),"")</f>
        <v/>
      </c>
      <c r="CB81" s="13" t="str">
        <f>IF(CB$4="Yes",INDEX(List!$E$2:$CD$173,MATCH('Selection Pane Data'!$B81,List!$E$2:$E$173,0),MATCH('Selection Pane Data'!CB$3,List!$E$2:$CD$2,0)),"")</f>
        <v/>
      </c>
      <c r="CC81" s="13" t="str">
        <f>IF(CC$4="Yes",INDEX(List!$E$2:$CD$173,MATCH('Selection Pane Data'!$B81,List!$E$2:$E$173,0),MATCH('Selection Pane Data'!CC$3,List!$E$2:$CD$2,0)),"")</f>
        <v/>
      </c>
      <c r="CD81" s="13" t="str">
        <f>IF(CD$4="Yes",INDEX(List!$E$2:$CD$173,MATCH('Selection Pane Data'!$B81,List!$E$2:$E$173,0),MATCH('Selection Pane Data'!CD$3,List!$E$2:$CD$2,0)),"")</f>
        <v/>
      </c>
      <c r="CE81" s="13" t="str">
        <f>IF(CE$4="Yes",INDEX(List!$E$2:$CD$173,MATCH('Selection Pane Data'!$B81,List!$E$2:$E$173,0),MATCH('Selection Pane Data'!CE$3,List!$E$2:$CD$2,0)),"")</f>
        <v/>
      </c>
    </row>
    <row r="82" spans="2:83" x14ac:dyDescent="0.35">
      <c r="B82" s="21" t="s">
        <v>369</v>
      </c>
      <c r="C82" s="126" t="str">
        <f>VLOOKUP(B82,List!$E$2:$G$173,2,FALSE)</f>
        <v>IR.L2-3.6.1</v>
      </c>
      <c r="D82" s="31" t="str">
        <f>List!G80</f>
        <v>Customer Responsibility</v>
      </c>
      <c r="E82" s="31" t="str">
        <f>IF(Placemat!$F$4="All Practices","All Practices",IF(VLOOKUP(B82,Table7[#All],6,FALSE)="No Mapping","New CMMC Practices","Practices with NIST 800-171 Mappings"))</f>
        <v>Practices with NIST 800-171 Mappings</v>
      </c>
      <c r="F82" t="str">
        <f>INDEX('CMMC Levels'!$A$1:$F$172,MATCH('Selection Pane Data'!$C82,'CMMC Levels'!$A$1:$A$172,0),MATCH(Placemat!$F$4,'CMMC Levels'!$A$1:$F$1,0))</f>
        <v>X</v>
      </c>
      <c r="G82" s="77" t="str">
        <f>IF((COUNTIF(List!H80:CE80,"P")+COUNTIF(List!H80:CE80,"S"))=0,"N",IF(COUNTIF(H82:CE82,"P"),"P",IF(COUNTIF(H82:CE82,"S"),"S","U")))</f>
        <v>U</v>
      </c>
      <c r="H82" s="13" t="str">
        <f>IF(H$4="Yes",INDEX(List!$E$2:$CD$173,MATCH('Selection Pane Data'!$B82,List!$E$2:$E$173,0),MATCH('Selection Pane Data'!H$3,List!$E$2:$CD$2,0)),"")</f>
        <v/>
      </c>
      <c r="I82" s="13" t="str">
        <f>IF(I$4="Yes",INDEX(List!$E$2:$CD$173,MATCH('Selection Pane Data'!$B82,List!$E$2:$E$173,0),MATCH('Selection Pane Data'!I$3,List!$E$2:$CD$2,0)),"")</f>
        <v/>
      </c>
      <c r="J82" s="13" t="str">
        <f>IF(J$4="Yes",INDEX(List!$E$2:$CD$173,MATCH('Selection Pane Data'!$B82,List!$E$2:$E$173,0),MATCH('Selection Pane Data'!J$3,List!$E$2:$CD$2,0)),"")</f>
        <v>N</v>
      </c>
      <c r="K82" s="13" t="str">
        <f>IF(K$4="Yes",INDEX(List!$E$2:$CD$173,MATCH('Selection Pane Data'!$B82,List!$E$2:$E$173,0),MATCH('Selection Pane Data'!K$3,List!$E$2:$CD$2,0)),"")</f>
        <v/>
      </c>
      <c r="L82" s="13" t="str">
        <f>IF(L$4="Yes",INDEX(List!$E$2:$CD$173,MATCH('Selection Pane Data'!$B82,List!$E$2:$E$173,0),MATCH('Selection Pane Data'!L$3,List!$E$2:$CD$2,0)),"")</f>
        <v/>
      </c>
      <c r="M82" s="13" t="str">
        <f>IF(M$4="Yes",INDEX(List!$E$2:$CD$173,MATCH('Selection Pane Data'!$B82,List!$E$2:$E$173,0),MATCH('Selection Pane Data'!M$3,List!$E$2:$CD$2,0)),"")</f>
        <v/>
      </c>
      <c r="N82" s="13" t="str">
        <f>IF(N$4="Yes",INDEX(List!$E$2:$CD$173,MATCH('Selection Pane Data'!$B82,List!$E$2:$E$173,0),MATCH('Selection Pane Data'!N$3,List!$E$2:$CD$2,0)),"")</f>
        <v/>
      </c>
      <c r="O82" s="13" t="str">
        <f>IF(O$4="Yes",INDEX(List!$E$2:$CD$173,MATCH('Selection Pane Data'!$B82,List!$E$2:$E$173,0),MATCH('Selection Pane Data'!O$3,List!$E$2:$CD$2,0)),"")</f>
        <v/>
      </c>
      <c r="P82" s="13" t="str">
        <f>IF(P$4="Yes",INDEX(List!$E$2:$CD$173,MATCH('Selection Pane Data'!$B82,List!$E$2:$E$173,0),MATCH('Selection Pane Data'!P$3,List!$E$2:$CD$2,0)),"")</f>
        <v/>
      </c>
      <c r="Q82" s="13" t="str">
        <f>IF(Q$4="Yes",INDEX(List!$E$2:$CD$173,MATCH('Selection Pane Data'!$B82,List!$E$2:$E$173,0),MATCH('Selection Pane Data'!Q$3,List!$E$2:$CD$2,0)),"")</f>
        <v/>
      </c>
      <c r="R82" s="13" t="str">
        <f>IF(R$4="Yes",INDEX(List!$E$2:$CD$173,MATCH('Selection Pane Data'!$B82,List!$E$2:$E$173,0),MATCH('Selection Pane Data'!R$3,List!$E$2:$CD$2,0)),"")</f>
        <v/>
      </c>
      <c r="S82" s="13" t="str">
        <f>IF(S$4="Yes",INDEX(List!$E$2:$CD$173,MATCH('Selection Pane Data'!$B82,List!$E$2:$E$173,0),MATCH('Selection Pane Data'!S$3,List!$E$2:$CD$2,0)),"")</f>
        <v/>
      </c>
      <c r="T82" s="13" t="str">
        <f>IF(T$4="Yes",INDEX(List!$E$2:$CD$173,MATCH('Selection Pane Data'!$B82,List!$E$2:$E$173,0),MATCH('Selection Pane Data'!T$3,List!$E$2:$CD$2,0)),"")</f>
        <v/>
      </c>
      <c r="U82" s="13" t="str">
        <f>IF(U$4="Yes",INDEX(List!$E$2:$CD$173,MATCH('Selection Pane Data'!$B82,List!$E$2:$E$173,0),MATCH('Selection Pane Data'!U$3,List!$E$2:$CD$2,0)),"")</f>
        <v/>
      </c>
      <c r="V82" s="13" t="str">
        <f>IF(V$4="Yes",INDEX(List!$E$2:$CD$173,MATCH('Selection Pane Data'!$B82,List!$E$2:$E$173,0),MATCH('Selection Pane Data'!V$3,List!$E$2:$CD$2,0)),"")</f>
        <v/>
      </c>
      <c r="W82" s="13" t="str">
        <f>IF(W$4="Yes",INDEX(List!$E$2:$CD$173,MATCH('Selection Pane Data'!$B82,List!$E$2:$E$173,0),MATCH('Selection Pane Data'!W$3,List!$E$2:$CD$2,0)),"")</f>
        <v/>
      </c>
      <c r="X82" s="13" t="str">
        <f>IF(X$4="Yes",INDEX(List!$E$2:$CD$173,MATCH('Selection Pane Data'!$B82,List!$E$2:$E$173,0),MATCH('Selection Pane Data'!X$3,List!$E$2:$CD$2,0)),"")</f>
        <v/>
      </c>
      <c r="Y82" s="13" t="str">
        <f>IF(Y$4="Yes",INDEX(List!$E$2:$CD$173,MATCH('Selection Pane Data'!$B82,List!$E$2:$E$173,0),MATCH('Selection Pane Data'!Y$3,List!$E$2:$CD$2,0)),"")</f>
        <v/>
      </c>
      <c r="Z82" s="13" t="str">
        <f>IF(Z$4="Yes",INDEX(List!$E$2:$CD$173,MATCH('Selection Pane Data'!$B82,List!$E$2:$E$173,0),MATCH('Selection Pane Data'!Z$3,List!$E$2:$CD$2,0)),"")</f>
        <v/>
      </c>
      <c r="AA82" s="13" t="str">
        <f>IF(AA$4="Yes",INDEX(List!$E$2:$CD$173,MATCH('Selection Pane Data'!$B82,List!$E$2:$E$173,0),MATCH('Selection Pane Data'!AA$3,List!$E$2:$CD$2,0)),"")</f>
        <v>N</v>
      </c>
      <c r="AB82" s="13" t="str">
        <f>IF(AB$4="Yes",INDEX(List!$E$2:$CD$173,MATCH('Selection Pane Data'!$B82,List!$E$2:$E$173,0),MATCH('Selection Pane Data'!AB$3,List!$E$2:$CD$2,0)),"")</f>
        <v/>
      </c>
      <c r="AC82" s="13" t="str">
        <f>IF(AC$4="Yes",INDEX(List!$E$2:$CD$173,MATCH('Selection Pane Data'!$B82,List!$E$2:$E$173,0),MATCH('Selection Pane Data'!AC$3,List!$E$2:$CD$2,0)),"")</f>
        <v/>
      </c>
      <c r="AD82" s="13" t="str">
        <f>IF(AD$4="Yes",INDEX(List!$E$2:$CD$173,MATCH('Selection Pane Data'!$B82,List!$E$2:$E$173,0),MATCH('Selection Pane Data'!AD$3,List!$E$2:$CD$2,0)),"")</f>
        <v/>
      </c>
      <c r="AE82" s="13" t="str">
        <f>IF(AE$4="Yes",INDEX(List!$E$2:$CD$173,MATCH('Selection Pane Data'!$B82,List!$E$2:$E$173,0),MATCH('Selection Pane Data'!AE$3,List!$E$2:$CD$2,0)),"")</f>
        <v/>
      </c>
      <c r="AF82" s="13" t="str">
        <f>IF(AF$4="Yes",INDEX(List!$E$2:$CD$173,MATCH('Selection Pane Data'!$B82,List!$E$2:$E$173,0),MATCH('Selection Pane Data'!AF$3,List!$E$2:$CD$2,0)),"")</f>
        <v/>
      </c>
      <c r="AG82" s="13" t="str">
        <f>IF(AG$4="Yes",INDEX(List!$E$2:$CD$173,MATCH('Selection Pane Data'!$B82,List!$E$2:$E$173,0),MATCH('Selection Pane Data'!AG$3,List!$E$2:$CD$2,0)),"")</f>
        <v/>
      </c>
      <c r="AH82" s="13" t="str">
        <f>IF(AH$4="Yes",INDEX(List!$E$2:$CD$173,MATCH('Selection Pane Data'!$B82,List!$E$2:$E$173,0),MATCH('Selection Pane Data'!AH$3,List!$E$2:$CD$2,0)),"")</f>
        <v/>
      </c>
      <c r="AI82" s="13" t="str">
        <f>IF(AI$4="Yes",INDEX(List!$E$2:$CD$173,MATCH('Selection Pane Data'!$B82,List!$E$2:$E$173,0),MATCH('Selection Pane Data'!AI$3,List!$E$2:$CD$2,0)),"")</f>
        <v/>
      </c>
      <c r="AJ82" s="13" t="str">
        <f>IF(AJ$4="Yes",INDEX(List!$E$2:$CD$173,MATCH('Selection Pane Data'!$B82,List!$E$2:$E$173,0),MATCH('Selection Pane Data'!AJ$3,List!$E$2:$CD$2,0)),"")</f>
        <v/>
      </c>
      <c r="AK82" s="13" t="str">
        <f>IF(AK$4="Yes",INDEX(List!$E$2:$CD$173,MATCH('Selection Pane Data'!$B82,List!$E$2:$E$173,0),MATCH('Selection Pane Data'!AK$3,List!$E$2:$CD$2,0)),"")</f>
        <v/>
      </c>
      <c r="AL82" s="13" t="str">
        <f>IF(AL$4="Yes",INDEX(List!$E$2:$CD$173,MATCH('Selection Pane Data'!$B82,List!$E$2:$E$173,0),MATCH('Selection Pane Data'!AL$3,List!$E$2:$CD$2,0)),"")</f>
        <v/>
      </c>
      <c r="AM82" s="13" t="str">
        <f>IF(AM$4="Yes",INDEX(List!$E$2:$CD$173,MATCH('Selection Pane Data'!$B82,List!$E$2:$E$173,0),MATCH('Selection Pane Data'!AM$3,List!$E$2:$CD$2,0)),"")</f>
        <v/>
      </c>
      <c r="AN82" s="13" t="str">
        <f>IF(AN$4="Yes",INDEX(List!$E$2:$CD$173,MATCH('Selection Pane Data'!$B82,List!$E$2:$E$173,0),MATCH('Selection Pane Data'!AN$3,List!$E$2:$CD$2,0)),"")</f>
        <v/>
      </c>
      <c r="AO82" s="13" t="str">
        <f>IF(AO$4="Yes",INDEX(List!$E$2:$CD$173,MATCH('Selection Pane Data'!$B82,List!$E$2:$E$173,0),MATCH('Selection Pane Data'!AO$3,List!$E$2:$CD$2,0)),"")</f>
        <v/>
      </c>
      <c r="AP82" s="13" t="str">
        <f>IF(AP$4="Yes",INDEX(List!$E$2:$CD$173,MATCH('Selection Pane Data'!$B82,List!$E$2:$E$173,0),MATCH('Selection Pane Data'!AP$3,List!$E$2:$CD$2,0)),"")</f>
        <v/>
      </c>
      <c r="AQ82" s="13" t="str">
        <f>IF(AQ$4="Yes",INDEX(List!$E$2:$CD$173,MATCH('Selection Pane Data'!$B82,List!$E$2:$E$173,0),MATCH('Selection Pane Data'!AQ$3,List!$E$2:$CD$2,0)),"")</f>
        <v/>
      </c>
      <c r="AR82" s="13" t="str">
        <f>IF(AR$4="Yes",INDEX(List!$E$2:$CD$173,MATCH('Selection Pane Data'!$B82,List!$E$2:$E$173,0),MATCH('Selection Pane Data'!AR$3,List!$E$2:$CD$2,0)),"")</f>
        <v/>
      </c>
      <c r="AS82" s="13" t="str">
        <f>IF(AS$4="Yes",INDEX(List!$E$2:$CD$173,MATCH('Selection Pane Data'!$B82,List!$E$2:$E$173,0),MATCH('Selection Pane Data'!AS$3,List!$E$2:$CD$2,0)),"")</f>
        <v/>
      </c>
      <c r="AT82" s="13" t="str">
        <f>IF(AT$4="Yes",INDEX(List!$E$2:$CD$173,MATCH('Selection Pane Data'!$B82,List!$E$2:$E$173,0),MATCH('Selection Pane Data'!AT$3,List!$E$2:$CD$2,0)),"")</f>
        <v/>
      </c>
      <c r="AU82" s="13" t="str">
        <f>IF(AU$4="Yes",INDEX(List!$E$2:$CD$173,MATCH('Selection Pane Data'!$B82,List!$E$2:$E$173,0),MATCH('Selection Pane Data'!AU$3,List!$E$2:$CD$2,0)),"")</f>
        <v/>
      </c>
      <c r="AV82" s="13" t="str">
        <f>IF(AV$4="Yes",INDEX(List!$E$2:$CD$173,MATCH('Selection Pane Data'!$B82,List!$E$2:$E$173,0),MATCH('Selection Pane Data'!AV$3,List!$E$2:$CD$2,0)),"")</f>
        <v/>
      </c>
      <c r="AW82" s="13" t="str">
        <f>IF(AW$4="Yes",INDEX(List!$E$2:$CD$173,MATCH('Selection Pane Data'!$B82,List!$E$2:$E$173,0),MATCH('Selection Pane Data'!AW$3,List!$E$2:$CD$2,0)),"")</f>
        <v/>
      </c>
      <c r="AX82" s="13" t="str">
        <f>IF(AX$4="Yes",INDEX(List!$E$2:$CD$173,MATCH('Selection Pane Data'!$B82,List!$E$2:$E$173,0),MATCH('Selection Pane Data'!AX$3,List!$E$2:$CD$2,0)),"")</f>
        <v/>
      </c>
      <c r="AY82" s="13" t="str">
        <f>IF(AY$4="Yes",INDEX(List!$E$2:$CD$173,MATCH('Selection Pane Data'!$B82,List!$E$2:$E$173,0),MATCH('Selection Pane Data'!AY$3,List!$E$2:$CD$2,0)),"")</f>
        <v/>
      </c>
      <c r="AZ82" s="13" t="str">
        <f>IF(AZ$4="Yes",INDEX(List!$E$2:$CD$173,MATCH('Selection Pane Data'!$B82,List!$E$2:$E$173,0),MATCH('Selection Pane Data'!AZ$3,List!$E$2:$CD$2,0)),"")</f>
        <v/>
      </c>
      <c r="BA82" s="13" t="str">
        <f>IF(BA$4="Yes",INDEX(List!$E$2:$CD$173,MATCH('Selection Pane Data'!$B82,List!$E$2:$E$173,0),MATCH('Selection Pane Data'!BA$3,List!$E$2:$CD$2,0)),"")</f>
        <v/>
      </c>
      <c r="BB82" s="13" t="str">
        <f>IF(BB$4="Yes",INDEX(List!$E$2:$CD$173,MATCH('Selection Pane Data'!$B82,List!$E$2:$E$173,0),MATCH('Selection Pane Data'!BB$3,List!$E$2:$CD$2,0)),"")</f>
        <v/>
      </c>
      <c r="BC82" s="13" t="str">
        <f>IF(BC$4="Yes",INDEX(List!$E$2:$CD$173,MATCH('Selection Pane Data'!$B82,List!$E$2:$E$173,0),MATCH('Selection Pane Data'!BC$3,List!$E$2:$CD$2,0)),"")</f>
        <v/>
      </c>
      <c r="BD82" s="13" t="str">
        <f>IF(BD$4="Yes",INDEX(List!$E$2:$CD$173,MATCH('Selection Pane Data'!$B82,List!$E$2:$E$173,0),MATCH('Selection Pane Data'!BD$3,List!$E$2:$CD$2,0)),"")</f>
        <v/>
      </c>
      <c r="BE82" s="13" t="str">
        <f>IF(BE$4="Yes",INDEX(List!$E$2:$CD$173,MATCH('Selection Pane Data'!$B82,List!$E$2:$E$173,0),MATCH('Selection Pane Data'!BE$3,List!$E$2:$CD$2,0)),"")</f>
        <v/>
      </c>
      <c r="BF82" s="13" t="str">
        <f>IF(BF$4="Yes",INDEX(List!$E$2:$CD$173,MATCH('Selection Pane Data'!$B82,List!$E$2:$E$173,0),MATCH('Selection Pane Data'!BF$3,List!$E$2:$CD$2,0)),"")</f>
        <v/>
      </c>
      <c r="BG82" s="13" t="str">
        <f>IF(BG$4="Yes",INDEX(List!$E$2:$CD$173,MATCH('Selection Pane Data'!$B82,List!$E$2:$E$173,0),MATCH('Selection Pane Data'!BG$3,List!$E$2:$CD$2,0)),"")</f>
        <v/>
      </c>
      <c r="BH82" s="13" t="str">
        <f>IF(BH$4="Yes",INDEX(List!$E$2:$CD$173,MATCH('Selection Pane Data'!$B82,List!$E$2:$E$173,0),MATCH('Selection Pane Data'!BH$3,List!$E$2:$CD$2,0)),"")</f>
        <v/>
      </c>
      <c r="BI82" s="13" t="str">
        <f>IF(BI$4="Yes",INDEX(List!$E$2:$CD$173,MATCH('Selection Pane Data'!$B82,List!$E$2:$E$173,0),MATCH('Selection Pane Data'!BI$3,List!$E$2:$CD$2,0)),"")</f>
        <v/>
      </c>
      <c r="BJ82" s="13" t="str">
        <f>IF(BJ$4="Yes",INDEX(List!$E$2:$CD$173,MATCH('Selection Pane Data'!$B82,List!$E$2:$E$173,0),MATCH('Selection Pane Data'!BJ$3,List!$E$2:$CD$2,0)),"")</f>
        <v/>
      </c>
      <c r="BK82" s="13" t="str">
        <f>IF(BK$4="Yes",INDEX(List!$E$2:$CD$173,MATCH('Selection Pane Data'!$B82,List!$E$2:$E$173,0),MATCH('Selection Pane Data'!BK$3,List!$E$2:$CD$2,0)),"")</f>
        <v/>
      </c>
      <c r="BL82" s="13" t="str">
        <f>IF(BL$4="Yes",INDEX(List!$E$2:$CD$173,MATCH('Selection Pane Data'!$B82,List!$E$2:$E$173,0),MATCH('Selection Pane Data'!BL$3,List!$E$2:$CD$2,0)),"")</f>
        <v/>
      </c>
      <c r="BM82" s="13" t="str">
        <f>IF(BM$4="Yes",INDEX(List!$E$2:$CD$173,MATCH('Selection Pane Data'!$B82,List!$E$2:$E$173,0),MATCH('Selection Pane Data'!BM$3,List!$E$2:$CD$2,0)),"")</f>
        <v/>
      </c>
      <c r="BN82" s="13" t="str">
        <f>IF(BN$4="Yes",INDEX(List!$E$2:$CD$173,MATCH('Selection Pane Data'!$B82,List!$E$2:$E$173,0),MATCH('Selection Pane Data'!BN$3,List!$E$2:$CD$2,0)),"")</f>
        <v/>
      </c>
      <c r="BO82" s="13" t="str">
        <f>IF(BO$4="Yes",INDEX(List!$E$2:$CD$173,MATCH('Selection Pane Data'!$B82,List!$E$2:$E$173,0),MATCH('Selection Pane Data'!BO$3,List!$E$2:$CD$2,0)),"")</f>
        <v/>
      </c>
      <c r="BP82" s="13" t="str">
        <f>IF(BP$4="Yes",INDEX(List!$E$2:$CD$173,MATCH('Selection Pane Data'!$B82,List!$E$2:$E$173,0),MATCH('Selection Pane Data'!BP$3,List!$E$2:$CD$2,0)),"")</f>
        <v/>
      </c>
      <c r="BQ82" s="13" t="str">
        <f>IF(BQ$4="Yes",INDEX(List!$E$2:$CD$173,MATCH('Selection Pane Data'!$B82,List!$E$2:$E$173,0),MATCH('Selection Pane Data'!BQ$3,List!$E$2:$CD$2,0)),"")</f>
        <v/>
      </c>
      <c r="BR82" s="13" t="str">
        <f>IF(BR$4="Yes",INDEX(List!$E$2:$CD$173,MATCH('Selection Pane Data'!$B82,List!$E$2:$E$173,0),MATCH('Selection Pane Data'!BR$3,List!$E$2:$CD$2,0)),"")</f>
        <v/>
      </c>
      <c r="BS82" s="13" t="str">
        <f>IF(BS$4="Yes",INDEX(List!$E$2:$CD$173,MATCH('Selection Pane Data'!$B82,List!$E$2:$E$173,0),MATCH('Selection Pane Data'!BS$3,List!$E$2:$CD$2,0)),"")</f>
        <v/>
      </c>
      <c r="BT82" s="13" t="str">
        <f>IF(BT$4="Yes",INDEX(List!$E$2:$CD$173,MATCH('Selection Pane Data'!$B82,List!$E$2:$E$173,0),MATCH('Selection Pane Data'!BT$3,List!$E$2:$CD$2,0)),"")</f>
        <v/>
      </c>
      <c r="BU82" s="13" t="str">
        <f>IF(BU$4="Yes",INDEX(List!$E$2:$CD$173,MATCH('Selection Pane Data'!$B82,List!$E$2:$E$173,0),MATCH('Selection Pane Data'!BU$3,List!$E$2:$CD$2,0)),"")</f>
        <v/>
      </c>
      <c r="BV82" s="13" t="str">
        <f>IF(BV$4="Yes",INDEX(List!$E$2:$CD$173,MATCH('Selection Pane Data'!$B82,List!$E$2:$E$173,0),MATCH('Selection Pane Data'!BV$3,List!$E$2:$CD$2,0)),"")</f>
        <v/>
      </c>
      <c r="BW82" s="13" t="str">
        <f>IF(BW$4="Yes",INDEX(List!$E$2:$CD$173,MATCH('Selection Pane Data'!$B82,List!$E$2:$E$173,0),MATCH('Selection Pane Data'!BW$3,List!$E$2:$CD$2,0)),"")</f>
        <v/>
      </c>
      <c r="BX82" s="13" t="str">
        <f>IF(BX$4="Yes",INDEX(List!$E$2:$CD$173,MATCH('Selection Pane Data'!$B82,List!$E$2:$E$173,0),MATCH('Selection Pane Data'!BX$3,List!$E$2:$CD$2,0)),"")</f>
        <v/>
      </c>
      <c r="BY82" s="13" t="str">
        <f>IF(BY$4="Yes",INDEX(List!$E$2:$CD$173,MATCH('Selection Pane Data'!$B82,List!$E$2:$E$173,0),MATCH('Selection Pane Data'!BY$3,List!$E$2:$CD$2,0)),"")</f>
        <v/>
      </c>
      <c r="BZ82" s="13" t="str">
        <f>IF(BZ$4="Yes",INDEX(List!$E$2:$CD$173,MATCH('Selection Pane Data'!$B82,List!$E$2:$E$173,0),MATCH('Selection Pane Data'!BZ$3,List!$E$2:$CD$2,0)),"")</f>
        <v/>
      </c>
      <c r="CA82" s="13" t="str">
        <f>IF(CA$4="Yes",INDEX(List!$E$2:$CD$173,MATCH('Selection Pane Data'!$B82,List!$E$2:$E$173,0),MATCH('Selection Pane Data'!CA$3,List!$E$2:$CD$2,0)),"")</f>
        <v/>
      </c>
      <c r="CB82" s="13" t="str">
        <f>IF(CB$4="Yes",INDEX(List!$E$2:$CD$173,MATCH('Selection Pane Data'!$B82,List!$E$2:$E$173,0),MATCH('Selection Pane Data'!CB$3,List!$E$2:$CD$2,0)),"")</f>
        <v/>
      </c>
      <c r="CC82" s="13" t="str">
        <f>IF(CC$4="Yes",INDEX(List!$E$2:$CD$173,MATCH('Selection Pane Data'!$B82,List!$E$2:$E$173,0),MATCH('Selection Pane Data'!CC$3,List!$E$2:$CD$2,0)),"")</f>
        <v/>
      </c>
      <c r="CD82" s="13" t="str">
        <f>IF(CD$4="Yes",INDEX(List!$E$2:$CD$173,MATCH('Selection Pane Data'!$B82,List!$E$2:$E$173,0),MATCH('Selection Pane Data'!CD$3,List!$E$2:$CD$2,0)),"")</f>
        <v/>
      </c>
      <c r="CE82" s="13" t="str">
        <f>IF(CE$4="Yes",INDEX(List!$E$2:$CD$173,MATCH('Selection Pane Data'!$B82,List!$E$2:$E$173,0),MATCH('Selection Pane Data'!CE$3,List!$E$2:$CD$2,0)),"")</f>
        <v/>
      </c>
    </row>
    <row r="83" spans="2:83" x14ac:dyDescent="0.35">
      <c r="B83" s="21" t="s">
        <v>370</v>
      </c>
      <c r="C83" s="126" t="str">
        <f>VLOOKUP(B83,List!$E$2:$G$173,2,FALSE)</f>
        <v>N/A</v>
      </c>
      <c r="D83" s="31" t="str">
        <f>List!G81</f>
        <v>Shared Coverage</v>
      </c>
      <c r="E83" s="31" t="str">
        <f>IF(Placemat!$F$4="All Practices","All Practices",IF(VLOOKUP(B83,Table7[#All],6,FALSE)="No Mapping","New CMMC Practices","Practices with NIST 800-171 Mappings"))</f>
        <v>Practices with NIST 800-171 Mappings</v>
      </c>
      <c r="F83" t="str">
        <f>INDEX('CMMC Levels'!$A$1:$F$172,MATCH('Selection Pane Data'!$C83,'CMMC Levels'!$A$1:$A$172,0),MATCH(Placemat!$F$4,'CMMC Levels'!$A$1:$F$1,0))</f>
        <v>N/A</v>
      </c>
      <c r="G83" s="77" t="str">
        <f>IF((COUNTIF(List!H81:CE81,"P")+COUNTIF(List!H81:CE81,"S"))=0,"N",IF(COUNTIF(H83:CE83,"P"),"P",IF(COUNTIF(H83:CE83,"S"),"S","U")))</f>
        <v>N</v>
      </c>
      <c r="H83" s="13" t="str">
        <f>IF(H$4="Yes",INDEX(List!$E$2:$CD$173,MATCH('Selection Pane Data'!$B83,List!$E$2:$E$173,0),MATCH('Selection Pane Data'!H$3,List!$E$2:$CD$2,0)),"")</f>
        <v/>
      </c>
      <c r="I83" s="13" t="str">
        <f>IF(I$4="Yes",INDEX(List!$E$2:$CD$173,MATCH('Selection Pane Data'!$B83,List!$E$2:$E$173,0),MATCH('Selection Pane Data'!I$3,List!$E$2:$CD$2,0)),"")</f>
        <v/>
      </c>
      <c r="J83" s="13" t="e">
        <f>IF(J$4="Yes",INDEX(List!$E$2:$CD$173,MATCH('Selection Pane Data'!$B83,List!$E$2:$E$173,0),MATCH('Selection Pane Data'!J$3,List!$E$2:$CD$2,0)),"")</f>
        <v>#N/A</v>
      </c>
      <c r="K83" s="13" t="str">
        <f>IF(K$4="Yes",INDEX(List!$E$2:$CD$173,MATCH('Selection Pane Data'!$B83,List!$E$2:$E$173,0),MATCH('Selection Pane Data'!K$3,List!$E$2:$CD$2,0)),"")</f>
        <v/>
      </c>
      <c r="L83" s="13" t="str">
        <f>IF(L$4="Yes",INDEX(List!$E$2:$CD$173,MATCH('Selection Pane Data'!$B83,List!$E$2:$E$173,0),MATCH('Selection Pane Data'!L$3,List!$E$2:$CD$2,0)),"")</f>
        <v/>
      </c>
      <c r="M83" s="13" t="str">
        <f>IF(M$4="Yes",INDEX(List!$E$2:$CD$173,MATCH('Selection Pane Data'!$B83,List!$E$2:$E$173,0),MATCH('Selection Pane Data'!M$3,List!$E$2:$CD$2,0)),"")</f>
        <v/>
      </c>
      <c r="N83" s="13" t="str">
        <f>IF(N$4="Yes",INDEX(List!$E$2:$CD$173,MATCH('Selection Pane Data'!$B83,List!$E$2:$E$173,0),MATCH('Selection Pane Data'!N$3,List!$E$2:$CD$2,0)),"")</f>
        <v/>
      </c>
      <c r="O83" s="13" t="str">
        <f>IF(O$4="Yes",INDEX(List!$E$2:$CD$173,MATCH('Selection Pane Data'!$B83,List!$E$2:$E$173,0),MATCH('Selection Pane Data'!O$3,List!$E$2:$CD$2,0)),"")</f>
        <v/>
      </c>
      <c r="P83" s="13" t="str">
        <f>IF(P$4="Yes",INDEX(List!$E$2:$CD$173,MATCH('Selection Pane Data'!$B83,List!$E$2:$E$173,0),MATCH('Selection Pane Data'!P$3,List!$E$2:$CD$2,0)),"")</f>
        <v/>
      </c>
      <c r="Q83" s="13" t="str">
        <f>IF(Q$4="Yes",INDEX(List!$E$2:$CD$173,MATCH('Selection Pane Data'!$B83,List!$E$2:$E$173,0),MATCH('Selection Pane Data'!Q$3,List!$E$2:$CD$2,0)),"")</f>
        <v/>
      </c>
      <c r="R83" s="13" t="str">
        <f>IF(R$4="Yes",INDEX(List!$E$2:$CD$173,MATCH('Selection Pane Data'!$B83,List!$E$2:$E$173,0),MATCH('Selection Pane Data'!R$3,List!$E$2:$CD$2,0)),"")</f>
        <v/>
      </c>
      <c r="S83" s="13" t="str">
        <f>IF(S$4="Yes",INDEX(List!$E$2:$CD$173,MATCH('Selection Pane Data'!$B83,List!$E$2:$E$173,0),MATCH('Selection Pane Data'!S$3,List!$E$2:$CD$2,0)),"")</f>
        <v/>
      </c>
      <c r="T83" s="13" t="str">
        <f>IF(T$4="Yes",INDEX(List!$E$2:$CD$173,MATCH('Selection Pane Data'!$B83,List!$E$2:$E$173,0),MATCH('Selection Pane Data'!T$3,List!$E$2:$CD$2,0)),"")</f>
        <v/>
      </c>
      <c r="U83" s="13" t="str">
        <f>IF(U$4="Yes",INDEX(List!$E$2:$CD$173,MATCH('Selection Pane Data'!$B83,List!$E$2:$E$173,0),MATCH('Selection Pane Data'!U$3,List!$E$2:$CD$2,0)),"")</f>
        <v/>
      </c>
      <c r="V83" s="13" t="str">
        <f>IF(V$4="Yes",INDEX(List!$E$2:$CD$173,MATCH('Selection Pane Data'!$B83,List!$E$2:$E$173,0),MATCH('Selection Pane Data'!V$3,List!$E$2:$CD$2,0)),"")</f>
        <v/>
      </c>
      <c r="W83" s="13" t="str">
        <f>IF(W$4="Yes",INDEX(List!$E$2:$CD$173,MATCH('Selection Pane Data'!$B83,List!$E$2:$E$173,0),MATCH('Selection Pane Data'!W$3,List!$E$2:$CD$2,0)),"")</f>
        <v/>
      </c>
      <c r="X83" s="13" t="str">
        <f>IF(X$4="Yes",INDEX(List!$E$2:$CD$173,MATCH('Selection Pane Data'!$B83,List!$E$2:$E$173,0),MATCH('Selection Pane Data'!X$3,List!$E$2:$CD$2,0)),"")</f>
        <v/>
      </c>
      <c r="Y83" s="13" t="str">
        <f>IF(Y$4="Yes",INDEX(List!$E$2:$CD$173,MATCH('Selection Pane Data'!$B83,List!$E$2:$E$173,0),MATCH('Selection Pane Data'!Y$3,List!$E$2:$CD$2,0)),"")</f>
        <v/>
      </c>
      <c r="Z83" s="13" t="str">
        <f>IF(Z$4="Yes",INDEX(List!$E$2:$CD$173,MATCH('Selection Pane Data'!$B83,List!$E$2:$E$173,0),MATCH('Selection Pane Data'!Z$3,List!$E$2:$CD$2,0)),"")</f>
        <v/>
      </c>
      <c r="AA83" s="13" t="e">
        <f>IF(AA$4="Yes",INDEX(List!$E$2:$CD$173,MATCH('Selection Pane Data'!$B83,List!$E$2:$E$173,0),MATCH('Selection Pane Data'!AA$3,List!$E$2:$CD$2,0)),"")</f>
        <v>#N/A</v>
      </c>
      <c r="AB83" s="13" t="str">
        <f>IF(AB$4="Yes",INDEX(List!$E$2:$CD$173,MATCH('Selection Pane Data'!$B83,List!$E$2:$E$173,0),MATCH('Selection Pane Data'!AB$3,List!$E$2:$CD$2,0)),"")</f>
        <v/>
      </c>
      <c r="AC83" s="13" t="str">
        <f>IF(AC$4="Yes",INDEX(List!$E$2:$CD$173,MATCH('Selection Pane Data'!$B83,List!$E$2:$E$173,0),MATCH('Selection Pane Data'!AC$3,List!$E$2:$CD$2,0)),"")</f>
        <v/>
      </c>
      <c r="AD83" s="13" t="str">
        <f>IF(AD$4="Yes",INDEX(List!$E$2:$CD$173,MATCH('Selection Pane Data'!$B83,List!$E$2:$E$173,0),MATCH('Selection Pane Data'!AD$3,List!$E$2:$CD$2,0)),"")</f>
        <v/>
      </c>
      <c r="AE83" s="13" t="str">
        <f>IF(AE$4="Yes",INDEX(List!$E$2:$CD$173,MATCH('Selection Pane Data'!$B83,List!$E$2:$E$173,0),MATCH('Selection Pane Data'!AE$3,List!$E$2:$CD$2,0)),"")</f>
        <v/>
      </c>
      <c r="AF83" s="13" t="str">
        <f>IF(AF$4="Yes",INDEX(List!$E$2:$CD$173,MATCH('Selection Pane Data'!$B83,List!$E$2:$E$173,0),MATCH('Selection Pane Data'!AF$3,List!$E$2:$CD$2,0)),"")</f>
        <v/>
      </c>
      <c r="AG83" s="13" t="str">
        <f>IF(AG$4="Yes",INDEX(List!$E$2:$CD$173,MATCH('Selection Pane Data'!$B83,List!$E$2:$E$173,0),MATCH('Selection Pane Data'!AG$3,List!$E$2:$CD$2,0)),"")</f>
        <v/>
      </c>
      <c r="AH83" s="13" t="str">
        <f>IF(AH$4="Yes",INDEX(List!$E$2:$CD$173,MATCH('Selection Pane Data'!$B83,List!$E$2:$E$173,0),MATCH('Selection Pane Data'!AH$3,List!$E$2:$CD$2,0)),"")</f>
        <v/>
      </c>
      <c r="AI83" s="13" t="str">
        <f>IF(AI$4="Yes",INDEX(List!$E$2:$CD$173,MATCH('Selection Pane Data'!$B83,List!$E$2:$E$173,0),MATCH('Selection Pane Data'!AI$3,List!$E$2:$CD$2,0)),"")</f>
        <v/>
      </c>
      <c r="AJ83" s="13" t="str">
        <f>IF(AJ$4="Yes",INDEX(List!$E$2:$CD$173,MATCH('Selection Pane Data'!$B83,List!$E$2:$E$173,0),MATCH('Selection Pane Data'!AJ$3,List!$E$2:$CD$2,0)),"")</f>
        <v/>
      </c>
      <c r="AK83" s="13" t="str">
        <f>IF(AK$4="Yes",INDEX(List!$E$2:$CD$173,MATCH('Selection Pane Data'!$B83,List!$E$2:$E$173,0),MATCH('Selection Pane Data'!AK$3,List!$E$2:$CD$2,0)),"")</f>
        <v/>
      </c>
      <c r="AL83" s="13" t="str">
        <f>IF(AL$4="Yes",INDEX(List!$E$2:$CD$173,MATCH('Selection Pane Data'!$B83,List!$E$2:$E$173,0),MATCH('Selection Pane Data'!AL$3,List!$E$2:$CD$2,0)),"")</f>
        <v/>
      </c>
      <c r="AM83" s="13" t="str">
        <f>IF(AM$4="Yes",INDEX(List!$E$2:$CD$173,MATCH('Selection Pane Data'!$B83,List!$E$2:$E$173,0),MATCH('Selection Pane Data'!AM$3,List!$E$2:$CD$2,0)),"")</f>
        <v/>
      </c>
      <c r="AN83" s="13" t="str">
        <f>IF(AN$4="Yes",INDEX(List!$E$2:$CD$173,MATCH('Selection Pane Data'!$B83,List!$E$2:$E$173,0),MATCH('Selection Pane Data'!AN$3,List!$E$2:$CD$2,0)),"")</f>
        <v/>
      </c>
      <c r="AO83" s="13" t="str">
        <f>IF(AO$4="Yes",INDEX(List!$E$2:$CD$173,MATCH('Selection Pane Data'!$B83,List!$E$2:$E$173,0),MATCH('Selection Pane Data'!AO$3,List!$E$2:$CD$2,0)),"")</f>
        <v/>
      </c>
      <c r="AP83" s="13" t="str">
        <f>IF(AP$4="Yes",INDEX(List!$E$2:$CD$173,MATCH('Selection Pane Data'!$B83,List!$E$2:$E$173,0),MATCH('Selection Pane Data'!AP$3,List!$E$2:$CD$2,0)),"")</f>
        <v/>
      </c>
      <c r="AQ83" s="13" t="str">
        <f>IF(AQ$4="Yes",INDEX(List!$E$2:$CD$173,MATCH('Selection Pane Data'!$B83,List!$E$2:$E$173,0),MATCH('Selection Pane Data'!AQ$3,List!$E$2:$CD$2,0)),"")</f>
        <v/>
      </c>
      <c r="AR83" s="13" t="str">
        <f>IF(AR$4="Yes",INDEX(List!$E$2:$CD$173,MATCH('Selection Pane Data'!$B83,List!$E$2:$E$173,0),MATCH('Selection Pane Data'!AR$3,List!$E$2:$CD$2,0)),"")</f>
        <v/>
      </c>
      <c r="AS83" s="13" t="str">
        <f>IF(AS$4="Yes",INDEX(List!$E$2:$CD$173,MATCH('Selection Pane Data'!$B83,List!$E$2:$E$173,0),MATCH('Selection Pane Data'!AS$3,List!$E$2:$CD$2,0)),"")</f>
        <v/>
      </c>
      <c r="AT83" s="13" t="str">
        <f>IF(AT$4="Yes",INDEX(List!$E$2:$CD$173,MATCH('Selection Pane Data'!$B83,List!$E$2:$E$173,0),MATCH('Selection Pane Data'!AT$3,List!$E$2:$CD$2,0)),"")</f>
        <v/>
      </c>
      <c r="AU83" s="13" t="str">
        <f>IF(AU$4="Yes",INDEX(List!$E$2:$CD$173,MATCH('Selection Pane Data'!$B83,List!$E$2:$E$173,0),MATCH('Selection Pane Data'!AU$3,List!$E$2:$CD$2,0)),"")</f>
        <v/>
      </c>
      <c r="AV83" s="13" t="str">
        <f>IF(AV$4="Yes",INDEX(List!$E$2:$CD$173,MATCH('Selection Pane Data'!$B83,List!$E$2:$E$173,0),MATCH('Selection Pane Data'!AV$3,List!$E$2:$CD$2,0)),"")</f>
        <v/>
      </c>
      <c r="AW83" s="13" t="str">
        <f>IF(AW$4="Yes",INDEX(List!$E$2:$CD$173,MATCH('Selection Pane Data'!$B83,List!$E$2:$E$173,0),MATCH('Selection Pane Data'!AW$3,List!$E$2:$CD$2,0)),"")</f>
        <v/>
      </c>
      <c r="AX83" s="13" t="str">
        <f>IF(AX$4="Yes",INDEX(List!$E$2:$CD$173,MATCH('Selection Pane Data'!$B83,List!$E$2:$E$173,0),MATCH('Selection Pane Data'!AX$3,List!$E$2:$CD$2,0)),"")</f>
        <v/>
      </c>
      <c r="AY83" s="13" t="str">
        <f>IF(AY$4="Yes",INDEX(List!$E$2:$CD$173,MATCH('Selection Pane Data'!$B83,List!$E$2:$E$173,0),MATCH('Selection Pane Data'!AY$3,List!$E$2:$CD$2,0)),"")</f>
        <v/>
      </c>
      <c r="AZ83" s="13" t="str">
        <f>IF(AZ$4="Yes",INDEX(List!$E$2:$CD$173,MATCH('Selection Pane Data'!$B83,List!$E$2:$E$173,0),MATCH('Selection Pane Data'!AZ$3,List!$E$2:$CD$2,0)),"")</f>
        <v/>
      </c>
      <c r="BA83" s="13" t="str">
        <f>IF(BA$4="Yes",INDEX(List!$E$2:$CD$173,MATCH('Selection Pane Data'!$B83,List!$E$2:$E$173,0),MATCH('Selection Pane Data'!BA$3,List!$E$2:$CD$2,0)),"")</f>
        <v/>
      </c>
      <c r="BB83" s="13" t="str">
        <f>IF(BB$4="Yes",INDEX(List!$E$2:$CD$173,MATCH('Selection Pane Data'!$B83,List!$E$2:$E$173,0),MATCH('Selection Pane Data'!BB$3,List!$E$2:$CD$2,0)),"")</f>
        <v/>
      </c>
      <c r="BC83" s="13" t="str">
        <f>IF(BC$4="Yes",INDEX(List!$E$2:$CD$173,MATCH('Selection Pane Data'!$B83,List!$E$2:$E$173,0),MATCH('Selection Pane Data'!BC$3,List!$E$2:$CD$2,0)),"")</f>
        <v/>
      </c>
      <c r="BD83" s="13" t="str">
        <f>IF(BD$4="Yes",INDEX(List!$E$2:$CD$173,MATCH('Selection Pane Data'!$B83,List!$E$2:$E$173,0),MATCH('Selection Pane Data'!BD$3,List!$E$2:$CD$2,0)),"")</f>
        <v/>
      </c>
      <c r="BE83" s="13" t="str">
        <f>IF(BE$4="Yes",INDEX(List!$E$2:$CD$173,MATCH('Selection Pane Data'!$B83,List!$E$2:$E$173,0),MATCH('Selection Pane Data'!BE$3,List!$E$2:$CD$2,0)),"")</f>
        <v/>
      </c>
      <c r="BF83" s="13" t="str">
        <f>IF(BF$4="Yes",INDEX(List!$E$2:$CD$173,MATCH('Selection Pane Data'!$B83,List!$E$2:$E$173,0),MATCH('Selection Pane Data'!BF$3,List!$E$2:$CD$2,0)),"")</f>
        <v/>
      </c>
      <c r="BG83" s="13" t="str">
        <f>IF(BG$4="Yes",INDEX(List!$E$2:$CD$173,MATCH('Selection Pane Data'!$B83,List!$E$2:$E$173,0),MATCH('Selection Pane Data'!BG$3,List!$E$2:$CD$2,0)),"")</f>
        <v/>
      </c>
      <c r="BH83" s="13" t="str">
        <f>IF(BH$4="Yes",INDEX(List!$E$2:$CD$173,MATCH('Selection Pane Data'!$B83,List!$E$2:$E$173,0),MATCH('Selection Pane Data'!BH$3,List!$E$2:$CD$2,0)),"")</f>
        <v/>
      </c>
      <c r="BI83" s="13" t="str">
        <f>IF(BI$4="Yes",INDEX(List!$E$2:$CD$173,MATCH('Selection Pane Data'!$B83,List!$E$2:$E$173,0),MATCH('Selection Pane Data'!BI$3,List!$E$2:$CD$2,0)),"")</f>
        <v/>
      </c>
      <c r="BJ83" s="13" t="str">
        <f>IF(BJ$4="Yes",INDEX(List!$E$2:$CD$173,MATCH('Selection Pane Data'!$B83,List!$E$2:$E$173,0),MATCH('Selection Pane Data'!BJ$3,List!$E$2:$CD$2,0)),"")</f>
        <v/>
      </c>
      <c r="BK83" s="13" t="str">
        <f>IF(BK$4="Yes",INDEX(List!$E$2:$CD$173,MATCH('Selection Pane Data'!$B83,List!$E$2:$E$173,0),MATCH('Selection Pane Data'!BK$3,List!$E$2:$CD$2,0)),"")</f>
        <v/>
      </c>
      <c r="BL83" s="13" t="str">
        <f>IF(BL$4="Yes",INDEX(List!$E$2:$CD$173,MATCH('Selection Pane Data'!$B83,List!$E$2:$E$173,0),MATCH('Selection Pane Data'!BL$3,List!$E$2:$CD$2,0)),"")</f>
        <v/>
      </c>
      <c r="BM83" s="13" t="str">
        <f>IF(BM$4="Yes",INDEX(List!$E$2:$CD$173,MATCH('Selection Pane Data'!$B83,List!$E$2:$E$173,0),MATCH('Selection Pane Data'!BM$3,List!$E$2:$CD$2,0)),"")</f>
        <v/>
      </c>
      <c r="BN83" s="13" t="str">
        <f>IF(BN$4="Yes",INDEX(List!$E$2:$CD$173,MATCH('Selection Pane Data'!$B83,List!$E$2:$E$173,0),MATCH('Selection Pane Data'!BN$3,List!$E$2:$CD$2,0)),"")</f>
        <v/>
      </c>
      <c r="BO83" s="13" t="str">
        <f>IF(BO$4="Yes",INDEX(List!$E$2:$CD$173,MATCH('Selection Pane Data'!$B83,List!$E$2:$E$173,0),MATCH('Selection Pane Data'!BO$3,List!$E$2:$CD$2,0)),"")</f>
        <v/>
      </c>
      <c r="BP83" s="13" t="str">
        <f>IF(BP$4="Yes",INDEX(List!$E$2:$CD$173,MATCH('Selection Pane Data'!$B83,List!$E$2:$E$173,0),MATCH('Selection Pane Data'!BP$3,List!$E$2:$CD$2,0)),"")</f>
        <v/>
      </c>
      <c r="BQ83" s="13" t="str">
        <f>IF(BQ$4="Yes",INDEX(List!$E$2:$CD$173,MATCH('Selection Pane Data'!$B83,List!$E$2:$E$173,0),MATCH('Selection Pane Data'!BQ$3,List!$E$2:$CD$2,0)),"")</f>
        <v/>
      </c>
      <c r="BR83" s="13" t="str">
        <f>IF(BR$4="Yes",INDEX(List!$E$2:$CD$173,MATCH('Selection Pane Data'!$B83,List!$E$2:$E$173,0),MATCH('Selection Pane Data'!BR$3,List!$E$2:$CD$2,0)),"")</f>
        <v/>
      </c>
      <c r="BS83" s="13" t="str">
        <f>IF(BS$4="Yes",INDEX(List!$E$2:$CD$173,MATCH('Selection Pane Data'!$B83,List!$E$2:$E$173,0),MATCH('Selection Pane Data'!BS$3,List!$E$2:$CD$2,0)),"")</f>
        <v/>
      </c>
      <c r="BT83" s="13" t="str">
        <f>IF(BT$4="Yes",INDEX(List!$E$2:$CD$173,MATCH('Selection Pane Data'!$B83,List!$E$2:$E$173,0),MATCH('Selection Pane Data'!BT$3,List!$E$2:$CD$2,0)),"")</f>
        <v/>
      </c>
      <c r="BU83" s="13" t="str">
        <f>IF(BU$4="Yes",INDEX(List!$E$2:$CD$173,MATCH('Selection Pane Data'!$B83,List!$E$2:$E$173,0),MATCH('Selection Pane Data'!BU$3,List!$E$2:$CD$2,0)),"")</f>
        <v/>
      </c>
      <c r="BV83" s="13" t="str">
        <f>IF(BV$4="Yes",INDEX(List!$E$2:$CD$173,MATCH('Selection Pane Data'!$B83,List!$E$2:$E$173,0),MATCH('Selection Pane Data'!BV$3,List!$E$2:$CD$2,0)),"")</f>
        <v/>
      </c>
      <c r="BW83" s="13" t="str">
        <f>IF(BW$4="Yes",INDEX(List!$E$2:$CD$173,MATCH('Selection Pane Data'!$B83,List!$E$2:$E$173,0),MATCH('Selection Pane Data'!BW$3,List!$E$2:$CD$2,0)),"")</f>
        <v/>
      </c>
      <c r="BX83" s="13" t="str">
        <f>IF(BX$4="Yes",INDEX(List!$E$2:$CD$173,MATCH('Selection Pane Data'!$B83,List!$E$2:$E$173,0),MATCH('Selection Pane Data'!BX$3,List!$E$2:$CD$2,0)),"")</f>
        <v/>
      </c>
      <c r="BY83" s="13" t="str">
        <f>IF(BY$4="Yes",INDEX(List!$E$2:$CD$173,MATCH('Selection Pane Data'!$B83,List!$E$2:$E$173,0),MATCH('Selection Pane Data'!BY$3,List!$E$2:$CD$2,0)),"")</f>
        <v/>
      </c>
      <c r="BZ83" s="13" t="str">
        <f>IF(BZ$4="Yes",INDEX(List!$E$2:$CD$173,MATCH('Selection Pane Data'!$B83,List!$E$2:$E$173,0),MATCH('Selection Pane Data'!BZ$3,List!$E$2:$CD$2,0)),"")</f>
        <v/>
      </c>
      <c r="CA83" s="13" t="str">
        <f>IF(CA$4="Yes",INDEX(List!$E$2:$CD$173,MATCH('Selection Pane Data'!$B83,List!$E$2:$E$173,0),MATCH('Selection Pane Data'!CA$3,List!$E$2:$CD$2,0)),"")</f>
        <v/>
      </c>
      <c r="CB83" s="13" t="str">
        <f>IF(CB$4="Yes",INDEX(List!$E$2:$CD$173,MATCH('Selection Pane Data'!$B83,List!$E$2:$E$173,0),MATCH('Selection Pane Data'!CB$3,List!$E$2:$CD$2,0)),"")</f>
        <v/>
      </c>
      <c r="CC83" s="13" t="str">
        <f>IF(CC$4="Yes",INDEX(List!$E$2:$CD$173,MATCH('Selection Pane Data'!$B83,List!$E$2:$E$173,0),MATCH('Selection Pane Data'!CC$3,List!$E$2:$CD$2,0)),"")</f>
        <v/>
      </c>
      <c r="CD83" s="13" t="str">
        <f>IF(CD$4="Yes",INDEX(List!$E$2:$CD$173,MATCH('Selection Pane Data'!$B83,List!$E$2:$E$173,0),MATCH('Selection Pane Data'!CD$3,List!$E$2:$CD$2,0)),"")</f>
        <v/>
      </c>
      <c r="CE83" s="13" t="str">
        <f>IF(CE$4="Yes",INDEX(List!$E$2:$CD$173,MATCH('Selection Pane Data'!$B83,List!$E$2:$E$173,0),MATCH('Selection Pane Data'!CE$3,List!$E$2:$CD$2,0)),"")</f>
        <v/>
      </c>
    </row>
    <row r="84" spans="2:83" x14ac:dyDescent="0.35">
      <c r="B84" s="21" t="s">
        <v>371</v>
      </c>
      <c r="C84" s="126" t="str">
        <f>VLOOKUP(B84,List!$E$2:$G$173,2,FALSE)</f>
        <v>N/A</v>
      </c>
      <c r="D84" s="31" t="str">
        <f>List!G82</f>
        <v>Shared Coverage</v>
      </c>
      <c r="E84" s="31" t="str">
        <f>IF(Placemat!$F$4="All Practices","All Practices",IF(VLOOKUP(B84,Table7[#All],6,FALSE)="No Mapping","New CMMC Practices","Practices with NIST 800-171 Mappings"))</f>
        <v>Practices with NIST 800-171 Mappings</v>
      </c>
      <c r="F84" t="str">
        <f>INDEX('CMMC Levels'!$A$1:$F$172,MATCH('Selection Pane Data'!$C84,'CMMC Levels'!$A$1:$A$172,0),MATCH(Placemat!$F$4,'CMMC Levels'!$A$1:$F$1,0))</f>
        <v>N/A</v>
      </c>
      <c r="G84" s="77" t="str">
        <f>IF((COUNTIF(List!H82:CE82,"P")+COUNTIF(List!H82:CE82,"S"))=0,"N",IF(COUNTIF(H84:CE84,"P"),"P",IF(COUNTIF(H84:CE84,"S"),"S","U")))</f>
        <v>N</v>
      </c>
      <c r="H84" s="13" t="str">
        <f>IF(H$4="Yes",INDEX(List!$E$2:$CD$173,MATCH('Selection Pane Data'!$B84,List!$E$2:$E$173,0),MATCH('Selection Pane Data'!H$3,List!$E$2:$CD$2,0)),"")</f>
        <v/>
      </c>
      <c r="I84" s="13" t="str">
        <f>IF(I$4="Yes",INDEX(List!$E$2:$CD$173,MATCH('Selection Pane Data'!$B84,List!$E$2:$E$173,0),MATCH('Selection Pane Data'!I$3,List!$E$2:$CD$2,0)),"")</f>
        <v/>
      </c>
      <c r="J84" s="13" t="e">
        <f>IF(J$4="Yes",INDEX(List!$E$2:$CD$173,MATCH('Selection Pane Data'!$B84,List!$E$2:$E$173,0),MATCH('Selection Pane Data'!J$3,List!$E$2:$CD$2,0)),"")</f>
        <v>#N/A</v>
      </c>
      <c r="K84" s="13" t="str">
        <f>IF(K$4="Yes",INDEX(List!$E$2:$CD$173,MATCH('Selection Pane Data'!$B84,List!$E$2:$E$173,0),MATCH('Selection Pane Data'!K$3,List!$E$2:$CD$2,0)),"")</f>
        <v/>
      </c>
      <c r="L84" s="13" t="str">
        <f>IF(L$4="Yes",INDEX(List!$E$2:$CD$173,MATCH('Selection Pane Data'!$B84,List!$E$2:$E$173,0),MATCH('Selection Pane Data'!L$3,List!$E$2:$CD$2,0)),"")</f>
        <v/>
      </c>
      <c r="M84" s="13" t="str">
        <f>IF(M$4="Yes",INDEX(List!$E$2:$CD$173,MATCH('Selection Pane Data'!$B84,List!$E$2:$E$173,0),MATCH('Selection Pane Data'!M$3,List!$E$2:$CD$2,0)),"")</f>
        <v/>
      </c>
      <c r="N84" s="13" t="str">
        <f>IF(N$4="Yes",INDEX(List!$E$2:$CD$173,MATCH('Selection Pane Data'!$B84,List!$E$2:$E$173,0),MATCH('Selection Pane Data'!N$3,List!$E$2:$CD$2,0)),"")</f>
        <v/>
      </c>
      <c r="O84" s="13" t="str">
        <f>IF(O$4="Yes",INDEX(List!$E$2:$CD$173,MATCH('Selection Pane Data'!$B84,List!$E$2:$E$173,0),MATCH('Selection Pane Data'!O$3,List!$E$2:$CD$2,0)),"")</f>
        <v/>
      </c>
      <c r="P84" s="13" t="str">
        <f>IF(P$4="Yes",INDEX(List!$E$2:$CD$173,MATCH('Selection Pane Data'!$B84,List!$E$2:$E$173,0),MATCH('Selection Pane Data'!P$3,List!$E$2:$CD$2,0)),"")</f>
        <v/>
      </c>
      <c r="Q84" s="13" t="str">
        <f>IF(Q$4="Yes",INDEX(List!$E$2:$CD$173,MATCH('Selection Pane Data'!$B84,List!$E$2:$E$173,0),MATCH('Selection Pane Data'!Q$3,List!$E$2:$CD$2,0)),"")</f>
        <v/>
      </c>
      <c r="R84" s="13" t="str">
        <f>IF(R$4="Yes",INDEX(List!$E$2:$CD$173,MATCH('Selection Pane Data'!$B84,List!$E$2:$E$173,0),MATCH('Selection Pane Data'!R$3,List!$E$2:$CD$2,0)),"")</f>
        <v/>
      </c>
      <c r="S84" s="13" t="str">
        <f>IF(S$4="Yes",INDEX(List!$E$2:$CD$173,MATCH('Selection Pane Data'!$B84,List!$E$2:$E$173,0),MATCH('Selection Pane Data'!S$3,List!$E$2:$CD$2,0)),"")</f>
        <v/>
      </c>
      <c r="T84" s="13" t="str">
        <f>IF(T$4="Yes",INDEX(List!$E$2:$CD$173,MATCH('Selection Pane Data'!$B84,List!$E$2:$E$173,0),MATCH('Selection Pane Data'!T$3,List!$E$2:$CD$2,0)),"")</f>
        <v/>
      </c>
      <c r="U84" s="13" t="str">
        <f>IF(U$4="Yes",INDEX(List!$E$2:$CD$173,MATCH('Selection Pane Data'!$B84,List!$E$2:$E$173,0),MATCH('Selection Pane Data'!U$3,List!$E$2:$CD$2,0)),"")</f>
        <v/>
      </c>
      <c r="V84" s="13" t="str">
        <f>IF(V$4="Yes",INDEX(List!$E$2:$CD$173,MATCH('Selection Pane Data'!$B84,List!$E$2:$E$173,0),MATCH('Selection Pane Data'!V$3,List!$E$2:$CD$2,0)),"")</f>
        <v/>
      </c>
      <c r="W84" s="13" t="str">
        <f>IF(W$4="Yes",INDEX(List!$E$2:$CD$173,MATCH('Selection Pane Data'!$B84,List!$E$2:$E$173,0),MATCH('Selection Pane Data'!W$3,List!$E$2:$CD$2,0)),"")</f>
        <v/>
      </c>
      <c r="X84" s="13" t="str">
        <f>IF(X$4="Yes",INDEX(List!$E$2:$CD$173,MATCH('Selection Pane Data'!$B84,List!$E$2:$E$173,0),MATCH('Selection Pane Data'!X$3,List!$E$2:$CD$2,0)),"")</f>
        <v/>
      </c>
      <c r="Y84" s="13" t="str">
        <f>IF(Y$4="Yes",INDEX(List!$E$2:$CD$173,MATCH('Selection Pane Data'!$B84,List!$E$2:$E$173,0),MATCH('Selection Pane Data'!Y$3,List!$E$2:$CD$2,0)),"")</f>
        <v/>
      </c>
      <c r="Z84" s="13" t="str">
        <f>IF(Z$4="Yes",INDEX(List!$E$2:$CD$173,MATCH('Selection Pane Data'!$B84,List!$E$2:$E$173,0),MATCH('Selection Pane Data'!Z$3,List!$E$2:$CD$2,0)),"")</f>
        <v/>
      </c>
      <c r="AA84" s="13" t="e">
        <f>IF(AA$4="Yes",INDEX(List!$E$2:$CD$173,MATCH('Selection Pane Data'!$B84,List!$E$2:$E$173,0),MATCH('Selection Pane Data'!AA$3,List!$E$2:$CD$2,0)),"")</f>
        <v>#N/A</v>
      </c>
      <c r="AB84" s="13" t="str">
        <f>IF(AB$4="Yes",INDEX(List!$E$2:$CD$173,MATCH('Selection Pane Data'!$B84,List!$E$2:$E$173,0),MATCH('Selection Pane Data'!AB$3,List!$E$2:$CD$2,0)),"")</f>
        <v/>
      </c>
      <c r="AC84" s="13" t="str">
        <f>IF(AC$4="Yes",INDEX(List!$E$2:$CD$173,MATCH('Selection Pane Data'!$B84,List!$E$2:$E$173,0),MATCH('Selection Pane Data'!AC$3,List!$E$2:$CD$2,0)),"")</f>
        <v/>
      </c>
      <c r="AD84" s="13" t="str">
        <f>IF(AD$4="Yes",INDEX(List!$E$2:$CD$173,MATCH('Selection Pane Data'!$B84,List!$E$2:$E$173,0),MATCH('Selection Pane Data'!AD$3,List!$E$2:$CD$2,0)),"")</f>
        <v/>
      </c>
      <c r="AE84" s="13" t="str">
        <f>IF(AE$4="Yes",INDEX(List!$E$2:$CD$173,MATCH('Selection Pane Data'!$B84,List!$E$2:$E$173,0),MATCH('Selection Pane Data'!AE$3,List!$E$2:$CD$2,0)),"")</f>
        <v/>
      </c>
      <c r="AF84" s="13" t="str">
        <f>IF(AF$4="Yes",INDEX(List!$E$2:$CD$173,MATCH('Selection Pane Data'!$B84,List!$E$2:$E$173,0),MATCH('Selection Pane Data'!AF$3,List!$E$2:$CD$2,0)),"")</f>
        <v/>
      </c>
      <c r="AG84" s="13" t="str">
        <f>IF(AG$4="Yes",INDEX(List!$E$2:$CD$173,MATCH('Selection Pane Data'!$B84,List!$E$2:$E$173,0),MATCH('Selection Pane Data'!AG$3,List!$E$2:$CD$2,0)),"")</f>
        <v/>
      </c>
      <c r="AH84" s="13" t="str">
        <f>IF(AH$4="Yes",INDEX(List!$E$2:$CD$173,MATCH('Selection Pane Data'!$B84,List!$E$2:$E$173,0),MATCH('Selection Pane Data'!AH$3,List!$E$2:$CD$2,0)),"")</f>
        <v/>
      </c>
      <c r="AI84" s="13" t="str">
        <f>IF(AI$4="Yes",INDEX(List!$E$2:$CD$173,MATCH('Selection Pane Data'!$B84,List!$E$2:$E$173,0),MATCH('Selection Pane Data'!AI$3,List!$E$2:$CD$2,0)),"")</f>
        <v/>
      </c>
      <c r="AJ84" s="13" t="str">
        <f>IF(AJ$4="Yes",INDEX(List!$E$2:$CD$173,MATCH('Selection Pane Data'!$B84,List!$E$2:$E$173,0),MATCH('Selection Pane Data'!AJ$3,List!$E$2:$CD$2,0)),"")</f>
        <v/>
      </c>
      <c r="AK84" s="13" t="str">
        <f>IF(AK$4="Yes",INDEX(List!$E$2:$CD$173,MATCH('Selection Pane Data'!$B84,List!$E$2:$E$173,0),MATCH('Selection Pane Data'!AK$3,List!$E$2:$CD$2,0)),"")</f>
        <v/>
      </c>
      <c r="AL84" s="13" t="str">
        <f>IF(AL$4="Yes",INDEX(List!$E$2:$CD$173,MATCH('Selection Pane Data'!$B84,List!$E$2:$E$173,0),MATCH('Selection Pane Data'!AL$3,List!$E$2:$CD$2,0)),"")</f>
        <v/>
      </c>
      <c r="AM84" s="13" t="str">
        <f>IF(AM$4="Yes",INDEX(List!$E$2:$CD$173,MATCH('Selection Pane Data'!$B84,List!$E$2:$E$173,0),MATCH('Selection Pane Data'!AM$3,List!$E$2:$CD$2,0)),"")</f>
        <v/>
      </c>
      <c r="AN84" s="13" t="str">
        <f>IF(AN$4="Yes",INDEX(List!$E$2:$CD$173,MATCH('Selection Pane Data'!$B84,List!$E$2:$E$173,0),MATCH('Selection Pane Data'!AN$3,List!$E$2:$CD$2,0)),"")</f>
        <v/>
      </c>
      <c r="AO84" s="13" t="str">
        <f>IF(AO$4="Yes",INDEX(List!$E$2:$CD$173,MATCH('Selection Pane Data'!$B84,List!$E$2:$E$173,0),MATCH('Selection Pane Data'!AO$3,List!$E$2:$CD$2,0)),"")</f>
        <v/>
      </c>
      <c r="AP84" s="13" t="str">
        <f>IF(AP$4="Yes",INDEX(List!$E$2:$CD$173,MATCH('Selection Pane Data'!$B84,List!$E$2:$E$173,0),MATCH('Selection Pane Data'!AP$3,List!$E$2:$CD$2,0)),"")</f>
        <v/>
      </c>
      <c r="AQ84" s="13" t="str">
        <f>IF(AQ$4="Yes",INDEX(List!$E$2:$CD$173,MATCH('Selection Pane Data'!$B84,List!$E$2:$E$173,0),MATCH('Selection Pane Data'!AQ$3,List!$E$2:$CD$2,0)),"")</f>
        <v/>
      </c>
      <c r="AR84" s="13" t="str">
        <f>IF(AR$4="Yes",INDEX(List!$E$2:$CD$173,MATCH('Selection Pane Data'!$B84,List!$E$2:$E$173,0),MATCH('Selection Pane Data'!AR$3,List!$E$2:$CD$2,0)),"")</f>
        <v/>
      </c>
      <c r="AS84" s="13" t="str">
        <f>IF(AS$4="Yes",INDEX(List!$E$2:$CD$173,MATCH('Selection Pane Data'!$B84,List!$E$2:$E$173,0),MATCH('Selection Pane Data'!AS$3,List!$E$2:$CD$2,0)),"")</f>
        <v/>
      </c>
      <c r="AT84" s="13" t="str">
        <f>IF(AT$4="Yes",INDEX(List!$E$2:$CD$173,MATCH('Selection Pane Data'!$B84,List!$E$2:$E$173,0),MATCH('Selection Pane Data'!AT$3,List!$E$2:$CD$2,0)),"")</f>
        <v/>
      </c>
      <c r="AU84" s="13" t="str">
        <f>IF(AU$4="Yes",INDEX(List!$E$2:$CD$173,MATCH('Selection Pane Data'!$B84,List!$E$2:$E$173,0),MATCH('Selection Pane Data'!AU$3,List!$E$2:$CD$2,0)),"")</f>
        <v/>
      </c>
      <c r="AV84" s="13" t="str">
        <f>IF(AV$4="Yes",INDEX(List!$E$2:$CD$173,MATCH('Selection Pane Data'!$B84,List!$E$2:$E$173,0),MATCH('Selection Pane Data'!AV$3,List!$E$2:$CD$2,0)),"")</f>
        <v/>
      </c>
      <c r="AW84" s="13" t="str">
        <f>IF(AW$4="Yes",INDEX(List!$E$2:$CD$173,MATCH('Selection Pane Data'!$B84,List!$E$2:$E$173,0),MATCH('Selection Pane Data'!AW$3,List!$E$2:$CD$2,0)),"")</f>
        <v/>
      </c>
      <c r="AX84" s="13" t="str">
        <f>IF(AX$4="Yes",INDEX(List!$E$2:$CD$173,MATCH('Selection Pane Data'!$B84,List!$E$2:$E$173,0),MATCH('Selection Pane Data'!AX$3,List!$E$2:$CD$2,0)),"")</f>
        <v/>
      </c>
      <c r="AY84" s="13" t="str">
        <f>IF(AY$4="Yes",INDEX(List!$E$2:$CD$173,MATCH('Selection Pane Data'!$B84,List!$E$2:$E$173,0),MATCH('Selection Pane Data'!AY$3,List!$E$2:$CD$2,0)),"")</f>
        <v/>
      </c>
      <c r="AZ84" s="13" t="str">
        <f>IF(AZ$4="Yes",INDEX(List!$E$2:$CD$173,MATCH('Selection Pane Data'!$B84,List!$E$2:$E$173,0),MATCH('Selection Pane Data'!AZ$3,List!$E$2:$CD$2,0)),"")</f>
        <v/>
      </c>
      <c r="BA84" s="13" t="str">
        <f>IF(BA$4="Yes",INDEX(List!$E$2:$CD$173,MATCH('Selection Pane Data'!$B84,List!$E$2:$E$173,0),MATCH('Selection Pane Data'!BA$3,List!$E$2:$CD$2,0)),"")</f>
        <v/>
      </c>
      <c r="BB84" s="13" t="str">
        <f>IF(BB$4="Yes",INDEX(List!$E$2:$CD$173,MATCH('Selection Pane Data'!$B84,List!$E$2:$E$173,0),MATCH('Selection Pane Data'!BB$3,List!$E$2:$CD$2,0)),"")</f>
        <v/>
      </c>
      <c r="BC84" s="13" t="str">
        <f>IF(BC$4="Yes",INDEX(List!$E$2:$CD$173,MATCH('Selection Pane Data'!$B84,List!$E$2:$E$173,0),MATCH('Selection Pane Data'!BC$3,List!$E$2:$CD$2,0)),"")</f>
        <v/>
      </c>
      <c r="BD84" s="13" t="str">
        <f>IF(BD$4="Yes",INDEX(List!$E$2:$CD$173,MATCH('Selection Pane Data'!$B84,List!$E$2:$E$173,0),MATCH('Selection Pane Data'!BD$3,List!$E$2:$CD$2,0)),"")</f>
        <v/>
      </c>
      <c r="BE84" s="13" t="str">
        <f>IF(BE$4="Yes",INDEX(List!$E$2:$CD$173,MATCH('Selection Pane Data'!$B84,List!$E$2:$E$173,0),MATCH('Selection Pane Data'!BE$3,List!$E$2:$CD$2,0)),"")</f>
        <v/>
      </c>
      <c r="BF84" s="13" t="str">
        <f>IF(BF$4="Yes",INDEX(List!$E$2:$CD$173,MATCH('Selection Pane Data'!$B84,List!$E$2:$E$173,0),MATCH('Selection Pane Data'!BF$3,List!$E$2:$CD$2,0)),"")</f>
        <v/>
      </c>
      <c r="BG84" s="13" t="str">
        <f>IF(BG$4="Yes",INDEX(List!$E$2:$CD$173,MATCH('Selection Pane Data'!$B84,List!$E$2:$E$173,0),MATCH('Selection Pane Data'!BG$3,List!$E$2:$CD$2,0)),"")</f>
        <v/>
      </c>
      <c r="BH84" s="13" t="str">
        <f>IF(BH$4="Yes",INDEX(List!$E$2:$CD$173,MATCH('Selection Pane Data'!$B84,List!$E$2:$E$173,0),MATCH('Selection Pane Data'!BH$3,List!$E$2:$CD$2,0)),"")</f>
        <v/>
      </c>
      <c r="BI84" s="13" t="str">
        <f>IF(BI$4="Yes",INDEX(List!$E$2:$CD$173,MATCH('Selection Pane Data'!$B84,List!$E$2:$E$173,0),MATCH('Selection Pane Data'!BI$3,List!$E$2:$CD$2,0)),"")</f>
        <v/>
      </c>
      <c r="BJ84" s="13" t="str">
        <f>IF(BJ$4="Yes",INDEX(List!$E$2:$CD$173,MATCH('Selection Pane Data'!$B84,List!$E$2:$E$173,0),MATCH('Selection Pane Data'!BJ$3,List!$E$2:$CD$2,0)),"")</f>
        <v/>
      </c>
      <c r="BK84" s="13" t="str">
        <f>IF(BK$4="Yes",INDEX(List!$E$2:$CD$173,MATCH('Selection Pane Data'!$B84,List!$E$2:$E$173,0),MATCH('Selection Pane Data'!BK$3,List!$E$2:$CD$2,0)),"")</f>
        <v/>
      </c>
      <c r="BL84" s="13" t="str">
        <f>IF(BL$4="Yes",INDEX(List!$E$2:$CD$173,MATCH('Selection Pane Data'!$B84,List!$E$2:$E$173,0),MATCH('Selection Pane Data'!BL$3,List!$E$2:$CD$2,0)),"")</f>
        <v/>
      </c>
      <c r="BM84" s="13" t="str">
        <f>IF(BM$4="Yes",INDEX(List!$E$2:$CD$173,MATCH('Selection Pane Data'!$B84,List!$E$2:$E$173,0),MATCH('Selection Pane Data'!BM$3,List!$E$2:$CD$2,0)),"")</f>
        <v/>
      </c>
      <c r="BN84" s="13" t="str">
        <f>IF(BN$4="Yes",INDEX(List!$E$2:$CD$173,MATCH('Selection Pane Data'!$B84,List!$E$2:$E$173,0),MATCH('Selection Pane Data'!BN$3,List!$E$2:$CD$2,0)),"")</f>
        <v/>
      </c>
      <c r="BO84" s="13" t="str">
        <f>IF(BO$4="Yes",INDEX(List!$E$2:$CD$173,MATCH('Selection Pane Data'!$B84,List!$E$2:$E$173,0),MATCH('Selection Pane Data'!BO$3,List!$E$2:$CD$2,0)),"")</f>
        <v/>
      </c>
      <c r="BP84" s="13" t="str">
        <f>IF(BP$4="Yes",INDEX(List!$E$2:$CD$173,MATCH('Selection Pane Data'!$B84,List!$E$2:$E$173,0),MATCH('Selection Pane Data'!BP$3,List!$E$2:$CD$2,0)),"")</f>
        <v/>
      </c>
      <c r="BQ84" s="13" t="str">
        <f>IF(BQ$4="Yes",INDEX(List!$E$2:$CD$173,MATCH('Selection Pane Data'!$B84,List!$E$2:$E$173,0),MATCH('Selection Pane Data'!BQ$3,List!$E$2:$CD$2,0)),"")</f>
        <v/>
      </c>
      <c r="BR84" s="13" t="str">
        <f>IF(BR$4="Yes",INDEX(List!$E$2:$CD$173,MATCH('Selection Pane Data'!$B84,List!$E$2:$E$173,0),MATCH('Selection Pane Data'!BR$3,List!$E$2:$CD$2,0)),"")</f>
        <v/>
      </c>
      <c r="BS84" s="13" t="str">
        <f>IF(BS$4="Yes",INDEX(List!$E$2:$CD$173,MATCH('Selection Pane Data'!$B84,List!$E$2:$E$173,0),MATCH('Selection Pane Data'!BS$3,List!$E$2:$CD$2,0)),"")</f>
        <v/>
      </c>
      <c r="BT84" s="13" t="str">
        <f>IF(BT$4="Yes",INDEX(List!$E$2:$CD$173,MATCH('Selection Pane Data'!$B84,List!$E$2:$E$173,0),MATCH('Selection Pane Data'!BT$3,List!$E$2:$CD$2,0)),"")</f>
        <v/>
      </c>
      <c r="BU84" s="13" t="str">
        <f>IF(BU$4="Yes",INDEX(List!$E$2:$CD$173,MATCH('Selection Pane Data'!$B84,List!$E$2:$E$173,0),MATCH('Selection Pane Data'!BU$3,List!$E$2:$CD$2,0)),"")</f>
        <v/>
      </c>
      <c r="BV84" s="13" t="str">
        <f>IF(BV$4="Yes",INDEX(List!$E$2:$CD$173,MATCH('Selection Pane Data'!$B84,List!$E$2:$E$173,0),MATCH('Selection Pane Data'!BV$3,List!$E$2:$CD$2,0)),"")</f>
        <v/>
      </c>
      <c r="BW84" s="13" t="str">
        <f>IF(BW$4="Yes",INDEX(List!$E$2:$CD$173,MATCH('Selection Pane Data'!$B84,List!$E$2:$E$173,0),MATCH('Selection Pane Data'!BW$3,List!$E$2:$CD$2,0)),"")</f>
        <v/>
      </c>
      <c r="BX84" s="13" t="str">
        <f>IF(BX$4="Yes",INDEX(List!$E$2:$CD$173,MATCH('Selection Pane Data'!$B84,List!$E$2:$E$173,0),MATCH('Selection Pane Data'!BX$3,List!$E$2:$CD$2,0)),"")</f>
        <v/>
      </c>
      <c r="BY84" s="13" t="str">
        <f>IF(BY$4="Yes",INDEX(List!$E$2:$CD$173,MATCH('Selection Pane Data'!$B84,List!$E$2:$E$173,0),MATCH('Selection Pane Data'!BY$3,List!$E$2:$CD$2,0)),"")</f>
        <v/>
      </c>
      <c r="BZ84" s="13" t="str">
        <f>IF(BZ$4="Yes",INDEX(List!$E$2:$CD$173,MATCH('Selection Pane Data'!$B84,List!$E$2:$E$173,0),MATCH('Selection Pane Data'!BZ$3,List!$E$2:$CD$2,0)),"")</f>
        <v/>
      </c>
      <c r="CA84" s="13" t="str">
        <f>IF(CA$4="Yes",INDEX(List!$E$2:$CD$173,MATCH('Selection Pane Data'!$B84,List!$E$2:$E$173,0),MATCH('Selection Pane Data'!CA$3,List!$E$2:$CD$2,0)),"")</f>
        <v/>
      </c>
      <c r="CB84" s="13" t="str">
        <f>IF(CB$4="Yes",INDEX(List!$E$2:$CD$173,MATCH('Selection Pane Data'!$B84,List!$E$2:$E$173,0),MATCH('Selection Pane Data'!CB$3,List!$E$2:$CD$2,0)),"")</f>
        <v/>
      </c>
      <c r="CC84" s="13" t="str">
        <f>IF(CC$4="Yes",INDEX(List!$E$2:$CD$173,MATCH('Selection Pane Data'!$B84,List!$E$2:$E$173,0),MATCH('Selection Pane Data'!CC$3,List!$E$2:$CD$2,0)),"")</f>
        <v/>
      </c>
      <c r="CD84" s="13" t="str">
        <f>IF(CD$4="Yes",INDEX(List!$E$2:$CD$173,MATCH('Selection Pane Data'!$B84,List!$E$2:$E$173,0),MATCH('Selection Pane Data'!CD$3,List!$E$2:$CD$2,0)),"")</f>
        <v/>
      </c>
      <c r="CE84" s="13" t="str">
        <f>IF(CE$4="Yes",INDEX(List!$E$2:$CD$173,MATCH('Selection Pane Data'!$B84,List!$E$2:$E$173,0),MATCH('Selection Pane Data'!CE$3,List!$E$2:$CD$2,0)),"")</f>
        <v/>
      </c>
    </row>
    <row r="85" spans="2:83" x14ac:dyDescent="0.35">
      <c r="B85" s="21" t="s">
        <v>372</v>
      </c>
      <c r="C85" s="126" t="str">
        <f>VLOOKUP(B85,List!$E$2:$G$173,2,FALSE)</f>
        <v>N/A</v>
      </c>
      <c r="D85" s="31" t="str">
        <f>List!G83</f>
        <v>Customer Responsibility</v>
      </c>
      <c r="E85" s="31" t="str">
        <f>IF(Placemat!$F$4="All Practices","All Practices",IF(VLOOKUP(B85,Table7[#All],6,FALSE)="No Mapping","New CMMC Practices","Practices with NIST 800-171 Mappings"))</f>
        <v>Practices with NIST 800-171 Mappings</v>
      </c>
      <c r="F85" t="str">
        <f>INDEX('CMMC Levels'!$A$1:$F$172,MATCH('Selection Pane Data'!$C85,'CMMC Levels'!$A$1:$A$172,0),MATCH(Placemat!$F$4,'CMMC Levels'!$A$1:$F$1,0))</f>
        <v>N/A</v>
      </c>
      <c r="G85" s="77" t="str">
        <f>IF((COUNTIF(List!H83:CE83,"P")+COUNTIF(List!H83:CE83,"S"))=0,"N",IF(COUNTIF(H85:CE85,"P"),"P",IF(COUNTIF(H85:CE85,"S"),"S","U")))</f>
        <v>N</v>
      </c>
      <c r="H85" s="13" t="str">
        <f>IF(H$4="Yes",INDEX(List!$E$2:$CD$173,MATCH('Selection Pane Data'!$B85,List!$E$2:$E$173,0),MATCH('Selection Pane Data'!H$3,List!$E$2:$CD$2,0)),"")</f>
        <v/>
      </c>
      <c r="I85" s="13" t="str">
        <f>IF(I$4="Yes",INDEX(List!$E$2:$CD$173,MATCH('Selection Pane Data'!$B85,List!$E$2:$E$173,0),MATCH('Selection Pane Data'!I$3,List!$E$2:$CD$2,0)),"")</f>
        <v/>
      </c>
      <c r="J85" s="13" t="e">
        <f>IF(J$4="Yes",INDEX(List!$E$2:$CD$173,MATCH('Selection Pane Data'!$B85,List!$E$2:$E$173,0),MATCH('Selection Pane Data'!J$3,List!$E$2:$CD$2,0)),"")</f>
        <v>#N/A</v>
      </c>
      <c r="K85" s="13" t="str">
        <f>IF(K$4="Yes",INDEX(List!$E$2:$CD$173,MATCH('Selection Pane Data'!$B85,List!$E$2:$E$173,0),MATCH('Selection Pane Data'!K$3,List!$E$2:$CD$2,0)),"")</f>
        <v/>
      </c>
      <c r="L85" s="13" t="str">
        <f>IF(L$4="Yes",INDEX(List!$E$2:$CD$173,MATCH('Selection Pane Data'!$B85,List!$E$2:$E$173,0),MATCH('Selection Pane Data'!L$3,List!$E$2:$CD$2,0)),"")</f>
        <v/>
      </c>
      <c r="M85" s="13" t="str">
        <f>IF(M$4="Yes",INDEX(List!$E$2:$CD$173,MATCH('Selection Pane Data'!$B85,List!$E$2:$E$173,0),MATCH('Selection Pane Data'!M$3,List!$E$2:$CD$2,0)),"")</f>
        <v/>
      </c>
      <c r="N85" s="13" t="str">
        <f>IF(N$4="Yes",INDEX(List!$E$2:$CD$173,MATCH('Selection Pane Data'!$B85,List!$E$2:$E$173,0),MATCH('Selection Pane Data'!N$3,List!$E$2:$CD$2,0)),"")</f>
        <v/>
      </c>
      <c r="O85" s="13" t="str">
        <f>IF(O$4="Yes",INDEX(List!$E$2:$CD$173,MATCH('Selection Pane Data'!$B85,List!$E$2:$E$173,0),MATCH('Selection Pane Data'!O$3,List!$E$2:$CD$2,0)),"")</f>
        <v/>
      </c>
      <c r="P85" s="13" t="str">
        <f>IF(P$4="Yes",INDEX(List!$E$2:$CD$173,MATCH('Selection Pane Data'!$B85,List!$E$2:$E$173,0),MATCH('Selection Pane Data'!P$3,List!$E$2:$CD$2,0)),"")</f>
        <v/>
      </c>
      <c r="Q85" s="13" t="str">
        <f>IF(Q$4="Yes",INDEX(List!$E$2:$CD$173,MATCH('Selection Pane Data'!$B85,List!$E$2:$E$173,0),MATCH('Selection Pane Data'!Q$3,List!$E$2:$CD$2,0)),"")</f>
        <v/>
      </c>
      <c r="R85" s="13" t="str">
        <f>IF(R$4="Yes",INDEX(List!$E$2:$CD$173,MATCH('Selection Pane Data'!$B85,List!$E$2:$E$173,0),MATCH('Selection Pane Data'!R$3,List!$E$2:$CD$2,0)),"")</f>
        <v/>
      </c>
      <c r="S85" s="13" t="str">
        <f>IF(S$4="Yes",INDEX(List!$E$2:$CD$173,MATCH('Selection Pane Data'!$B85,List!$E$2:$E$173,0),MATCH('Selection Pane Data'!S$3,List!$E$2:$CD$2,0)),"")</f>
        <v/>
      </c>
      <c r="T85" s="13" t="str">
        <f>IF(T$4="Yes",INDEX(List!$E$2:$CD$173,MATCH('Selection Pane Data'!$B85,List!$E$2:$E$173,0),MATCH('Selection Pane Data'!T$3,List!$E$2:$CD$2,0)),"")</f>
        <v/>
      </c>
      <c r="U85" s="13" t="str">
        <f>IF(U$4="Yes",INDEX(List!$E$2:$CD$173,MATCH('Selection Pane Data'!$B85,List!$E$2:$E$173,0),MATCH('Selection Pane Data'!U$3,List!$E$2:$CD$2,0)),"")</f>
        <v/>
      </c>
      <c r="V85" s="13" t="str">
        <f>IF(V$4="Yes",INDEX(List!$E$2:$CD$173,MATCH('Selection Pane Data'!$B85,List!$E$2:$E$173,0),MATCH('Selection Pane Data'!V$3,List!$E$2:$CD$2,0)),"")</f>
        <v/>
      </c>
      <c r="W85" s="13" t="str">
        <f>IF(W$4="Yes",INDEX(List!$E$2:$CD$173,MATCH('Selection Pane Data'!$B85,List!$E$2:$E$173,0),MATCH('Selection Pane Data'!W$3,List!$E$2:$CD$2,0)),"")</f>
        <v/>
      </c>
      <c r="X85" s="13" t="str">
        <f>IF(X$4="Yes",INDEX(List!$E$2:$CD$173,MATCH('Selection Pane Data'!$B85,List!$E$2:$E$173,0),MATCH('Selection Pane Data'!X$3,List!$E$2:$CD$2,0)),"")</f>
        <v/>
      </c>
      <c r="Y85" s="13" t="str">
        <f>IF(Y$4="Yes",INDEX(List!$E$2:$CD$173,MATCH('Selection Pane Data'!$B85,List!$E$2:$E$173,0),MATCH('Selection Pane Data'!Y$3,List!$E$2:$CD$2,0)),"")</f>
        <v/>
      </c>
      <c r="Z85" s="13" t="str">
        <f>IF(Z$4="Yes",INDEX(List!$E$2:$CD$173,MATCH('Selection Pane Data'!$B85,List!$E$2:$E$173,0),MATCH('Selection Pane Data'!Z$3,List!$E$2:$CD$2,0)),"")</f>
        <v/>
      </c>
      <c r="AA85" s="13" t="e">
        <f>IF(AA$4="Yes",INDEX(List!$E$2:$CD$173,MATCH('Selection Pane Data'!$B85,List!$E$2:$E$173,0),MATCH('Selection Pane Data'!AA$3,List!$E$2:$CD$2,0)),"")</f>
        <v>#N/A</v>
      </c>
      <c r="AB85" s="13" t="str">
        <f>IF(AB$4="Yes",INDEX(List!$E$2:$CD$173,MATCH('Selection Pane Data'!$B85,List!$E$2:$E$173,0),MATCH('Selection Pane Data'!AB$3,List!$E$2:$CD$2,0)),"")</f>
        <v/>
      </c>
      <c r="AC85" s="13" t="str">
        <f>IF(AC$4="Yes",INDEX(List!$E$2:$CD$173,MATCH('Selection Pane Data'!$B85,List!$E$2:$E$173,0),MATCH('Selection Pane Data'!AC$3,List!$E$2:$CD$2,0)),"")</f>
        <v/>
      </c>
      <c r="AD85" s="13" t="str">
        <f>IF(AD$4="Yes",INDEX(List!$E$2:$CD$173,MATCH('Selection Pane Data'!$B85,List!$E$2:$E$173,0),MATCH('Selection Pane Data'!AD$3,List!$E$2:$CD$2,0)),"")</f>
        <v/>
      </c>
      <c r="AE85" s="13" t="str">
        <f>IF(AE$4="Yes",INDEX(List!$E$2:$CD$173,MATCH('Selection Pane Data'!$B85,List!$E$2:$E$173,0),MATCH('Selection Pane Data'!AE$3,List!$E$2:$CD$2,0)),"")</f>
        <v/>
      </c>
      <c r="AF85" s="13" t="str">
        <f>IF(AF$4="Yes",INDEX(List!$E$2:$CD$173,MATCH('Selection Pane Data'!$B85,List!$E$2:$E$173,0),MATCH('Selection Pane Data'!AF$3,List!$E$2:$CD$2,0)),"")</f>
        <v/>
      </c>
      <c r="AG85" s="13" t="str">
        <f>IF(AG$4="Yes",INDEX(List!$E$2:$CD$173,MATCH('Selection Pane Data'!$B85,List!$E$2:$E$173,0),MATCH('Selection Pane Data'!AG$3,List!$E$2:$CD$2,0)),"")</f>
        <v/>
      </c>
      <c r="AH85" s="13" t="str">
        <f>IF(AH$4="Yes",INDEX(List!$E$2:$CD$173,MATCH('Selection Pane Data'!$B85,List!$E$2:$E$173,0),MATCH('Selection Pane Data'!AH$3,List!$E$2:$CD$2,0)),"")</f>
        <v/>
      </c>
      <c r="AI85" s="13" t="str">
        <f>IF(AI$4="Yes",INDEX(List!$E$2:$CD$173,MATCH('Selection Pane Data'!$B85,List!$E$2:$E$173,0),MATCH('Selection Pane Data'!AI$3,List!$E$2:$CD$2,0)),"")</f>
        <v/>
      </c>
      <c r="AJ85" s="13" t="str">
        <f>IF(AJ$4="Yes",INDEX(List!$E$2:$CD$173,MATCH('Selection Pane Data'!$B85,List!$E$2:$E$173,0),MATCH('Selection Pane Data'!AJ$3,List!$E$2:$CD$2,0)),"")</f>
        <v/>
      </c>
      <c r="AK85" s="13" t="str">
        <f>IF(AK$4="Yes",INDEX(List!$E$2:$CD$173,MATCH('Selection Pane Data'!$B85,List!$E$2:$E$173,0),MATCH('Selection Pane Data'!AK$3,List!$E$2:$CD$2,0)),"")</f>
        <v/>
      </c>
      <c r="AL85" s="13" t="str">
        <f>IF(AL$4="Yes",INDEX(List!$E$2:$CD$173,MATCH('Selection Pane Data'!$B85,List!$E$2:$E$173,0),MATCH('Selection Pane Data'!AL$3,List!$E$2:$CD$2,0)),"")</f>
        <v/>
      </c>
      <c r="AM85" s="13" t="str">
        <f>IF(AM$4="Yes",INDEX(List!$E$2:$CD$173,MATCH('Selection Pane Data'!$B85,List!$E$2:$E$173,0),MATCH('Selection Pane Data'!AM$3,List!$E$2:$CD$2,0)),"")</f>
        <v/>
      </c>
      <c r="AN85" s="13" t="str">
        <f>IF(AN$4="Yes",INDEX(List!$E$2:$CD$173,MATCH('Selection Pane Data'!$B85,List!$E$2:$E$173,0),MATCH('Selection Pane Data'!AN$3,List!$E$2:$CD$2,0)),"")</f>
        <v/>
      </c>
      <c r="AO85" s="13" t="str">
        <f>IF(AO$4="Yes",INDEX(List!$E$2:$CD$173,MATCH('Selection Pane Data'!$B85,List!$E$2:$E$173,0),MATCH('Selection Pane Data'!AO$3,List!$E$2:$CD$2,0)),"")</f>
        <v/>
      </c>
      <c r="AP85" s="13" t="str">
        <f>IF(AP$4="Yes",INDEX(List!$E$2:$CD$173,MATCH('Selection Pane Data'!$B85,List!$E$2:$E$173,0),MATCH('Selection Pane Data'!AP$3,List!$E$2:$CD$2,0)),"")</f>
        <v/>
      </c>
      <c r="AQ85" s="13" t="str">
        <f>IF(AQ$4="Yes",INDEX(List!$E$2:$CD$173,MATCH('Selection Pane Data'!$B85,List!$E$2:$E$173,0),MATCH('Selection Pane Data'!AQ$3,List!$E$2:$CD$2,0)),"")</f>
        <v/>
      </c>
      <c r="AR85" s="13" t="str">
        <f>IF(AR$4="Yes",INDEX(List!$E$2:$CD$173,MATCH('Selection Pane Data'!$B85,List!$E$2:$E$173,0),MATCH('Selection Pane Data'!AR$3,List!$E$2:$CD$2,0)),"")</f>
        <v/>
      </c>
      <c r="AS85" s="13" t="str">
        <f>IF(AS$4="Yes",INDEX(List!$E$2:$CD$173,MATCH('Selection Pane Data'!$B85,List!$E$2:$E$173,0),MATCH('Selection Pane Data'!AS$3,List!$E$2:$CD$2,0)),"")</f>
        <v/>
      </c>
      <c r="AT85" s="13" t="str">
        <f>IF(AT$4="Yes",INDEX(List!$E$2:$CD$173,MATCH('Selection Pane Data'!$B85,List!$E$2:$E$173,0),MATCH('Selection Pane Data'!AT$3,List!$E$2:$CD$2,0)),"")</f>
        <v/>
      </c>
      <c r="AU85" s="13" t="str">
        <f>IF(AU$4="Yes",INDEX(List!$E$2:$CD$173,MATCH('Selection Pane Data'!$B85,List!$E$2:$E$173,0),MATCH('Selection Pane Data'!AU$3,List!$E$2:$CD$2,0)),"")</f>
        <v/>
      </c>
      <c r="AV85" s="13" t="str">
        <f>IF(AV$4="Yes",INDEX(List!$E$2:$CD$173,MATCH('Selection Pane Data'!$B85,List!$E$2:$E$173,0),MATCH('Selection Pane Data'!AV$3,List!$E$2:$CD$2,0)),"")</f>
        <v/>
      </c>
      <c r="AW85" s="13" t="str">
        <f>IF(AW$4="Yes",INDEX(List!$E$2:$CD$173,MATCH('Selection Pane Data'!$B85,List!$E$2:$E$173,0),MATCH('Selection Pane Data'!AW$3,List!$E$2:$CD$2,0)),"")</f>
        <v/>
      </c>
      <c r="AX85" s="13" t="str">
        <f>IF(AX$4="Yes",INDEX(List!$E$2:$CD$173,MATCH('Selection Pane Data'!$B85,List!$E$2:$E$173,0),MATCH('Selection Pane Data'!AX$3,List!$E$2:$CD$2,0)),"")</f>
        <v/>
      </c>
      <c r="AY85" s="13" t="str">
        <f>IF(AY$4="Yes",INDEX(List!$E$2:$CD$173,MATCH('Selection Pane Data'!$B85,List!$E$2:$E$173,0),MATCH('Selection Pane Data'!AY$3,List!$E$2:$CD$2,0)),"")</f>
        <v/>
      </c>
      <c r="AZ85" s="13" t="str">
        <f>IF(AZ$4="Yes",INDEX(List!$E$2:$CD$173,MATCH('Selection Pane Data'!$B85,List!$E$2:$E$173,0),MATCH('Selection Pane Data'!AZ$3,List!$E$2:$CD$2,0)),"")</f>
        <v/>
      </c>
      <c r="BA85" s="13" t="str">
        <f>IF(BA$4="Yes",INDEX(List!$E$2:$CD$173,MATCH('Selection Pane Data'!$B85,List!$E$2:$E$173,0),MATCH('Selection Pane Data'!BA$3,List!$E$2:$CD$2,0)),"")</f>
        <v/>
      </c>
      <c r="BB85" s="13" t="str">
        <f>IF(BB$4="Yes",INDEX(List!$E$2:$CD$173,MATCH('Selection Pane Data'!$B85,List!$E$2:$E$173,0),MATCH('Selection Pane Data'!BB$3,List!$E$2:$CD$2,0)),"")</f>
        <v/>
      </c>
      <c r="BC85" s="13" t="str">
        <f>IF(BC$4="Yes",INDEX(List!$E$2:$CD$173,MATCH('Selection Pane Data'!$B85,List!$E$2:$E$173,0),MATCH('Selection Pane Data'!BC$3,List!$E$2:$CD$2,0)),"")</f>
        <v/>
      </c>
      <c r="BD85" s="13" t="str">
        <f>IF(BD$4="Yes",INDEX(List!$E$2:$CD$173,MATCH('Selection Pane Data'!$B85,List!$E$2:$E$173,0),MATCH('Selection Pane Data'!BD$3,List!$E$2:$CD$2,0)),"")</f>
        <v/>
      </c>
      <c r="BE85" s="13" t="str">
        <f>IF(BE$4="Yes",INDEX(List!$E$2:$CD$173,MATCH('Selection Pane Data'!$B85,List!$E$2:$E$173,0),MATCH('Selection Pane Data'!BE$3,List!$E$2:$CD$2,0)),"")</f>
        <v/>
      </c>
      <c r="BF85" s="13" t="str">
        <f>IF(BF$4="Yes",INDEX(List!$E$2:$CD$173,MATCH('Selection Pane Data'!$B85,List!$E$2:$E$173,0),MATCH('Selection Pane Data'!BF$3,List!$E$2:$CD$2,0)),"")</f>
        <v/>
      </c>
      <c r="BG85" s="13" t="str">
        <f>IF(BG$4="Yes",INDEX(List!$E$2:$CD$173,MATCH('Selection Pane Data'!$B85,List!$E$2:$E$173,0),MATCH('Selection Pane Data'!BG$3,List!$E$2:$CD$2,0)),"")</f>
        <v/>
      </c>
      <c r="BH85" s="13" t="str">
        <f>IF(BH$4="Yes",INDEX(List!$E$2:$CD$173,MATCH('Selection Pane Data'!$B85,List!$E$2:$E$173,0),MATCH('Selection Pane Data'!BH$3,List!$E$2:$CD$2,0)),"")</f>
        <v/>
      </c>
      <c r="BI85" s="13" t="str">
        <f>IF(BI$4="Yes",INDEX(List!$E$2:$CD$173,MATCH('Selection Pane Data'!$B85,List!$E$2:$E$173,0),MATCH('Selection Pane Data'!BI$3,List!$E$2:$CD$2,0)),"")</f>
        <v/>
      </c>
      <c r="BJ85" s="13" t="str">
        <f>IF(BJ$4="Yes",INDEX(List!$E$2:$CD$173,MATCH('Selection Pane Data'!$B85,List!$E$2:$E$173,0),MATCH('Selection Pane Data'!BJ$3,List!$E$2:$CD$2,0)),"")</f>
        <v/>
      </c>
      <c r="BK85" s="13" t="str">
        <f>IF(BK$4="Yes",INDEX(List!$E$2:$CD$173,MATCH('Selection Pane Data'!$B85,List!$E$2:$E$173,0),MATCH('Selection Pane Data'!BK$3,List!$E$2:$CD$2,0)),"")</f>
        <v/>
      </c>
      <c r="BL85" s="13" t="str">
        <f>IF(BL$4="Yes",INDEX(List!$E$2:$CD$173,MATCH('Selection Pane Data'!$B85,List!$E$2:$E$173,0),MATCH('Selection Pane Data'!BL$3,List!$E$2:$CD$2,0)),"")</f>
        <v/>
      </c>
      <c r="BM85" s="13" t="str">
        <f>IF(BM$4="Yes",INDEX(List!$E$2:$CD$173,MATCH('Selection Pane Data'!$B85,List!$E$2:$E$173,0),MATCH('Selection Pane Data'!BM$3,List!$E$2:$CD$2,0)),"")</f>
        <v/>
      </c>
      <c r="BN85" s="13" t="str">
        <f>IF(BN$4="Yes",INDEX(List!$E$2:$CD$173,MATCH('Selection Pane Data'!$B85,List!$E$2:$E$173,0),MATCH('Selection Pane Data'!BN$3,List!$E$2:$CD$2,0)),"")</f>
        <v/>
      </c>
      <c r="BO85" s="13" t="str">
        <f>IF(BO$4="Yes",INDEX(List!$E$2:$CD$173,MATCH('Selection Pane Data'!$B85,List!$E$2:$E$173,0),MATCH('Selection Pane Data'!BO$3,List!$E$2:$CD$2,0)),"")</f>
        <v/>
      </c>
      <c r="BP85" s="13" t="str">
        <f>IF(BP$4="Yes",INDEX(List!$E$2:$CD$173,MATCH('Selection Pane Data'!$B85,List!$E$2:$E$173,0),MATCH('Selection Pane Data'!BP$3,List!$E$2:$CD$2,0)),"")</f>
        <v/>
      </c>
      <c r="BQ85" s="13" t="str">
        <f>IF(BQ$4="Yes",INDEX(List!$E$2:$CD$173,MATCH('Selection Pane Data'!$B85,List!$E$2:$E$173,0),MATCH('Selection Pane Data'!BQ$3,List!$E$2:$CD$2,0)),"")</f>
        <v/>
      </c>
      <c r="BR85" s="13" t="str">
        <f>IF(BR$4="Yes",INDEX(List!$E$2:$CD$173,MATCH('Selection Pane Data'!$B85,List!$E$2:$E$173,0),MATCH('Selection Pane Data'!BR$3,List!$E$2:$CD$2,0)),"")</f>
        <v/>
      </c>
      <c r="BS85" s="13" t="str">
        <f>IF(BS$4="Yes",INDEX(List!$E$2:$CD$173,MATCH('Selection Pane Data'!$B85,List!$E$2:$E$173,0),MATCH('Selection Pane Data'!BS$3,List!$E$2:$CD$2,0)),"")</f>
        <v/>
      </c>
      <c r="BT85" s="13" t="str">
        <f>IF(BT$4="Yes",INDEX(List!$E$2:$CD$173,MATCH('Selection Pane Data'!$B85,List!$E$2:$E$173,0),MATCH('Selection Pane Data'!BT$3,List!$E$2:$CD$2,0)),"")</f>
        <v/>
      </c>
      <c r="BU85" s="13" t="str">
        <f>IF(BU$4="Yes",INDEX(List!$E$2:$CD$173,MATCH('Selection Pane Data'!$B85,List!$E$2:$E$173,0),MATCH('Selection Pane Data'!BU$3,List!$E$2:$CD$2,0)),"")</f>
        <v/>
      </c>
      <c r="BV85" s="13" t="str">
        <f>IF(BV$4="Yes",INDEX(List!$E$2:$CD$173,MATCH('Selection Pane Data'!$B85,List!$E$2:$E$173,0),MATCH('Selection Pane Data'!BV$3,List!$E$2:$CD$2,0)),"")</f>
        <v/>
      </c>
      <c r="BW85" s="13" t="str">
        <f>IF(BW$4="Yes",INDEX(List!$E$2:$CD$173,MATCH('Selection Pane Data'!$B85,List!$E$2:$E$173,0),MATCH('Selection Pane Data'!BW$3,List!$E$2:$CD$2,0)),"")</f>
        <v/>
      </c>
      <c r="BX85" s="13" t="str">
        <f>IF(BX$4="Yes",INDEX(List!$E$2:$CD$173,MATCH('Selection Pane Data'!$B85,List!$E$2:$E$173,0),MATCH('Selection Pane Data'!BX$3,List!$E$2:$CD$2,0)),"")</f>
        <v/>
      </c>
      <c r="BY85" s="13" t="str">
        <f>IF(BY$4="Yes",INDEX(List!$E$2:$CD$173,MATCH('Selection Pane Data'!$B85,List!$E$2:$E$173,0),MATCH('Selection Pane Data'!BY$3,List!$E$2:$CD$2,0)),"")</f>
        <v/>
      </c>
      <c r="BZ85" s="13" t="str">
        <f>IF(BZ$4="Yes",INDEX(List!$E$2:$CD$173,MATCH('Selection Pane Data'!$B85,List!$E$2:$E$173,0),MATCH('Selection Pane Data'!BZ$3,List!$E$2:$CD$2,0)),"")</f>
        <v/>
      </c>
      <c r="CA85" s="13" t="str">
        <f>IF(CA$4="Yes",INDEX(List!$E$2:$CD$173,MATCH('Selection Pane Data'!$B85,List!$E$2:$E$173,0),MATCH('Selection Pane Data'!CA$3,List!$E$2:$CD$2,0)),"")</f>
        <v/>
      </c>
      <c r="CB85" s="13" t="str">
        <f>IF(CB$4="Yes",INDEX(List!$E$2:$CD$173,MATCH('Selection Pane Data'!$B85,List!$E$2:$E$173,0),MATCH('Selection Pane Data'!CB$3,List!$E$2:$CD$2,0)),"")</f>
        <v/>
      </c>
      <c r="CC85" s="13" t="str">
        <f>IF(CC$4="Yes",INDEX(List!$E$2:$CD$173,MATCH('Selection Pane Data'!$B85,List!$E$2:$E$173,0),MATCH('Selection Pane Data'!CC$3,List!$E$2:$CD$2,0)),"")</f>
        <v/>
      </c>
      <c r="CD85" s="13" t="str">
        <f>IF(CD$4="Yes",INDEX(List!$E$2:$CD$173,MATCH('Selection Pane Data'!$B85,List!$E$2:$E$173,0),MATCH('Selection Pane Data'!CD$3,List!$E$2:$CD$2,0)),"")</f>
        <v/>
      </c>
      <c r="CE85" s="13" t="str">
        <f>IF(CE$4="Yes",INDEX(List!$E$2:$CD$173,MATCH('Selection Pane Data'!$B85,List!$E$2:$E$173,0),MATCH('Selection Pane Data'!CE$3,List!$E$2:$CD$2,0)),"")</f>
        <v/>
      </c>
    </row>
    <row r="86" spans="2:83" x14ac:dyDescent="0.35">
      <c r="B86" s="21" t="s">
        <v>373</v>
      </c>
      <c r="C86" s="126" t="str">
        <f>VLOOKUP(B86,List!$E$2:$G$173,2,FALSE)</f>
        <v>N/A</v>
      </c>
      <c r="D86" s="31" t="str">
        <f>List!G84</f>
        <v>Shared Coverage</v>
      </c>
      <c r="E86" s="31" t="str">
        <f>IF(Placemat!$F$4="All Practices","All Practices",IF(VLOOKUP(B86,Table7[#All],6,FALSE)="No Mapping","New CMMC Practices","Practices with NIST 800-171 Mappings"))</f>
        <v>Practices with NIST 800-171 Mappings</v>
      </c>
      <c r="F86" t="str">
        <f>INDEX('CMMC Levels'!$A$1:$F$172,MATCH('Selection Pane Data'!$C86,'CMMC Levels'!$A$1:$A$172,0),MATCH(Placemat!$F$4,'CMMC Levels'!$A$1:$F$1,0))</f>
        <v>N/A</v>
      </c>
      <c r="G86" s="77" t="str">
        <f>IF((COUNTIF(List!H84:CE84,"P")+COUNTIF(List!H84:CE84,"S"))=0,"N",IF(COUNTIF(H86:CE86,"P"),"P",IF(COUNTIF(H86:CE86,"S"),"S","U")))</f>
        <v>N</v>
      </c>
      <c r="H86" s="13" t="str">
        <f>IF(H$4="Yes",INDEX(List!$E$2:$CD$173,MATCH('Selection Pane Data'!$B86,List!$E$2:$E$173,0),MATCH('Selection Pane Data'!H$3,List!$E$2:$CD$2,0)),"")</f>
        <v/>
      </c>
      <c r="I86" s="13" t="str">
        <f>IF(I$4="Yes",INDEX(List!$E$2:$CD$173,MATCH('Selection Pane Data'!$B86,List!$E$2:$E$173,0),MATCH('Selection Pane Data'!I$3,List!$E$2:$CD$2,0)),"")</f>
        <v/>
      </c>
      <c r="J86" s="13" t="e">
        <f>IF(J$4="Yes",INDEX(List!$E$2:$CD$173,MATCH('Selection Pane Data'!$B86,List!$E$2:$E$173,0),MATCH('Selection Pane Data'!J$3,List!$E$2:$CD$2,0)),"")</f>
        <v>#N/A</v>
      </c>
      <c r="K86" s="13" t="str">
        <f>IF(K$4="Yes",INDEX(List!$E$2:$CD$173,MATCH('Selection Pane Data'!$B86,List!$E$2:$E$173,0),MATCH('Selection Pane Data'!K$3,List!$E$2:$CD$2,0)),"")</f>
        <v/>
      </c>
      <c r="L86" s="13" t="str">
        <f>IF(L$4="Yes",INDEX(List!$E$2:$CD$173,MATCH('Selection Pane Data'!$B86,List!$E$2:$E$173,0),MATCH('Selection Pane Data'!L$3,List!$E$2:$CD$2,0)),"")</f>
        <v/>
      </c>
      <c r="M86" s="13" t="str">
        <f>IF(M$4="Yes",INDEX(List!$E$2:$CD$173,MATCH('Selection Pane Data'!$B86,List!$E$2:$E$173,0),MATCH('Selection Pane Data'!M$3,List!$E$2:$CD$2,0)),"")</f>
        <v/>
      </c>
      <c r="N86" s="13" t="str">
        <f>IF(N$4="Yes",INDEX(List!$E$2:$CD$173,MATCH('Selection Pane Data'!$B86,List!$E$2:$E$173,0),MATCH('Selection Pane Data'!N$3,List!$E$2:$CD$2,0)),"")</f>
        <v/>
      </c>
      <c r="O86" s="13" t="str">
        <f>IF(O$4="Yes",INDEX(List!$E$2:$CD$173,MATCH('Selection Pane Data'!$B86,List!$E$2:$E$173,0),MATCH('Selection Pane Data'!O$3,List!$E$2:$CD$2,0)),"")</f>
        <v/>
      </c>
      <c r="P86" s="13" t="str">
        <f>IF(P$4="Yes",INDEX(List!$E$2:$CD$173,MATCH('Selection Pane Data'!$B86,List!$E$2:$E$173,0),MATCH('Selection Pane Data'!P$3,List!$E$2:$CD$2,0)),"")</f>
        <v/>
      </c>
      <c r="Q86" s="13" t="str">
        <f>IF(Q$4="Yes",INDEX(List!$E$2:$CD$173,MATCH('Selection Pane Data'!$B86,List!$E$2:$E$173,0),MATCH('Selection Pane Data'!Q$3,List!$E$2:$CD$2,0)),"")</f>
        <v/>
      </c>
      <c r="R86" s="13" t="str">
        <f>IF(R$4="Yes",INDEX(List!$E$2:$CD$173,MATCH('Selection Pane Data'!$B86,List!$E$2:$E$173,0),MATCH('Selection Pane Data'!R$3,List!$E$2:$CD$2,0)),"")</f>
        <v/>
      </c>
      <c r="S86" s="13" t="str">
        <f>IF(S$4="Yes",INDEX(List!$E$2:$CD$173,MATCH('Selection Pane Data'!$B86,List!$E$2:$E$173,0),MATCH('Selection Pane Data'!S$3,List!$E$2:$CD$2,0)),"")</f>
        <v/>
      </c>
      <c r="T86" s="13" t="str">
        <f>IF(T$4="Yes",INDEX(List!$E$2:$CD$173,MATCH('Selection Pane Data'!$B86,List!$E$2:$E$173,0),MATCH('Selection Pane Data'!T$3,List!$E$2:$CD$2,0)),"")</f>
        <v/>
      </c>
      <c r="U86" s="13" t="str">
        <f>IF(U$4="Yes",INDEX(List!$E$2:$CD$173,MATCH('Selection Pane Data'!$B86,List!$E$2:$E$173,0),MATCH('Selection Pane Data'!U$3,List!$E$2:$CD$2,0)),"")</f>
        <v/>
      </c>
      <c r="V86" s="13" t="str">
        <f>IF(V$4="Yes",INDEX(List!$E$2:$CD$173,MATCH('Selection Pane Data'!$B86,List!$E$2:$E$173,0),MATCH('Selection Pane Data'!V$3,List!$E$2:$CD$2,0)),"")</f>
        <v/>
      </c>
      <c r="W86" s="13" t="str">
        <f>IF(W$4="Yes",INDEX(List!$E$2:$CD$173,MATCH('Selection Pane Data'!$B86,List!$E$2:$E$173,0),MATCH('Selection Pane Data'!W$3,List!$E$2:$CD$2,0)),"")</f>
        <v/>
      </c>
      <c r="X86" s="13" t="str">
        <f>IF(X$4="Yes",INDEX(List!$E$2:$CD$173,MATCH('Selection Pane Data'!$B86,List!$E$2:$E$173,0),MATCH('Selection Pane Data'!X$3,List!$E$2:$CD$2,0)),"")</f>
        <v/>
      </c>
      <c r="Y86" s="13" t="str">
        <f>IF(Y$4="Yes",INDEX(List!$E$2:$CD$173,MATCH('Selection Pane Data'!$B86,List!$E$2:$E$173,0),MATCH('Selection Pane Data'!Y$3,List!$E$2:$CD$2,0)),"")</f>
        <v/>
      </c>
      <c r="Z86" s="13" t="str">
        <f>IF(Z$4="Yes",INDEX(List!$E$2:$CD$173,MATCH('Selection Pane Data'!$B86,List!$E$2:$E$173,0),MATCH('Selection Pane Data'!Z$3,List!$E$2:$CD$2,0)),"")</f>
        <v/>
      </c>
      <c r="AA86" s="13" t="e">
        <f>IF(AA$4="Yes",INDEX(List!$E$2:$CD$173,MATCH('Selection Pane Data'!$B86,List!$E$2:$E$173,0),MATCH('Selection Pane Data'!AA$3,List!$E$2:$CD$2,0)),"")</f>
        <v>#N/A</v>
      </c>
      <c r="AB86" s="13" t="str">
        <f>IF(AB$4="Yes",INDEX(List!$E$2:$CD$173,MATCH('Selection Pane Data'!$B86,List!$E$2:$E$173,0),MATCH('Selection Pane Data'!AB$3,List!$E$2:$CD$2,0)),"")</f>
        <v/>
      </c>
      <c r="AC86" s="13" t="str">
        <f>IF(AC$4="Yes",INDEX(List!$E$2:$CD$173,MATCH('Selection Pane Data'!$B86,List!$E$2:$E$173,0),MATCH('Selection Pane Data'!AC$3,List!$E$2:$CD$2,0)),"")</f>
        <v/>
      </c>
      <c r="AD86" s="13" t="str">
        <f>IF(AD$4="Yes",INDEX(List!$E$2:$CD$173,MATCH('Selection Pane Data'!$B86,List!$E$2:$E$173,0),MATCH('Selection Pane Data'!AD$3,List!$E$2:$CD$2,0)),"")</f>
        <v/>
      </c>
      <c r="AE86" s="13" t="str">
        <f>IF(AE$4="Yes",INDEX(List!$E$2:$CD$173,MATCH('Selection Pane Data'!$B86,List!$E$2:$E$173,0),MATCH('Selection Pane Data'!AE$3,List!$E$2:$CD$2,0)),"")</f>
        <v/>
      </c>
      <c r="AF86" s="13" t="str">
        <f>IF(AF$4="Yes",INDEX(List!$E$2:$CD$173,MATCH('Selection Pane Data'!$B86,List!$E$2:$E$173,0),MATCH('Selection Pane Data'!AF$3,List!$E$2:$CD$2,0)),"")</f>
        <v/>
      </c>
      <c r="AG86" s="13" t="str">
        <f>IF(AG$4="Yes",INDEX(List!$E$2:$CD$173,MATCH('Selection Pane Data'!$B86,List!$E$2:$E$173,0),MATCH('Selection Pane Data'!AG$3,List!$E$2:$CD$2,0)),"")</f>
        <v/>
      </c>
      <c r="AH86" s="13" t="str">
        <f>IF(AH$4="Yes",INDEX(List!$E$2:$CD$173,MATCH('Selection Pane Data'!$B86,List!$E$2:$E$173,0),MATCH('Selection Pane Data'!AH$3,List!$E$2:$CD$2,0)),"")</f>
        <v/>
      </c>
      <c r="AI86" s="13" t="str">
        <f>IF(AI$4="Yes",INDEX(List!$E$2:$CD$173,MATCH('Selection Pane Data'!$B86,List!$E$2:$E$173,0),MATCH('Selection Pane Data'!AI$3,List!$E$2:$CD$2,0)),"")</f>
        <v/>
      </c>
      <c r="AJ86" s="13" t="str">
        <f>IF(AJ$4="Yes",INDEX(List!$E$2:$CD$173,MATCH('Selection Pane Data'!$B86,List!$E$2:$E$173,0),MATCH('Selection Pane Data'!AJ$3,List!$E$2:$CD$2,0)),"")</f>
        <v/>
      </c>
      <c r="AK86" s="13" t="str">
        <f>IF(AK$4="Yes",INDEX(List!$E$2:$CD$173,MATCH('Selection Pane Data'!$B86,List!$E$2:$E$173,0),MATCH('Selection Pane Data'!AK$3,List!$E$2:$CD$2,0)),"")</f>
        <v/>
      </c>
      <c r="AL86" s="13" t="str">
        <f>IF(AL$4="Yes",INDEX(List!$E$2:$CD$173,MATCH('Selection Pane Data'!$B86,List!$E$2:$E$173,0),MATCH('Selection Pane Data'!AL$3,List!$E$2:$CD$2,0)),"")</f>
        <v/>
      </c>
      <c r="AM86" s="13" t="str">
        <f>IF(AM$4="Yes",INDEX(List!$E$2:$CD$173,MATCH('Selection Pane Data'!$B86,List!$E$2:$E$173,0),MATCH('Selection Pane Data'!AM$3,List!$E$2:$CD$2,0)),"")</f>
        <v/>
      </c>
      <c r="AN86" s="13" t="str">
        <f>IF(AN$4="Yes",INDEX(List!$E$2:$CD$173,MATCH('Selection Pane Data'!$B86,List!$E$2:$E$173,0),MATCH('Selection Pane Data'!AN$3,List!$E$2:$CD$2,0)),"")</f>
        <v/>
      </c>
      <c r="AO86" s="13" t="str">
        <f>IF(AO$4="Yes",INDEX(List!$E$2:$CD$173,MATCH('Selection Pane Data'!$B86,List!$E$2:$E$173,0),MATCH('Selection Pane Data'!AO$3,List!$E$2:$CD$2,0)),"")</f>
        <v/>
      </c>
      <c r="AP86" s="13" t="str">
        <f>IF(AP$4="Yes",INDEX(List!$E$2:$CD$173,MATCH('Selection Pane Data'!$B86,List!$E$2:$E$173,0),MATCH('Selection Pane Data'!AP$3,List!$E$2:$CD$2,0)),"")</f>
        <v/>
      </c>
      <c r="AQ86" s="13" t="str">
        <f>IF(AQ$4="Yes",INDEX(List!$E$2:$CD$173,MATCH('Selection Pane Data'!$B86,List!$E$2:$E$173,0),MATCH('Selection Pane Data'!AQ$3,List!$E$2:$CD$2,0)),"")</f>
        <v/>
      </c>
      <c r="AR86" s="13" t="str">
        <f>IF(AR$4="Yes",INDEX(List!$E$2:$CD$173,MATCH('Selection Pane Data'!$B86,List!$E$2:$E$173,0),MATCH('Selection Pane Data'!AR$3,List!$E$2:$CD$2,0)),"")</f>
        <v/>
      </c>
      <c r="AS86" s="13" t="str">
        <f>IF(AS$4="Yes",INDEX(List!$E$2:$CD$173,MATCH('Selection Pane Data'!$B86,List!$E$2:$E$173,0),MATCH('Selection Pane Data'!AS$3,List!$E$2:$CD$2,0)),"")</f>
        <v/>
      </c>
      <c r="AT86" s="13" t="str">
        <f>IF(AT$4="Yes",INDEX(List!$E$2:$CD$173,MATCH('Selection Pane Data'!$B86,List!$E$2:$E$173,0),MATCH('Selection Pane Data'!AT$3,List!$E$2:$CD$2,0)),"")</f>
        <v/>
      </c>
      <c r="AU86" s="13" t="str">
        <f>IF(AU$4="Yes",INDEX(List!$E$2:$CD$173,MATCH('Selection Pane Data'!$B86,List!$E$2:$E$173,0),MATCH('Selection Pane Data'!AU$3,List!$E$2:$CD$2,0)),"")</f>
        <v/>
      </c>
      <c r="AV86" s="13" t="str">
        <f>IF(AV$4="Yes",INDEX(List!$E$2:$CD$173,MATCH('Selection Pane Data'!$B86,List!$E$2:$E$173,0),MATCH('Selection Pane Data'!AV$3,List!$E$2:$CD$2,0)),"")</f>
        <v/>
      </c>
      <c r="AW86" s="13" t="str">
        <f>IF(AW$4="Yes",INDEX(List!$E$2:$CD$173,MATCH('Selection Pane Data'!$B86,List!$E$2:$E$173,0),MATCH('Selection Pane Data'!AW$3,List!$E$2:$CD$2,0)),"")</f>
        <v/>
      </c>
      <c r="AX86" s="13" t="str">
        <f>IF(AX$4="Yes",INDEX(List!$E$2:$CD$173,MATCH('Selection Pane Data'!$B86,List!$E$2:$E$173,0),MATCH('Selection Pane Data'!AX$3,List!$E$2:$CD$2,0)),"")</f>
        <v/>
      </c>
      <c r="AY86" s="13" t="str">
        <f>IF(AY$4="Yes",INDEX(List!$E$2:$CD$173,MATCH('Selection Pane Data'!$B86,List!$E$2:$E$173,0),MATCH('Selection Pane Data'!AY$3,List!$E$2:$CD$2,0)),"")</f>
        <v/>
      </c>
      <c r="AZ86" s="13" t="str">
        <f>IF(AZ$4="Yes",INDEX(List!$E$2:$CD$173,MATCH('Selection Pane Data'!$B86,List!$E$2:$E$173,0),MATCH('Selection Pane Data'!AZ$3,List!$E$2:$CD$2,0)),"")</f>
        <v/>
      </c>
      <c r="BA86" s="13" t="str">
        <f>IF(BA$4="Yes",INDEX(List!$E$2:$CD$173,MATCH('Selection Pane Data'!$B86,List!$E$2:$E$173,0),MATCH('Selection Pane Data'!BA$3,List!$E$2:$CD$2,0)),"")</f>
        <v/>
      </c>
      <c r="BB86" s="13" t="str">
        <f>IF(BB$4="Yes",INDEX(List!$E$2:$CD$173,MATCH('Selection Pane Data'!$B86,List!$E$2:$E$173,0),MATCH('Selection Pane Data'!BB$3,List!$E$2:$CD$2,0)),"")</f>
        <v/>
      </c>
      <c r="BC86" s="13" t="str">
        <f>IF(BC$4="Yes",INDEX(List!$E$2:$CD$173,MATCH('Selection Pane Data'!$B86,List!$E$2:$E$173,0),MATCH('Selection Pane Data'!BC$3,List!$E$2:$CD$2,0)),"")</f>
        <v/>
      </c>
      <c r="BD86" s="13" t="str">
        <f>IF(BD$4="Yes",INDEX(List!$E$2:$CD$173,MATCH('Selection Pane Data'!$B86,List!$E$2:$E$173,0),MATCH('Selection Pane Data'!BD$3,List!$E$2:$CD$2,0)),"")</f>
        <v/>
      </c>
      <c r="BE86" s="13" t="str">
        <f>IF(BE$4="Yes",INDEX(List!$E$2:$CD$173,MATCH('Selection Pane Data'!$B86,List!$E$2:$E$173,0),MATCH('Selection Pane Data'!BE$3,List!$E$2:$CD$2,0)),"")</f>
        <v/>
      </c>
      <c r="BF86" s="13" t="str">
        <f>IF(BF$4="Yes",INDEX(List!$E$2:$CD$173,MATCH('Selection Pane Data'!$B86,List!$E$2:$E$173,0),MATCH('Selection Pane Data'!BF$3,List!$E$2:$CD$2,0)),"")</f>
        <v/>
      </c>
      <c r="BG86" s="13" t="str">
        <f>IF(BG$4="Yes",INDEX(List!$E$2:$CD$173,MATCH('Selection Pane Data'!$B86,List!$E$2:$E$173,0),MATCH('Selection Pane Data'!BG$3,List!$E$2:$CD$2,0)),"")</f>
        <v/>
      </c>
      <c r="BH86" s="13" t="str">
        <f>IF(BH$4="Yes",INDEX(List!$E$2:$CD$173,MATCH('Selection Pane Data'!$B86,List!$E$2:$E$173,0),MATCH('Selection Pane Data'!BH$3,List!$E$2:$CD$2,0)),"")</f>
        <v/>
      </c>
      <c r="BI86" s="13" t="str">
        <f>IF(BI$4="Yes",INDEX(List!$E$2:$CD$173,MATCH('Selection Pane Data'!$B86,List!$E$2:$E$173,0),MATCH('Selection Pane Data'!BI$3,List!$E$2:$CD$2,0)),"")</f>
        <v/>
      </c>
      <c r="BJ86" s="13" t="str">
        <f>IF(BJ$4="Yes",INDEX(List!$E$2:$CD$173,MATCH('Selection Pane Data'!$B86,List!$E$2:$E$173,0),MATCH('Selection Pane Data'!BJ$3,List!$E$2:$CD$2,0)),"")</f>
        <v/>
      </c>
      <c r="BK86" s="13" t="str">
        <f>IF(BK$4="Yes",INDEX(List!$E$2:$CD$173,MATCH('Selection Pane Data'!$B86,List!$E$2:$E$173,0),MATCH('Selection Pane Data'!BK$3,List!$E$2:$CD$2,0)),"")</f>
        <v/>
      </c>
      <c r="BL86" s="13" t="str">
        <f>IF(BL$4="Yes",INDEX(List!$E$2:$CD$173,MATCH('Selection Pane Data'!$B86,List!$E$2:$E$173,0),MATCH('Selection Pane Data'!BL$3,List!$E$2:$CD$2,0)),"")</f>
        <v/>
      </c>
      <c r="BM86" s="13" t="str">
        <f>IF(BM$4="Yes",INDEX(List!$E$2:$CD$173,MATCH('Selection Pane Data'!$B86,List!$E$2:$E$173,0),MATCH('Selection Pane Data'!BM$3,List!$E$2:$CD$2,0)),"")</f>
        <v/>
      </c>
      <c r="BN86" s="13" t="str">
        <f>IF(BN$4="Yes",INDEX(List!$E$2:$CD$173,MATCH('Selection Pane Data'!$B86,List!$E$2:$E$173,0),MATCH('Selection Pane Data'!BN$3,List!$E$2:$CD$2,0)),"")</f>
        <v/>
      </c>
      <c r="BO86" s="13" t="str">
        <f>IF(BO$4="Yes",INDEX(List!$E$2:$CD$173,MATCH('Selection Pane Data'!$B86,List!$E$2:$E$173,0),MATCH('Selection Pane Data'!BO$3,List!$E$2:$CD$2,0)),"")</f>
        <v/>
      </c>
      <c r="BP86" s="13" t="str">
        <f>IF(BP$4="Yes",INDEX(List!$E$2:$CD$173,MATCH('Selection Pane Data'!$B86,List!$E$2:$E$173,0),MATCH('Selection Pane Data'!BP$3,List!$E$2:$CD$2,0)),"")</f>
        <v/>
      </c>
      <c r="BQ86" s="13" t="str">
        <f>IF(BQ$4="Yes",INDEX(List!$E$2:$CD$173,MATCH('Selection Pane Data'!$B86,List!$E$2:$E$173,0),MATCH('Selection Pane Data'!BQ$3,List!$E$2:$CD$2,0)),"")</f>
        <v/>
      </c>
      <c r="BR86" s="13" t="str">
        <f>IF(BR$4="Yes",INDEX(List!$E$2:$CD$173,MATCH('Selection Pane Data'!$B86,List!$E$2:$E$173,0),MATCH('Selection Pane Data'!BR$3,List!$E$2:$CD$2,0)),"")</f>
        <v/>
      </c>
      <c r="BS86" s="13" t="str">
        <f>IF(BS$4="Yes",INDEX(List!$E$2:$CD$173,MATCH('Selection Pane Data'!$B86,List!$E$2:$E$173,0),MATCH('Selection Pane Data'!BS$3,List!$E$2:$CD$2,0)),"")</f>
        <v/>
      </c>
      <c r="BT86" s="13" t="str">
        <f>IF(BT$4="Yes",INDEX(List!$E$2:$CD$173,MATCH('Selection Pane Data'!$B86,List!$E$2:$E$173,0),MATCH('Selection Pane Data'!BT$3,List!$E$2:$CD$2,0)),"")</f>
        <v/>
      </c>
      <c r="BU86" s="13" t="str">
        <f>IF(BU$4="Yes",INDEX(List!$E$2:$CD$173,MATCH('Selection Pane Data'!$B86,List!$E$2:$E$173,0),MATCH('Selection Pane Data'!BU$3,List!$E$2:$CD$2,0)),"")</f>
        <v/>
      </c>
      <c r="BV86" s="13" t="str">
        <f>IF(BV$4="Yes",INDEX(List!$E$2:$CD$173,MATCH('Selection Pane Data'!$B86,List!$E$2:$E$173,0),MATCH('Selection Pane Data'!BV$3,List!$E$2:$CD$2,0)),"")</f>
        <v/>
      </c>
      <c r="BW86" s="13" t="str">
        <f>IF(BW$4="Yes",INDEX(List!$E$2:$CD$173,MATCH('Selection Pane Data'!$B86,List!$E$2:$E$173,0),MATCH('Selection Pane Data'!BW$3,List!$E$2:$CD$2,0)),"")</f>
        <v/>
      </c>
      <c r="BX86" s="13" t="str">
        <f>IF(BX$4="Yes",INDEX(List!$E$2:$CD$173,MATCH('Selection Pane Data'!$B86,List!$E$2:$E$173,0),MATCH('Selection Pane Data'!BX$3,List!$E$2:$CD$2,0)),"")</f>
        <v/>
      </c>
      <c r="BY86" s="13" t="str">
        <f>IF(BY$4="Yes",INDEX(List!$E$2:$CD$173,MATCH('Selection Pane Data'!$B86,List!$E$2:$E$173,0),MATCH('Selection Pane Data'!BY$3,List!$E$2:$CD$2,0)),"")</f>
        <v/>
      </c>
      <c r="BZ86" s="13" t="str">
        <f>IF(BZ$4="Yes",INDEX(List!$E$2:$CD$173,MATCH('Selection Pane Data'!$B86,List!$E$2:$E$173,0),MATCH('Selection Pane Data'!BZ$3,List!$E$2:$CD$2,0)),"")</f>
        <v/>
      </c>
      <c r="CA86" s="13" t="str">
        <f>IF(CA$4="Yes",INDEX(List!$E$2:$CD$173,MATCH('Selection Pane Data'!$B86,List!$E$2:$E$173,0),MATCH('Selection Pane Data'!CA$3,List!$E$2:$CD$2,0)),"")</f>
        <v/>
      </c>
      <c r="CB86" s="13" t="str">
        <f>IF(CB$4="Yes",INDEX(List!$E$2:$CD$173,MATCH('Selection Pane Data'!$B86,List!$E$2:$E$173,0),MATCH('Selection Pane Data'!CB$3,List!$E$2:$CD$2,0)),"")</f>
        <v/>
      </c>
      <c r="CC86" s="13" t="str">
        <f>IF(CC$4="Yes",INDEX(List!$E$2:$CD$173,MATCH('Selection Pane Data'!$B86,List!$E$2:$E$173,0),MATCH('Selection Pane Data'!CC$3,List!$E$2:$CD$2,0)),"")</f>
        <v/>
      </c>
      <c r="CD86" s="13" t="str">
        <f>IF(CD$4="Yes",INDEX(List!$E$2:$CD$173,MATCH('Selection Pane Data'!$B86,List!$E$2:$E$173,0),MATCH('Selection Pane Data'!CD$3,List!$E$2:$CD$2,0)),"")</f>
        <v/>
      </c>
      <c r="CE86" s="13" t="str">
        <f>IF(CE$4="Yes",INDEX(List!$E$2:$CD$173,MATCH('Selection Pane Data'!$B86,List!$E$2:$E$173,0),MATCH('Selection Pane Data'!CE$3,List!$E$2:$CD$2,0)),"")</f>
        <v/>
      </c>
    </row>
    <row r="87" spans="2:83" x14ac:dyDescent="0.35">
      <c r="B87" s="21" t="s">
        <v>374</v>
      </c>
      <c r="C87" s="126" t="str">
        <f>VLOOKUP(B87,List!$E$2:$G$173,2,FALSE)</f>
        <v>IR.L2-3.6.2</v>
      </c>
      <c r="D87" s="31" t="str">
        <f>List!G85</f>
        <v>Shared Coverage</v>
      </c>
      <c r="E87" s="31" t="str">
        <f>IF(Placemat!$F$4="All Practices","All Practices",IF(VLOOKUP(B87,Table7[#All],6,FALSE)="No Mapping","New CMMC Practices","Practices with NIST 800-171 Mappings"))</f>
        <v>Practices with NIST 800-171 Mappings</v>
      </c>
      <c r="F87" t="str">
        <f>INDEX('CMMC Levels'!$A$1:$F$172,MATCH('Selection Pane Data'!$C87,'CMMC Levels'!$A$1:$A$172,0),MATCH(Placemat!$F$4,'CMMC Levels'!$A$1:$F$1,0))</f>
        <v>X</v>
      </c>
      <c r="G87" s="77" t="str">
        <f>IF((COUNTIF(List!H85:CE85,"P")+COUNTIF(List!H85:CE85,"S"))=0,"N",IF(COUNTIF(H87:CE87,"P"),"P",IF(COUNTIF(H87:CE87,"S"),"S","U")))</f>
        <v>U</v>
      </c>
      <c r="H87" s="13" t="str">
        <f>IF(H$4="Yes",INDEX(List!$E$2:$CD$173,MATCH('Selection Pane Data'!$B87,List!$E$2:$E$173,0),MATCH('Selection Pane Data'!H$3,List!$E$2:$CD$2,0)),"")</f>
        <v/>
      </c>
      <c r="I87" s="13" t="str">
        <f>IF(I$4="Yes",INDEX(List!$E$2:$CD$173,MATCH('Selection Pane Data'!$B87,List!$E$2:$E$173,0),MATCH('Selection Pane Data'!I$3,List!$E$2:$CD$2,0)),"")</f>
        <v/>
      </c>
      <c r="J87" s="13" t="str">
        <f>IF(J$4="Yes",INDEX(List!$E$2:$CD$173,MATCH('Selection Pane Data'!$B87,List!$E$2:$E$173,0),MATCH('Selection Pane Data'!J$3,List!$E$2:$CD$2,0)),"")</f>
        <v>N</v>
      </c>
      <c r="K87" s="13" t="str">
        <f>IF(K$4="Yes",INDEX(List!$E$2:$CD$173,MATCH('Selection Pane Data'!$B87,List!$E$2:$E$173,0),MATCH('Selection Pane Data'!K$3,List!$E$2:$CD$2,0)),"")</f>
        <v/>
      </c>
      <c r="L87" s="13" t="str">
        <f>IF(L$4="Yes",INDEX(List!$E$2:$CD$173,MATCH('Selection Pane Data'!$B87,List!$E$2:$E$173,0),MATCH('Selection Pane Data'!L$3,List!$E$2:$CD$2,0)),"")</f>
        <v/>
      </c>
      <c r="M87" s="13" t="str">
        <f>IF(M$4="Yes",INDEX(List!$E$2:$CD$173,MATCH('Selection Pane Data'!$B87,List!$E$2:$E$173,0),MATCH('Selection Pane Data'!M$3,List!$E$2:$CD$2,0)),"")</f>
        <v/>
      </c>
      <c r="N87" s="13" t="str">
        <f>IF(N$4="Yes",INDEX(List!$E$2:$CD$173,MATCH('Selection Pane Data'!$B87,List!$E$2:$E$173,0),MATCH('Selection Pane Data'!N$3,List!$E$2:$CD$2,0)),"")</f>
        <v/>
      </c>
      <c r="O87" s="13" t="str">
        <f>IF(O$4="Yes",INDEX(List!$E$2:$CD$173,MATCH('Selection Pane Data'!$B87,List!$E$2:$E$173,0),MATCH('Selection Pane Data'!O$3,List!$E$2:$CD$2,0)),"")</f>
        <v/>
      </c>
      <c r="P87" s="13" t="str">
        <f>IF(P$4="Yes",INDEX(List!$E$2:$CD$173,MATCH('Selection Pane Data'!$B87,List!$E$2:$E$173,0),MATCH('Selection Pane Data'!P$3,List!$E$2:$CD$2,0)),"")</f>
        <v/>
      </c>
      <c r="Q87" s="13" t="str">
        <f>IF(Q$4="Yes",INDEX(List!$E$2:$CD$173,MATCH('Selection Pane Data'!$B87,List!$E$2:$E$173,0),MATCH('Selection Pane Data'!Q$3,List!$E$2:$CD$2,0)),"")</f>
        <v/>
      </c>
      <c r="R87" s="13" t="str">
        <f>IF(R$4="Yes",INDEX(List!$E$2:$CD$173,MATCH('Selection Pane Data'!$B87,List!$E$2:$E$173,0),MATCH('Selection Pane Data'!R$3,List!$E$2:$CD$2,0)),"")</f>
        <v/>
      </c>
      <c r="S87" s="13" t="str">
        <f>IF(S$4="Yes",INDEX(List!$E$2:$CD$173,MATCH('Selection Pane Data'!$B87,List!$E$2:$E$173,0),MATCH('Selection Pane Data'!S$3,List!$E$2:$CD$2,0)),"")</f>
        <v/>
      </c>
      <c r="T87" s="13" t="str">
        <f>IF(T$4="Yes",INDEX(List!$E$2:$CD$173,MATCH('Selection Pane Data'!$B87,List!$E$2:$E$173,0),MATCH('Selection Pane Data'!T$3,List!$E$2:$CD$2,0)),"")</f>
        <v/>
      </c>
      <c r="U87" s="13" t="str">
        <f>IF(U$4="Yes",INDEX(List!$E$2:$CD$173,MATCH('Selection Pane Data'!$B87,List!$E$2:$E$173,0),MATCH('Selection Pane Data'!U$3,List!$E$2:$CD$2,0)),"")</f>
        <v/>
      </c>
      <c r="V87" s="13" t="str">
        <f>IF(V$4="Yes",INDEX(List!$E$2:$CD$173,MATCH('Selection Pane Data'!$B87,List!$E$2:$E$173,0),MATCH('Selection Pane Data'!V$3,List!$E$2:$CD$2,0)),"")</f>
        <v/>
      </c>
      <c r="W87" s="13" t="str">
        <f>IF(W$4="Yes",INDEX(List!$E$2:$CD$173,MATCH('Selection Pane Data'!$B87,List!$E$2:$E$173,0),MATCH('Selection Pane Data'!W$3,List!$E$2:$CD$2,0)),"")</f>
        <v/>
      </c>
      <c r="X87" s="13" t="str">
        <f>IF(X$4="Yes",INDEX(List!$E$2:$CD$173,MATCH('Selection Pane Data'!$B87,List!$E$2:$E$173,0),MATCH('Selection Pane Data'!X$3,List!$E$2:$CD$2,0)),"")</f>
        <v/>
      </c>
      <c r="Y87" s="13" t="str">
        <f>IF(Y$4="Yes",INDEX(List!$E$2:$CD$173,MATCH('Selection Pane Data'!$B87,List!$E$2:$E$173,0),MATCH('Selection Pane Data'!Y$3,List!$E$2:$CD$2,0)),"")</f>
        <v/>
      </c>
      <c r="Z87" s="13" t="str">
        <f>IF(Z$4="Yes",INDEX(List!$E$2:$CD$173,MATCH('Selection Pane Data'!$B87,List!$E$2:$E$173,0),MATCH('Selection Pane Data'!Z$3,List!$E$2:$CD$2,0)),"")</f>
        <v/>
      </c>
      <c r="AA87" s="13" t="str">
        <f>IF(AA$4="Yes",INDEX(List!$E$2:$CD$173,MATCH('Selection Pane Data'!$B87,List!$E$2:$E$173,0),MATCH('Selection Pane Data'!AA$3,List!$E$2:$CD$2,0)),"")</f>
        <v>N</v>
      </c>
      <c r="AB87" s="13" t="str">
        <f>IF(AB$4="Yes",INDEX(List!$E$2:$CD$173,MATCH('Selection Pane Data'!$B87,List!$E$2:$E$173,0),MATCH('Selection Pane Data'!AB$3,List!$E$2:$CD$2,0)),"")</f>
        <v/>
      </c>
      <c r="AC87" s="13" t="str">
        <f>IF(AC$4="Yes",INDEX(List!$E$2:$CD$173,MATCH('Selection Pane Data'!$B87,List!$E$2:$E$173,0),MATCH('Selection Pane Data'!AC$3,List!$E$2:$CD$2,0)),"")</f>
        <v/>
      </c>
      <c r="AD87" s="13" t="str">
        <f>IF(AD$4="Yes",INDEX(List!$E$2:$CD$173,MATCH('Selection Pane Data'!$B87,List!$E$2:$E$173,0),MATCH('Selection Pane Data'!AD$3,List!$E$2:$CD$2,0)),"")</f>
        <v/>
      </c>
      <c r="AE87" s="13" t="str">
        <f>IF(AE$4="Yes",INDEX(List!$E$2:$CD$173,MATCH('Selection Pane Data'!$B87,List!$E$2:$E$173,0),MATCH('Selection Pane Data'!AE$3,List!$E$2:$CD$2,0)),"")</f>
        <v/>
      </c>
      <c r="AF87" s="13" t="str">
        <f>IF(AF$4="Yes",INDEX(List!$E$2:$CD$173,MATCH('Selection Pane Data'!$B87,List!$E$2:$E$173,0),MATCH('Selection Pane Data'!AF$3,List!$E$2:$CD$2,0)),"")</f>
        <v/>
      </c>
      <c r="AG87" s="13" t="str">
        <f>IF(AG$4="Yes",INDEX(List!$E$2:$CD$173,MATCH('Selection Pane Data'!$B87,List!$E$2:$E$173,0),MATCH('Selection Pane Data'!AG$3,List!$E$2:$CD$2,0)),"")</f>
        <v/>
      </c>
      <c r="AH87" s="13" t="str">
        <f>IF(AH$4="Yes",INDEX(List!$E$2:$CD$173,MATCH('Selection Pane Data'!$B87,List!$E$2:$E$173,0),MATCH('Selection Pane Data'!AH$3,List!$E$2:$CD$2,0)),"")</f>
        <v/>
      </c>
      <c r="AI87" s="13" t="str">
        <f>IF(AI$4="Yes",INDEX(List!$E$2:$CD$173,MATCH('Selection Pane Data'!$B87,List!$E$2:$E$173,0),MATCH('Selection Pane Data'!AI$3,List!$E$2:$CD$2,0)),"")</f>
        <v/>
      </c>
      <c r="AJ87" s="13" t="str">
        <f>IF(AJ$4="Yes",INDEX(List!$E$2:$CD$173,MATCH('Selection Pane Data'!$B87,List!$E$2:$E$173,0),MATCH('Selection Pane Data'!AJ$3,List!$E$2:$CD$2,0)),"")</f>
        <v/>
      </c>
      <c r="AK87" s="13" t="str">
        <f>IF(AK$4="Yes",INDEX(List!$E$2:$CD$173,MATCH('Selection Pane Data'!$B87,List!$E$2:$E$173,0),MATCH('Selection Pane Data'!AK$3,List!$E$2:$CD$2,0)),"")</f>
        <v/>
      </c>
      <c r="AL87" s="13" t="str">
        <f>IF(AL$4="Yes",INDEX(List!$E$2:$CD$173,MATCH('Selection Pane Data'!$B87,List!$E$2:$E$173,0),MATCH('Selection Pane Data'!AL$3,List!$E$2:$CD$2,0)),"")</f>
        <v/>
      </c>
      <c r="AM87" s="13" t="str">
        <f>IF(AM$4="Yes",INDEX(List!$E$2:$CD$173,MATCH('Selection Pane Data'!$B87,List!$E$2:$E$173,0),MATCH('Selection Pane Data'!AM$3,List!$E$2:$CD$2,0)),"")</f>
        <v/>
      </c>
      <c r="AN87" s="13" t="str">
        <f>IF(AN$4="Yes",INDEX(List!$E$2:$CD$173,MATCH('Selection Pane Data'!$B87,List!$E$2:$E$173,0),MATCH('Selection Pane Data'!AN$3,List!$E$2:$CD$2,0)),"")</f>
        <v/>
      </c>
      <c r="AO87" s="13" t="str">
        <f>IF(AO$4="Yes",INDEX(List!$E$2:$CD$173,MATCH('Selection Pane Data'!$B87,List!$E$2:$E$173,0),MATCH('Selection Pane Data'!AO$3,List!$E$2:$CD$2,0)),"")</f>
        <v/>
      </c>
      <c r="AP87" s="13" t="str">
        <f>IF(AP$4="Yes",INDEX(List!$E$2:$CD$173,MATCH('Selection Pane Data'!$B87,List!$E$2:$E$173,0),MATCH('Selection Pane Data'!AP$3,List!$E$2:$CD$2,0)),"")</f>
        <v/>
      </c>
      <c r="AQ87" s="13" t="str">
        <f>IF(AQ$4="Yes",INDEX(List!$E$2:$CD$173,MATCH('Selection Pane Data'!$B87,List!$E$2:$E$173,0),MATCH('Selection Pane Data'!AQ$3,List!$E$2:$CD$2,0)),"")</f>
        <v/>
      </c>
      <c r="AR87" s="13" t="str">
        <f>IF(AR$4="Yes",INDEX(List!$E$2:$CD$173,MATCH('Selection Pane Data'!$B87,List!$E$2:$E$173,0),MATCH('Selection Pane Data'!AR$3,List!$E$2:$CD$2,0)),"")</f>
        <v/>
      </c>
      <c r="AS87" s="13" t="str">
        <f>IF(AS$4="Yes",INDEX(List!$E$2:$CD$173,MATCH('Selection Pane Data'!$B87,List!$E$2:$E$173,0),MATCH('Selection Pane Data'!AS$3,List!$E$2:$CD$2,0)),"")</f>
        <v/>
      </c>
      <c r="AT87" s="13" t="str">
        <f>IF(AT$4="Yes",INDEX(List!$E$2:$CD$173,MATCH('Selection Pane Data'!$B87,List!$E$2:$E$173,0),MATCH('Selection Pane Data'!AT$3,List!$E$2:$CD$2,0)),"")</f>
        <v/>
      </c>
      <c r="AU87" s="13" t="str">
        <f>IF(AU$4="Yes",INDEX(List!$E$2:$CD$173,MATCH('Selection Pane Data'!$B87,List!$E$2:$E$173,0),MATCH('Selection Pane Data'!AU$3,List!$E$2:$CD$2,0)),"")</f>
        <v/>
      </c>
      <c r="AV87" s="13" t="str">
        <f>IF(AV$4="Yes",INDEX(List!$E$2:$CD$173,MATCH('Selection Pane Data'!$B87,List!$E$2:$E$173,0),MATCH('Selection Pane Data'!AV$3,List!$E$2:$CD$2,0)),"")</f>
        <v/>
      </c>
      <c r="AW87" s="13" t="str">
        <f>IF(AW$4="Yes",INDEX(List!$E$2:$CD$173,MATCH('Selection Pane Data'!$B87,List!$E$2:$E$173,0),MATCH('Selection Pane Data'!AW$3,List!$E$2:$CD$2,0)),"")</f>
        <v/>
      </c>
      <c r="AX87" s="13" t="str">
        <f>IF(AX$4="Yes",INDEX(List!$E$2:$CD$173,MATCH('Selection Pane Data'!$B87,List!$E$2:$E$173,0),MATCH('Selection Pane Data'!AX$3,List!$E$2:$CD$2,0)),"")</f>
        <v/>
      </c>
      <c r="AY87" s="13" t="str">
        <f>IF(AY$4="Yes",INDEX(List!$E$2:$CD$173,MATCH('Selection Pane Data'!$B87,List!$E$2:$E$173,0),MATCH('Selection Pane Data'!AY$3,List!$E$2:$CD$2,0)),"")</f>
        <v/>
      </c>
      <c r="AZ87" s="13" t="str">
        <f>IF(AZ$4="Yes",INDEX(List!$E$2:$CD$173,MATCH('Selection Pane Data'!$B87,List!$E$2:$E$173,0),MATCH('Selection Pane Data'!AZ$3,List!$E$2:$CD$2,0)),"")</f>
        <v/>
      </c>
      <c r="BA87" s="13" t="str">
        <f>IF(BA$4="Yes",INDEX(List!$E$2:$CD$173,MATCH('Selection Pane Data'!$B87,List!$E$2:$E$173,0),MATCH('Selection Pane Data'!BA$3,List!$E$2:$CD$2,0)),"")</f>
        <v/>
      </c>
      <c r="BB87" s="13" t="str">
        <f>IF(BB$4="Yes",INDEX(List!$E$2:$CD$173,MATCH('Selection Pane Data'!$B87,List!$E$2:$E$173,0),MATCH('Selection Pane Data'!BB$3,List!$E$2:$CD$2,0)),"")</f>
        <v/>
      </c>
      <c r="BC87" s="13" t="str">
        <f>IF(BC$4="Yes",INDEX(List!$E$2:$CD$173,MATCH('Selection Pane Data'!$B87,List!$E$2:$E$173,0),MATCH('Selection Pane Data'!BC$3,List!$E$2:$CD$2,0)),"")</f>
        <v/>
      </c>
      <c r="BD87" s="13" t="str">
        <f>IF(BD$4="Yes",INDEX(List!$E$2:$CD$173,MATCH('Selection Pane Data'!$B87,List!$E$2:$E$173,0),MATCH('Selection Pane Data'!BD$3,List!$E$2:$CD$2,0)),"")</f>
        <v/>
      </c>
      <c r="BE87" s="13" t="str">
        <f>IF(BE$4="Yes",INDEX(List!$E$2:$CD$173,MATCH('Selection Pane Data'!$B87,List!$E$2:$E$173,0),MATCH('Selection Pane Data'!BE$3,List!$E$2:$CD$2,0)),"")</f>
        <v/>
      </c>
      <c r="BF87" s="13" t="str">
        <f>IF(BF$4="Yes",INDEX(List!$E$2:$CD$173,MATCH('Selection Pane Data'!$B87,List!$E$2:$E$173,0),MATCH('Selection Pane Data'!BF$3,List!$E$2:$CD$2,0)),"")</f>
        <v/>
      </c>
      <c r="BG87" s="13" t="str">
        <f>IF(BG$4="Yes",INDEX(List!$E$2:$CD$173,MATCH('Selection Pane Data'!$B87,List!$E$2:$E$173,0),MATCH('Selection Pane Data'!BG$3,List!$E$2:$CD$2,0)),"")</f>
        <v/>
      </c>
      <c r="BH87" s="13" t="str">
        <f>IF(BH$4="Yes",INDEX(List!$E$2:$CD$173,MATCH('Selection Pane Data'!$B87,List!$E$2:$E$173,0),MATCH('Selection Pane Data'!BH$3,List!$E$2:$CD$2,0)),"")</f>
        <v/>
      </c>
      <c r="BI87" s="13" t="str">
        <f>IF(BI$4="Yes",INDEX(List!$E$2:$CD$173,MATCH('Selection Pane Data'!$B87,List!$E$2:$E$173,0),MATCH('Selection Pane Data'!BI$3,List!$E$2:$CD$2,0)),"")</f>
        <v/>
      </c>
      <c r="BJ87" s="13" t="str">
        <f>IF(BJ$4="Yes",INDEX(List!$E$2:$CD$173,MATCH('Selection Pane Data'!$B87,List!$E$2:$E$173,0),MATCH('Selection Pane Data'!BJ$3,List!$E$2:$CD$2,0)),"")</f>
        <v/>
      </c>
      <c r="BK87" s="13" t="str">
        <f>IF(BK$4="Yes",INDEX(List!$E$2:$CD$173,MATCH('Selection Pane Data'!$B87,List!$E$2:$E$173,0),MATCH('Selection Pane Data'!BK$3,List!$E$2:$CD$2,0)),"")</f>
        <v/>
      </c>
      <c r="BL87" s="13" t="str">
        <f>IF(BL$4="Yes",INDEX(List!$E$2:$CD$173,MATCH('Selection Pane Data'!$B87,List!$E$2:$E$173,0),MATCH('Selection Pane Data'!BL$3,List!$E$2:$CD$2,0)),"")</f>
        <v/>
      </c>
      <c r="BM87" s="13" t="str">
        <f>IF(BM$4="Yes",INDEX(List!$E$2:$CD$173,MATCH('Selection Pane Data'!$B87,List!$E$2:$E$173,0),MATCH('Selection Pane Data'!BM$3,List!$E$2:$CD$2,0)),"")</f>
        <v/>
      </c>
      <c r="BN87" s="13" t="str">
        <f>IF(BN$4="Yes",INDEX(List!$E$2:$CD$173,MATCH('Selection Pane Data'!$B87,List!$E$2:$E$173,0),MATCH('Selection Pane Data'!BN$3,List!$E$2:$CD$2,0)),"")</f>
        <v/>
      </c>
      <c r="BO87" s="13" t="str">
        <f>IF(BO$4="Yes",INDEX(List!$E$2:$CD$173,MATCH('Selection Pane Data'!$B87,List!$E$2:$E$173,0),MATCH('Selection Pane Data'!BO$3,List!$E$2:$CD$2,0)),"")</f>
        <v/>
      </c>
      <c r="BP87" s="13" t="str">
        <f>IF(BP$4="Yes",INDEX(List!$E$2:$CD$173,MATCH('Selection Pane Data'!$B87,List!$E$2:$E$173,0),MATCH('Selection Pane Data'!BP$3,List!$E$2:$CD$2,0)),"")</f>
        <v/>
      </c>
      <c r="BQ87" s="13" t="str">
        <f>IF(BQ$4="Yes",INDEX(List!$E$2:$CD$173,MATCH('Selection Pane Data'!$B87,List!$E$2:$E$173,0),MATCH('Selection Pane Data'!BQ$3,List!$E$2:$CD$2,0)),"")</f>
        <v/>
      </c>
      <c r="BR87" s="13" t="str">
        <f>IF(BR$4="Yes",INDEX(List!$E$2:$CD$173,MATCH('Selection Pane Data'!$B87,List!$E$2:$E$173,0),MATCH('Selection Pane Data'!BR$3,List!$E$2:$CD$2,0)),"")</f>
        <v/>
      </c>
      <c r="BS87" s="13" t="str">
        <f>IF(BS$4="Yes",INDEX(List!$E$2:$CD$173,MATCH('Selection Pane Data'!$B87,List!$E$2:$E$173,0),MATCH('Selection Pane Data'!BS$3,List!$E$2:$CD$2,0)),"")</f>
        <v/>
      </c>
      <c r="BT87" s="13" t="str">
        <f>IF(BT$4="Yes",INDEX(List!$E$2:$CD$173,MATCH('Selection Pane Data'!$B87,List!$E$2:$E$173,0),MATCH('Selection Pane Data'!BT$3,List!$E$2:$CD$2,0)),"")</f>
        <v/>
      </c>
      <c r="BU87" s="13" t="str">
        <f>IF(BU$4="Yes",INDEX(List!$E$2:$CD$173,MATCH('Selection Pane Data'!$B87,List!$E$2:$E$173,0),MATCH('Selection Pane Data'!BU$3,List!$E$2:$CD$2,0)),"")</f>
        <v/>
      </c>
      <c r="BV87" s="13" t="str">
        <f>IF(BV$4="Yes",INDEX(List!$E$2:$CD$173,MATCH('Selection Pane Data'!$B87,List!$E$2:$E$173,0),MATCH('Selection Pane Data'!BV$3,List!$E$2:$CD$2,0)),"")</f>
        <v/>
      </c>
      <c r="BW87" s="13" t="str">
        <f>IF(BW$4="Yes",INDEX(List!$E$2:$CD$173,MATCH('Selection Pane Data'!$B87,List!$E$2:$E$173,0),MATCH('Selection Pane Data'!BW$3,List!$E$2:$CD$2,0)),"")</f>
        <v/>
      </c>
      <c r="BX87" s="13" t="str">
        <f>IF(BX$4="Yes",INDEX(List!$E$2:$CD$173,MATCH('Selection Pane Data'!$B87,List!$E$2:$E$173,0),MATCH('Selection Pane Data'!BX$3,List!$E$2:$CD$2,0)),"")</f>
        <v/>
      </c>
      <c r="BY87" s="13" t="str">
        <f>IF(BY$4="Yes",INDEX(List!$E$2:$CD$173,MATCH('Selection Pane Data'!$B87,List!$E$2:$E$173,0),MATCH('Selection Pane Data'!BY$3,List!$E$2:$CD$2,0)),"")</f>
        <v/>
      </c>
      <c r="BZ87" s="13" t="str">
        <f>IF(BZ$4="Yes",INDEX(List!$E$2:$CD$173,MATCH('Selection Pane Data'!$B87,List!$E$2:$E$173,0),MATCH('Selection Pane Data'!BZ$3,List!$E$2:$CD$2,0)),"")</f>
        <v/>
      </c>
      <c r="CA87" s="13" t="str">
        <f>IF(CA$4="Yes",INDEX(List!$E$2:$CD$173,MATCH('Selection Pane Data'!$B87,List!$E$2:$E$173,0),MATCH('Selection Pane Data'!CA$3,List!$E$2:$CD$2,0)),"")</f>
        <v/>
      </c>
      <c r="CB87" s="13" t="str">
        <f>IF(CB$4="Yes",INDEX(List!$E$2:$CD$173,MATCH('Selection Pane Data'!$B87,List!$E$2:$E$173,0),MATCH('Selection Pane Data'!CB$3,List!$E$2:$CD$2,0)),"")</f>
        <v/>
      </c>
      <c r="CC87" s="13" t="str">
        <f>IF(CC$4="Yes",INDEX(List!$E$2:$CD$173,MATCH('Selection Pane Data'!$B87,List!$E$2:$E$173,0),MATCH('Selection Pane Data'!CC$3,List!$E$2:$CD$2,0)),"")</f>
        <v/>
      </c>
      <c r="CD87" s="13" t="str">
        <f>IF(CD$4="Yes",INDEX(List!$E$2:$CD$173,MATCH('Selection Pane Data'!$B87,List!$E$2:$E$173,0),MATCH('Selection Pane Data'!CD$3,List!$E$2:$CD$2,0)),"")</f>
        <v/>
      </c>
      <c r="CE87" s="13" t="str">
        <f>IF(CE$4="Yes",INDEX(List!$E$2:$CD$173,MATCH('Selection Pane Data'!$B87,List!$E$2:$E$173,0),MATCH('Selection Pane Data'!CE$3,List!$E$2:$CD$2,0)),"")</f>
        <v/>
      </c>
    </row>
    <row r="88" spans="2:83" x14ac:dyDescent="0.35">
      <c r="B88" s="21" t="s">
        <v>375</v>
      </c>
      <c r="C88" s="126" t="str">
        <f>VLOOKUP(B88,List!$E$2:$G$173,2,FALSE)</f>
        <v>IR.L2-3.6.3</v>
      </c>
      <c r="D88" s="31" t="str">
        <f>List!G86</f>
        <v>Customer Responsibility</v>
      </c>
      <c r="E88" s="31" t="str">
        <f>IF(Placemat!$F$4="All Practices","All Practices",IF(VLOOKUP(B88,Table7[#All],6,FALSE)="No Mapping","New CMMC Practices","Practices with NIST 800-171 Mappings"))</f>
        <v>Practices with NIST 800-171 Mappings</v>
      </c>
      <c r="F88" t="str">
        <f>INDEX('CMMC Levels'!$A$1:$F$172,MATCH('Selection Pane Data'!$C88,'CMMC Levels'!$A$1:$A$172,0),MATCH(Placemat!$F$4,'CMMC Levels'!$A$1:$F$1,0))</f>
        <v>X</v>
      </c>
      <c r="G88" s="77" t="str">
        <f>IF((COUNTIF(List!H86:CE86,"P")+COUNTIF(List!H86:CE86,"S"))=0,"N",IF(COUNTIF(H88:CE88,"P"),"P",IF(COUNTIF(H88:CE88,"S"),"S","U")))</f>
        <v>U</v>
      </c>
      <c r="H88" s="13" t="str">
        <f>IF(H$4="Yes",INDEX(List!$E$2:$CD$173,MATCH('Selection Pane Data'!$B88,List!$E$2:$E$173,0),MATCH('Selection Pane Data'!H$3,List!$E$2:$CD$2,0)),"")</f>
        <v/>
      </c>
      <c r="I88" s="13" t="str">
        <f>IF(I$4="Yes",INDEX(List!$E$2:$CD$173,MATCH('Selection Pane Data'!$B88,List!$E$2:$E$173,0),MATCH('Selection Pane Data'!I$3,List!$E$2:$CD$2,0)),"")</f>
        <v/>
      </c>
      <c r="J88" s="13" t="str">
        <f>IF(J$4="Yes",INDEX(List!$E$2:$CD$173,MATCH('Selection Pane Data'!$B88,List!$E$2:$E$173,0),MATCH('Selection Pane Data'!J$3,List!$E$2:$CD$2,0)),"")</f>
        <v>N</v>
      </c>
      <c r="K88" s="13" t="str">
        <f>IF(K$4="Yes",INDEX(List!$E$2:$CD$173,MATCH('Selection Pane Data'!$B88,List!$E$2:$E$173,0),MATCH('Selection Pane Data'!K$3,List!$E$2:$CD$2,0)),"")</f>
        <v/>
      </c>
      <c r="L88" s="13" t="str">
        <f>IF(L$4="Yes",INDEX(List!$E$2:$CD$173,MATCH('Selection Pane Data'!$B88,List!$E$2:$E$173,0),MATCH('Selection Pane Data'!L$3,List!$E$2:$CD$2,0)),"")</f>
        <v/>
      </c>
      <c r="M88" s="13" t="str">
        <f>IF(M$4="Yes",INDEX(List!$E$2:$CD$173,MATCH('Selection Pane Data'!$B88,List!$E$2:$E$173,0),MATCH('Selection Pane Data'!M$3,List!$E$2:$CD$2,0)),"")</f>
        <v/>
      </c>
      <c r="N88" s="13" t="str">
        <f>IF(N$4="Yes",INDEX(List!$E$2:$CD$173,MATCH('Selection Pane Data'!$B88,List!$E$2:$E$173,0),MATCH('Selection Pane Data'!N$3,List!$E$2:$CD$2,0)),"")</f>
        <v/>
      </c>
      <c r="O88" s="13" t="str">
        <f>IF(O$4="Yes",INDEX(List!$E$2:$CD$173,MATCH('Selection Pane Data'!$B88,List!$E$2:$E$173,0),MATCH('Selection Pane Data'!O$3,List!$E$2:$CD$2,0)),"")</f>
        <v/>
      </c>
      <c r="P88" s="13" t="str">
        <f>IF(P$4="Yes",INDEX(List!$E$2:$CD$173,MATCH('Selection Pane Data'!$B88,List!$E$2:$E$173,0),MATCH('Selection Pane Data'!P$3,List!$E$2:$CD$2,0)),"")</f>
        <v/>
      </c>
      <c r="Q88" s="13" t="str">
        <f>IF(Q$4="Yes",INDEX(List!$E$2:$CD$173,MATCH('Selection Pane Data'!$B88,List!$E$2:$E$173,0),MATCH('Selection Pane Data'!Q$3,List!$E$2:$CD$2,0)),"")</f>
        <v/>
      </c>
      <c r="R88" s="13" t="str">
        <f>IF(R$4="Yes",INDEX(List!$E$2:$CD$173,MATCH('Selection Pane Data'!$B88,List!$E$2:$E$173,0),MATCH('Selection Pane Data'!R$3,List!$E$2:$CD$2,0)),"")</f>
        <v/>
      </c>
      <c r="S88" s="13" t="str">
        <f>IF(S$4="Yes",INDEX(List!$E$2:$CD$173,MATCH('Selection Pane Data'!$B88,List!$E$2:$E$173,0),MATCH('Selection Pane Data'!S$3,List!$E$2:$CD$2,0)),"")</f>
        <v/>
      </c>
      <c r="T88" s="13" t="str">
        <f>IF(T$4="Yes",INDEX(List!$E$2:$CD$173,MATCH('Selection Pane Data'!$B88,List!$E$2:$E$173,0),MATCH('Selection Pane Data'!T$3,List!$E$2:$CD$2,0)),"")</f>
        <v/>
      </c>
      <c r="U88" s="13" t="str">
        <f>IF(U$4="Yes",INDEX(List!$E$2:$CD$173,MATCH('Selection Pane Data'!$B88,List!$E$2:$E$173,0),MATCH('Selection Pane Data'!U$3,List!$E$2:$CD$2,0)),"")</f>
        <v/>
      </c>
      <c r="V88" s="13" t="str">
        <f>IF(V$4="Yes",INDEX(List!$E$2:$CD$173,MATCH('Selection Pane Data'!$B88,List!$E$2:$E$173,0),MATCH('Selection Pane Data'!V$3,List!$E$2:$CD$2,0)),"")</f>
        <v/>
      </c>
      <c r="W88" s="13" t="str">
        <f>IF(W$4="Yes",INDEX(List!$E$2:$CD$173,MATCH('Selection Pane Data'!$B88,List!$E$2:$E$173,0),MATCH('Selection Pane Data'!W$3,List!$E$2:$CD$2,0)),"")</f>
        <v/>
      </c>
      <c r="X88" s="13" t="str">
        <f>IF(X$4="Yes",INDEX(List!$E$2:$CD$173,MATCH('Selection Pane Data'!$B88,List!$E$2:$E$173,0),MATCH('Selection Pane Data'!X$3,List!$E$2:$CD$2,0)),"")</f>
        <v/>
      </c>
      <c r="Y88" s="13" t="str">
        <f>IF(Y$4="Yes",INDEX(List!$E$2:$CD$173,MATCH('Selection Pane Data'!$B88,List!$E$2:$E$173,0),MATCH('Selection Pane Data'!Y$3,List!$E$2:$CD$2,0)),"")</f>
        <v/>
      </c>
      <c r="Z88" s="13" t="str">
        <f>IF(Z$4="Yes",INDEX(List!$E$2:$CD$173,MATCH('Selection Pane Data'!$B88,List!$E$2:$E$173,0),MATCH('Selection Pane Data'!Z$3,List!$E$2:$CD$2,0)),"")</f>
        <v/>
      </c>
      <c r="AA88" s="13" t="str">
        <f>IF(AA$4="Yes",INDEX(List!$E$2:$CD$173,MATCH('Selection Pane Data'!$B88,List!$E$2:$E$173,0),MATCH('Selection Pane Data'!AA$3,List!$E$2:$CD$2,0)),"")</f>
        <v>N</v>
      </c>
      <c r="AB88" s="13" t="str">
        <f>IF(AB$4="Yes",INDEX(List!$E$2:$CD$173,MATCH('Selection Pane Data'!$B88,List!$E$2:$E$173,0),MATCH('Selection Pane Data'!AB$3,List!$E$2:$CD$2,0)),"")</f>
        <v/>
      </c>
      <c r="AC88" s="13" t="str">
        <f>IF(AC$4="Yes",INDEX(List!$E$2:$CD$173,MATCH('Selection Pane Data'!$B88,List!$E$2:$E$173,0),MATCH('Selection Pane Data'!AC$3,List!$E$2:$CD$2,0)),"")</f>
        <v/>
      </c>
      <c r="AD88" s="13" t="str">
        <f>IF(AD$4="Yes",INDEX(List!$E$2:$CD$173,MATCH('Selection Pane Data'!$B88,List!$E$2:$E$173,0),MATCH('Selection Pane Data'!AD$3,List!$E$2:$CD$2,0)),"")</f>
        <v/>
      </c>
      <c r="AE88" s="13" t="str">
        <f>IF(AE$4="Yes",INDEX(List!$E$2:$CD$173,MATCH('Selection Pane Data'!$B88,List!$E$2:$E$173,0),MATCH('Selection Pane Data'!AE$3,List!$E$2:$CD$2,0)),"")</f>
        <v/>
      </c>
      <c r="AF88" s="13" t="str">
        <f>IF(AF$4="Yes",INDEX(List!$E$2:$CD$173,MATCH('Selection Pane Data'!$B88,List!$E$2:$E$173,0),MATCH('Selection Pane Data'!AF$3,List!$E$2:$CD$2,0)),"")</f>
        <v/>
      </c>
      <c r="AG88" s="13" t="str">
        <f>IF(AG$4="Yes",INDEX(List!$E$2:$CD$173,MATCH('Selection Pane Data'!$B88,List!$E$2:$E$173,0),MATCH('Selection Pane Data'!AG$3,List!$E$2:$CD$2,0)),"")</f>
        <v/>
      </c>
      <c r="AH88" s="13" t="str">
        <f>IF(AH$4="Yes",INDEX(List!$E$2:$CD$173,MATCH('Selection Pane Data'!$B88,List!$E$2:$E$173,0),MATCH('Selection Pane Data'!AH$3,List!$E$2:$CD$2,0)),"")</f>
        <v/>
      </c>
      <c r="AI88" s="13" t="str">
        <f>IF(AI$4="Yes",INDEX(List!$E$2:$CD$173,MATCH('Selection Pane Data'!$B88,List!$E$2:$E$173,0),MATCH('Selection Pane Data'!AI$3,List!$E$2:$CD$2,0)),"")</f>
        <v/>
      </c>
      <c r="AJ88" s="13" t="str">
        <f>IF(AJ$4="Yes",INDEX(List!$E$2:$CD$173,MATCH('Selection Pane Data'!$B88,List!$E$2:$E$173,0),MATCH('Selection Pane Data'!AJ$3,List!$E$2:$CD$2,0)),"")</f>
        <v/>
      </c>
      <c r="AK88" s="13" t="str">
        <f>IF(AK$4="Yes",INDEX(List!$E$2:$CD$173,MATCH('Selection Pane Data'!$B88,List!$E$2:$E$173,0),MATCH('Selection Pane Data'!AK$3,List!$E$2:$CD$2,0)),"")</f>
        <v/>
      </c>
      <c r="AL88" s="13" t="str">
        <f>IF(AL$4="Yes",INDEX(List!$E$2:$CD$173,MATCH('Selection Pane Data'!$B88,List!$E$2:$E$173,0),MATCH('Selection Pane Data'!AL$3,List!$E$2:$CD$2,0)),"")</f>
        <v/>
      </c>
      <c r="AM88" s="13" t="str">
        <f>IF(AM$4="Yes",INDEX(List!$E$2:$CD$173,MATCH('Selection Pane Data'!$B88,List!$E$2:$E$173,0),MATCH('Selection Pane Data'!AM$3,List!$E$2:$CD$2,0)),"")</f>
        <v/>
      </c>
      <c r="AN88" s="13" t="str">
        <f>IF(AN$4="Yes",INDEX(List!$E$2:$CD$173,MATCH('Selection Pane Data'!$B88,List!$E$2:$E$173,0),MATCH('Selection Pane Data'!AN$3,List!$E$2:$CD$2,0)),"")</f>
        <v/>
      </c>
      <c r="AO88" s="13" t="str">
        <f>IF(AO$4="Yes",INDEX(List!$E$2:$CD$173,MATCH('Selection Pane Data'!$B88,List!$E$2:$E$173,0),MATCH('Selection Pane Data'!AO$3,List!$E$2:$CD$2,0)),"")</f>
        <v/>
      </c>
      <c r="AP88" s="13" t="str">
        <f>IF(AP$4="Yes",INDEX(List!$E$2:$CD$173,MATCH('Selection Pane Data'!$B88,List!$E$2:$E$173,0),MATCH('Selection Pane Data'!AP$3,List!$E$2:$CD$2,0)),"")</f>
        <v/>
      </c>
      <c r="AQ88" s="13" t="str">
        <f>IF(AQ$4="Yes",INDEX(List!$E$2:$CD$173,MATCH('Selection Pane Data'!$B88,List!$E$2:$E$173,0),MATCH('Selection Pane Data'!AQ$3,List!$E$2:$CD$2,0)),"")</f>
        <v/>
      </c>
      <c r="AR88" s="13" t="str">
        <f>IF(AR$4="Yes",INDEX(List!$E$2:$CD$173,MATCH('Selection Pane Data'!$B88,List!$E$2:$E$173,0),MATCH('Selection Pane Data'!AR$3,List!$E$2:$CD$2,0)),"")</f>
        <v/>
      </c>
      <c r="AS88" s="13" t="str">
        <f>IF(AS$4="Yes",INDEX(List!$E$2:$CD$173,MATCH('Selection Pane Data'!$B88,List!$E$2:$E$173,0),MATCH('Selection Pane Data'!AS$3,List!$E$2:$CD$2,0)),"")</f>
        <v/>
      </c>
      <c r="AT88" s="13" t="str">
        <f>IF(AT$4="Yes",INDEX(List!$E$2:$CD$173,MATCH('Selection Pane Data'!$B88,List!$E$2:$E$173,0),MATCH('Selection Pane Data'!AT$3,List!$E$2:$CD$2,0)),"")</f>
        <v/>
      </c>
      <c r="AU88" s="13" t="str">
        <f>IF(AU$4="Yes",INDEX(List!$E$2:$CD$173,MATCH('Selection Pane Data'!$B88,List!$E$2:$E$173,0),MATCH('Selection Pane Data'!AU$3,List!$E$2:$CD$2,0)),"")</f>
        <v/>
      </c>
      <c r="AV88" s="13" t="str">
        <f>IF(AV$4="Yes",INDEX(List!$E$2:$CD$173,MATCH('Selection Pane Data'!$B88,List!$E$2:$E$173,0),MATCH('Selection Pane Data'!AV$3,List!$E$2:$CD$2,0)),"")</f>
        <v/>
      </c>
      <c r="AW88" s="13" t="str">
        <f>IF(AW$4="Yes",INDEX(List!$E$2:$CD$173,MATCH('Selection Pane Data'!$B88,List!$E$2:$E$173,0),MATCH('Selection Pane Data'!AW$3,List!$E$2:$CD$2,0)),"")</f>
        <v/>
      </c>
      <c r="AX88" s="13" t="str">
        <f>IF(AX$4="Yes",INDEX(List!$E$2:$CD$173,MATCH('Selection Pane Data'!$B88,List!$E$2:$E$173,0),MATCH('Selection Pane Data'!AX$3,List!$E$2:$CD$2,0)),"")</f>
        <v/>
      </c>
      <c r="AY88" s="13" t="str">
        <f>IF(AY$4="Yes",INDEX(List!$E$2:$CD$173,MATCH('Selection Pane Data'!$B88,List!$E$2:$E$173,0),MATCH('Selection Pane Data'!AY$3,List!$E$2:$CD$2,0)),"")</f>
        <v/>
      </c>
      <c r="AZ88" s="13" t="str">
        <f>IF(AZ$4="Yes",INDEX(List!$E$2:$CD$173,MATCH('Selection Pane Data'!$B88,List!$E$2:$E$173,0),MATCH('Selection Pane Data'!AZ$3,List!$E$2:$CD$2,0)),"")</f>
        <v/>
      </c>
      <c r="BA88" s="13" t="str">
        <f>IF(BA$4="Yes",INDEX(List!$E$2:$CD$173,MATCH('Selection Pane Data'!$B88,List!$E$2:$E$173,0),MATCH('Selection Pane Data'!BA$3,List!$E$2:$CD$2,0)),"")</f>
        <v/>
      </c>
      <c r="BB88" s="13" t="str">
        <f>IF(BB$4="Yes",INDEX(List!$E$2:$CD$173,MATCH('Selection Pane Data'!$B88,List!$E$2:$E$173,0),MATCH('Selection Pane Data'!BB$3,List!$E$2:$CD$2,0)),"")</f>
        <v/>
      </c>
      <c r="BC88" s="13" t="str">
        <f>IF(BC$4="Yes",INDEX(List!$E$2:$CD$173,MATCH('Selection Pane Data'!$B88,List!$E$2:$E$173,0),MATCH('Selection Pane Data'!BC$3,List!$E$2:$CD$2,0)),"")</f>
        <v/>
      </c>
      <c r="BD88" s="13" t="str">
        <f>IF(BD$4="Yes",INDEX(List!$E$2:$CD$173,MATCH('Selection Pane Data'!$B88,List!$E$2:$E$173,0),MATCH('Selection Pane Data'!BD$3,List!$E$2:$CD$2,0)),"")</f>
        <v/>
      </c>
      <c r="BE88" s="13" t="str">
        <f>IF(BE$4="Yes",INDEX(List!$E$2:$CD$173,MATCH('Selection Pane Data'!$B88,List!$E$2:$E$173,0),MATCH('Selection Pane Data'!BE$3,List!$E$2:$CD$2,0)),"")</f>
        <v/>
      </c>
      <c r="BF88" s="13" t="str">
        <f>IF(BF$4="Yes",INDEX(List!$E$2:$CD$173,MATCH('Selection Pane Data'!$B88,List!$E$2:$E$173,0),MATCH('Selection Pane Data'!BF$3,List!$E$2:$CD$2,0)),"")</f>
        <v/>
      </c>
      <c r="BG88" s="13" t="str">
        <f>IF(BG$4="Yes",INDEX(List!$E$2:$CD$173,MATCH('Selection Pane Data'!$B88,List!$E$2:$E$173,0),MATCH('Selection Pane Data'!BG$3,List!$E$2:$CD$2,0)),"")</f>
        <v/>
      </c>
      <c r="BH88" s="13" t="str">
        <f>IF(BH$4="Yes",INDEX(List!$E$2:$CD$173,MATCH('Selection Pane Data'!$B88,List!$E$2:$E$173,0),MATCH('Selection Pane Data'!BH$3,List!$E$2:$CD$2,0)),"")</f>
        <v/>
      </c>
      <c r="BI88" s="13" t="str">
        <f>IF(BI$4="Yes",INDEX(List!$E$2:$CD$173,MATCH('Selection Pane Data'!$B88,List!$E$2:$E$173,0),MATCH('Selection Pane Data'!BI$3,List!$E$2:$CD$2,0)),"")</f>
        <v/>
      </c>
      <c r="BJ88" s="13" t="str">
        <f>IF(BJ$4="Yes",INDEX(List!$E$2:$CD$173,MATCH('Selection Pane Data'!$B88,List!$E$2:$E$173,0),MATCH('Selection Pane Data'!BJ$3,List!$E$2:$CD$2,0)),"")</f>
        <v/>
      </c>
      <c r="BK88" s="13" t="str">
        <f>IF(BK$4="Yes",INDEX(List!$E$2:$CD$173,MATCH('Selection Pane Data'!$B88,List!$E$2:$E$173,0),MATCH('Selection Pane Data'!BK$3,List!$E$2:$CD$2,0)),"")</f>
        <v/>
      </c>
      <c r="BL88" s="13" t="str">
        <f>IF(BL$4="Yes",INDEX(List!$E$2:$CD$173,MATCH('Selection Pane Data'!$B88,List!$E$2:$E$173,0),MATCH('Selection Pane Data'!BL$3,List!$E$2:$CD$2,0)),"")</f>
        <v/>
      </c>
      <c r="BM88" s="13" t="str">
        <f>IF(BM$4="Yes",INDEX(List!$E$2:$CD$173,MATCH('Selection Pane Data'!$B88,List!$E$2:$E$173,0),MATCH('Selection Pane Data'!BM$3,List!$E$2:$CD$2,0)),"")</f>
        <v/>
      </c>
      <c r="BN88" s="13" t="str">
        <f>IF(BN$4="Yes",INDEX(List!$E$2:$CD$173,MATCH('Selection Pane Data'!$B88,List!$E$2:$E$173,0),MATCH('Selection Pane Data'!BN$3,List!$E$2:$CD$2,0)),"")</f>
        <v/>
      </c>
      <c r="BO88" s="13" t="str">
        <f>IF(BO$4="Yes",INDEX(List!$E$2:$CD$173,MATCH('Selection Pane Data'!$B88,List!$E$2:$E$173,0),MATCH('Selection Pane Data'!BO$3,List!$E$2:$CD$2,0)),"")</f>
        <v/>
      </c>
      <c r="BP88" s="13" t="str">
        <f>IF(BP$4="Yes",INDEX(List!$E$2:$CD$173,MATCH('Selection Pane Data'!$B88,List!$E$2:$E$173,0),MATCH('Selection Pane Data'!BP$3,List!$E$2:$CD$2,0)),"")</f>
        <v/>
      </c>
      <c r="BQ88" s="13" t="str">
        <f>IF(BQ$4="Yes",INDEX(List!$E$2:$CD$173,MATCH('Selection Pane Data'!$B88,List!$E$2:$E$173,0),MATCH('Selection Pane Data'!BQ$3,List!$E$2:$CD$2,0)),"")</f>
        <v/>
      </c>
      <c r="BR88" s="13" t="str">
        <f>IF(BR$4="Yes",INDEX(List!$E$2:$CD$173,MATCH('Selection Pane Data'!$B88,List!$E$2:$E$173,0),MATCH('Selection Pane Data'!BR$3,List!$E$2:$CD$2,0)),"")</f>
        <v/>
      </c>
      <c r="BS88" s="13" t="str">
        <f>IF(BS$4="Yes",INDEX(List!$E$2:$CD$173,MATCH('Selection Pane Data'!$B88,List!$E$2:$E$173,0),MATCH('Selection Pane Data'!BS$3,List!$E$2:$CD$2,0)),"")</f>
        <v/>
      </c>
      <c r="BT88" s="13" t="str">
        <f>IF(BT$4="Yes",INDEX(List!$E$2:$CD$173,MATCH('Selection Pane Data'!$B88,List!$E$2:$E$173,0),MATCH('Selection Pane Data'!BT$3,List!$E$2:$CD$2,0)),"")</f>
        <v/>
      </c>
      <c r="BU88" s="13" t="str">
        <f>IF(BU$4="Yes",INDEX(List!$E$2:$CD$173,MATCH('Selection Pane Data'!$B88,List!$E$2:$E$173,0),MATCH('Selection Pane Data'!BU$3,List!$E$2:$CD$2,0)),"")</f>
        <v/>
      </c>
      <c r="BV88" s="13" t="str">
        <f>IF(BV$4="Yes",INDEX(List!$E$2:$CD$173,MATCH('Selection Pane Data'!$B88,List!$E$2:$E$173,0),MATCH('Selection Pane Data'!BV$3,List!$E$2:$CD$2,0)),"")</f>
        <v/>
      </c>
      <c r="BW88" s="13" t="str">
        <f>IF(BW$4="Yes",INDEX(List!$E$2:$CD$173,MATCH('Selection Pane Data'!$B88,List!$E$2:$E$173,0),MATCH('Selection Pane Data'!BW$3,List!$E$2:$CD$2,0)),"")</f>
        <v/>
      </c>
      <c r="BX88" s="13" t="str">
        <f>IF(BX$4="Yes",INDEX(List!$E$2:$CD$173,MATCH('Selection Pane Data'!$B88,List!$E$2:$E$173,0),MATCH('Selection Pane Data'!BX$3,List!$E$2:$CD$2,0)),"")</f>
        <v/>
      </c>
      <c r="BY88" s="13" t="str">
        <f>IF(BY$4="Yes",INDEX(List!$E$2:$CD$173,MATCH('Selection Pane Data'!$B88,List!$E$2:$E$173,0),MATCH('Selection Pane Data'!BY$3,List!$E$2:$CD$2,0)),"")</f>
        <v/>
      </c>
      <c r="BZ88" s="13" t="str">
        <f>IF(BZ$4="Yes",INDEX(List!$E$2:$CD$173,MATCH('Selection Pane Data'!$B88,List!$E$2:$E$173,0),MATCH('Selection Pane Data'!BZ$3,List!$E$2:$CD$2,0)),"")</f>
        <v/>
      </c>
      <c r="CA88" s="13" t="str">
        <f>IF(CA$4="Yes",INDEX(List!$E$2:$CD$173,MATCH('Selection Pane Data'!$B88,List!$E$2:$E$173,0),MATCH('Selection Pane Data'!CA$3,List!$E$2:$CD$2,0)),"")</f>
        <v/>
      </c>
      <c r="CB88" s="13" t="str">
        <f>IF(CB$4="Yes",INDEX(List!$E$2:$CD$173,MATCH('Selection Pane Data'!$B88,List!$E$2:$E$173,0),MATCH('Selection Pane Data'!CB$3,List!$E$2:$CD$2,0)),"")</f>
        <v/>
      </c>
      <c r="CC88" s="13" t="str">
        <f>IF(CC$4="Yes",INDEX(List!$E$2:$CD$173,MATCH('Selection Pane Data'!$B88,List!$E$2:$E$173,0),MATCH('Selection Pane Data'!CC$3,List!$E$2:$CD$2,0)),"")</f>
        <v/>
      </c>
      <c r="CD88" s="13" t="str">
        <f>IF(CD$4="Yes",INDEX(List!$E$2:$CD$173,MATCH('Selection Pane Data'!$B88,List!$E$2:$E$173,0),MATCH('Selection Pane Data'!CD$3,List!$E$2:$CD$2,0)),"")</f>
        <v/>
      </c>
      <c r="CE88" s="13" t="str">
        <f>IF(CE$4="Yes",INDEX(List!$E$2:$CD$173,MATCH('Selection Pane Data'!$B88,List!$E$2:$E$173,0),MATCH('Selection Pane Data'!CE$3,List!$E$2:$CD$2,0)),"")</f>
        <v/>
      </c>
    </row>
    <row r="89" spans="2:83" x14ac:dyDescent="0.35">
      <c r="B89" s="21" t="s">
        <v>376</v>
      </c>
      <c r="C89" s="126" t="str">
        <f>VLOOKUP(B89,List!$E$2:$G$173,2,FALSE)</f>
        <v>N/A</v>
      </c>
      <c r="D89" s="31" t="str">
        <f>List!G87</f>
        <v>Not Applicable</v>
      </c>
      <c r="E89" s="31" t="str">
        <f>IF(Placemat!$F$4="All Practices","All Practices",IF(VLOOKUP(B89,Table7[#All],6,FALSE)="No Mapping","New CMMC Practices","Practices with NIST 800-171 Mappings"))</f>
        <v>Practices with NIST 800-171 Mappings</v>
      </c>
      <c r="F89" t="str">
        <f>INDEX('CMMC Levels'!$A$1:$F$172,MATCH('Selection Pane Data'!$C89,'CMMC Levels'!$A$1:$A$172,0),MATCH(Placemat!$F$4,'CMMC Levels'!$A$1:$F$1,0))</f>
        <v>N/A</v>
      </c>
      <c r="G89" s="77" t="str">
        <f>IF((COUNTIF(List!H87:CE87,"P")+COUNTIF(List!H87:CE87,"S"))=0,"N",IF(COUNTIF(H89:CE89,"P"),"P",IF(COUNTIF(H89:CE89,"S"),"S","U")))</f>
        <v>N</v>
      </c>
      <c r="H89" s="13" t="str">
        <f>IF(H$4="Yes",INDEX(List!$E$2:$CD$173,MATCH('Selection Pane Data'!$B89,List!$E$2:$E$173,0),MATCH('Selection Pane Data'!H$3,List!$E$2:$CD$2,0)),"")</f>
        <v/>
      </c>
      <c r="I89" s="13" t="str">
        <f>IF(I$4="Yes",INDEX(List!$E$2:$CD$173,MATCH('Selection Pane Data'!$B89,List!$E$2:$E$173,0),MATCH('Selection Pane Data'!I$3,List!$E$2:$CD$2,0)),"")</f>
        <v/>
      </c>
      <c r="J89" s="13" t="e">
        <f>IF(J$4="Yes",INDEX(List!$E$2:$CD$173,MATCH('Selection Pane Data'!$B89,List!$E$2:$E$173,0),MATCH('Selection Pane Data'!J$3,List!$E$2:$CD$2,0)),"")</f>
        <v>#N/A</v>
      </c>
      <c r="K89" s="13" t="str">
        <f>IF(K$4="Yes",INDEX(List!$E$2:$CD$173,MATCH('Selection Pane Data'!$B89,List!$E$2:$E$173,0),MATCH('Selection Pane Data'!K$3,List!$E$2:$CD$2,0)),"")</f>
        <v/>
      </c>
      <c r="L89" s="13" t="str">
        <f>IF(L$4="Yes",INDEX(List!$E$2:$CD$173,MATCH('Selection Pane Data'!$B89,List!$E$2:$E$173,0),MATCH('Selection Pane Data'!L$3,List!$E$2:$CD$2,0)),"")</f>
        <v/>
      </c>
      <c r="M89" s="13" t="str">
        <f>IF(M$4="Yes",INDEX(List!$E$2:$CD$173,MATCH('Selection Pane Data'!$B89,List!$E$2:$E$173,0),MATCH('Selection Pane Data'!M$3,List!$E$2:$CD$2,0)),"")</f>
        <v/>
      </c>
      <c r="N89" s="13" t="str">
        <f>IF(N$4="Yes",INDEX(List!$E$2:$CD$173,MATCH('Selection Pane Data'!$B89,List!$E$2:$E$173,0),MATCH('Selection Pane Data'!N$3,List!$E$2:$CD$2,0)),"")</f>
        <v/>
      </c>
      <c r="O89" s="13" t="str">
        <f>IF(O$4="Yes",INDEX(List!$E$2:$CD$173,MATCH('Selection Pane Data'!$B89,List!$E$2:$E$173,0),MATCH('Selection Pane Data'!O$3,List!$E$2:$CD$2,0)),"")</f>
        <v/>
      </c>
      <c r="P89" s="13" t="str">
        <f>IF(P$4="Yes",INDEX(List!$E$2:$CD$173,MATCH('Selection Pane Data'!$B89,List!$E$2:$E$173,0),MATCH('Selection Pane Data'!P$3,List!$E$2:$CD$2,0)),"")</f>
        <v/>
      </c>
      <c r="Q89" s="13" t="str">
        <f>IF(Q$4="Yes",INDEX(List!$E$2:$CD$173,MATCH('Selection Pane Data'!$B89,List!$E$2:$E$173,0),MATCH('Selection Pane Data'!Q$3,List!$E$2:$CD$2,0)),"")</f>
        <v/>
      </c>
      <c r="R89" s="13" t="str">
        <f>IF(R$4="Yes",INDEX(List!$E$2:$CD$173,MATCH('Selection Pane Data'!$B89,List!$E$2:$E$173,0),MATCH('Selection Pane Data'!R$3,List!$E$2:$CD$2,0)),"")</f>
        <v/>
      </c>
      <c r="S89" s="13" t="str">
        <f>IF(S$4="Yes",INDEX(List!$E$2:$CD$173,MATCH('Selection Pane Data'!$B89,List!$E$2:$E$173,0),MATCH('Selection Pane Data'!S$3,List!$E$2:$CD$2,0)),"")</f>
        <v/>
      </c>
      <c r="T89" s="13" t="str">
        <f>IF(T$4="Yes",INDEX(List!$E$2:$CD$173,MATCH('Selection Pane Data'!$B89,List!$E$2:$E$173,0),MATCH('Selection Pane Data'!T$3,List!$E$2:$CD$2,0)),"")</f>
        <v/>
      </c>
      <c r="U89" s="13" t="str">
        <f>IF(U$4="Yes",INDEX(List!$E$2:$CD$173,MATCH('Selection Pane Data'!$B89,List!$E$2:$E$173,0),MATCH('Selection Pane Data'!U$3,List!$E$2:$CD$2,0)),"")</f>
        <v/>
      </c>
      <c r="V89" s="13" t="str">
        <f>IF(V$4="Yes",INDEX(List!$E$2:$CD$173,MATCH('Selection Pane Data'!$B89,List!$E$2:$E$173,0),MATCH('Selection Pane Data'!V$3,List!$E$2:$CD$2,0)),"")</f>
        <v/>
      </c>
      <c r="W89" s="13" t="str">
        <f>IF(W$4="Yes",INDEX(List!$E$2:$CD$173,MATCH('Selection Pane Data'!$B89,List!$E$2:$E$173,0),MATCH('Selection Pane Data'!W$3,List!$E$2:$CD$2,0)),"")</f>
        <v/>
      </c>
      <c r="X89" s="13" t="str">
        <f>IF(X$4="Yes",INDEX(List!$E$2:$CD$173,MATCH('Selection Pane Data'!$B89,List!$E$2:$E$173,0),MATCH('Selection Pane Data'!X$3,List!$E$2:$CD$2,0)),"")</f>
        <v/>
      </c>
      <c r="Y89" s="13" t="str">
        <f>IF(Y$4="Yes",INDEX(List!$E$2:$CD$173,MATCH('Selection Pane Data'!$B89,List!$E$2:$E$173,0),MATCH('Selection Pane Data'!Y$3,List!$E$2:$CD$2,0)),"")</f>
        <v/>
      </c>
      <c r="Z89" s="13" t="str">
        <f>IF(Z$4="Yes",INDEX(List!$E$2:$CD$173,MATCH('Selection Pane Data'!$B89,List!$E$2:$E$173,0),MATCH('Selection Pane Data'!Z$3,List!$E$2:$CD$2,0)),"")</f>
        <v/>
      </c>
      <c r="AA89" s="13" t="e">
        <f>IF(AA$4="Yes",INDEX(List!$E$2:$CD$173,MATCH('Selection Pane Data'!$B89,List!$E$2:$E$173,0),MATCH('Selection Pane Data'!AA$3,List!$E$2:$CD$2,0)),"")</f>
        <v>#N/A</v>
      </c>
      <c r="AB89" s="13" t="str">
        <f>IF(AB$4="Yes",INDEX(List!$E$2:$CD$173,MATCH('Selection Pane Data'!$B89,List!$E$2:$E$173,0),MATCH('Selection Pane Data'!AB$3,List!$E$2:$CD$2,0)),"")</f>
        <v/>
      </c>
      <c r="AC89" s="13" t="str">
        <f>IF(AC$4="Yes",INDEX(List!$E$2:$CD$173,MATCH('Selection Pane Data'!$B89,List!$E$2:$E$173,0),MATCH('Selection Pane Data'!AC$3,List!$E$2:$CD$2,0)),"")</f>
        <v/>
      </c>
      <c r="AD89" s="13" t="str">
        <f>IF(AD$4="Yes",INDEX(List!$E$2:$CD$173,MATCH('Selection Pane Data'!$B89,List!$E$2:$E$173,0),MATCH('Selection Pane Data'!AD$3,List!$E$2:$CD$2,0)),"")</f>
        <v/>
      </c>
      <c r="AE89" s="13" t="str">
        <f>IF(AE$4="Yes",INDEX(List!$E$2:$CD$173,MATCH('Selection Pane Data'!$B89,List!$E$2:$E$173,0),MATCH('Selection Pane Data'!AE$3,List!$E$2:$CD$2,0)),"")</f>
        <v/>
      </c>
      <c r="AF89" s="13" t="str">
        <f>IF(AF$4="Yes",INDEX(List!$E$2:$CD$173,MATCH('Selection Pane Data'!$B89,List!$E$2:$E$173,0),MATCH('Selection Pane Data'!AF$3,List!$E$2:$CD$2,0)),"")</f>
        <v/>
      </c>
      <c r="AG89" s="13" t="str">
        <f>IF(AG$4="Yes",INDEX(List!$E$2:$CD$173,MATCH('Selection Pane Data'!$B89,List!$E$2:$E$173,0),MATCH('Selection Pane Data'!AG$3,List!$E$2:$CD$2,0)),"")</f>
        <v/>
      </c>
      <c r="AH89" s="13" t="str">
        <f>IF(AH$4="Yes",INDEX(List!$E$2:$CD$173,MATCH('Selection Pane Data'!$B89,List!$E$2:$E$173,0),MATCH('Selection Pane Data'!AH$3,List!$E$2:$CD$2,0)),"")</f>
        <v/>
      </c>
      <c r="AI89" s="13" t="str">
        <f>IF(AI$4="Yes",INDEX(List!$E$2:$CD$173,MATCH('Selection Pane Data'!$B89,List!$E$2:$E$173,0),MATCH('Selection Pane Data'!AI$3,List!$E$2:$CD$2,0)),"")</f>
        <v/>
      </c>
      <c r="AJ89" s="13" t="str">
        <f>IF(AJ$4="Yes",INDEX(List!$E$2:$CD$173,MATCH('Selection Pane Data'!$B89,List!$E$2:$E$173,0),MATCH('Selection Pane Data'!AJ$3,List!$E$2:$CD$2,0)),"")</f>
        <v/>
      </c>
      <c r="AK89" s="13" t="str">
        <f>IF(AK$4="Yes",INDEX(List!$E$2:$CD$173,MATCH('Selection Pane Data'!$B89,List!$E$2:$E$173,0),MATCH('Selection Pane Data'!AK$3,List!$E$2:$CD$2,0)),"")</f>
        <v/>
      </c>
      <c r="AL89" s="13" t="str">
        <f>IF(AL$4="Yes",INDEX(List!$E$2:$CD$173,MATCH('Selection Pane Data'!$B89,List!$E$2:$E$173,0),MATCH('Selection Pane Data'!AL$3,List!$E$2:$CD$2,0)),"")</f>
        <v/>
      </c>
      <c r="AM89" s="13" t="str">
        <f>IF(AM$4="Yes",INDEX(List!$E$2:$CD$173,MATCH('Selection Pane Data'!$B89,List!$E$2:$E$173,0),MATCH('Selection Pane Data'!AM$3,List!$E$2:$CD$2,0)),"")</f>
        <v/>
      </c>
      <c r="AN89" s="13" t="str">
        <f>IF(AN$4="Yes",INDEX(List!$E$2:$CD$173,MATCH('Selection Pane Data'!$B89,List!$E$2:$E$173,0),MATCH('Selection Pane Data'!AN$3,List!$E$2:$CD$2,0)),"")</f>
        <v/>
      </c>
      <c r="AO89" s="13" t="str">
        <f>IF(AO$4="Yes",INDEX(List!$E$2:$CD$173,MATCH('Selection Pane Data'!$B89,List!$E$2:$E$173,0),MATCH('Selection Pane Data'!AO$3,List!$E$2:$CD$2,0)),"")</f>
        <v/>
      </c>
      <c r="AP89" s="13" t="str">
        <f>IF(AP$4="Yes",INDEX(List!$E$2:$CD$173,MATCH('Selection Pane Data'!$B89,List!$E$2:$E$173,0),MATCH('Selection Pane Data'!AP$3,List!$E$2:$CD$2,0)),"")</f>
        <v/>
      </c>
      <c r="AQ89" s="13" t="str">
        <f>IF(AQ$4="Yes",INDEX(List!$E$2:$CD$173,MATCH('Selection Pane Data'!$B89,List!$E$2:$E$173,0),MATCH('Selection Pane Data'!AQ$3,List!$E$2:$CD$2,0)),"")</f>
        <v/>
      </c>
      <c r="AR89" s="13" t="str">
        <f>IF(AR$4="Yes",INDEX(List!$E$2:$CD$173,MATCH('Selection Pane Data'!$B89,List!$E$2:$E$173,0),MATCH('Selection Pane Data'!AR$3,List!$E$2:$CD$2,0)),"")</f>
        <v/>
      </c>
      <c r="AS89" s="13" t="str">
        <f>IF(AS$4="Yes",INDEX(List!$E$2:$CD$173,MATCH('Selection Pane Data'!$B89,List!$E$2:$E$173,0),MATCH('Selection Pane Data'!AS$3,List!$E$2:$CD$2,0)),"")</f>
        <v/>
      </c>
      <c r="AT89" s="13" t="str">
        <f>IF(AT$4="Yes",INDEX(List!$E$2:$CD$173,MATCH('Selection Pane Data'!$B89,List!$E$2:$E$173,0),MATCH('Selection Pane Data'!AT$3,List!$E$2:$CD$2,0)),"")</f>
        <v/>
      </c>
      <c r="AU89" s="13" t="str">
        <f>IF(AU$4="Yes",INDEX(List!$E$2:$CD$173,MATCH('Selection Pane Data'!$B89,List!$E$2:$E$173,0),MATCH('Selection Pane Data'!AU$3,List!$E$2:$CD$2,0)),"")</f>
        <v/>
      </c>
      <c r="AV89" s="13" t="str">
        <f>IF(AV$4="Yes",INDEX(List!$E$2:$CD$173,MATCH('Selection Pane Data'!$B89,List!$E$2:$E$173,0),MATCH('Selection Pane Data'!AV$3,List!$E$2:$CD$2,0)),"")</f>
        <v/>
      </c>
      <c r="AW89" s="13" t="str">
        <f>IF(AW$4="Yes",INDEX(List!$E$2:$CD$173,MATCH('Selection Pane Data'!$B89,List!$E$2:$E$173,0),MATCH('Selection Pane Data'!AW$3,List!$E$2:$CD$2,0)),"")</f>
        <v/>
      </c>
      <c r="AX89" s="13" t="str">
        <f>IF(AX$4="Yes",INDEX(List!$E$2:$CD$173,MATCH('Selection Pane Data'!$B89,List!$E$2:$E$173,0),MATCH('Selection Pane Data'!AX$3,List!$E$2:$CD$2,0)),"")</f>
        <v/>
      </c>
      <c r="AY89" s="13" t="str">
        <f>IF(AY$4="Yes",INDEX(List!$E$2:$CD$173,MATCH('Selection Pane Data'!$B89,List!$E$2:$E$173,0),MATCH('Selection Pane Data'!AY$3,List!$E$2:$CD$2,0)),"")</f>
        <v/>
      </c>
      <c r="AZ89" s="13" t="str">
        <f>IF(AZ$4="Yes",INDEX(List!$E$2:$CD$173,MATCH('Selection Pane Data'!$B89,List!$E$2:$E$173,0),MATCH('Selection Pane Data'!AZ$3,List!$E$2:$CD$2,0)),"")</f>
        <v/>
      </c>
      <c r="BA89" s="13" t="str">
        <f>IF(BA$4="Yes",INDEX(List!$E$2:$CD$173,MATCH('Selection Pane Data'!$B89,List!$E$2:$E$173,0),MATCH('Selection Pane Data'!BA$3,List!$E$2:$CD$2,0)),"")</f>
        <v/>
      </c>
      <c r="BB89" s="13" t="str">
        <f>IF(BB$4="Yes",INDEX(List!$E$2:$CD$173,MATCH('Selection Pane Data'!$B89,List!$E$2:$E$173,0),MATCH('Selection Pane Data'!BB$3,List!$E$2:$CD$2,0)),"")</f>
        <v/>
      </c>
      <c r="BC89" s="13" t="str">
        <f>IF(BC$4="Yes",INDEX(List!$E$2:$CD$173,MATCH('Selection Pane Data'!$B89,List!$E$2:$E$173,0),MATCH('Selection Pane Data'!BC$3,List!$E$2:$CD$2,0)),"")</f>
        <v/>
      </c>
      <c r="BD89" s="13" t="str">
        <f>IF(BD$4="Yes",INDEX(List!$E$2:$CD$173,MATCH('Selection Pane Data'!$B89,List!$E$2:$E$173,0),MATCH('Selection Pane Data'!BD$3,List!$E$2:$CD$2,0)),"")</f>
        <v/>
      </c>
      <c r="BE89" s="13" t="str">
        <f>IF(BE$4="Yes",INDEX(List!$E$2:$CD$173,MATCH('Selection Pane Data'!$B89,List!$E$2:$E$173,0),MATCH('Selection Pane Data'!BE$3,List!$E$2:$CD$2,0)),"")</f>
        <v/>
      </c>
      <c r="BF89" s="13" t="str">
        <f>IF(BF$4="Yes",INDEX(List!$E$2:$CD$173,MATCH('Selection Pane Data'!$B89,List!$E$2:$E$173,0),MATCH('Selection Pane Data'!BF$3,List!$E$2:$CD$2,0)),"")</f>
        <v/>
      </c>
      <c r="BG89" s="13" t="str">
        <f>IF(BG$4="Yes",INDEX(List!$E$2:$CD$173,MATCH('Selection Pane Data'!$B89,List!$E$2:$E$173,0),MATCH('Selection Pane Data'!BG$3,List!$E$2:$CD$2,0)),"")</f>
        <v/>
      </c>
      <c r="BH89" s="13" t="str">
        <f>IF(BH$4="Yes",INDEX(List!$E$2:$CD$173,MATCH('Selection Pane Data'!$B89,List!$E$2:$E$173,0),MATCH('Selection Pane Data'!BH$3,List!$E$2:$CD$2,0)),"")</f>
        <v/>
      </c>
      <c r="BI89" s="13" t="str">
        <f>IF(BI$4="Yes",INDEX(List!$E$2:$CD$173,MATCH('Selection Pane Data'!$B89,List!$E$2:$E$173,0),MATCH('Selection Pane Data'!BI$3,List!$E$2:$CD$2,0)),"")</f>
        <v/>
      </c>
      <c r="BJ89" s="13" t="str">
        <f>IF(BJ$4="Yes",INDEX(List!$E$2:$CD$173,MATCH('Selection Pane Data'!$B89,List!$E$2:$E$173,0),MATCH('Selection Pane Data'!BJ$3,List!$E$2:$CD$2,0)),"")</f>
        <v/>
      </c>
      <c r="BK89" s="13" t="str">
        <f>IF(BK$4="Yes",INDEX(List!$E$2:$CD$173,MATCH('Selection Pane Data'!$B89,List!$E$2:$E$173,0),MATCH('Selection Pane Data'!BK$3,List!$E$2:$CD$2,0)),"")</f>
        <v/>
      </c>
      <c r="BL89" s="13" t="str">
        <f>IF(BL$4="Yes",INDEX(List!$E$2:$CD$173,MATCH('Selection Pane Data'!$B89,List!$E$2:$E$173,0),MATCH('Selection Pane Data'!BL$3,List!$E$2:$CD$2,0)),"")</f>
        <v/>
      </c>
      <c r="BM89" s="13" t="str">
        <f>IF(BM$4="Yes",INDEX(List!$E$2:$CD$173,MATCH('Selection Pane Data'!$B89,List!$E$2:$E$173,0),MATCH('Selection Pane Data'!BM$3,List!$E$2:$CD$2,0)),"")</f>
        <v/>
      </c>
      <c r="BN89" s="13" t="str">
        <f>IF(BN$4="Yes",INDEX(List!$E$2:$CD$173,MATCH('Selection Pane Data'!$B89,List!$E$2:$E$173,0),MATCH('Selection Pane Data'!BN$3,List!$E$2:$CD$2,0)),"")</f>
        <v/>
      </c>
      <c r="BO89" s="13" t="str">
        <f>IF(BO$4="Yes",INDEX(List!$E$2:$CD$173,MATCH('Selection Pane Data'!$B89,List!$E$2:$E$173,0),MATCH('Selection Pane Data'!BO$3,List!$E$2:$CD$2,0)),"")</f>
        <v/>
      </c>
      <c r="BP89" s="13" t="str">
        <f>IF(BP$4="Yes",INDEX(List!$E$2:$CD$173,MATCH('Selection Pane Data'!$B89,List!$E$2:$E$173,0),MATCH('Selection Pane Data'!BP$3,List!$E$2:$CD$2,0)),"")</f>
        <v/>
      </c>
      <c r="BQ89" s="13" t="str">
        <f>IF(BQ$4="Yes",INDEX(List!$E$2:$CD$173,MATCH('Selection Pane Data'!$B89,List!$E$2:$E$173,0),MATCH('Selection Pane Data'!BQ$3,List!$E$2:$CD$2,0)),"")</f>
        <v/>
      </c>
      <c r="BR89" s="13" t="str">
        <f>IF(BR$4="Yes",INDEX(List!$E$2:$CD$173,MATCH('Selection Pane Data'!$B89,List!$E$2:$E$173,0),MATCH('Selection Pane Data'!BR$3,List!$E$2:$CD$2,0)),"")</f>
        <v/>
      </c>
      <c r="BS89" s="13" t="str">
        <f>IF(BS$4="Yes",INDEX(List!$E$2:$CD$173,MATCH('Selection Pane Data'!$B89,List!$E$2:$E$173,0),MATCH('Selection Pane Data'!BS$3,List!$E$2:$CD$2,0)),"")</f>
        <v/>
      </c>
      <c r="BT89" s="13" t="str">
        <f>IF(BT$4="Yes",INDEX(List!$E$2:$CD$173,MATCH('Selection Pane Data'!$B89,List!$E$2:$E$173,0),MATCH('Selection Pane Data'!BT$3,List!$E$2:$CD$2,0)),"")</f>
        <v/>
      </c>
      <c r="BU89" s="13" t="str">
        <f>IF(BU$4="Yes",INDEX(List!$E$2:$CD$173,MATCH('Selection Pane Data'!$B89,List!$E$2:$E$173,0),MATCH('Selection Pane Data'!BU$3,List!$E$2:$CD$2,0)),"")</f>
        <v/>
      </c>
      <c r="BV89" s="13" t="str">
        <f>IF(BV$4="Yes",INDEX(List!$E$2:$CD$173,MATCH('Selection Pane Data'!$B89,List!$E$2:$E$173,0),MATCH('Selection Pane Data'!BV$3,List!$E$2:$CD$2,0)),"")</f>
        <v/>
      </c>
      <c r="BW89" s="13" t="str">
        <f>IF(BW$4="Yes",INDEX(List!$E$2:$CD$173,MATCH('Selection Pane Data'!$B89,List!$E$2:$E$173,0),MATCH('Selection Pane Data'!BW$3,List!$E$2:$CD$2,0)),"")</f>
        <v/>
      </c>
      <c r="BX89" s="13" t="str">
        <f>IF(BX$4="Yes",INDEX(List!$E$2:$CD$173,MATCH('Selection Pane Data'!$B89,List!$E$2:$E$173,0),MATCH('Selection Pane Data'!BX$3,List!$E$2:$CD$2,0)),"")</f>
        <v/>
      </c>
      <c r="BY89" s="13" t="str">
        <f>IF(BY$4="Yes",INDEX(List!$E$2:$CD$173,MATCH('Selection Pane Data'!$B89,List!$E$2:$E$173,0),MATCH('Selection Pane Data'!BY$3,List!$E$2:$CD$2,0)),"")</f>
        <v/>
      </c>
      <c r="BZ89" s="13" t="str">
        <f>IF(BZ$4="Yes",INDEX(List!$E$2:$CD$173,MATCH('Selection Pane Data'!$B89,List!$E$2:$E$173,0),MATCH('Selection Pane Data'!BZ$3,List!$E$2:$CD$2,0)),"")</f>
        <v/>
      </c>
      <c r="CA89" s="13" t="str">
        <f>IF(CA$4="Yes",INDEX(List!$E$2:$CD$173,MATCH('Selection Pane Data'!$B89,List!$E$2:$E$173,0),MATCH('Selection Pane Data'!CA$3,List!$E$2:$CD$2,0)),"")</f>
        <v/>
      </c>
      <c r="CB89" s="13" t="str">
        <f>IF(CB$4="Yes",INDEX(List!$E$2:$CD$173,MATCH('Selection Pane Data'!$B89,List!$E$2:$E$173,0),MATCH('Selection Pane Data'!CB$3,List!$E$2:$CD$2,0)),"")</f>
        <v/>
      </c>
      <c r="CC89" s="13" t="str">
        <f>IF(CC$4="Yes",INDEX(List!$E$2:$CD$173,MATCH('Selection Pane Data'!$B89,List!$E$2:$E$173,0),MATCH('Selection Pane Data'!CC$3,List!$E$2:$CD$2,0)),"")</f>
        <v/>
      </c>
      <c r="CD89" s="13" t="str">
        <f>IF(CD$4="Yes",INDEX(List!$E$2:$CD$173,MATCH('Selection Pane Data'!$B89,List!$E$2:$E$173,0),MATCH('Selection Pane Data'!CD$3,List!$E$2:$CD$2,0)),"")</f>
        <v/>
      </c>
      <c r="CE89" s="13" t="str">
        <f>IF(CE$4="Yes",INDEX(List!$E$2:$CD$173,MATCH('Selection Pane Data'!$B89,List!$E$2:$E$173,0),MATCH('Selection Pane Data'!CE$3,List!$E$2:$CD$2,0)),"")</f>
        <v/>
      </c>
    </row>
    <row r="90" spans="2:83" x14ac:dyDescent="0.35">
      <c r="B90" s="21" t="s">
        <v>377</v>
      </c>
      <c r="C90" s="126" t="str">
        <f>VLOOKUP(B90,List!$E$2:$G$173,2,FALSE)</f>
        <v>IR.L3-6</v>
      </c>
      <c r="D90" s="31" t="str">
        <f>List!G88</f>
        <v>Not Applicable</v>
      </c>
      <c r="E90" s="31" t="str">
        <f>IF(Placemat!$F$4="All Practices","All Practices",IF(VLOOKUP(B90,Table7[#All],6,FALSE)="No Mapping","New CMMC Practices","Practices with NIST 800-171 Mappings"))</f>
        <v>Practices with NIST 800-171 Mappings</v>
      </c>
      <c r="F90" t="str">
        <f>INDEX('CMMC Levels'!$A$1:$F$172,MATCH('Selection Pane Data'!$C90,'CMMC Levels'!$A$1:$A$172,0),MATCH(Placemat!$F$4,'CMMC Levels'!$A$1:$F$1,0))</f>
        <v>N/A</v>
      </c>
      <c r="G90" s="77" t="str">
        <f>IF((COUNTIF(List!H88:CE88,"P")+COUNTIF(List!H88:CE88,"S"))=0,"N",IF(COUNTIF(H90:CE90,"P"),"P",IF(COUNTIF(H90:CE90,"S"),"S","U")))</f>
        <v>N</v>
      </c>
      <c r="H90" s="13" t="str">
        <f>IF(H$4="Yes",INDEX(List!$E$2:$CD$173,MATCH('Selection Pane Data'!$B90,List!$E$2:$E$173,0),MATCH('Selection Pane Data'!H$3,List!$E$2:$CD$2,0)),"")</f>
        <v/>
      </c>
      <c r="I90" s="13" t="str">
        <f>IF(I$4="Yes",INDEX(List!$E$2:$CD$173,MATCH('Selection Pane Data'!$B90,List!$E$2:$E$173,0),MATCH('Selection Pane Data'!I$3,List!$E$2:$CD$2,0)),"")</f>
        <v/>
      </c>
      <c r="J90" s="13" t="str">
        <f>IF(J$4="Yes",INDEX(List!$E$2:$CD$173,MATCH('Selection Pane Data'!$B90,List!$E$2:$E$173,0),MATCH('Selection Pane Data'!J$3,List!$E$2:$CD$2,0)),"")</f>
        <v>N</v>
      </c>
      <c r="K90" s="13" t="str">
        <f>IF(K$4="Yes",INDEX(List!$E$2:$CD$173,MATCH('Selection Pane Data'!$B90,List!$E$2:$E$173,0),MATCH('Selection Pane Data'!K$3,List!$E$2:$CD$2,0)),"")</f>
        <v/>
      </c>
      <c r="L90" s="13" t="str">
        <f>IF(L$4="Yes",INDEX(List!$E$2:$CD$173,MATCH('Selection Pane Data'!$B90,List!$E$2:$E$173,0),MATCH('Selection Pane Data'!L$3,List!$E$2:$CD$2,0)),"")</f>
        <v/>
      </c>
      <c r="M90" s="13" t="str">
        <f>IF(M$4="Yes",INDEX(List!$E$2:$CD$173,MATCH('Selection Pane Data'!$B90,List!$E$2:$E$173,0),MATCH('Selection Pane Data'!M$3,List!$E$2:$CD$2,0)),"")</f>
        <v/>
      </c>
      <c r="N90" s="13" t="str">
        <f>IF(N$4="Yes",INDEX(List!$E$2:$CD$173,MATCH('Selection Pane Data'!$B90,List!$E$2:$E$173,0),MATCH('Selection Pane Data'!N$3,List!$E$2:$CD$2,0)),"")</f>
        <v/>
      </c>
      <c r="O90" s="13" t="str">
        <f>IF(O$4="Yes",INDEX(List!$E$2:$CD$173,MATCH('Selection Pane Data'!$B90,List!$E$2:$E$173,0),MATCH('Selection Pane Data'!O$3,List!$E$2:$CD$2,0)),"")</f>
        <v/>
      </c>
      <c r="P90" s="13" t="str">
        <f>IF(P$4="Yes",INDEX(List!$E$2:$CD$173,MATCH('Selection Pane Data'!$B90,List!$E$2:$E$173,0),MATCH('Selection Pane Data'!P$3,List!$E$2:$CD$2,0)),"")</f>
        <v/>
      </c>
      <c r="Q90" s="13" t="str">
        <f>IF(Q$4="Yes",INDEX(List!$E$2:$CD$173,MATCH('Selection Pane Data'!$B90,List!$E$2:$E$173,0),MATCH('Selection Pane Data'!Q$3,List!$E$2:$CD$2,0)),"")</f>
        <v/>
      </c>
      <c r="R90" s="13" t="str">
        <f>IF(R$4="Yes",INDEX(List!$E$2:$CD$173,MATCH('Selection Pane Data'!$B90,List!$E$2:$E$173,0),MATCH('Selection Pane Data'!R$3,List!$E$2:$CD$2,0)),"")</f>
        <v/>
      </c>
      <c r="S90" s="13" t="str">
        <f>IF(S$4="Yes",INDEX(List!$E$2:$CD$173,MATCH('Selection Pane Data'!$B90,List!$E$2:$E$173,0),MATCH('Selection Pane Data'!S$3,List!$E$2:$CD$2,0)),"")</f>
        <v/>
      </c>
      <c r="T90" s="13" t="str">
        <f>IF(T$4="Yes",INDEX(List!$E$2:$CD$173,MATCH('Selection Pane Data'!$B90,List!$E$2:$E$173,0),MATCH('Selection Pane Data'!T$3,List!$E$2:$CD$2,0)),"")</f>
        <v/>
      </c>
      <c r="U90" s="13" t="str">
        <f>IF(U$4="Yes",INDEX(List!$E$2:$CD$173,MATCH('Selection Pane Data'!$B90,List!$E$2:$E$173,0),MATCH('Selection Pane Data'!U$3,List!$E$2:$CD$2,0)),"")</f>
        <v/>
      </c>
      <c r="V90" s="13" t="str">
        <f>IF(V$4="Yes",INDEX(List!$E$2:$CD$173,MATCH('Selection Pane Data'!$B90,List!$E$2:$E$173,0),MATCH('Selection Pane Data'!V$3,List!$E$2:$CD$2,0)),"")</f>
        <v/>
      </c>
      <c r="W90" s="13" t="str">
        <f>IF(W$4="Yes",INDEX(List!$E$2:$CD$173,MATCH('Selection Pane Data'!$B90,List!$E$2:$E$173,0),MATCH('Selection Pane Data'!W$3,List!$E$2:$CD$2,0)),"")</f>
        <v/>
      </c>
      <c r="X90" s="13" t="str">
        <f>IF(X$4="Yes",INDEX(List!$E$2:$CD$173,MATCH('Selection Pane Data'!$B90,List!$E$2:$E$173,0),MATCH('Selection Pane Data'!X$3,List!$E$2:$CD$2,0)),"")</f>
        <v/>
      </c>
      <c r="Y90" s="13" t="str">
        <f>IF(Y$4="Yes",INDEX(List!$E$2:$CD$173,MATCH('Selection Pane Data'!$B90,List!$E$2:$E$173,0),MATCH('Selection Pane Data'!Y$3,List!$E$2:$CD$2,0)),"")</f>
        <v/>
      </c>
      <c r="Z90" s="13" t="str">
        <f>IF(Z$4="Yes",INDEX(List!$E$2:$CD$173,MATCH('Selection Pane Data'!$B90,List!$E$2:$E$173,0),MATCH('Selection Pane Data'!Z$3,List!$E$2:$CD$2,0)),"")</f>
        <v/>
      </c>
      <c r="AA90" s="13" t="str">
        <f>IF(AA$4="Yes",INDEX(List!$E$2:$CD$173,MATCH('Selection Pane Data'!$B90,List!$E$2:$E$173,0),MATCH('Selection Pane Data'!AA$3,List!$E$2:$CD$2,0)),"")</f>
        <v>N</v>
      </c>
      <c r="AB90" s="13" t="str">
        <f>IF(AB$4="Yes",INDEX(List!$E$2:$CD$173,MATCH('Selection Pane Data'!$B90,List!$E$2:$E$173,0),MATCH('Selection Pane Data'!AB$3,List!$E$2:$CD$2,0)),"")</f>
        <v/>
      </c>
      <c r="AC90" s="13" t="str">
        <f>IF(AC$4="Yes",INDEX(List!$E$2:$CD$173,MATCH('Selection Pane Data'!$B90,List!$E$2:$E$173,0),MATCH('Selection Pane Data'!AC$3,List!$E$2:$CD$2,0)),"")</f>
        <v/>
      </c>
      <c r="AD90" s="13" t="str">
        <f>IF(AD$4="Yes",INDEX(List!$E$2:$CD$173,MATCH('Selection Pane Data'!$B90,List!$E$2:$E$173,0),MATCH('Selection Pane Data'!AD$3,List!$E$2:$CD$2,0)),"")</f>
        <v/>
      </c>
      <c r="AE90" s="13" t="str">
        <f>IF(AE$4="Yes",INDEX(List!$E$2:$CD$173,MATCH('Selection Pane Data'!$B90,List!$E$2:$E$173,0),MATCH('Selection Pane Data'!AE$3,List!$E$2:$CD$2,0)),"")</f>
        <v/>
      </c>
      <c r="AF90" s="13" t="str">
        <f>IF(AF$4="Yes",INDEX(List!$E$2:$CD$173,MATCH('Selection Pane Data'!$B90,List!$E$2:$E$173,0),MATCH('Selection Pane Data'!AF$3,List!$E$2:$CD$2,0)),"")</f>
        <v/>
      </c>
      <c r="AG90" s="13" t="str">
        <f>IF(AG$4="Yes",INDEX(List!$E$2:$CD$173,MATCH('Selection Pane Data'!$B90,List!$E$2:$E$173,0),MATCH('Selection Pane Data'!AG$3,List!$E$2:$CD$2,0)),"")</f>
        <v/>
      </c>
      <c r="AH90" s="13" t="str">
        <f>IF(AH$4="Yes",INDEX(List!$E$2:$CD$173,MATCH('Selection Pane Data'!$B90,List!$E$2:$E$173,0),MATCH('Selection Pane Data'!AH$3,List!$E$2:$CD$2,0)),"")</f>
        <v/>
      </c>
      <c r="AI90" s="13" t="str">
        <f>IF(AI$4="Yes",INDEX(List!$E$2:$CD$173,MATCH('Selection Pane Data'!$B90,List!$E$2:$E$173,0),MATCH('Selection Pane Data'!AI$3,List!$E$2:$CD$2,0)),"")</f>
        <v/>
      </c>
      <c r="AJ90" s="13" t="str">
        <f>IF(AJ$4="Yes",INDEX(List!$E$2:$CD$173,MATCH('Selection Pane Data'!$B90,List!$E$2:$E$173,0),MATCH('Selection Pane Data'!AJ$3,List!$E$2:$CD$2,0)),"")</f>
        <v/>
      </c>
      <c r="AK90" s="13" t="str">
        <f>IF(AK$4="Yes",INDEX(List!$E$2:$CD$173,MATCH('Selection Pane Data'!$B90,List!$E$2:$E$173,0),MATCH('Selection Pane Data'!AK$3,List!$E$2:$CD$2,0)),"")</f>
        <v/>
      </c>
      <c r="AL90" s="13" t="str">
        <f>IF(AL$4="Yes",INDEX(List!$E$2:$CD$173,MATCH('Selection Pane Data'!$B90,List!$E$2:$E$173,0),MATCH('Selection Pane Data'!AL$3,List!$E$2:$CD$2,0)),"")</f>
        <v/>
      </c>
      <c r="AM90" s="13" t="str">
        <f>IF(AM$4="Yes",INDEX(List!$E$2:$CD$173,MATCH('Selection Pane Data'!$B90,List!$E$2:$E$173,0),MATCH('Selection Pane Data'!AM$3,List!$E$2:$CD$2,0)),"")</f>
        <v/>
      </c>
      <c r="AN90" s="13" t="str">
        <f>IF(AN$4="Yes",INDEX(List!$E$2:$CD$173,MATCH('Selection Pane Data'!$B90,List!$E$2:$E$173,0),MATCH('Selection Pane Data'!AN$3,List!$E$2:$CD$2,0)),"")</f>
        <v/>
      </c>
      <c r="AO90" s="13" t="str">
        <f>IF(AO$4="Yes",INDEX(List!$E$2:$CD$173,MATCH('Selection Pane Data'!$B90,List!$E$2:$E$173,0),MATCH('Selection Pane Data'!AO$3,List!$E$2:$CD$2,0)),"")</f>
        <v/>
      </c>
      <c r="AP90" s="13" t="str">
        <f>IF(AP$4="Yes",INDEX(List!$E$2:$CD$173,MATCH('Selection Pane Data'!$B90,List!$E$2:$E$173,0),MATCH('Selection Pane Data'!AP$3,List!$E$2:$CD$2,0)),"")</f>
        <v/>
      </c>
      <c r="AQ90" s="13" t="str">
        <f>IF(AQ$4="Yes",INDEX(List!$E$2:$CD$173,MATCH('Selection Pane Data'!$B90,List!$E$2:$E$173,0),MATCH('Selection Pane Data'!AQ$3,List!$E$2:$CD$2,0)),"")</f>
        <v/>
      </c>
      <c r="AR90" s="13" t="str">
        <f>IF(AR$4="Yes",INDEX(List!$E$2:$CD$173,MATCH('Selection Pane Data'!$B90,List!$E$2:$E$173,0),MATCH('Selection Pane Data'!AR$3,List!$E$2:$CD$2,0)),"")</f>
        <v/>
      </c>
      <c r="AS90" s="13" t="str">
        <f>IF(AS$4="Yes",INDEX(List!$E$2:$CD$173,MATCH('Selection Pane Data'!$B90,List!$E$2:$E$173,0),MATCH('Selection Pane Data'!AS$3,List!$E$2:$CD$2,0)),"")</f>
        <v/>
      </c>
      <c r="AT90" s="13" t="str">
        <f>IF(AT$4="Yes",INDEX(List!$E$2:$CD$173,MATCH('Selection Pane Data'!$B90,List!$E$2:$E$173,0),MATCH('Selection Pane Data'!AT$3,List!$E$2:$CD$2,0)),"")</f>
        <v/>
      </c>
      <c r="AU90" s="13" t="str">
        <f>IF(AU$4="Yes",INDEX(List!$E$2:$CD$173,MATCH('Selection Pane Data'!$B90,List!$E$2:$E$173,0),MATCH('Selection Pane Data'!AU$3,List!$E$2:$CD$2,0)),"")</f>
        <v/>
      </c>
      <c r="AV90" s="13" t="str">
        <f>IF(AV$4="Yes",INDEX(List!$E$2:$CD$173,MATCH('Selection Pane Data'!$B90,List!$E$2:$E$173,0),MATCH('Selection Pane Data'!AV$3,List!$E$2:$CD$2,0)),"")</f>
        <v/>
      </c>
      <c r="AW90" s="13" t="str">
        <f>IF(AW$4="Yes",INDEX(List!$E$2:$CD$173,MATCH('Selection Pane Data'!$B90,List!$E$2:$E$173,0),MATCH('Selection Pane Data'!AW$3,List!$E$2:$CD$2,0)),"")</f>
        <v/>
      </c>
      <c r="AX90" s="13" t="str">
        <f>IF(AX$4="Yes",INDEX(List!$E$2:$CD$173,MATCH('Selection Pane Data'!$B90,List!$E$2:$E$173,0),MATCH('Selection Pane Data'!AX$3,List!$E$2:$CD$2,0)),"")</f>
        <v/>
      </c>
      <c r="AY90" s="13" t="str">
        <f>IF(AY$4="Yes",INDEX(List!$E$2:$CD$173,MATCH('Selection Pane Data'!$B90,List!$E$2:$E$173,0),MATCH('Selection Pane Data'!AY$3,List!$E$2:$CD$2,0)),"")</f>
        <v/>
      </c>
      <c r="AZ90" s="13" t="str">
        <f>IF(AZ$4="Yes",INDEX(List!$E$2:$CD$173,MATCH('Selection Pane Data'!$B90,List!$E$2:$E$173,0),MATCH('Selection Pane Data'!AZ$3,List!$E$2:$CD$2,0)),"")</f>
        <v/>
      </c>
      <c r="BA90" s="13" t="str">
        <f>IF(BA$4="Yes",INDEX(List!$E$2:$CD$173,MATCH('Selection Pane Data'!$B90,List!$E$2:$E$173,0),MATCH('Selection Pane Data'!BA$3,List!$E$2:$CD$2,0)),"")</f>
        <v/>
      </c>
      <c r="BB90" s="13" t="str">
        <f>IF(BB$4="Yes",INDEX(List!$E$2:$CD$173,MATCH('Selection Pane Data'!$B90,List!$E$2:$E$173,0),MATCH('Selection Pane Data'!BB$3,List!$E$2:$CD$2,0)),"")</f>
        <v/>
      </c>
      <c r="BC90" s="13" t="str">
        <f>IF(BC$4="Yes",INDEX(List!$E$2:$CD$173,MATCH('Selection Pane Data'!$B90,List!$E$2:$E$173,0),MATCH('Selection Pane Data'!BC$3,List!$E$2:$CD$2,0)),"")</f>
        <v/>
      </c>
      <c r="BD90" s="13" t="str">
        <f>IF(BD$4="Yes",INDEX(List!$E$2:$CD$173,MATCH('Selection Pane Data'!$B90,List!$E$2:$E$173,0),MATCH('Selection Pane Data'!BD$3,List!$E$2:$CD$2,0)),"")</f>
        <v/>
      </c>
      <c r="BE90" s="13" t="str">
        <f>IF(BE$4="Yes",INDEX(List!$E$2:$CD$173,MATCH('Selection Pane Data'!$B90,List!$E$2:$E$173,0),MATCH('Selection Pane Data'!BE$3,List!$E$2:$CD$2,0)),"")</f>
        <v/>
      </c>
      <c r="BF90" s="13" t="str">
        <f>IF(BF$4="Yes",INDEX(List!$E$2:$CD$173,MATCH('Selection Pane Data'!$B90,List!$E$2:$E$173,0),MATCH('Selection Pane Data'!BF$3,List!$E$2:$CD$2,0)),"")</f>
        <v/>
      </c>
      <c r="BG90" s="13" t="str">
        <f>IF(BG$4="Yes",INDEX(List!$E$2:$CD$173,MATCH('Selection Pane Data'!$B90,List!$E$2:$E$173,0),MATCH('Selection Pane Data'!BG$3,List!$E$2:$CD$2,0)),"")</f>
        <v/>
      </c>
      <c r="BH90" s="13" t="str">
        <f>IF(BH$4="Yes",INDEX(List!$E$2:$CD$173,MATCH('Selection Pane Data'!$B90,List!$E$2:$E$173,0),MATCH('Selection Pane Data'!BH$3,List!$E$2:$CD$2,0)),"")</f>
        <v/>
      </c>
      <c r="BI90" s="13" t="str">
        <f>IF(BI$4="Yes",INDEX(List!$E$2:$CD$173,MATCH('Selection Pane Data'!$B90,List!$E$2:$E$173,0),MATCH('Selection Pane Data'!BI$3,List!$E$2:$CD$2,0)),"")</f>
        <v/>
      </c>
      <c r="BJ90" s="13" t="str">
        <f>IF(BJ$4="Yes",INDEX(List!$E$2:$CD$173,MATCH('Selection Pane Data'!$B90,List!$E$2:$E$173,0),MATCH('Selection Pane Data'!BJ$3,List!$E$2:$CD$2,0)),"")</f>
        <v/>
      </c>
      <c r="BK90" s="13" t="str">
        <f>IF(BK$4="Yes",INDEX(List!$E$2:$CD$173,MATCH('Selection Pane Data'!$B90,List!$E$2:$E$173,0),MATCH('Selection Pane Data'!BK$3,List!$E$2:$CD$2,0)),"")</f>
        <v/>
      </c>
      <c r="BL90" s="13" t="str">
        <f>IF(BL$4="Yes",INDEX(List!$E$2:$CD$173,MATCH('Selection Pane Data'!$B90,List!$E$2:$E$173,0),MATCH('Selection Pane Data'!BL$3,List!$E$2:$CD$2,0)),"")</f>
        <v/>
      </c>
      <c r="BM90" s="13" t="str">
        <f>IF(BM$4="Yes",INDEX(List!$E$2:$CD$173,MATCH('Selection Pane Data'!$B90,List!$E$2:$E$173,0),MATCH('Selection Pane Data'!BM$3,List!$E$2:$CD$2,0)),"")</f>
        <v/>
      </c>
      <c r="BN90" s="13" t="str">
        <f>IF(BN$4="Yes",INDEX(List!$E$2:$CD$173,MATCH('Selection Pane Data'!$B90,List!$E$2:$E$173,0),MATCH('Selection Pane Data'!BN$3,List!$E$2:$CD$2,0)),"")</f>
        <v/>
      </c>
      <c r="BO90" s="13" t="str">
        <f>IF(BO$4="Yes",INDEX(List!$E$2:$CD$173,MATCH('Selection Pane Data'!$B90,List!$E$2:$E$173,0),MATCH('Selection Pane Data'!BO$3,List!$E$2:$CD$2,0)),"")</f>
        <v/>
      </c>
      <c r="BP90" s="13" t="str">
        <f>IF(BP$4="Yes",INDEX(List!$E$2:$CD$173,MATCH('Selection Pane Data'!$B90,List!$E$2:$E$173,0),MATCH('Selection Pane Data'!BP$3,List!$E$2:$CD$2,0)),"")</f>
        <v/>
      </c>
      <c r="BQ90" s="13" t="str">
        <f>IF(BQ$4="Yes",INDEX(List!$E$2:$CD$173,MATCH('Selection Pane Data'!$B90,List!$E$2:$E$173,0),MATCH('Selection Pane Data'!BQ$3,List!$E$2:$CD$2,0)),"")</f>
        <v/>
      </c>
      <c r="BR90" s="13" t="str">
        <f>IF(BR$4="Yes",INDEX(List!$E$2:$CD$173,MATCH('Selection Pane Data'!$B90,List!$E$2:$E$173,0),MATCH('Selection Pane Data'!BR$3,List!$E$2:$CD$2,0)),"")</f>
        <v/>
      </c>
      <c r="BS90" s="13" t="str">
        <f>IF(BS$4="Yes",INDEX(List!$E$2:$CD$173,MATCH('Selection Pane Data'!$B90,List!$E$2:$E$173,0),MATCH('Selection Pane Data'!BS$3,List!$E$2:$CD$2,0)),"")</f>
        <v/>
      </c>
      <c r="BT90" s="13" t="str">
        <f>IF(BT$4="Yes",INDEX(List!$E$2:$CD$173,MATCH('Selection Pane Data'!$B90,List!$E$2:$E$173,0),MATCH('Selection Pane Data'!BT$3,List!$E$2:$CD$2,0)),"")</f>
        <v/>
      </c>
      <c r="BU90" s="13" t="str">
        <f>IF(BU$4="Yes",INDEX(List!$E$2:$CD$173,MATCH('Selection Pane Data'!$B90,List!$E$2:$E$173,0),MATCH('Selection Pane Data'!BU$3,List!$E$2:$CD$2,0)),"")</f>
        <v/>
      </c>
      <c r="BV90" s="13" t="str">
        <f>IF(BV$4="Yes",INDEX(List!$E$2:$CD$173,MATCH('Selection Pane Data'!$B90,List!$E$2:$E$173,0),MATCH('Selection Pane Data'!BV$3,List!$E$2:$CD$2,0)),"")</f>
        <v/>
      </c>
      <c r="BW90" s="13" t="str">
        <f>IF(BW$4="Yes",INDEX(List!$E$2:$CD$173,MATCH('Selection Pane Data'!$B90,List!$E$2:$E$173,0),MATCH('Selection Pane Data'!BW$3,List!$E$2:$CD$2,0)),"")</f>
        <v/>
      </c>
      <c r="BX90" s="13" t="str">
        <f>IF(BX$4="Yes",INDEX(List!$E$2:$CD$173,MATCH('Selection Pane Data'!$B90,List!$E$2:$E$173,0),MATCH('Selection Pane Data'!BX$3,List!$E$2:$CD$2,0)),"")</f>
        <v/>
      </c>
      <c r="BY90" s="13" t="str">
        <f>IF(BY$4="Yes",INDEX(List!$E$2:$CD$173,MATCH('Selection Pane Data'!$B90,List!$E$2:$E$173,0),MATCH('Selection Pane Data'!BY$3,List!$E$2:$CD$2,0)),"")</f>
        <v/>
      </c>
      <c r="BZ90" s="13" t="str">
        <f>IF(BZ$4="Yes",INDEX(List!$E$2:$CD$173,MATCH('Selection Pane Data'!$B90,List!$E$2:$E$173,0),MATCH('Selection Pane Data'!BZ$3,List!$E$2:$CD$2,0)),"")</f>
        <v/>
      </c>
      <c r="CA90" s="13" t="str">
        <f>IF(CA$4="Yes",INDEX(List!$E$2:$CD$173,MATCH('Selection Pane Data'!$B90,List!$E$2:$E$173,0),MATCH('Selection Pane Data'!CA$3,List!$E$2:$CD$2,0)),"")</f>
        <v/>
      </c>
      <c r="CB90" s="13" t="str">
        <f>IF(CB$4="Yes",INDEX(List!$E$2:$CD$173,MATCH('Selection Pane Data'!$B90,List!$E$2:$E$173,0),MATCH('Selection Pane Data'!CB$3,List!$E$2:$CD$2,0)),"")</f>
        <v/>
      </c>
      <c r="CC90" s="13" t="str">
        <f>IF(CC$4="Yes",INDEX(List!$E$2:$CD$173,MATCH('Selection Pane Data'!$B90,List!$E$2:$E$173,0),MATCH('Selection Pane Data'!CC$3,List!$E$2:$CD$2,0)),"")</f>
        <v/>
      </c>
      <c r="CD90" s="13" t="str">
        <f>IF(CD$4="Yes",INDEX(List!$E$2:$CD$173,MATCH('Selection Pane Data'!$B90,List!$E$2:$E$173,0),MATCH('Selection Pane Data'!CD$3,List!$E$2:$CD$2,0)),"")</f>
        <v/>
      </c>
      <c r="CE90" s="13" t="str">
        <f>IF(CE$4="Yes",INDEX(List!$E$2:$CD$173,MATCH('Selection Pane Data'!$B90,List!$E$2:$E$173,0),MATCH('Selection Pane Data'!CE$3,List!$E$2:$CD$2,0)),"")</f>
        <v/>
      </c>
    </row>
    <row r="91" spans="2:83" x14ac:dyDescent="0.35">
      <c r="B91" s="21" t="s">
        <v>378</v>
      </c>
      <c r="C91" s="126" t="str">
        <f>VLOOKUP(B91,List!$E$2:$G$173,2,FALSE)</f>
        <v>N/A</v>
      </c>
      <c r="D91" s="31" t="str">
        <f>List!G89</f>
        <v>Not Applicable</v>
      </c>
      <c r="E91" s="31" t="str">
        <f>IF(Placemat!$F$4="All Practices","All Practices",IF(VLOOKUP(B91,Table7[#All],6,FALSE)="No Mapping","New CMMC Practices","Practices with NIST 800-171 Mappings"))</f>
        <v>Practices with NIST 800-171 Mappings</v>
      </c>
      <c r="F91" t="str">
        <f>INDEX('CMMC Levels'!$A$1:$F$172,MATCH('Selection Pane Data'!$C91,'CMMC Levels'!$A$1:$A$172,0),MATCH(Placemat!$F$4,'CMMC Levels'!$A$1:$F$1,0))</f>
        <v>N/A</v>
      </c>
      <c r="G91" s="77" t="str">
        <f>IF((COUNTIF(List!H89:CE89,"P")+COUNTIF(List!H89:CE89,"S"))=0,"N",IF(COUNTIF(H91:CE91,"P"),"P",IF(COUNTIF(H91:CE91,"S"),"S","U")))</f>
        <v>N</v>
      </c>
      <c r="H91" s="13" t="str">
        <f>IF(H$4="Yes",INDEX(List!$E$2:$CD$173,MATCH('Selection Pane Data'!$B91,List!$E$2:$E$173,0),MATCH('Selection Pane Data'!H$3,List!$E$2:$CD$2,0)),"")</f>
        <v/>
      </c>
      <c r="I91" s="13" t="str">
        <f>IF(I$4="Yes",INDEX(List!$E$2:$CD$173,MATCH('Selection Pane Data'!$B91,List!$E$2:$E$173,0),MATCH('Selection Pane Data'!I$3,List!$E$2:$CD$2,0)),"")</f>
        <v/>
      </c>
      <c r="J91" s="13" t="e">
        <f>IF(J$4="Yes",INDEX(List!$E$2:$CD$173,MATCH('Selection Pane Data'!$B91,List!$E$2:$E$173,0),MATCH('Selection Pane Data'!J$3,List!$E$2:$CD$2,0)),"")</f>
        <v>#N/A</v>
      </c>
      <c r="K91" s="13" t="str">
        <f>IF(K$4="Yes",INDEX(List!$E$2:$CD$173,MATCH('Selection Pane Data'!$B91,List!$E$2:$E$173,0),MATCH('Selection Pane Data'!K$3,List!$E$2:$CD$2,0)),"")</f>
        <v/>
      </c>
      <c r="L91" s="13" t="str">
        <f>IF(L$4="Yes",INDEX(List!$E$2:$CD$173,MATCH('Selection Pane Data'!$B91,List!$E$2:$E$173,0),MATCH('Selection Pane Data'!L$3,List!$E$2:$CD$2,0)),"")</f>
        <v/>
      </c>
      <c r="M91" s="13" t="str">
        <f>IF(M$4="Yes",INDEX(List!$E$2:$CD$173,MATCH('Selection Pane Data'!$B91,List!$E$2:$E$173,0),MATCH('Selection Pane Data'!M$3,List!$E$2:$CD$2,0)),"")</f>
        <v/>
      </c>
      <c r="N91" s="13" t="str">
        <f>IF(N$4="Yes",INDEX(List!$E$2:$CD$173,MATCH('Selection Pane Data'!$B91,List!$E$2:$E$173,0),MATCH('Selection Pane Data'!N$3,List!$E$2:$CD$2,0)),"")</f>
        <v/>
      </c>
      <c r="O91" s="13" t="str">
        <f>IF(O$4="Yes",INDEX(List!$E$2:$CD$173,MATCH('Selection Pane Data'!$B91,List!$E$2:$E$173,0),MATCH('Selection Pane Data'!O$3,List!$E$2:$CD$2,0)),"")</f>
        <v/>
      </c>
      <c r="P91" s="13" t="str">
        <f>IF(P$4="Yes",INDEX(List!$E$2:$CD$173,MATCH('Selection Pane Data'!$B91,List!$E$2:$E$173,0),MATCH('Selection Pane Data'!P$3,List!$E$2:$CD$2,0)),"")</f>
        <v/>
      </c>
      <c r="Q91" s="13" t="str">
        <f>IF(Q$4="Yes",INDEX(List!$E$2:$CD$173,MATCH('Selection Pane Data'!$B91,List!$E$2:$E$173,0),MATCH('Selection Pane Data'!Q$3,List!$E$2:$CD$2,0)),"")</f>
        <v/>
      </c>
      <c r="R91" s="13" t="str">
        <f>IF(R$4="Yes",INDEX(List!$E$2:$CD$173,MATCH('Selection Pane Data'!$B91,List!$E$2:$E$173,0),MATCH('Selection Pane Data'!R$3,List!$E$2:$CD$2,0)),"")</f>
        <v/>
      </c>
      <c r="S91" s="13" t="str">
        <f>IF(S$4="Yes",INDEX(List!$E$2:$CD$173,MATCH('Selection Pane Data'!$B91,List!$E$2:$E$173,0),MATCH('Selection Pane Data'!S$3,List!$E$2:$CD$2,0)),"")</f>
        <v/>
      </c>
      <c r="T91" s="13" t="str">
        <f>IF(T$4="Yes",INDEX(List!$E$2:$CD$173,MATCH('Selection Pane Data'!$B91,List!$E$2:$E$173,0),MATCH('Selection Pane Data'!T$3,List!$E$2:$CD$2,0)),"")</f>
        <v/>
      </c>
      <c r="U91" s="13" t="str">
        <f>IF(U$4="Yes",INDEX(List!$E$2:$CD$173,MATCH('Selection Pane Data'!$B91,List!$E$2:$E$173,0),MATCH('Selection Pane Data'!U$3,List!$E$2:$CD$2,0)),"")</f>
        <v/>
      </c>
      <c r="V91" s="13" t="str">
        <f>IF(V$4="Yes",INDEX(List!$E$2:$CD$173,MATCH('Selection Pane Data'!$B91,List!$E$2:$E$173,0),MATCH('Selection Pane Data'!V$3,List!$E$2:$CD$2,0)),"")</f>
        <v/>
      </c>
      <c r="W91" s="13" t="str">
        <f>IF(W$4="Yes",INDEX(List!$E$2:$CD$173,MATCH('Selection Pane Data'!$B91,List!$E$2:$E$173,0),MATCH('Selection Pane Data'!W$3,List!$E$2:$CD$2,0)),"")</f>
        <v/>
      </c>
      <c r="X91" s="13" t="str">
        <f>IF(X$4="Yes",INDEX(List!$E$2:$CD$173,MATCH('Selection Pane Data'!$B91,List!$E$2:$E$173,0),MATCH('Selection Pane Data'!X$3,List!$E$2:$CD$2,0)),"")</f>
        <v/>
      </c>
      <c r="Y91" s="13" t="str">
        <f>IF(Y$4="Yes",INDEX(List!$E$2:$CD$173,MATCH('Selection Pane Data'!$B91,List!$E$2:$E$173,0),MATCH('Selection Pane Data'!Y$3,List!$E$2:$CD$2,0)),"")</f>
        <v/>
      </c>
      <c r="Z91" s="13" t="str">
        <f>IF(Z$4="Yes",INDEX(List!$E$2:$CD$173,MATCH('Selection Pane Data'!$B91,List!$E$2:$E$173,0),MATCH('Selection Pane Data'!Z$3,List!$E$2:$CD$2,0)),"")</f>
        <v/>
      </c>
      <c r="AA91" s="13" t="e">
        <f>IF(AA$4="Yes",INDEX(List!$E$2:$CD$173,MATCH('Selection Pane Data'!$B91,List!$E$2:$E$173,0),MATCH('Selection Pane Data'!AA$3,List!$E$2:$CD$2,0)),"")</f>
        <v>#N/A</v>
      </c>
      <c r="AB91" s="13" t="str">
        <f>IF(AB$4="Yes",INDEX(List!$E$2:$CD$173,MATCH('Selection Pane Data'!$B91,List!$E$2:$E$173,0),MATCH('Selection Pane Data'!AB$3,List!$E$2:$CD$2,0)),"")</f>
        <v/>
      </c>
      <c r="AC91" s="13" t="str">
        <f>IF(AC$4="Yes",INDEX(List!$E$2:$CD$173,MATCH('Selection Pane Data'!$B91,List!$E$2:$E$173,0),MATCH('Selection Pane Data'!AC$3,List!$E$2:$CD$2,0)),"")</f>
        <v/>
      </c>
      <c r="AD91" s="13" t="str">
        <f>IF(AD$4="Yes",INDEX(List!$E$2:$CD$173,MATCH('Selection Pane Data'!$B91,List!$E$2:$E$173,0),MATCH('Selection Pane Data'!AD$3,List!$E$2:$CD$2,0)),"")</f>
        <v/>
      </c>
      <c r="AE91" s="13" t="str">
        <f>IF(AE$4="Yes",INDEX(List!$E$2:$CD$173,MATCH('Selection Pane Data'!$B91,List!$E$2:$E$173,0),MATCH('Selection Pane Data'!AE$3,List!$E$2:$CD$2,0)),"")</f>
        <v/>
      </c>
      <c r="AF91" s="13" t="str">
        <f>IF(AF$4="Yes",INDEX(List!$E$2:$CD$173,MATCH('Selection Pane Data'!$B91,List!$E$2:$E$173,0),MATCH('Selection Pane Data'!AF$3,List!$E$2:$CD$2,0)),"")</f>
        <v/>
      </c>
      <c r="AG91" s="13" t="str">
        <f>IF(AG$4="Yes",INDEX(List!$E$2:$CD$173,MATCH('Selection Pane Data'!$B91,List!$E$2:$E$173,0),MATCH('Selection Pane Data'!AG$3,List!$E$2:$CD$2,0)),"")</f>
        <v/>
      </c>
      <c r="AH91" s="13" t="str">
        <f>IF(AH$4="Yes",INDEX(List!$E$2:$CD$173,MATCH('Selection Pane Data'!$B91,List!$E$2:$E$173,0),MATCH('Selection Pane Data'!AH$3,List!$E$2:$CD$2,0)),"")</f>
        <v/>
      </c>
      <c r="AI91" s="13" t="str">
        <f>IF(AI$4="Yes",INDEX(List!$E$2:$CD$173,MATCH('Selection Pane Data'!$B91,List!$E$2:$E$173,0),MATCH('Selection Pane Data'!AI$3,List!$E$2:$CD$2,0)),"")</f>
        <v/>
      </c>
      <c r="AJ91" s="13" t="str">
        <f>IF(AJ$4="Yes",INDEX(List!$E$2:$CD$173,MATCH('Selection Pane Data'!$B91,List!$E$2:$E$173,0),MATCH('Selection Pane Data'!AJ$3,List!$E$2:$CD$2,0)),"")</f>
        <v/>
      </c>
      <c r="AK91" s="13" t="str">
        <f>IF(AK$4="Yes",INDEX(List!$E$2:$CD$173,MATCH('Selection Pane Data'!$B91,List!$E$2:$E$173,0),MATCH('Selection Pane Data'!AK$3,List!$E$2:$CD$2,0)),"")</f>
        <v/>
      </c>
      <c r="AL91" s="13" t="str">
        <f>IF(AL$4="Yes",INDEX(List!$E$2:$CD$173,MATCH('Selection Pane Data'!$B91,List!$E$2:$E$173,0),MATCH('Selection Pane Data'!AL$3,List!$E$2:$CD$2,0)),"")</f>
        <v/>
      </c>
      <c r="AM91" s="13" t="str">
        <f>IF(AM$4="Yes",INDEX(List!$E$2:$CD$173,MATCH('Selection Pane Data'!$B91,List!$E$2:$E$173,0),MATCH('Selection Pane Data'!AM$3,List!$E$2:$CD$2,0)),"")</f>
        <v/>
      </c>
      <c r="AN91" s="13" t="str">
        <f>IF(AN$4="Yes",INDEX(List!$E$2:$CD$173,MATCH('Selection Pane Data'!$B91,List!$E$2:$E$173,0),MATCH('Selection Pane Data'!AN$3,List!$E$2:$CD$2,0)),"")</f>
        <v/>
      </c>
      <c r="AO91" s="13" t="str">
        <f>IF(AO$4="Yes",INDEX(List!$E$2:$CD$173,MATCH('Selection Pane Data'!$B91,List!$E$2:$E$173,0),MATCH('Selection Pane Data'!AO$3,List!$E$2:$CD$2,0)),"")</f>
        <v/>
      </c>
      <c r="AP91" s="13" t="str">
        <f>IF(AP$4="Yes",INDEX(List!$E$2:$CD$173,MATCH('Selection Pane Data'!$B91,List!$E$2:$E$173,0),MATCH('Selection Pane Data'!AP$3,List!$E$2:$CD$2,0)),"")</f>
        <v/>
      </c>
      <c r="AQ91" s="13" t="str">
        <f>IF(AQ$4="Yes",INDEX(List!$E$2:$CD$173,MATCH('Selection Pane Data'!$B91,List!$E$2:$E$173,0),MATCH('Selection Pane Data'!AQ$3,List!$E$2:$CD$2,0)),"")</f>
        <v/>
      </c>
      <c r="AR91" s="13" t="str">
        <f>IF(AR$4="Yes",INDEX(List!$E$2:$CD$173,MATCH('Selection Pane Data'!$B91,List!$E$2:$E$173,0),MATCH('Selection Pane Data'!AR$3,List!$E$2:$CD$2,0)),"")</f>
        <v/>
      </c>
      <c r="AS91" s="13" t="str">
        <f>IF(AS$4="Yes",INDEX(List!$E$2:$CD$173,MATCH('Selection Pane Data'!$B91,List!$E$2:$E$173,0),MATCH('Selection Pane Data'!AS$3,List!$E$2:$CD$2,0)),"")</f>
        <v/>
      </c>
      <c r="AT91" s="13" t="str">
        <f>IF(AT$4="Yes",INDEX(List!$E$2:$CD$173,MATCH('Selection Pane Data'!$B91,List!$E$2:$E$173,0),MATCH('Selection Pane Data'!AT$3,List!$E$2:$CD$2,0)),"")</f>
        <v/>
      </c>
      <c r="AU91" s="13" t="str">
        <f>IF(AU$4="Yes",INDEX(List!$E$2:$CD$173,MATCH('Selection Pane Data'!$B91,List!$E$2:$E$173,0),MATCH('Selection Pane Data'!AU$3,List!$E$2:$CD$2,0)),"")</f>
        <v/>
      </c>
      <c r="AV91" s="13" t="str">
        <f>IF(AV$4="Yes",INDEX(List!$E$2:$CD$173,MATCH('Selection Pane Data'!$B91,List!$E$2:$E$173,0),MATCH('Selection Pane Data'!AV$3,List!$E$2:$CD$2,0)),"")</f>
        <v/>
      </c>
      <c r="AW91" s="13" t="str">
        <f>IF(AW$4="Yes",INDEX(List!$E$2:$CD$173,MATCH('Selection Pane Data'!$B91,List!$E$2:$E$173,0),MATCH('Selection Pane Data'!AW$3,List!$E$2:$CD$2,0)),"")</f>
        <v/>
      </c>
      <c r="AX91" s="13" t="str">
        <f>IF(AX$4="Yes",INDEX(List!$E$2:$CD$173,MATCH('Selection Pane Data'!$B91,List!$E$2:$E$173,0),MATCH('Selection Pane Data'!AX$3,List!$E$2:$CD$2,0)),"")</f>
        <v/>
      </c>
      <c r="AY91" s="13" t="str">
        <f>IF(AY$4="Yes",INDEX(List!$E$2:$CD$173,MATCH('Selection Pane Data'!$B91,List!$E$2:$E$173,0),MATCH('Selection Pane Data'!AY$3,List!$E$2:$CD$2,0)),"")</f>
        <v/>
      </c>
      <c r="AZ91" s="13" t="str">
        <f>IF(AZ$4="Yes",INDEX(List!$E$2:$CD$173,MATCH('Selection Pane Data'!$B91,List!$E$2:$E$173,0),MATCH('Selection Pane Data'!AZ$3,List!$E$2:$CD$2,0)),"")</f>
        <v/>
      </c>
      <c r="BA91" s="13" t="str">
        <f>IF(BA$4="Yes",INDEX(List!$E$2:$CD$173,MATCH('Selection Pane Data'!$B91,List!$E$2:$E$173,0),MATCH('Selection Pane Data'!BA$3,List!$E$2:$CD$2,0)),"")</f>
        <v/>
      </c>
      <c r="BB91" s="13" t="str">
        <f>IF(BB$4="Yes",INDEX(List!$E$2:$CD$173,MATCH('Selection Pane Data'!$B91,List!$E$2:$E$173,0),MATCH('Selection Pane Data'!BB$3,List!$E$2:$CD$2,0)),"")</f>
        <v/>
      </c>
      <c r="BC91" s="13" t="str">
        <f>IF(BC$4="Yes",INDEX(List!$E$2:$CD$173,MATCH('Selection Pane Data'!$B91,List!$E$2:$E$173,0),MATCH('Selection Pane Data'!BC$3,List!$E$2:$CD$2,0)),"")</f>
        <v/>
      </c>
      <c r="BD91" s="13" t="str">
        <f>IF(BD$4="Yes",INDEX(List!$E$2:$CD$173,MATCH('Selection Pane Data'!$B91,List!$E$2:$E$173,0),MATCH('Selection Pane Data'!BD$3,List!$E$2:$CD$2,0)),"")</f>
        <v/>
      </c>
      <c r="BE91" s="13" t="str">
        <f>IF(BE$4="Yes",INDEX(List!$E$2:$CD$173,MATCH('Selection Pane Data'!$B91,List!$E$2:$E$173,0),MATCH('Selection Pane Data'!BE$3,List!$E$2:$CD$2,0)),"")</f>
        <v/>
      </c>
      <c r="BF91" s="13" t="str">
        <f>IF(BF$4="Yes",INDEX(List!$E$2:$CD$173,MATCH('Selection Pane Data'!$B91,List!$E$2:$E$173,0),MATCH('Selection Pane Data'!BF$3,List!$E$2:$CD$2,0)),"")</f>
        <v/>
      </c>
      <c r="BG91" s="13" t="str">
        <f>IF(BG$4="Yes",INDEX(List!$E$2:$CD$173,MATCH('Selection Pane Data'!$B91,List!$E$2:$E$173,0),MATCH('Selection Pane Data'!BG$3,List!$E$2:$CD$2,0)),"")</f>
        <v/>
      </c>
      <c r="BH91" s="13" t="str">
        <f>IF(BH$4="Yes",INDEX(List!$E$2:$CD$173,MATCH('Selection Pane Data'!$B91,List!$E$2:$E$173,0),MATCH('Selection Pane Data'!BH$3,List!$E$2:$CD$2,0)),"")</f>
        <v/>
      </c>
      <c r="BI91" s="13" t="str">
        <f>IF(BI$4="Yes",INDEX(List!$E$2:$CD$173,MATCH('Selection Pane Data'!$B91,List!$E$2:$E$173,0),MATCH('Selection Pane Data'!BI$3,List!$E$2:$CD$2,0)),"")</f>
        <v/>
      </c>
      <c r="BJ91" s="13" t="str">
        <f>IF(BJ$4="Yes",INDEX(List!$E$2:$CD$173,MATCH('Selection Pane Data'!$B91,List!$E$2:$E$173,0),MATCH('Selection Pane Data'!BJ$3,List!$E$2:$CD$2,0)),"")</f>
        <v/>
      </c>
      <c r="BK91" s="13" t="str">
        <f>IF(BK$4="Yes",INDEX(List!$E$2:$CD$173,MATCH('Selection Pane Data'!$B91,List!$E$2:$E$173,0),MATCH('Selection Pane Data'!BK$3,List!$E$2:$CD$2,0)),"")</f>
        <v/>
      </c>
      <c r="BL91" s="13" t="str">
        <f>IF(BL$4="Yes",INDEX(List!$E$2:$CD$173,MATCH('Selection Pane Data'!$B91,List!$E$2:$E$173,0),MATCH('Selection Pane Data'!BL$3,List!$E$2:$CD$2,0)),"")</f>
        <v/>
      </c>
      <c r="BM91" s="13" t="str">
        <f>IF(BM$4="Yes",INDEX(List!$E$2:$CD$173,MATCH('Selection Pane Data'!$B91,List!$E$2:$E$173,0),MATCH('Selection Pane Data'!BM$3,List!$E$2:$CD$2,0)),"")</f>
        <v/>
      </c>
      <c r="BN91" s="13" t="str">
        <f>IF(BN$4="Yes",INDEX(List!$E$2:$CD$173,MATCH('Selection Pane Data'!$B91,List!$E$2:$E$173,0),MATCH('Selection Pane Data'!BN$3,List!$E$2:$CD$2,0)),"")</f>
        <v/>
      </c>
      <c r="BO91" s="13" t="str">
        <f>IF(BO$4="Yes",INDEX(List!$E$2:$CD$173,MATCH('Selection Pane Data'!$B91,List!$E$2:$E$173,0),MATCH('Selection Pane Data'!BO$3,List!$E$2:$CD$2,0)),"")</f>
        <v/>
      </c>
      <c r="BP91" s="13" t="str">
        <f>IF(BP$4="Yes",INDEX(List!$E$2:$CD$173,MATCH('Selection Pane Data'!$B91,List!$E$2:$E$173,0),MATCH('Selection Pane Data'!BP$3,List!$E$2:$CD$2,0)),"")</f>
        <v/>
      </c>
      <c r="BQ91" s="13" t="str">
        <f>IF(BQ$4="Yes",INDEX(List!$E$2:$CD$173,MATCH('Selection Pane Data'!$B91,List!$E$2:$E$173,0),MATCH('Selection Pane Data'!BQ$3,List!$E$2:$CD$2,0)),"")</f>
        <v/>
      </c>
      <c r="BR91" s="13" t="str">
        <f>IF(BR$4="Yes",INDEX(List!$E$2:$CD$173,MATCH('Selection Pane Data'!$B91,List!$E$2:$E$173,0),MATCH('Selection Pane Data'!BR$3,List!$E$2:$CD$2,0)),"")</f>
        <v/>
      </c>
      <c r="BS91" s="13" t="str">
        <f>IF(BS$4="Yes",INDEX(List!$E$2:$CD$173,MATCH('Selection Pane Data'!$B91,List!$E$2:$E$173,0),MATCH('Selection Pane Data'!BS$3,List!$E$2:$CD$2,0)),"")</f>
        <v/>
      </c>
      <c r="BT91" s="13" t="str">
        <f>IF(BT$4="Yes",INDEX(List!$E$2:$CD$173,MATCH('Selection Pane Data'!$B91,List!$E$2:$E$173,0),MATCH('Selection Pane Data'!BT$3,List!$E$2:$CD$2,0)),"")</f>
        <v/>
      </c>
      <c r="BU91" s="13" t="str">
        <f>IF(BU$4="Yes",INDEX(List!$E$2:$CD$173,MATCH('Selection Pane Data'!$B91,List!$E$2:$E$173,0),MATCH('Selection Pane Data'!BU$3,List!$E$2:$CD$2,0)),"")</f>
        <v/>
      </c>
      <c r="BV91" s="13" t="str">
        <f>IF(BV$4="Yes",INDEX(List!$E$2:$CD$173,MATCH('Selection Pane Data'!$B91,List!$E$2:$E$173,0),MATCH('Selection Pane Data'!BV$3,List!$E$2:$CD$2,0)),"")</f>
        <v/>
      </c>
      <c r="BW91" s="13" t="str">
        <f>IF(BW$4="Yes",INDEX(List!$E$2:$CD$173,MATCH('Selection Pane Data'!$B91,List!$E$2:$E$173,0),MATCH('Selection Pane Data'!BW$3,List!$E$2:$CD$2,0)),"")</f>
        <v/>
      </c>
      <c r="BX91" s="13" t="str">
        <f>IF(BX$4="Yes",INDEX(List!$E$2:$CD$173,MATCH('Selection Pane Data'!$B91,List!$E$2:$E$173,0),MATCH('Selection Pane Data'!BX$3,List!$E$2:$CD$2,0)),"")</f>
        <v/>
      </c>
      <c r="BY91" s="13" t="str">
        <f>IF(BY$4="Yes",INDEX(List!$E$2:$CD$173,MATCH('Selection Pane Data'!$B91,List!$E$2:$E$173,0),MATCH('Selection Pane Data'!BY$3,List!$E$2:$CD$2,0)),"")</f>
        <v/>
      </c>
      <c r="BZ91" s="13" t="str">
        <f>IF(BZ$4="Yes",INDEX(List!$E$2:$CD$173,MATCH('Selection Pane Data'!$B91,List!$E$2:$E$173,0),MATCH('Selection Pane Data'!BZ$3,List!$E$2:$CD$2,0)),"")</f>
        <v/>
      </c>
      <c r="CA91" s="13" t="str">
        <f>IF(CA$4="Yes",INDEX(List!$E$2:$CD$173,MATCH('Selection Pane Data'!$B91,List!$E$2:$E$173,0),MATCH('Selection Pane Data'!CA$3,List!$E$2:$CD$2,0)),"")</f>
        <v/>
      </c>
      <c r="CB91" s="13" t="str">
        <f>IF(CB$4="Yes",INDEX(List!$E$2:$CD$173,MATCH('Selection Pane Data'!$B91,List!$E$2:$E$173,0),MATCH('Selection Pane Data'!CB$3,List!$E$2:$CD$2,0)),"")</f>
        <v/>
      </c>
      <c r="CC91" s="13" t="str">
        <f>IF(CC$4="Yes",INDEX(List!$E$2:$CD$173,MATCH('Selection Pane Data'!$B91,List!$E$2:$E$173,0),MATCH('Selection Pane Data'!CC$3,List!$E$2:$CD$2,0)),"")</f>
        <v/>
      </c>
      <c r="CD91" s="13" t="str">
        <f>IF(CD$4="Yes",INDEX(List!$E$2:$CD$173,MATCH('Selection Pane Data'!$B91,List!$E$2:$E$173,0),MATCH('Selection Pane Data'!CD$3,List!$E$2:$CD$2,0)),"")</f>
        <v/>
      </c>
      <c r="CE91" s="13" t="str">
        <f>IF(CE$4="Yes",INDEX(List!$E$2:$CD$173,MATCH('Selection Pane Data'!$B91,List!$E$2:$E$173,0),MATCH('Selection Pane Data'!CE$3,List!$E$2:$CD$2,0)),"")</f>
        <v/>
      </c>
    </row>
    <row r="92" spans="2:83" x14ac:dyDescent="0.35">
      <c r="B92" s="21" t="s">
        <v>379</v>
      </c>
      <c r="C92" s="126" t="str">
        <f>VLOOKUP(B92,List!$E$2:$G$173,2,FALSE)</f>
        <v>N/A</v>
      </c>
      <c r="D92" s="31" t="str">
        <f>List!G90</f>
        <v>Not Applicable</v>
      </c>
      <c r="E92" s="31" t="str">
        <f>IF(Placemat!$F$4="All Practices","All Practices",IF(VLOOKUP(B92,Table7[#All],6,FALSE)="No Mapping","New CMMC Practices","Practices with NIST 800-171 Mappings"))</f>
        <v>Practices with NIST 800-171 Mappings</v>
      </c>
      <c r="F92" t="str">
        <f>INDEX('CMMC Levels'!$A$1:$F$172,MATCH('Selection Pane Data'!$C92,'CMMC Levels'!$A$1:$A$172,0),MATCH(Placemat!$F$4,'CMMC Levels'!$A$1:$F$1,0))</f>
        <v>N/A</v>
      </c>
      <c r="G92" s="77" t="str">
        <f>IF((COUNTIF(List!H90:CE90,"P")+COUNTIF(List!H90:CE90,"S"))=0,"N",IF(COUNTIF(H92:CE92,"P"),"P",IF(COUNTIF(H92:CE92,"S"),"S","U")))</f>
        <v>N</v>
      </c>
      <c r="H92" s="13" t="str">
        <f>IF(H$4="Yes",INDEX(List!$E$2:$CD$173,MATCH('Selection Pane Data'!$B92,List!$E$2:$E$173,0),MATCH('Selection Pane Data'!H$3,List!$E$2:$CD$2,0)),"")</f>
        <v/>
      </c>
      <c r="I92" s="13" t="str">
        <f>IF(I$4="Yes",INDEX(List!$E$2:$CD$173,MATCH('Selection Pane Data'!$B92,List!$E$2:$E$173,0),MATCH('Selection Pane Data'!I$3,List!$E$2:$CD$2,0)),"")</f>
        <v/>
      </c>
      <c r="J92" s="13" t="e">
        <f>IF(J$4="Yes",INDEX(List!$E$2:$CD$173,MATCH('Selection Pane Data'!$B92,List!$E$2:$E$173,0),MATCH('Selection Pane Data'!J$3,List!$E$2:$CD$2,0)),"")</f>
        <v>#N/A</v>
      </c>
      <c r="K92" s="13" t="str">
        <f>IF(K$4="Yes",INDEX(List!$E$2:$CD$173,MATCH('Selection Pane Data'!$B92,List!$E$2:$E$173,0),MATCH('Selection Pane Data'!K$3,List!$E$2:$CD$2,0)),"")</f>
        <v/>
      </c>
      <c r="L92" s="13" t="str">
        <f>IF(L$4="Yes",INDEX(List!$E$2:$CD$173,MATCH('Selection Pane Data'!$B92,List!$E$2:$E$173,0),MATCH('Selection Pane Data'!L$3,List!$E$2:$CD$2,0)),"")</f>
        <v/>
      </c>
      <c r="M92" s="13" t="str">
        <f>IF(M$4="Yes",INDEX(List!$E$2:$CD$173,MATCH('Selection Pane Data'!$B92,List!$E$2:$E$173,0),MATCH('Selection Pane Data'!M$3,List!$E$2:$CD$2,0)),"")</f>
        <v/>
      </c>
      <c r="N92" s="13" t="str">
        <f>IF(N$4="Yes",INDEX(List!$E$2:$CD$173,MATCH('Selection Pane Data'!$B92,List!$E$2:$E$173,0),MATCH('Selection Pane Data'!N$3,List!$E$2:$CD$2,0)),"")</f>
        <v/>
      </c>
      <c r="O92" s="13" t="str">
        <f>IF(O$4="Yes",INDEX(List!$E$2:$CD$173,MATCH('Selection Pane Data'!$B92,List!$E$2:$E$173,0),MATCH('Selection Pane Data'!O$3,List!$E$2:$CD$2,0)),"")</f>
        <v/>
      </c>
      <c r="P92" s="13" t="str">
        <f>IF(P$4="Yes",INDEX(List!$E$2:$CD$173,MATCH('Selection Pane Data'!$B92,List!$E$2:$E$173,0),MATCH('Selection Pane Data'!P$3,List!$E$2:$CD$2,0)),"")</f>
        <v/>
      </c>
      <c r="Q92" s="13" t="str">
        <f>IF(Q$4="Yes",INDEX(List!$E$2:$CD$173,MATCH('Selection Pane Data'!$B92,List!$E$2:$E$173,0),MATCH('Selection Pane Data'!Q$3,List!$E$2:$CD$2,0)),"")</f>
        <v/>
      </c>
      <c r="R92" s="13" t="str">
        <f>IF(R$4="Yes",INDEX(List!$E$2:$CD$173,MATCH('Selection Pane Data'!$B92,List!$E$2:$E$173,0),MATCH('Selection Pane Data'!R$3,List!$E$2:$CD$2,0)),"")</f>
        <v/>
      </c>
      <c r="S92" s="13" t="str">
        <f>IF(S$4="Yes",INDEX(List!$E$2:$CD$173,MATCH('Selection Pane Data'!$B92,List!$E$2:$E$173,0),MATCH('Selection Pane Data'!S$3,List!$E$2:$CD$2,0)),"")</f>
        <v/>
      </c>
      <c r="T92" s="13" t="str">
        <f>IF(T$4="Yes",INDEX(List!$E$2:$CD$173,MATCH('Selection Pane Data'!$B92,List!$E$2:$E$173,0),MATCH('Selection Pane Data'!T$3,List!$E$2:$CD$2,0)),"")</f>
        <v/>
      </c>
      <c r="U92" s="13" t="str">
        <f>IF(U$4="Yes",INDEX(List!$E$2:$CD$173,MATCH('Selection Pane Data'!$B92,List!$E$2:$E$173,0),MATCH('Selection Pane Data'!U$3,List!$E$2:$CD$2,0)),"")</f>
        <v/>
      </c>
      <c r="V92" s="13" t="str">
        <f>IF(V$4="Yes",INDEX(List!$E$2:$CD$173,MATCH('Selection Pane Data'!$B92,List!$E$2:$E$173,0),MATCH('Selection Pane Data'!V$3,List!$E$2:$CD$2,0)),"")</f>
        <v/>
      </c>
      <c r="W92" s="13" t="str">
        <f>IF(W$4="Yes",INDEX(List!$E$2:$CD$173,MATCH('Selection Pane Data'!$B92,List!$E$2:$E$173,0),MATCH('Selection Pane Data'!W$3,List!$E$2:$CD$2,0)),"")</f>
        <v/>
      </c>
      <c r="X92" s="13" t="str">
        <f>IF(X$4="Yes",INDEX(List!$E$2:$CD$173,MATCH('Selection Pane Data'!$B92,List!$E$2:$E$173,0),MATCH('Selection Pane Data'!X$3,List!$E$2:$CD$2,0)),"")</f>
        <v/>
      </c>
      <c r="Y92" s="13" t="str">
        <f>IF(Y$4="Yes",INDEX(List!$E$2:$CD$173,MATCH('Selection Pane Data'!$B92,List!$E$2:$E$173,0),MATCH('Selection Pane Data'!Y$3,List!$E$2:$CD$2,0)),"")</f>
        <v/>
      </c>
      <c r="Z92" s="13" t="str">
        <f>IF(Z$4="Yes",INDEX(List!$E$2:$CD$173,MATCH('Selection Pane Data'!$B92,List!$E$2:$E$173,0),MATCH('Selection Pane Data'!Z$3,List!$E$2:$CD$2,0)),"")</f>
        <v/>
      </c>
      <c r="AA92" s="13" t="e">
        <f>IF(AA$4="Yes",INDEX(List!$E$2:$CD$173,MATCH('Selection Pane Data'!$B92,List!$E$2:$E$173,0),MATCH('Selection Pane Data'!AA$3,List!$E$2:$CD$2,0)),"")</f>
        <v>#N/A</v>
      </c>
      <c r="AB92" s="13" t="str">
        <f>IF(AB$4="Yes",INDEX(List!$E$2:$CD$173,MATCH('Selection Pane Data'!$B92,List!$E$2:$E$173,0),MATCH('Selection Pane Data'!AB$3,List!$E$2:$CD$2,0)),"")</f>
        <v/>
      </c>
      <c r="AC92" s="13" t="str">
        <f>IF(AC$4="Yes",INDEX(List!$E$2:$CD$173,MATCH('Selection Pane Data'!$B92,List!$E$2:$E$173,0),MATCH('Selection Pane Data'!AC$3,List!$E$2:$CD$2,0)),"")</f>
        <v/>
      </c>
      <c r="AD92" s="13" t="str">
        <f>IF(AD$4="Yes",INDEX(List!$E$2:$CD$173,MATCH('Selection Pane Data'!$B92,List!$E$2:$E$173,0),MATCH('Selection Pane Data'!AD$3,List!$E$2:$CD$2,0)),"")</f>
        <v/>
      </c>
      <c r="AE92" s="13" t="str">
        <f>IF(AE$4="Yes",INDEX(List!$E$2:$CD$173,MATCH('Selection Pane Data'!$B92,List!$E$2:$E$173,0),MATCH('Selection Pane Data'!AE$3,List!$E$2:$CD$2,0)),"")</f>
        <v/>
      </c>
      <c r="AF92" s="13" t="str">
        <f>IF(AF$4="Yes",INDEX(List!$E$2:$CD$173,MATCH('Selection Pane Data'!$B92,List!$E$2:$E$173,0),MATCH('Selection Pane Data'!AF$3,List!$E$2:$CD$2,0)),"")</f>
        <v/>
      </c>
      <c r="AG92" s="13" t="str">
        <f>IF(AG$4="Yes",INDEX(List!$E$2:$CD$173,MATCH('Selection Pane Data'!$B92,List!$E$2:$E$173,0),MATCH('Selection Pane Data'!AG$3,List!$E$2:$CD$2,0)),"")</f>
        <v/>
      </c>
      <c r="AH92" s="13" t="str">
        <f>IF(AH$4="Yes",INDEX(List!$E$2:$CD$173,MATCH('Selection Pane Data'!$B92,List!$E$2:$E$173,0),MATCH('Selection Pane Data'!AH$3,List!$E$2:$CD$2,0)),"")</f>
        <v/>
      </c>
      <c r="AI92" s="13" t="str">
        <f>IF(AI$4="Yes",INDEX(List!$E$2:$CD$173,MATCH('Selection Pane Data'!$B92,List!$E$2:$E$173,0),MATCH('Selection Pane Data'!AI$3,List!$E$2:$CD$2,0)),"")</f>
        <v/>
      </c>
      <c r="AJ92" s="13" t="str">
        <f>IF(AJ$4="Yes",INDEX(List!$E$2:$CD$173,MATCH('Selection Pane Data'!$B92,List!$E$2:$E$173,0),MATCH('Selection Pane Data'!AJ$3,List!$E$2:$CD$2,0)),"")</f>
        <v/>
      </c>
      <c r="AK92" s="13" t="str">
        <f>IF(AK$4="Yes",INDEX(List!$E$2:$CD$173,MATCH('Selection Pane Data'!$B92,List!$E$2:$E$173,0),MATCH('Selection Pane Data'!AK$3,List!$E$2:$CD$2,0)),"")</f>
        <v/>
      </c>
      <c r="AL92" s="13" t="str">
        <f>IF(AL$4="Yes",INDEX(List!$E$2:$CD$173,MATCH('Selection Pane Data'!$B92,List!$E$2:$E$173,0),MATCH('Selection Pane Data'!AL$3,List!$E$2:$CD$2,0)),"")</f>
        <v/>
      </c>
      <c r="AM92" s="13" t="str">
        <f>IF(AM$4="Yes",INDEX(List!$E$2:$CD$173,MATCH('Selection Pane Data'!$B92,List!$E$2:$E$173,0),MATCH('Selection Pane Data'!AM$3,List!$E$2:$CD$2,0)),"")</f>
        <v/>
      </c>
      <c r="AN92" s="13" t="str">
        <f>IF(AN$4="Yes",INDEX(List!$E$2:$CD$173,MATCH('Selection Pane Data'!$B92,List!$E$2:$E$173,0),MATCH('Selection Pane Data'!AN$3,List!$E$2:$CD$2,0)),"")</f>
        <v/>
      </c>
      <c r="AO92" s="13" t="str">
        <f>IF(AO$4="Yes",INDEX(List!$E$2:$CD$173,MATCH('Selection Pane Data'!$B92,List!$E$2:$E$173,0),MATCH('Selection Pane Data'!AO$3,List!$E$2:$CD$2,0)),"")</f>
        <v/>
      </c>
      <c r="AP92" s="13" t="str">
        <f>IF(AP$4="Yes",INDEX(List!$E$2:$CD$173,MATCH('Selection Pane Data'!$B92,List!$E$2:$E$173,0),MATCH('Selection Pane Data'!AP$3,List!$E$2:$CD$2,0)),"")</f>
        <v/>
      </c>
      <c r="AQ92" s="13" t="str">
        <f>IF(AQ$4="Yes",INDEX(List!$E$2:$CD$173,MATCH('Selection Pane Data'!$B92,List!$E$2:$E$173,0),MATCH('Selection Pane Data'!AQ$3,List!$E$2:$CD$2,0)),"")</f>
        <v/>
      </c>
      <c r="AR92" s="13" t="str">
        <f>IF(AR$4="Yes",INDEX(List!$E$2:$CD$173,MATCH('Selection Pane Data'!$B92,List!$E$2:$E$173,0),MATCH('Selection Pane Data'!AR$3,List!$E$2:$CD$2,0)),"")</f>
        <v/>
      </c>
      <c r="AS92" s="13" t="str">
        <f>IF(AS$4="Yes",INDEX(List!$E$2:$CD$173,MATCH('Selection Pane Data'!$B92,List!$E$2:$E$173,0),MATCH('Selection Pane Data'!AS$3,List!$E$2:$CD$2,0)),"")</f>
        <v/>
      </c>
      <c r="AT92" s="13" t="str">
        <f>IF(AT$4="Yes",INDEX(List!$E$2:$CD$173,MATCH('Selection Pane Data'!$B92,List!$E$2:$E$173,0),MATCH('Selection Pane Data'!AT$3,List!$E$2:$CD$2,0)),"")</f>
        <v/>
      </c>
      <c r="AU92" s="13" t="str">
        <f>IF(AU$4="Yes",INDEX(List!$E$2:$CD$173,MATCH('Selection Pane Data'!$B92,List!$E$2:$E$173,0),MATCH('Selection Pane Data'!AU$3,List!$E$2:$CD$2,0)),"")</f>
        <v/>
      </c>
      <c r="AV92" s="13" t="str">
        <f>IF(AV$4="Yes",INDEX(List!$E$2:$CD$173,MATCH('Selection Pane Data'!$B92,List!$E$2:$E$173,0),MATCH('Selection Pane Data'!AV$3,List!$E$2:$CD$2,0)),"")</f>
        <v/>
      </c>
      <c r="AW92" s="13" t="str">
        <f>IF(AW$4="Yes",INDEX(List!$E$2:$CD$173,MATCH('Selection Pane Data'!$B92,List!$E$2:$E$173,0),MATCH('Selection Pane Data'!AW$3,List!$E$2:$CD$2,0)),"")</f>
        <v/>
      </c>
      <c r="AX92" s="13" t="str">
        <f>IF(AX$4="Yes",INDEX(List!$E$2:$CD$173,MATCH('Selection Pane Data'!$B92,List!$E$2:$E$173,0),MATCH('Selection Pane Data'!AX$3,List!$E$2:$CD$2,0)),"")</f>
        <v/>
      </c>
      <c r="AY92" s="13" t="str">
        <f>IF(AY$4="Yes",INDEX(List!$E$2:$CD$173,MATCH('Selection Pane Data'!$B92,List!$E$2:$E$173,0),MATCH('Selection Pane Data'!AY$3,List!$E$2:$CD$2,0)),"")</f>
        <v/>
      </c>
      <c r="AZ92" s="13" t="str">
        <f>IF(AZ$4="Yes",INDEX(List!$E$2:$CD$173,MATCH('Selection Pane Data'!$B92,List!$E$2:$E$173,0),MATCH('Selection Pane Data'!AZ$3,List!$E$2:$CD$2,0)),"")</f>
        <v/>
      </c>
      <c r="BA92" s="13" t="str">
        <f>IF(BA$4="Yes",INDEX(List!$E$2:$CD$173,MATCH('Selection Pane Data'!$B92,List!$E$2:$E$173,0),MATCH('Selection Pane Data'!BA$3,List!$E$2:$CD$2,0)),"")</f>
        <v/>
      </c>
      <c r="BB92" s="13" t="str">
        <f>IF(BB$4="Yes",INDEX(List!$E$2:$CD$173,MATCH('Selection Pane Data'!$B92,List!$E$2:$E$173,0),MATCH('Selection Pane Data'!BB$3,List!$E$2:$CD$2,0)),"")</f>
        <v/>
      </c>
      <c r="BC92" s="13" t="str">
        <f>IF(BC$4="Yes",INDEX(List!$E$2:$CD$173,MATCH('Selection Pane Data'!$B92,List!$E$2:$E$173,0),MATCH('Selection Pane Data'!BC$3,List!$E$2:$CD$2,0)),"")</f>
        <v/>
      </c>
      <c r="BD92" s="13" t="str">
        <f>IF(BD$4="Yes",INDEX(List!$E$2:$CD$173,MATCH('Selection Pane Data'!$B92,List!$E$2:$E$173,0),MATCH('Selection Pane Data'!BD$3,List!$E$2:$CD$2,0)),"")</f>
        <v/>
      </c>
      <c r="BE92" s="13" t="str">
        <f>IF(BE$4="Yes",INDEX(List!$E$2:$CD$173,MATCH('Selection Pane Data'!$B92,List!$E$2:$E$173,0),MATCH('Selection Pane Data'!BE$3,List!$E$2:$CD$2,0)),"")</f>
        <v/>
      </c>
      <c r="BF92" s="13" t="str">
        <f>IF(BF$4="Yes",INDEX(List!$E$2:$CD$173,MATCH('Selection Pane Data'!$B92,List!$E$2:$E$173,0),MATCH('Selection Pane Data'!BF$3,List!$E$2:$CD$2,0)),"")</f>
        <v/>
      </c>
      <c r="BG92" s="13" t="str">
        <f>IF(BG$4="Yes",INDEX(List!$E$2:$CD$173,MATCH('Selection Pane Data'!$B92,List!$E$2:$E$173,0),MATCH('Selection Pane Data'!BG$3,List!$E$2:$CD$2,0)),"")</f>
        <v/>
      </c>
      <c r="BH92" s="13" t="str">
        <f>IF(BH$4="Yes",INDEX(List!$E$2:$CD$173,MATCH('Selection Pane Data'!$B92,List!$E$2:$E$173,0),MATCH('Selection Pane Data'!BH$3,List!$E$2:$CD$2,0)),"")</f>
        <v/>
      </c>
      <c r="BI92" s="13" t="str">
        <f>IF(BI$4="Yes",INDEX(List!$E$2:$CD$173,MATCH('Selection Pane Data'!$B92,List!$E$2:$E$173,0),MATCH('Selection Pane Data'!BI$3,List!$E$2:$CD$2,0)),"")</f>
        <v/>
      </c>
      <c r="BJ92" s="13" t="str">
        <f>IF(BJ$4="Yes",INDEX(List!$E$2:$CD$173,MATCH('Selection Pane Data'!$B92,List!$E$2:$E$173,0),MATCH('Selection Pane Data'!BJ$3,List!$E$2:$CD$2,0)),"")</f>
        <v/>
      </c>
      <c r="BK92" s="13" t="str">
        <f>IF(BK$4="Yes",INDEX(List!$E$2:$CD$173,MATCH('Selection Pane Data'!$B92,List!$E$2:$E$173,0),MATCH('Selection Pane Data'!BK$3,List!$E$2:$CD$2,0)),"")</f>
        <v/>
      </c>
      <c r="BL92" s="13" t="str">
        <f>IF(BL$4="Yes",INDEX(List!$E$2:$CD$173,MATCH('Selection Pane Data'!$B92,List!$E$2:$E$173,0),MATCH('Selection Pane Data'!BL$3,List!$E$2:$CD$2,0)),"")</f>
        <v/>
      </c>
      <c r="BM92" s="13" t="str">
        <f>IF(BM$4="Yes",INDEX(List!$E$2:$CD$173,MATCH('Selection Pane Data'!$B92,List!$E$2:$E$173,0),MATCH('Selection Pane Data'!BM$3,List!$E$2:$CD$2,0)),"")</f>
        <v/>
      </c>
      <c r="BN92" s="13" t="str">
        <f>IF(BN$4="Yes",INDEX(List!$E$2:$CD$173,MATCH('Selection Pane Data'!$B92,List!$E$2:$E$173,0),MATCH('Selection Pane Data'!BN$3,List!$E$2:$CD$2,0)),"")</f>
        <v/>
      </c>
      <c r="BO92" s="13" t="str">
        <f>IF(BO$4="Yes",INDEX(List!$E$2:$CD$173,MATCH('Selection Pane Data'!$B92,List!$E$2:$E$173,0),MATCH('Selection Pane Data'!BO$3,List!$E$2:$CD$2,0)),"")</f>
        <v/>
      </c>
      <c r="BP92" s="13" t="str">
        <f>IF(BP$4="Yes",INDEX(List!$E$2:$CD$173,MATCH('Selection Pane Data'!$B92,List!$E$2:$E$173,0),MATCH('Selection Pane Data'!BP$3,List!$E$2:$CD$2,0)),"")</f>
        <v/>
      </c>
      <c r="BQ92" s="13" t="str">
        <f>IF(BQ$4="Yes",INDEX(List!$E$2:$CD$173,MATCH('Selection Pane Data'!$B92,List!$E$2:$E$173,0),MATCH('Selection Pane Data'!BQ$3,List!$E$2:$CD$2,0)),"")</f>
        <v/>
      </c>
      <c r="BR92" s="13" t="str">
        <f>IF(BR$4="Yes",INDEX(List!$E$2:$CD$173,MATCH('Selection Pane Data'!$B92,List!$E$2:$E$173,0),MATCH('Selection Pane Data'!BR$3,List!$E$2:$CD$2,0)),"")</f>
        <v/>
      </c>
      <c r="BS92" s="13" t="str">
        <f>IF(BS$4="Yes",INDEX(List!$E$2:$CD$173,MATCH('Selection Pane Data'!$B92,List!$E$2:$E$173,0),MATCH('Selection Pane Data'!BS$3,List!$E$2:$CD$2,0)),"")</f>
        <v/>
      </c>
      <c r="BT92" s="13" t="str">
        <f>IF(BT$4="Yes",INDEX(List!$E$2:$CD$173,MATCH('Selection Pane Data'!$B92,List!$E$2:$E$173,0),MATCH('Selection Pane Data'!BT$3,List!$E$2:$CD$2,0)),"")</f>
        <v/>
      </c>
      <c r="BU92" s="13" t="str">
        <f>IF(BU$4="Yes",INDEX(List!$E$2:$CD$173,MATCH('Selection Pane Data'!$B92,List!$E$2:$E$173,0),MATCH('Selection Pane Data'!BU$3,List!$E$2:$CD$2,0)),"")</f>
        <v/>
      </c>
      <c r="BV92" s="13" t="str">
        <f>IF(BV$4="Yes",INDEX(List!$E$2:$CD$173,MATCH('Selection Pane Data'!$B92,List!$E$2:$E$173,0),MATCH('Selection Pane Data'!BV$3,List!$E$2:$CD$2,0)),"")</f>
        <v/>
      </c>
      <c r="BW92" s="13" t="str">
        <f>IF(BW$4="Yes",INDEX(List!$E$2:$CD$173,MATCH('Selection Pane Data'!$B92,List!$E$2:$E$173,0),MATCH('Selection Pane Data'!BW$3,List!$E$2:$CD$2,0)),"")</f>
        <v/>
      </c>
      <c r="BX92" s="13" t="str">
        <f>IF(BX$4="Yes",INDEX(List!$E$2:$CD$173,MATCH('Selection Pane Data'!$B92,List!$E$2:$E$173,0),MATCH('Selection Pane Data'!BX$3,List!$E$2:$CD$2,0)),"")</f>
        <v/>
      </c>
      <c r="BY92" s="13" t="str">
        <f>IF(BY$4="Yes",INDEX(List!$E$2:$CD$173,MATCH('Selection Pane Data'!$B92,List!$E$2:$E$173,0),MATCH('Selection Pane Data'!BY$3,List!$E$2:$CD$2,0)),"")</f>
        <v/>
      </c>
      <c r="BZ92" s="13" t="str">
        <f>IF(BZ$4="Yes",INDEX(List!$E$2:$CD$173,MATCH('Selection Pane Data'!$B92,List!$E$2:$E$173,0),MATCH('Selection Pane Data'!BZ$3,List!$E$2:$CD$2,0)),"")</f>
        <v/>
      </c>
      <c r="CA92" s="13" t="str">
        <f>IF(CA$4="Yes",INDEX(List!$E$2:$CD$173,MATCH('Selection Pane Data'!$B92,List!$E$2:$E$173,0),MATCH('Selection Pane Data'!CA$3,List!$E$2:$CD$2,0)),"")</f>
        <v/>
      </c>
      <c r="CB92" s="13" t="str">
        <f>IF(CB$4="Yes",INDEX(List!$E$2:$CD$173,MATCH('Selection Pane Data'!$B92,List!$E$2:$E$173,0),MATCH('Selection Pane Data'!CB$3,List!$E$2:$CD$2,0)),"")</f>
        <v/>
      </c>
      <c r="CC92" s="13" t="str">
        <f>IF(CC$4="Yes",INDEX(List!$E$2:$CD$173,MATCH('Selection Pane Data'!$B92,List!$E$2:$E$173,0),MATCH('Selection Pane Data'!CC$3,List!$E$2:$CD$2,0)),"")</f>
        <v/>
      </c>
      <c r="CD92" s="13" t="str">
        <f>IF(CD$4="Yes",INDEX(List!$E$2:$CD$173,MATCH('Selection Pane Data'!$B92,List!$E$2:$E$173,0),MATCH('Selection Pane Data'!CD$3,List!$E$2:$CD$2,0)),"")</f>
        <v/>
      </c>
      <c r="CE92" s="13" t="str">
        <f>IF(CE$4="Yes",INDEX(List!$E$2:$CD$173,MATCH('Selection Pane Data'!$B92,List!$E$2:$E$173,0),MATCH('Selection Pane Data'!CE$3,List!$E$2:$CD$2,0)),"")</f>
        <v/>
      </c>
    </row>
    <row r="93" spans="2:83" x14ac:dyDescent="0.35">
      <c r="B93" s="21" t="s">
        <v>380</v>
      </c>
      <c r="C93" s="126" t="str">
        <f>VLOOKUP(B93,List!$E$2:$G$173,2,FALSE)</f>
        <v>IR.L3-7</v>
      </c>
      <c r="D93" s="31" t="str">
        <f>List!G91</f>
        <v>Not Applicable</v>
      </c>
      <c r="E93" s="31" t="str">
        <f>IF(Placemat!$F$4="All Practices","All Practices",IF(VLOOKUP(B93,Table7[#All],6,FALSE)="No Mapping","New CMMC Practices","Practices with NIST 800-171 Mappings"))</f>
        <v>Practices with NIST 800-171 Mappings</v>
      </c>
      <c r="F93" t="str">
        <f>INDEX('CMMC Levels'!$A$1:$F$172,MATCH('Selection Pane Data'!$C93,'CMMC Levels'!$A$1:$A$172,0),MATCH(Placemat!$F$4,'CMMC Levels'!$A$1:$F$1,0))</f>
        <v>N/A</v>
      </c>
      <c r="G93" s="77" t="str">
        <f>IF((COUNTIF(List!H91:CE91,"P")+COUNTIF(List!H91:CE91,"S"))=0,"N",IF(COUNTIF(H93:CE93,"P"),"P",IF(COUNTIF(H93:CE93,"S"),"S","U")))</f>
        <v>N</v>
      </c>
      <c r="H93" s="13" t="str">
        <f>IF(H$4="Yes",INDEX(List!$E$2:$CD$173,MATCH('Selection Pane Data'!$B93,List!$E$2:$E$173,0),MATCH('Selection Pane Data'!H$3,List!$E$2:$CD$2,0)),"")</f>
        <v/>
      </c>
      <c r="I93" s="13" t="str">
        <f>IF(I$4="Yes",INDEX(List!$E$2:$CD$173,MATCH('Selection Pane Data'!$B93,List!$E$2:$E$173,0),MATCH('Selection Pane Data'!I$3,List!$E$2:$CD$2,0)),"")</f>
        <v/>
      </c>
      <c r="J93" s="13" t="str">
        <f>IF(J$4="Yes",INDEX(List!$E$2:$CD$173,MATCH('Selection Pane Data'!$B93,List!$E$2:$E$173,0),MATCH('Selection Pane Data'!J$3,List!$E$2:$CD$2,0)),"")</f>
        <v>N</v>
      </c>
      <c r="K93" s="13" t="str">
        <f>IF(K$4="Yes",INDEX(List!$E$2:$CD$173,MATCH('Selection Pane Data'!$B93,List!$E$2:$E$173,0),MATCH('Selection Pane Data'!K$3,List!$E$2:$CD$2,0)),"")</f>
        <v/>
      </c>
      <c r="L93" s="13" t="str">
        <f>IF(L$4="Yes",INDEX(List!$E$2:$CD$173,MATCH('Selection Pane Data'!$B93,List!$E$2:$E$173,0),MATCH('Selection Pane Data'!L$3,List!$E$2:$CD$2,0)),"")</f>
        <v/>
      </c>
      <c r="M93" s="13" t="str">
        <f>IF(M$4="Yes",INDEX(List!$E$2:$CD$173,MATCH('Selection Pane Data'!$B93,List!$E$2:$E$173,0),MATCH('Selection Pane Data'!M$3,List!$E$2:$CD$2,0)),"")</f>
        <v/>
      </c>
      <c r="N93" s="13" t="str">
        <f>IF(N$4="Yes",INDEX(List!$E$2:$CD$173,MATCH('Selection Pane Data'!$B93,List!$E$2:$E$173,0),MATCH('Selection Pane Data'!N$3,List!$E$2:$CD$2,0)),"")</f>
        <v/>
      </c>
      <c r="O93" s="13" t="str">
        <f>IF(O$4="Yes",INDEX(List!$E$2:$CD$173,MATCH('Selection Pane Data'!$B93,List!$E$2:$E$173,0),MATCH('Selection Pane Data'!O$3,List!$E$2:$CD$2,0)),"")</f>
        <v/>
      </c>
      <c r="P93" s="13" t="str">
        <f>IF(P$4="Yes",INDEX(List!$E$2:$CD$173,MATCH('Selection Pane Data'!$B93,List!$E$2:$E$173,0),MATCH('Selection Pane Data'!P$3,List!$E$2:$CD$2,0)),"")</f>
        <v/>
      </c>
      <c r="Q93" s="13" t="str">
        <f>IF(Q$4="Yes",INDEX(List!$E$2:$CD$173,MATCH('Selection Pane Data'!$B93,List!$E$2:$E$173,0),MATCH('Selection Pane Data'!Q$3,List!$E$2:$CD$2,0)),"")</f>
        <v/>
      </c>
      <c r="R93" s="13" t="str">
        <f>IF(R$4="Yes",INDEX(List!$E$2:$CD$173,MATCH('Selection Pane Data'!$B93,List!$E$2:$E$173,0),MATCH('Selection Pane Data'!R$3,List!$E$2:$CD$2,0)),"")</f>
        <v/>
      </c>
      <c r="S93" s="13" t="str">
        <f>IF(S$4="Yes",INDEX(List!$E$2:$CD$173,MATCH('Selection Pane Data'!$B93,List!$E$2:$E$173,0),MATCH('Selection Pane Data'!S$3,List!$E$2:$CD$2,0)),"")</f>
        <v/>
      </c>
      <c r="T93" s="13" t="str">
        <f>IF(T$4="Yes",INDEX(List!$E$2:$CD$173,MATCH('Selection Pane Data'!$B93,List!$E$2:$E$173,0),MATCH('Selection Pane Data'!T$3,List!$E$2:$CD$2,0)),"")</f>
        <v/>
      </c>
      <c r="U93" s="13" t="str">
        <f>IF(U$4="Yes",INDEX(List!$E$2:$CD$173,MATCH('Selection Pane Data'!$B93,List!$E$2:$E$173,0),MATCH('Selection Pane Data'!U$3,List!$E$2:$CD$2,0)),"")</f>
        <v/>
      </c>
      <c r="V93" s="13" t="str">
        <f>IF(V$4="Yes",INDEX(List!$E$2:$CD$173,MATCH('Selection Pane Data'!$B93,List!$E$2:$E$173,0),MATCH('Selection Pane Data'!V$3,List!$E$2:$CD$2,0)),"")</f>
        <v/>
      </c>
      <c r="W93" s="13" t="str">
        <f>IF(W$4="Yes",INDEX(List!$E$2:$CD$173,MATCH('Selection Pane Data'!$B93,List!$E$2:$E$173,0),MATCH('Selection Pane Data'!W$3,List!$E$2:$CD$2,0)),"")</f>
        <v/>
      </c>
      <c r="X93" s="13" t="str">
        <f>IF(X$4="Yes",INDEX(List!$E$2:$CD$173,MATCH('Selection Pane Data'!$B93,List!$E$2:$E$173,0),MATCH('Selection Pane Data'!X$3,List!$E$2:$CD$2,0)),"")</f>
        <v/>
      </c>
      <c r="Y93" s="13" t="str">
        <f>IF(Y$4="Yes",INDEX(List!$E$2:$CD$173,MATCH('Selection Pane Data'!$B93,List!$E$2:$E$173,0),MATCH('Selection Pane Data'!Y$3,List!$E$2:$CD$2,0)),"")</f>
        <v/>
      </c>
      <c r="Z93" s="13" t="str">
        <f>IF(Z$4="Yes",INDEX(List!$E$2:$CD$173,MATCH('Selection Pane Data'!$B93,List!$E$2:$E$173,0),MATCH('Selection Pane Data'!Z$3,List!$E$2:$CD$2,0)),"")</f>
        <v/>
      </c>
      <c r="AA93" s="13" t="str">
        <f>IF(AA$4="Yes",INDEX(List!$E$2:$CD$173,MATCH('Selection Pane Data'!$B93,List!$E$2:$E$173,0),MATCH('Selection Pane Data'!AA$3,List!$E$2:$CD$2,0)),"")</f>
        <v>N</v>
      </c>
      <c r="AB93" s="13" t="str">
        <f>IF(AB$4="Yes",INDEX(List!$E$2:$CD$173,MATCH('Selection Pane Data'!$B93,List!$E$2:$E$173,0),MATCH('Selection Pane Data'!AB$3,List!$E$2:$CD$2,0)),"")</f>
        <v/>
      </c>
      <c r="AC93" s="13" t="str">
        <f>IF(AC$4="Yes",INDEX(List!$E$2:$CD$173,MATCH('Selection Pane Data'!$B93,List!$E$2:$E$173,0),MATCH('Selection Pane Data'!AC$3,List!$E$2:$CD$2,0)),"")</f>
        <v/>
      </c>
      <c r="AD93" s="13" t="str">
        <f>IF(AD$4="Yes",INDEX(List!$E$2:$CD$173,MATCH('Selection Pane Data'!$B93,List!$E$2:$E$173,0),MATCH('Selection Pane Data'!AD$3,List!$E$2:$CD$2,0)),"")</f>
        <v/>
      </c>
      <c r="AE93" s="13" t="str">
        <f>IF(AE$4="Yes",INDEX(List!$E$2:$CD$173,MATCH('Selection Pane Data'!$B93,List!$E$2:$E$173,0),MATCH('Selection Pane Data'!AE$3,List!$E$2:$CD$2,0)),"")</f>
        <v/>
      </c>
      <c r="AF93" s="13" t="str">
        <f>IF(AF$4="Yes",INDEX(List!$E$2:$CD$173,MATCH('Selection Pane Data'!$B93,List!$E$2:$E$173,0),MATCH('Selection Pane Data'!AF$3,List!$E$2:$CD$2,0)),"")</f>
        <v/>
      </c>
      <c r="AG93" s="13" t="str">
        <f>IF(AG$4="Yes",INDEX(List!$E$2:$CD$173,MATCH('Selection Pane Data'!$B93,List!$E$2:$E$173,0),MATCH('Selection Pane Data'!AG$3,List!$E$2:$CD$2,0)),"")</f>
        <v/>
      </c>
      <c r="AH93" s="13" t="str">
        <f>IF(AH$4="Yes",INDEX(List!$E$2:$CD$173,MATCH('Selection Pane Data'!$B93,List!$E$2:$E$173,0),MATCH('Selection Pane Data'!AH$3,List!$E$2:$CD$2,0)),"")</f>
        <v/>
      </c>
      <c r="AI93" s="13" t="str">
        <f>IF(AI$4="Yes",INDEX(List!$E$2:$CD$173,MATCH('Selection Pane Data'!$B93,List!$E$2:$E$173,0),MATCH('Selection Pane Data'!AI$3,List!$E$2:$CD$2,0)),"")</f>
        <v/>
      </c>
      <c r="AJ93" s="13" t="str">
        <f>IF(AJ$4="Yes",INDEX(List!$E$2:$CD$173,MATCH('Selection Pane Data'!$B93,List!$E$2:$E$173,0),MATCH('Selection Pane Data'!AJ$3,List!$E$2:$CD$2,0)),"")</f>
        <v/>
      </c>
      <c r="AK93" s="13" t="str">
        <f>IF(AK$4="Yes",INDEX(List!$E$2:$CD$173,MATCH('Selection Pane Data'!$B93,List!$E$2:$E$173,0),MATCH('Selection Pane Data'!AK$3,List!$E$2:$CD$2,0)),"")</f>
        <v/>
      </c>
      <c r="AL93" s="13" t="str">
        <f>IF(AL$4="Yes",INDEX(List!$E$2:$CD$173,MATCH('Selection Pane Data'!$B93,List!$E$2:$E$173,0),MATCH('Selection Pane Data'!AL$3,List!$E$2:$CD$2,0)),"")</f>
        <v/>
      </c>
      <c r="AM93" s="13" t="str">
        <f>IF(AM$4="Yes",INDEX(List!$E$2:$CD$173,MATCH('Selection Pane Data'!$B93,List!$E$2:$E$173,0),MATCH('Selection Pane Data'!AM$3,List!$E$2:$CD$2,0)),"")</f>
        <v/>
      </c>
      <c r="AN93" s="13" t="str">
        <f>IF(AN$4="Yes",INDEX(List!$E$2:$CD$173,MATCH('Selection Pane Data'!$B93,List!$E$2:$E$173,0),MATCH('Selection Pane Data'!AN$3,List!$E$2:$CD$2,0)),"")</f>
        <v/>
      </c>
      <c r="AO93" s="13" t="str">
        <f>IF(AO$4="Yes",INDEX(List!$E$2:$CD$173,MATCH('Selection Pane Data'!$B93,List!$E$2:$E$173,0),MATCH('Selection Pane Data'!AO$3,List!$E$2:$CD$2,0)),"")</f>
        <v/>
      </c>
      <c r="AP93" s="13" t="str">
        <f>IF(AP$4="Yes",INDEX(List!$E$2:$CD$173,MATCH('Selection Pane Data'!$B93,List!$E$2:$E$173,0),MATCH('Selection Pane Data'!AP$3,List!$E$2:$CD$2,0)),"")</f>
        <v/>
      </c>
      <c r="AQ93" s="13" t="str">
        <f>IF(AQ$4="Yes",INDEX(List!$E$2:$CD$173,MATCH('Selection Pane Data'!$B93,List!$E$2:$E$173,0),MATCH('Selection Pane Data'!AQ$3,List!$E$2:$CD$2,0)),"")</f>
        <v/>
      </c>
      <c r="AR93" s="13" t="str">
        <f>IF(AR$4="Yes",INDEX(List!$E$2:$CD$173,MATCH('Selection Pane Data'!$B93,List!$E$2:$E$173,0),MATCH('Selection Pane Data'!AR$3,List!$E$2:$CD$2,0)),"")</f>
        <v/>
      </c>
      <c r="AS93" s="13" t="str">
        <f>IF(AS$4="Yes",INDEX(List!$E$2:$CD$173,MATCH('Selection Pane Data'!$B93,List!$E$2:$E$173,0),MATCH('Selection Pane Data'!AS$3,List!$E$2:$CD$2,0)),"")</f>
        <v/>
      </c>
      <c r="AT93" s="13" t="str">
        <f>IF(AT$4="Yes",INDEX(List!$E$2:$CD$173,MATCH('Selection Pane Data'!$B93,List!$E$2:$E$173,0),MATCH('Selection Pane Data'!AT$3,List!$E$2:$CD$2,0)),"")</f>
        <v/>
      </c>
      <c r="AU93" s="13" t="str">
        <f>IF(AU$4="Yes",INDEX(List!$E$2:$CD$173,MATCH('Selection Pane Data'!$B93,List!$E$2:$E$173,0),MATCH('Selection Pane Data'!AU$3,List!$E$2:$CD$2,0)),"")</f>
        <v/>
      </c>
      <c r="AV93" s="13" t="str">
        <f>IF(AV$4="Yes",INDEX(List!$E$2:$CD$173,MATCH('Selection Pane Data'!$B93,List!$E$2:$E$173,0),MATCH('Selection Pane Data'!AV$3,List!$E$2:$CD$2,0)),"")</f>
        <v/>
      </c>
      <c r="AW93" s="13" t="str">
        <f>IF(AW$4="Yes",INDEX(List!$E$2:$CD$173,MATCH('Selection Pane Data'!$B93,List!$E$2:$E$173,0),MATCH('Selection Pane Data'!AW$3,List!$E$2:$CD$2,0)),"")</f>
        <v/>
      </c>
      <c r="AX93" s="13" t="str">
        <f>IF(AX$4="Yes",INDEX(List!$E$2:$CD$173,MATCH('Selection Pane Data'!$B93,List!$E$2:$E$173,0),MATCH('Selection Pane Data'!AX$3,List!$E$2:$CD$2,0)),"")</f>
        <v/>
      </c>
      <c r="AY93" s="13" t="str">
        <f>IF(AY$4="Yes",INDEX(List!$E$2:$CD$173,MATCH('Selection Pane Data'!$B93,List!$E$2:$E$173,0),MATCH('Selection Pane Data'!AY$3,List!$E$2:$CD$2,0)),"")</f>
        <v/>
      </c>
      <c r="AZ93" s="13" t="str">
        <f>IF(AZ$4="Yes",INDEX(List!$E$2:$CD$173,MATCH('Selection Pane Data'!$B93,List!$E$2:$E$173,0),MATCH('Selection Pane Data'!AZ$3,List!$E$2:$CD$2,0)),"")</f>
        <v/>
      </c>
      <c r="BA93" s="13" t="str">
        <f>IF(BA$4="Yes",INDEX(List!$E$2:$CD$173,MATCH('Selection Pane Data'!$B93,List!$E$2:$E$173,0),MATCH('Selection Pane Data'!BA$3,List!$E$2:$CD$2,0)),"")</f>
        <v/>
      </c>
      <c r="BB93" s="13" t="str">
        <f>IF(BB$4="Yes",INDEX(List!$E$2:$CD$173,MATCH('Selection Pane Data'!$B93,List!$E$2:$E$173,0),MATCH('Selection Pane Data'!BB$3,List!$E$2:$CD$2,0)),"")</f>
        <v/>
      </c>
      <c r="BC93" s="13" t="str">
        <f>IF(BC$4="Yes",INDEX(List!$E$2:$CD$173,MATCH('Selection Pane Data'!$B93,List!$E$2:$E$173,0),MATCH('Selection Pane Data'!BC$3,List!$E$2:$CD$2,0)),"")</f>
        <v/>
      </c>
      <c r="BD93" s="13" t="str">
        <f>IF(BD$4="Yes",INDEX(List!$E$2:$CD$173,MATCH('Selection Pane Data'!$B93,List!$E$2:$E$173,0),MATCH('Selection Pane Data'!BD$3,List!$E$2:$CD$2,0)),"")</f>
        <v/>
      </c>
      <c r="BE93" s="13" t="str">
        <f>IF(BE$4="Yes",INDEX(List!$E$2:$CD$173,MATCH('Selection Pane Data'!$B93,List!$E$2:$E$173,0),MATCH('Selection Pane Data'!BE$3,List!$E$2:$CD$2,0)),"")</f>
        <v/>
      </c>
      <c r="BF93" s="13" t="str">
        <f>IF(BF$4="Yes",INDEX(List!$E$2:$CD$173,MATCH('Selection Pane Data'!$B93,List!$E$2:$E$173,0),MATCH('Selection Pane Data'!BF$3,List!$E$2:$CD$2,0)),"")</f>
        <v/>
      </c>
      <c r="BG93" s="13" t="str">
        <f>IF(BG$4="Yes",INDEX(List!$E$2:$CD$173,MATCH('Selection Pane Data'!$B93,List!$E$2:$E$173,0),MATCH('Selection Pane Data'!BG$3,List!$E$2:$CD$2,0)),"")</f>
        <v/>
      </c>
      <c r="BH93" s="13" t="str">
        <f>IF(BH$4="Yes",INDEX(List!$E$2:$CD$173,MATCH('Selection Pane Data'!$B93,List!$E$2:$E$173,0),MATCH('Selection Pane Data'!BH$3,List!$E$2:$CD$2,0)),"")</f>
        <v/>
      </c>
      <c r="BI93" s="13" t="str">
        <f>IF(BI$4="Yes",INDEX(List!$E$2:$CD$173,MATCH('Selection Pane Data'!$B93,List!$E$2:$E$173,0),MATCH('Selection Pane Data'!BI$3,List!$E$2:$CD$2,0)),"")</f>
        <v/>
      </c>
      <c r="BJ93" s="13" t="str">
        <f>IF(BJ$4="Yes",INDEX(List!$E$2:$CD$173,MATCH('Selection Pane Data'!$B93,List!$E$2:$E$173,0),MATCH('Selection Pane Data'!BJ$3,List!$E$2:$CD$2,0)),"")</f>
        <v/>
      </c>
      <c r="BK93" s="13" t="str">
        <f>IF(BK$4="Yes",INDEX(List!$E$2:$CD$173,MATCH('Selection Pane Data'!$B93,List!$E$2:$E$173,0),MATCH('Selection Pane Data'!BK$3,List!$E$2:$CD$2,0)),"")</f>
        <v/>
      </c>
      <c r="BL93" s="13" t="str">
        <f>IF(BL$4="Yes",INDEX(List!$E$2:$CD$173,MATCH('Selection Pane Data'!$B93,List!$E$2:$E$173,0),MATCH('Selection Pane Data'!BL$3,List!$E$2:$CD$2,0)),"")</f>
        <v/>
      </c>
      <c r="BM93" s="13" t="str">
        <f>IF(BM$4="Yes",INDEX(List!$E$2:$CD$173,MATCH('Selection Pane Data'!$B93,List!$E$2:$E$173,0),MATCH('Selection Pane Data'!BM$3,List!$E$2:$CD$2,0)),"")</f>
        <v/>
      </c>
      <c r="BN93" s="13" t="str">
        <f>IF(BN$4="Yes",INDEX(List!$E$2:$CD$173,MATCH('Selection Pane Data'!$B93,List!$E$2:$E$173,0),MATCH('Selection Pane Data'!BN$3,List!$E$2:$CD$2,0)),"")</f>
        <v/>
      </c>
      <c r="BO93" s="13" t="str">
        <f>IF(BO$4="Yes",INDEX(List!$E$2:$CD$173,MATCH('Selection Pane Data'!$B93,List!$E$2:$E$173,0),MATCH('Selection Pane Data'!BO$3,List!$E$2:$CD$2,0)),"")</f>
        <v/>
      </c>
      <c r="BP93" s="13" t="str">
        <f>IF(BP$4="Yes",INDEX(List!$E$2:$CD$173,MATCH('Selection Pane Data'!$B93,List!$E$2:$E$173,0),MATCH('Selection Pane Data'!BP$3,List!$E$2:$CD$2,0)),"")</f>
        <v/>
      </c>
      <c r="BQ93" s="13" t="str">
        <f>IF(BQ$4="Yes",INDEX(List!$E$2:$CD$173,MATCH('Selection Pane Data'!$B93,List!$E$2:$E$173,0),MATCH('Selection Pane Data'!BQ$3,List!$E$2:$CD$2,0)),"")</f>
        <v/>
      </c>
      <c r="BR93" s="13" t="str">
        <f>IF(BR$4="Yes",INDEX(List!$E$2:$CD$173,MATCH('Selection Pane Data'!$B93,List!$E$2:$E$173,0),MATCH('Selection Pane Data'!BR$3,List!$E$2:$CD$2,0)),"")</f>
        <v/>
      </c>
      <c r="BS93" s="13" t="str">
        <f>IF(BS$4="Yes",INDEX(List!$E$2:$CD$173,MATCH('Selection Pane Data'!$B93,List!$E$2:$E$173,0),MATCH('Selection Pane Data'!BS$3,List!$E$2:$CD$2,0)),"")</f>
        <v/>
      </c>
      <c r="BT93" s="13" t="str">
        <f>IF(BT$4="Yes",INDEX(List!$E$2:$CD$173,MATCH('Selection Pane Data'!$B93,List!$E$2:$E$173,0),MATCH('Selection Pane Data'!BT$3,List!$E$2:$CD$2,0)),"")</f>
        <v/>
      </c>
      <c r="BU93" s="13" t="str">
        <f>IF(BU$4="Yes",INDEX(List!$E$2:$CD$173,MATCH('Selection Pane Data'!$B93,List!$E$2:$E$173,0),MATCH('Selection Pane Data'!BU$3,List!$E$2:$CD$2,0)),"")</f>
        <v/>
      </c>
      <c r="BV93" s="13" t="str">
        <f>IF(BV$4="Yes",INDEX(List!$E$2:$CD$173,MATCH('Selection Pane Data'!$B93,List!$E$2:$E$173,0),MATCH('Selection Pane Data'!BV$3,List!$E$2:$CD$2,0)),"")</f>
        <v/>
      </c>
      <c r="BW93" s="13" t="str">
        <f>IF(BW$4="Yes",INDEX(List!$E$2:$CD$173,MATCH('Selection Pane Data'!$B93,List!$E$2:$E$173,0),MATCH('Selection Pane Data'!BW$3,List!$E$2:$CD$2,0)),"")</f>
        <v/>
      </c>
      <c r="BX93" s="13" t="str">
        <f>IF(BX$4="Yes",INDEX(List!$E$2:$CD$173,MATCH('Selection Pane Data'!$B93,List!$E$2:$E$173,0),MATCH('Selection Pane Data'!BX$3,List!$E$2:$CD$2,0)),"")</f>
        <v/>
      </c>
      <c r="BY93" s="13" t="str">
        <f>IF(BY$4="Yes",INDEX(List!$E$2:$CD$173,MATCH('Selection Pane Data'!$B93,List!$E$2:$E$173,0),MATCH('Selection Pane Data'!BY$3,List!$E$2:$CD$2,0)),"")</f>
        <v/>
      </c>
      <c r="BZ93" s="13" t="str">
        <f>IF(BZ$4="Yes",INDEX(List!$E$2:$CD$173,MATCH('Selection Pane Data'!$B93,List!$E$2:$E$173,0),MATCH('Selection Pane Data'!BZ$3,List!$E$2:$CD$2,0)),"")</f>
        <v/>
      </c>
      <c r="CA93" s="13" t="str">
        <f>IF(CA$4="Yes",INDEX(List!$E$2:$CD$173,MATCH('Selection Pane Data'!$B93,List!$E$2:$E$173,0),MATCH('Selection Pane Data'!CA$3,List!$E$2:$CD$2,0)),"")</f>
        <v/>
      </c>
      <c r="CB93" s="13" t="str">
        <f>IF(CB$4="Yes",INDEX(List!$E$2:$CD$173,MATCH('Selection Pane Data'!$B93,List!$E$2:$E$173,0),MATCH('Selection Pane Data'!CB$3,List!$E$2:$CD$2,0)),"")</f>
        <v/>
      </c>
      <c r="CC93" s="13" t="str">
        <f>IF(CC$4="Yes",INDEX(List!$E$2:$CD$173,MATCH('Selection Pane Data'!$B93,List!$E$2:$E$173,0),MATCH('Selection Pane Data'!CC$3,List!$E$2:$CD$2,0)),"")</f>
        <v/>
      </c>
      <c r="CD93" s="13" t="str">
        <f>IF(CD$4="Yes",INDEX(List!$E$2:$CD$173,MATCH('Selection Pane Data'!$B93,List!$E$2:$E$173,0),MATCH('Selection Pane Data'!CD$3,List!$E$2:$CD$2,0)),"")</f>
        <v/>
      </c>
      <c r="CE93" s="13" t="str">
        <f>IF(CE$4="Yes",INDEX(List!$E$2:$CD$173,MATCH('Selection Pane Data'!$B93,List!$E$2:$E$173,0),MATCH('Selection Pane Data'!CE$3,List!$E$2:$CD$2,0)),"")</f>
        <v/>
      </c>
    </row>
    <row r="94" spans="2:83" x14ac:dyDescent="0.35">
      <c r="B94" s="21" t="s">
        <v>381</v>
      </c>
      <c r="C94" s="126" t="str">
        <f>VLOOKUP(B94,List!$E$2:$G$173,2,FALSE)</f>
        <v>IR.L3-8</v>
      </c>
      <c r="D94" s="31" t="str">
        <f>List!G92</f>
        <v>Not Applicable</v>
      </c>
      <c r="E94" s="31" t="str">
        <f>IF(Placemat!$F$4="All Practices","All Practices",IF(VLOOKUP(B94,Table7[#All],6,FALSE)="No Mapping","New CMMC Practices","Practices with NIST 800-171 Mappings"))</f>
        <v>Practices with NIST 800-171 Mappings</v>
      </c>
      <c r="F94" t="str">
        <f>INDEX('CMMC Levels'!$A$1:$F$172,MATCH('Selection Pane Data'!$C94,'CMMC Levels'!$A$1:$A$172,0),MATCH(Placemat!$F$4,'CMMC Levels'!$A$1:$F$1,0))</f>
        <v>N/A</v>
      </c>
      <c r="G94" s="77" t="str">
        <f>IF((COUNTIF(List!H92:CE92,"P")+COUNTIF(List!H92:CE92,"S"))=0,"N",IF(COUNTIF(H94:CE94,"P"),"P",IF(COUNTIF(H94:CE94,"S"),"S","U")))</f>
        <v>N</v>
      </c>
      <c r="H94" s="13" t="str">
        <f>IF(H$4="Yes",INDEX(List!$E$2:$CD$173,MATCH('Selection Pane Data'!$B94,List!$E$2:$E$173,0),MATCH('Selection Pane Data'!H$3,List!$E$2:$CD$2,0)),"")</f>
        <v/>
      </c>
      <c r="I94" s="13" t="str">
        <f>IF(I$4="Yes",INDEX(List!$E$2:$CD$173,MATCH('Selection Pane Data'!$B94,List!$E$2:$E$173,0),MATCH('Selection Pane Data'!I$3,List!$E$2:$CD$2,0)),"")</f>
        <v/>
      </c>
      <c r="J94" s="13" t="str">
        <f>IF(J$4="Yes",INDEX(List!$E$2:$CD$173,MATCH('Selection Pane Data'!$B94,List!$E$2:$E$173,0),MATCH('Selection Pane Data'!J$3,List!$E$2:$CD$2,0)),"")</f>
        <v>N</v>
      </c>
      <c r="K94" s="13" t="str">
        <f>IF(K$4="Yes",INDEX(List!$E$2:$CD$173,MATCH('Selection Pane Data'!$B94,List!$E$2:$E$173,0),MATCH('Selection Pane Data'!K$3,List!$E$2:$CD$2,0)),"")</f>
        <v/>
      </c>
      <c r="L94" s="13" t="str">
        <f>IF(L$4="Yes",INDEX(List!$E$2:$CD$173,MATCH('Selection Pane Data'!$B94,List!$E$2:$E$173,0),MATCH('Selection Pane Data'!L$3,List!$E$2:$CD$2,0)),"")</f>
        <v/>
      </c>
      <c r="M94" s="13" t="str">
        <f>IF(M$4="Yes",INDEX(List!$E$2:$CD$173,MATCH('Selection Pane Data'!$B94,List!$E$2:$E$173,0),MATCH('Selection Pane Data'!M$3,List!$E$2:$CD$2,0)),"")</f>
        <v/>
      </c>
      <c r="N94" s="13" t="str">
        <f>IF(N$4="Yes",INDEX(List!$E$2:$CD$173,MATCH('Selection Pane Data'!$B94,List!$E$2:$E$173,0),MATCH('Selection Pane Data'!N$3,List!$E$2:$CD$2,0)),"")</f>
        <v/>
      </c>
      <c r="O94" s="13" t="str">
        <f>IF(O$4="Yes",INDEX(List!$E$2:$CD$173,MATCH('Selection Pane Data'!$B94,List!$E$2:$E$173,0),MATCH('Selection Pane Data'!O$3,List!$E$2:$CD$2,0)),"")</f>
        <v/>
      </c>
      <c r="P94" s="13" t="str">
        <f>IF(P$4="Yes",INDEX(List!$E$2:$CD$173,MATCH('Selection Pane Data'!$B94,List!$E$2:$E$173,0),MATCH('Selection Pane Data'!P$3,List!$E$2:$CD$2,0)),"")</f>
        <v/>
      </c>
      <c r="Q94" s="13" t="str">
        <f>IF(Q$4="Yes",INDEX(List!$E$2:$CD$173,MATCH('Selection Pane Data'!$B94,List!$E$2:$E$173,0),MATCH('Selection Pane Data'!Q$3,List!$E$2:$CD$2,0)),"")</f>
        <v/>
      </c>
      <c r="R94" s="13" t="str">
        <f>IF(R$4="Yes",INDEX(List!$E$2:$CD$173,MATCH('Selection Pane Data'!$B94,List!$E$2:$E$173,0),MATCH('Selection Pane Data'!R$3,List!$E$2:$CD$2,0)),"")</f>
        <v/>
      </c>
      <c r="S94" s="13" t="str">
        <f>IF(S$4="Yes",INDEX(List!$E$2:$CD$173,MATCH('Selection Pane Data'!$B94,List!$E$2:$E$173,0),MATCH('Selection Pane Data'!S$3,List!$E$2:$CD$2,0)),"")</f>
        <v/>
      </c>
      <c r="T94" s="13" t="str">
        <f>IF(T$4="Yes",INDEX(List!$E$2:$CD$173,MATCH('Selection Pane Data'!$B94,List!$E$2:$E$173,0),MATCH('Selection Pane Data'!T$3,List!$E$2:$CD$2,0)),"")</f>
        <v/>
      </c>
      <c r="U94" s="13" t="str">
        <f>IF(U$4="Yes",INDEX(List!$E$2:$CD$173,MATCH('Selection Pane Data'!$B94,List!$E$2:$E$173,0),MATCH('Selection Pane Data'!U$3,List!$E$2:$CD$2,0)),"")</f>
        <v/>
      </c>
      <c r="V94" s="13" t="str">
        <f>IF(V$4="Yes",INDEX(List!$E$2:$CD$173,MATCH('Selection Pane Data'!$B94,List!$E$2:$E$173,0),MATCH('Selection Pane Data'!V$3,List!$E$2:$CD$2,0)),"")</f>
        <v/>
      </c>
      <c r="W94" s="13" t="str">
        <f>IF(W$4="Yes",INDEX(List!$E$2:$CD$173,MATCH('Selection Pane Data'!$B94,List!$E$2:$E$173,0),MATCH('Selection Pane Data'!W$3,List!$E$2:$CD$2,0)),"")</f>
        <v/>
      </c>
      <c r="X94" s="13" t="str">
        <f>IF(X$4="Yes",INDEX(List!$E$2:$CD$173,MATCH('Selection Pane Data'!$B94,List!$E$2:$E$173,0),MATCH('Selection Pane Data'!X$3,List!$E$2:$CD$2,0)),"")</f>
        <v/>
      </c>
      <c r="Y94" s="13" t="str">
        <f>IF(Y$4="Yes",INDEX(List!$E$2:$CD$173,MATCH('Selection Pane Data'!$B94,List!$E$2:$E$173,0),MATCH('Selection Pane Data'!Y$3,List!$E$2:$CD$2,0)),"")</f>
        <v/>
      </c>
      <c r="Z94" s="13" t="str">
        <f>IF(Z$4="Yes",INDEX(List!$E$2:$CD$173,MATCH('Selection Pane Data'!$B94,List!$E$2:$E$173,0),MATCH('Selection Pane Data'!Z$3,List!$E$2:$CD$2,0)),"")</f>
        <v/>
      </c>
      <c r="AA94" s="13" t="str">
        <f>IF(AA$4="Yes",INDEX(List!$E$2:$CD$173,MATCH('Selection Pane Data'!$B94,List!$E$2:$E$173,0),MATCH('Selection Pane Data'!AA$3,List!$E$2:$CD$2,0)),"")</f>
        <v>N</v>
      </c>
      <c r="AB94" s="13" t="str">
        <f>IF(AB$4="Yes",INDEX(List!$E$2:$CD$173,MATCH('Selection Pane Data'!$B94,List!$E$2:$E$173,0),MATCH('Selection Pane Data'!AB$3,List!$E$2:$CD$2,0)),"")</f>
        <v/>
      </c>
      <c r="AC94" s="13" t="str">
        <f>IF(AC$4="Yes",INDEX(List!$E$2:$CD$173,MATCH('Selection Pane Data'!$B94,List!$E$2:$E$173,0),MATCH('Selection Pane Data'!AC$3,List!$E$2:$CD$2,0)),"")</f>
        <v/>
      </c>
      <c r="AD94" s="13" t="str">
        <f>IF(AD$4="Yes",INDEX(List!$E$2:$CD$173,MATCH('Selection Pane Data'!$B94,List!$E$2:$E$173,0),MATCH('Selection Pane Data'!AD$3,List!$E$2:$CD$2,0)),"")</f>
        <v/>
      </c>
      <c r="AE94" s="13" t="str">
        <f>IF(AE$4="Yes",INDEX(List!$E$2:$CD$173,MATCH('Selection Pane Data'!$B94,List!$E$2:$E$173,0),MATCH('Selection Pane Data'!AE$3,List!$E$2:$CD$2,0)),"")</f>
        <v/>
      </c>
      <c r="AF94" s="13" t="str">
        <f>IF(AF$4="Yes",INDEX(List!$E$2:$CD$173,MATCH('Selection Pane Data'!$B94,List!$E$2:$E$173,0),MATCH('Selection Pane Data'!AF$3,List!$E$2:$CD$2,0)),"")</f>
        <v/>
      </c>
      <c r="AG94" s="13" t="str">
        <f>IF(AG$4="Yes",INDEX(List!$E$2:$CD$173,MATCH('Selection Pane Data'!$B94,List!$E$2:$E$173,0),MATCH('Selection Pane Data'!AG$3,List!$E$2:$CD$2,0)),"")</f>
        <v/>
      </c>
      <c r="AH94" s="13" t="str">
        <f>IF(AH$4="Yes",INDEX(List!$E$2:$CD$173,MATCH('Selection Pane Data'!$B94,List!$E$2:$E$173,0),MATCH('Selection Pane Data'!AH$3,List!$E$2:$CD$2,0)),"")</f>
        <v/>
      </c>
      <c r="AI94" s="13" t="str">
        <f>IF(AI$4="Yes",INDEX(List!$E$2:$CD$173,MATCH('Selection Pane Data'!$B94,List!$E$2:$E$173,0),MATCH('Selection Pane Data'!AI$3,List!$E$2:$CD$2,0)),"")</f>
        <v/>
      </c>
      <c r="AJ94" s="13" t="str">
        <f>IF(AJ$4="Yes",INDEX(List!$E$2:$CD$173,MATCH('Selection Pane Data'!$B94,List!$E$2:$E$173,0),MATCH('Selection Pane Data'!AJ$3,List!$E$2:$CD$2,0)),"")</f>
        <v/>
      </c>
      <c r="AK94" s="13" t="str">
        <f>IF(AK$4="Yes",INDEX(List!$E$2:$CD$173,MATCH('Selection Pane Data'!$B94,List!$E$2:$E$173,0),MATCH('Selection Pane Data'!AK$3,List!$E$2:$CD$2,0)),"")</f>
        <v/>
      </c>
      <c r="AL94" s="13" t="str">
        <f>IF(AL$4="Yes",INDEX(List!$E$2:$CD$173,MATCH('Selection Pane Data'!$B94,List!$E$2:$E$173,0),MATCH('Selection Pane Data'!AL$3,List!$E$2:$CD$2,0)),"")</f>
        <v/>
      </c>
      <c r="AM94" s="13" t="str">
        <f>IF(AM$4="Yes",INDEX(List!$E$2:$CD$173,MATCH('Selection Pane Data'!$B94,List!$E$2:$E$173,0),MATCH('Selection Pane Data'!AM$3,List!$E$2:$CD$2,0)),"")</f>
        <v/>
      </c>
      <c r="AN94" s="13" t="str">
        <f>IF(AN$4="Yes",INDEX(List!$E$2:$CD$173,MATCH('Selection Pane Data'!$B94,List!$E$2:$E$173,0),MATCH('Selection Pane Data'!AN$3,List!$E$2:$CD$2,0)),"")</f>
        <v/>
      </c>
      <c r="AO94" s="13" t="str">
        <f>IF(AO$4="Yes",INDEX(List!$E$2:$CD$173,MATCH('Selection Pane Data'!$B94,List!$E$2:$E$173,0),MATCH('Selection Pane Data'!AO$3,List!$E$2:$CD$2,0)),"")</f>
        <v/>
      </c>
      <c r="AP94" s="13" t="str">
        <f>IF(AP$4="Yes",INDEX(List!$E$2:$CD$173,MATCH('Selection Pane Data'!$B94,List!$E$2:$E$173,0),MATCH('Selection Pane Data'!AP$3,List!$E$2:$CD$2,0)),"")</f>
        <v/>
      </c>
      <c r="AQ94" s="13" t="str">
        <f>IF(AQ$4="Yes",INDEX(List!$E$2:$CD$173,MATCH('Selection Pane Data'!$B94,List!$E$2:$E$173,0),MATCH('Selection Pane Data'!AQ$3,List!$E$2:$CD$2,0)),"")</f>
        <v/>
      </c>
      <c r="AR94" s="13" t="str">
        <f>IF(AR$4="Yes",INDEX(List!$E$2:$CD$173,MATCH('Selection Pane Data'!$B94,List!$E$2:$E$173,0),MATCH('Selection Pane Data'!AR$3,List!$E$2:$CD$2,0)),"")</f>
        <v/>
      </c>
      <c r="AS94" s="13" t="str">
        <f>IF(AS$4="Yes",INDEX(List!$E$2:$CD$173,MATCH('Selection Pane Data'!$B94,List!$E$2:$E$173,0),MATCH('Selection Pane Data'!AS$3,List!$E$2:$CD$2,0)),"")</f>
        <v/>
      </c>
      <c r="AT94" s="13" t="str">
        <f>IF(AT$4="Yes",INDEX(List!$E$2:$CD$173,MATCH('Selection Pane Data'!$B94,List!$E$2:$E$173,0),MATCH('Selection Pane Data'!AT$3,List!$E$2:$CD$2,0)),"")</f>
        <v/>
      </c>
      <c r="AU94" s="13" t="str">
        <f>IF(AU$4="Yes",INDEX(List!$E$2:$CD$173,MATCH('Selection Pane Data'!$B94,List!$E$2:$E$173,0),MATCH('Selection Pane Data'!AU$3,List!$E$2:$CD$2,0)),"")</f>
        <v/>
      </c>
      <c r="AV94" s="13" t="str">
        <f>IF(AV$4="Yes",INDEX(List!$E$2:$CD$173,MATCH('Selection Pane Data'!$B94,List!$E$2:$E$173,0),MATCH('Selection Pane Data'!AV$3,List!$E$2:$CD$2,0)),"")</f>
        <v/>
      </c>
      <c r="AW94" s="13" t="str">
        <f>IF(AW$4="Yes",INDEX(List!$E$2:$CD$173,MATCH('Selection Pane Data'!$B94,List!$E$2:$E$173,0),MATCH('Selection Pane Data'!AW$3,List!$E$2:$CD$2,0)),"")</f>
        <v/>
      </c>
      <c r="AX94" s="13" t="str">
        <f>IF(AX$4="Yes",INDEX(List!$E$2:$CD$173,MATCH('Selection Pane Data'!$B94,List!$E$2:$E$173,0),MATCH('Selection Pane Data'!AX$3,List!$E$2:$CD$2,0)),"")</f>
        <v/>
      </c>
      <c r="AY94" s="13" t="str">
        <f>IF(AY$4="Yes",INDEX(List!$E$2:$CD$173,MATCH('Selection Pane Data'!$B94,List!$E$2:$E$173,0),MATCH('Selection Pane Data'!AY$3,List!$E$2:$CD$2,0)),"")</f>
        <v/>
      </c>
      <c r="AZ94" s="13" t="str">
        <f>IF(AZ$4="Yes",INDEX(List!$E$2:$CD$173,MATCH('Selection Pane Data'!$B94,List!$E$2:$E$173,0),MATCH('Selection Pane Data'!AZ$3,List!$E$2:$CD$2,0)),"")</f>
        <v/>
      </c>
      <c r="BA94" s="13" t="str">
        <f>IF(BA$4="Yes",INDEX(List!$E$2:$CD$173,MATCH('Selection Pane Data'!$B94,List!$E$2:$E$173,0),MATCH('Selection Pane Data'!BA$3,List!$E$2:$CD$2,0)),"")</f>
        <v/>
      </c>
      <c r="BB94" s="13" t="str">
        <f>IF(BB$4="Yes",INDEX(List!$E$2:$CD$173,MATCH('Selection Pane Data'!$B94,List!$E$2:$E$173,0),MATCH('Selection Pane Data'!BB$3,List!$E$2:$CD$2,0)),"")</f>
        <v/>
      </c>
      <c r="BC94" s="13" t="str">
        <f>IF(BC$4="Yes",INDEX(List!$E$2:$CD$173,MATCH('Selection Pane Data'!$B94,List!$E$2:$E$173,0),MATCH('Selection Pane Data'!BC$3,List!$E$2:$CD$2,0)),"")</f>
        <v/>
      </c>
      <c r="BD94" s="13" t="str">
        <f>IF(BD$4="Yes",INDEX(List!$E$2:$CD$173,MATCH('Selection Pane Data'!$B94,List!$E$2:$E$173,0),MATCH('Selection Pane Data'!BD$3,List!$E$2:$CD$2,0)),"")</f>
        <v/>
      </c>
      <c r="BE94" s="13" t="str">
        <f>IF(BE$4="Yes",INDEX(List!$E$2:$CD$173,MATCH('Selection Pane Data'!$B94,List!$E$2:$E$173,0),MATCH('Selection Pane Data'!BE$3,List!$E$2:$CD$2,0)),"")</f>
        <v/>
      </c>
      <c r="BF94" s="13" t="str">
        <f>IF(BF$4="Yes",INDEX(List!$E$2:$CD$173,MATCH('Selection Pane Data'!$B94,List!$E$2:$E$173,0),MATCH('Selection Pane Data'!BF$3,List!$E$2:$CD$2,0)),"")</f>
        <v/>
      </c>
      <c r="BG94" s="13" t="str">
        <f>IF(BG$4="Yes",INDEX(List!$E$2:$CD$173,MATCH('Selection Pane Data'!$B94,List!$E$2:$E$173,0),MATCH('Selection Pane Data'!BG$3,List!$E$2:$CD$2,0)),"")</f>
        <v/>
      </c>
      <c r="BH94" s="13" t="str">
        <f>IF(BH$4="Yes",INDEX(List!$E$2:$CD$173,MATCH('Selection Pane Data'!$B94,List!$E$2:$E$173,0),MATCH('Selection Pane Data'!BH$3,List!$E$2:$CD$2,0)),"")</f>
        <v/>
      </c>
      <c r="BI94" s="13" t="str">
        <f>IF(BI$4="Yes",INDEX(List!$E$2:$CD$173,MATCH('Selection Pane Data'!$B94,List!$E$2:$E$173,0),MATCH('Selection Pane Data'!BI$3,List!$E$2:$CD$2,0)),"")</f>
        <v/>
      </c>
      <c r="BJ94" s="13" t="str">
        <f>IF(BJ$4="Yes",INDEX(List!$E$2:$CD$173,MATCH('Selection Pane Data'!$B94,List!$E$2:$E$173,0),MATCH('Selection Pane Data'!BJ$3,List!$E$2:$CD$2,0)),"")</f>
        <v/>
      </c>
      <c r="BK94" s="13" t="str">
        <f>IF(BK$4="Yes",INDEX(List!$E$2:$CD$173,MATCH('Selection Pane Data'!$B94,List!$E$2:$E$173,0),MATCH('Selection Pane Data'!BK$3,List!$E$2:$CD$2,0)),"")</f>
        <v/>
      </c>
      <c r="BL94" s="13" t="str">
        <f>IF(BL$4="Yes",INDEX(List!$E$2:$CD$173,MATCH('Selection Pane Data'!$B94,List!$E$2:$E$173,0),MATCH('Selection Pane Data'!BL$3,List!$E$2:$CD$2,0)),"")</f>
        <v/>
      </c>
      <c r="BM94" s="13" t="str">
        <f>IF(BM$4="Yes",INDEX(List!$E$2:$CD$173,MATCH('Selection Pane Data'!$B94,List!$E$2:$E$173,0),MATCH('Selection Pane Data'!BM$3,List!$E$2:$CD$2,0)),"")</f>
        <v/>
      </c>
      <c r="BN94" s="13" t="str">
        <f>IF(BN$4="Yes",INDEX(List!$E$2:$CD$173,MATCH('Selection Pane Data'!$B94,List!$E$2:$E$173,0),MATCH('Selection Pane Data'!BN$3,List!$E$2:$CD$2,0)),"")</f>
        <v/>
      </c>
      <c r="BO94" s="13" t="str">
        <f>IF(BO$4="Yes",INDEX(List!$E$2:$CD$173,MATCH('Selection Pane Data'!$B94,List!$E$2:$E$173,0),MATCH('Selection Pane Data'!BO$3,List!$E$2:$CD$2,0)),"")</f>
        <v/>
      </c>
      <c r="BP94" s="13" t="str">
        <f>IF(BP$4="Yes",INDEX(List!$E$2:$CD$173,MATCH('Selection Pane Data'!$B94,List!$E$2:$E$173,0),MATCH('Selection Pane Data'!BP$3,List!$E$2:$CD$2,0)),"")</f>
        <v/>
      </c>
      <c r="BQ94" s="13" t="str">
        <f>IF(BQ$4="Yes",INDEX(List!$E$2:$CD$173,MATCH('Selection Pane Data'!$B94,List!$E$2:$E$173,0),MATCH('Selection Pane Data'!BQ$3,List!$E$2:$CD$2,0)),"")</f>
        <v/>
      </c>
      <c r="BR94" s="13" t="str">
        <f>IF(BR$4="Yes",INDEX(List!$E$2:$CD$173,MATCH('Selection Pane Data'!$B94,List!$E$2:$E$173,0),MATCH('Selection Pane Data'!BR$3,List!$E$2:$CD$2,0)),"")</f>
        <v/>
      </c>
      <c r="BS94" s="13" t="str">
        <f>IF(BS$4="Yes",INDEX(List!$E$2:$CD$173,MATCH('Selection Pane Data'!$B94,List!$E$2:$E$173,0),MATCH('Selection Pane Data'!BS$3,List!$E$2:$CD$2,0)),"")</f>
        <v/>
      </c>
      <c r="BT94" s="13" t="str">
        <f>IF(BT$4="Yes",INDEX(List!$E$2:$CD$173,MATCH('Selection Pane Data'!$B94,List!$E$2:$E$173,0),MATCH('Selection Pane Data'!BT$3,List!$E$2:$CD$2,0)),"")</f>
        <v/>
      </c>
      <c r="BU94" s="13" t="str">
        <f>IF(BU$4="Yes",INDEX(List!$E$2:$CD$173,MATCH('Selection Pane Data'!$B94,List!$E$2:$E$173,0),MATCH('Selection Pane Data'!BU$3,List!$E$2:$CD$2,0)),"")</f>
        <v/>
      </c>
      <c r="BV94" s="13" t="str">
        <f>IF(BV$4="Yes",INDEX(List!$E$2:$CD$173,MATCH('Selection Pane Data'!$B94,List!$E$2:$E$173,0),MATCH('Selection Pane Data'!BV$3,List!$E$2:$CD$2,0)),"")</f>
        <v/>
      </c>
      <c r="BW94" s="13" t="str">
        <f>IF(BW$4="Yes",INDEX(List!$E$2:$CD$173,MATCH('Selection Pane Data'!$B94,List!$E$2:$E$173,0),MATCH('Selection Pane Data'!BW$3,List!$E$2:$CD$2,0)),"")</f>
        <v/>
      </c>
      <c r="BX94" s="13" t="str">
        <f>IF(BX$4="Yes",INDEX(List!$E$2:$CD$173,MATCH('Selection Pane Data'!$B94,List!$E$2:$E$173,0),MATCH('Selection Pane Data'!BX$3,List!$E$2:$CD$2,0)),"")</f>
        <v/>
      </c>
      <c r="BY94" s="13" t="str">
        <f>IF(BY$4="Yes",INDEX(List!$E$2:$CD$173,MATCH('Selection Pane Data'!$B94,List!$E$2:$E$173,0),MATCH('Selection Pane Data'!BY$3,List!$E$2:$CD$2,0)),"")</f>
        <v/>
      </c>
      <c r="BZ94" s="13" t="str">
        <f>IF(BZ$4="Yes",INDEX(List!$E$2:$CD$173,MATCH('Selection Pane Data'!$B94,List!$E$2:$E$173,0),MATCH('Selection Pane Data'!BZ$3,List!$E$2:$CD$2,0)),"")</f>
        <v/>
      </c>
      <c r="CA94" s="13" t="str">
        <f>IF(CA$4="Yes",INDEX(List!$E$2:$CD$173,MATCH('Selection Pane Data'!$B94,List!$E$2:$E$173,0),MATCH('Selection Pane Data'!CA$3,List!$E$2:$CD$2,0)),"")</f>
        <v/>
      </c>
      <c r="CB94" s="13" t="str">
        <f>IF(CB$4="Yes",INDEX(List!$E$2:$CD$173,MATCH('Selection Pane Data'!$B94,List!$E$2:$E$173,0),MATCH('Selection Pane Data'!CB$3,List!$E$2:$CD$2,0)),"")</f>
        <v/>
      </c>
      <c r="CC94" s="13" t="str">
        <f>IF(CC$4="Yes",INDEX(List!$E$2:$CD$173,MATCH('Selection Pane Data'!$B94,List!$E$2:$E$173,0),MATCH('Selection Pane Data'!CC$3,List!$E$2:$CD$2,0)),"")</f>
        <v/>
      </c>
      <c r="CD94" s="13" t="str">
        <f>IF(CD$4="Yes",INDEX(List!$E$2:$CD$173,MATCH('Selection Pane Data'!$B94,List!$E$2:$E$173,0),MATCH('Selection Pane Data'!CD$3,List!$E$2:$CD$2,0)),"")</f>
        <v/>
      </c>
      <c r="CE94" s="13" t="str">
        <f>IF(CE$4="Yes",INDEX(List!$E$2:$CD$173,MATCH('Selection Pane Data'!$B94,List!$E$2:$E$173,0),MATCH('Selection Pane Data'!CE$3,List!$E$2:$CD$2,0)),"")</f>
        <v/>
      </c>
    </row>
    <row r="95" spans="2:83" x14ac:dyDescent="0.35">
      <c r="B95" s="21" t="s">
        <v>382</v>
      </c>
      <c r="C95" s="126" t="str">
        <f>VLOOKUP(B95,List!$E$2:$G$173,2,FALSE)</f>
        <v>MA.L2-3.7.1</v>
      </c>
      <c r="D95" s="31" t="str">
        <f>List!G93</f>
        <v>Shared Coverage</v>
      </c>
      <c r="E95" s="31" t="str">
        <f>IF(Placemat!$F$4="All Practices","All Practices",IF(VLOOKUP(B95,Table7[#All],6,FALSE)="No Mapping","New CMMC Practices","Practices with NIST 800-171 Mappings"))</f>
        <v>Practices with NIST 800-171 Mappings</v>
      </c>
      <c r="F95" t="str">
        <f>INDEX('CMMC Levels'!$A$1:$F$172,MATCH('Selection Pane Data'!$C95,'CMMC Levels'!$A$1:$A$172,0),MATCH(Placemat!$F$4,'CMMC Levels'!$A$1:$F$1,0))</f>
        <v>X</v>
      </c>
      <c r="G95" s="77" t="str">
        <f>IF((COUNTIF(List!H93:CE93,"P")+COUNTIF(List!H93:CE93,"S"))=0,"N",IF(COUNTIF(H95:CE95,"P"),"P",IF(COUNTIF(H95:CE95,"S"),"S","U")))</f>
        <v>S</v>
      </c>
      <c r="H95" s="13" t="str">
        <f>IF(H$4="Yes",INDEX(List!$E$2:$CD$173,MATCH('Selection Pane Data'!$B95,List!$E$2:$E$173,0),MATCH('Selection Pane Data'!H$3,List!$E$2:$CD$2,0)),"")</f>
        <v/>
      </c>
      <c r="I95" s="13" t="str">
        <f>IF(I$4="Yes",INDEX(List!$E$2:$CD$173,MATCH('Selection Pane Data'!$B95,List!$E$2:$E$173,0),MATCH('Selection Pane Data'!I$3,List!$E$2:$CD$2,0)),"")</f>
        <v/>
      </c>
      <c r="J95" s="13" t="str">
        <f>IF(J$4="Yes",INDEX(List!$E$2:$CD$173,MATCH('Selection Pane Data'!$B95,List!$E$2:$E$173,0),MATCH('Selection Pane Data'!J$3,List!$E$2:$CD$2,0)),"")</f>
        <v>N</v>
      </c>
      <c r="K95" s="13" t="str">
        <f>IF(K$4="Yes",INDEX(List!$E$2:$CD$173,MATCH('Selection Pane Data'!$B95,List!$E$2:$E$173,0),MATCH('Selection Pane Data'!K$3,List!$E$2:$CD$2,0)),"")</f>
        <v/>
      </c>
      <c r="L95" s="13" t="str">
        <f>IF(L$4="Yes",INDEX(List!$E$2:$CD$173,MATCH('Selection Pane Data'!$B95,List!$E$2:$E$173,0),MATCH('Selection Pane Data'!L$3,List!$E$2:$CD$2,0)),"")</f>
        <v/>
      </c>
      <c r="M95" s="13" t="str">
        <f>IF(M$4="Yes",INDEX(List!$E$2:$CD$173,MATCH('Selection Pane Data'!$B95,List!$E$2:$E$173,0),MATCH('Selection Pane Data'!M$3,List!$E$2:$CD$2,0)),"")</f>
        <v/>
      </c>
      <c r="N95" s="13" t="str">
        <f>IF(N$4="Yes",INDEX(List!$E$2:$CD$173,MATCH('Selection Pane Data'!$B95,List!$E$2:$E$173,0),MATCH('Selection Pane Data'!N$3,List!$E$2:$CD$2,0)),"")</f>
        <v/>
      </c>
      <c r="O95" s="13" t="str">
        <f>IF(O$4="Yes",INDEX(List!$E$2:$CD$173,MATCH('Selection Pane Data'!$B95,List!$E$2:$E$173,0),MATCH('Selection Pane Data'!O$3,List!$E$2:$CD$2,0)),"")</f>
        <v/>
      </c>
      <c r="P95" s="13" t="str">
        <f>IF(P$4="Yes",INDEX(List!$E$2:$CD$173,MATCH('Selection Pane Data'!$B95,List!$E$2:$E$173,0),MATCH('Selection Pane Data'!P$3,List!$E$2:$CD$2,0)),"")</f>
        <v/>
      </c>
      <c r="Q95" s="13" t="str">
        <f>IF(Q$4="Yes",INDEX(List!$E$2:$CD$173,MATCH('Selection Pane Data'!$B95,List!$E$2:$E$173,0),MATCH('Selection Pane Data'!Q$3,List!$E$2:$CD$2,0)),"")</f>
        <v/>
      </c>
      <c r="R95" s="13" t="str">
        <f>IF(R$4="Yes",INDEX(List!$E$2:$CD$173,MATCH('Selection Pane Data'!$B95,List!$E$2:$E$173,0),MATCH('Selection Pane Data'!R$3,List!$E$2:$CD$2,0)),"")</f>
        <v/>
      </c>
      <c r="S95" s="13" t="str">
        <f>IF(S$4="Yes",INDEX(List!$E$2:$CD$173,MATCH('Selection Pane Data'!$B95,List!$E$2:$E$173,0),MATCH('Selection Pane Data'!S$3,List!$E$2:$CD$2,0)),"")</f>
        <v/>
      </c>
      <c r="T95" s="13" t="str">
        <f>IF(T$4="Yes",INDEX(List!$E$2:$CD$173,MATCH('Selection Pane Data'!$B95,List!$E$2:$E$173,0),MATCH('Selection Pane Data'!T$3,List!$E$2:$CD$2,0)),"")</f>
        <v/>
      </c>
      <c r="U95" s="13" t="str">
        <f>IF(U$4="Yes",INDEX(List!$E$2:$CD$173,MATCH('Selection Pane Data'!$B95,List!$E$2:$E$173,0),MATCH('Selection Pane Data'!U$3,List!$E$2:$CD$2,0)),"")</f>
        <v/>
      </c>
      <c r="V95" s="13" t="str">
        <f>IF(V$4="Yes",INDEX(List!$E$2:$CD$173,MATCH('Selection Pane Data'!$B95,List!$E$2:$E$173,0),MATCH('Selection Pane Data'!V$3,List!$E$2:$CD$2,0)),"")</f>
        <v/>
      </c>
      <c r="W95" s="13" t="str">
        <f>IF(W$4="Yes",INDEX(List!$E$2:$CD$173,MATCH('Selection Pane Data'!$B95,List!$E$2:$E$173,0),MATCH('Selection Pane Data'!W$3,List!$E$2:$CD$2,0)),"")</f>
        <v/>
      </c>
      <c r="X95" s="13" t="str">
        <f>IF(X$4="Yes",INDEX(List!$E$2:$CD$173,MATCH('Selection Pane Data'!$B95,List!$E$2:$E$173,0),MATCH('Selection Pane Data'!X$3,List!$E$2:$CD$2,0)),"")</f>
        <v/>
      </c>
      <c r="Y95" s="13" t="str">
        <f>IF(Y$4="Yes",INDEX(List!$E$2:$CD$173,MATCH('Selection Pane Data'!$B95,List!$E$2:$E$173,0),MATCH('Selection Pane Data'!Y$3,List!$E$2:$CD$2,0)),"")</f>
        <v/>
      </c>
      <c r="Z95" s="13" t="str">
        <f>IF(Z$4="Yes",INDEX(List!$E$2:$CD$173,MATCH('Selection Pane Data'!$B95,List!$E$2:$E$173,0),MATCH('Selection Pane Data'!Z$3,List!$E$2:$CD$2,0)),"")</f>
        <v/>
      </c>
      <c r="AA95" s="13" t="str">
        <f>IF(AA$4="Yes",INDEX(List!$E$2:$CD$173,MATCH('Selection Pane Data'!$B95,List!$E$2:$E$173,0),MATCH('Selection Pane Data'!AA$3,List!$E$2:$CD$2,0)),"")</f>
        <v>S</v>
      </c>
      <c r="AB95" s="13" t="str">
        <f>IF(AB$4="Yes",INDEX(List!$E$2:$CD$173,MATCH('Selection Pane Data'!$B95,List!$E$2:$E$173,0),MATCH('Selection Pane Data'!AB$3,List!$E$2:$CD$2,0)),"")</f>
        <v/>
      </c>
      <c r="AC95" s="13" t="str">
        <f>IF(AC$4="Yes",INDEX(List!$E$2:$CD$173,MATCH('Selection Pane Data'!$B95,List!$E$2:$E$173,0),MATCH('Selection Pane Data'!AC$3,List!$E$2:$CD$2,0)),"")</f>
        <v/>
      </c>
      <c r="AD95" s="13" t="str">
        <f>IF(AD$4="Yes",INDEX(List!$E$2:$CD$173,MATCH('Selection Pane Data'!$B95,List!$E$2:$E$173,0),MATCH('Selection Pane Data'!AD$3,List!$E$2:$CD$2,0)),"")</f>
        <v/>
      </c>
      <c r="AE95" s="13" t="str">
        <f>IF(AE$4="Yes",INDEX(List!$E$2:$CD$173,MATCH('Selection Pane Data'!$B95,List!$E$2:$E$173,0),MATCH('Selection Pane Data'!AE$3,List!$E$2:$CD$2,0)),"")</f>
        <v/>
      </c>
      <c r="AF95" s="13" t="str">
        <f>IF(AF$4="Yes",INDEX(List!$E$2:$CD$173,MATCH('Selection Pane Data'!$B95,List!$E$2:$E$173,0),MATCH('Selection Pane Data'!AF$3,List!$E$2:$CD$2,0)),"")</f>
        <v/>
      </c>
      <c r="AG95" s="13" t="str">
        <f>IF(AG$4="Yes",INDEX(List!$E$2:$CD$173,MATCH('Selection Pane Data'!$B95,List!$E$2:$E$173,0),MATCH('Selection Pane Data'!AG$3,List!$E$2:$CD$2,0)),"")</f>
        <v/>
      </c>
      <c r="AH95" s="13" t="str">
        <f>IF(AH$4="Yes",INDEX(List!$E$2:$CD$173,MATCH('Selection Pane Data'!$B95,List!$E$2:$E$173,0),MATCH('Selection Pane Data'!AH$3,List!$E$2:$CD$2,0)),"")</f>
        <v/>
      </c>
      <c r="AI95" s="13" t="str">
        <f>IF(AI$4="Yes",INDEX(List!$E$2:$CD$173,MATCH('Selection Pane Data'!$B95,List!$E$2:$E$173,0),MATCH('Selection Pane Data'!AI$3,List!$E$2:$CD$2,0)),"")</f>
        <v/>
      </c>
      <c r="AJ95" s="13" t="str">
        <f>IF(AJ$4="Yes",INDEX(List!$E$2:$CD$173,MATCH('Selection Pane Data'!$B95,List!$E$2:$E$173,0),MATCH('Selection Pane Data'!AJ$3,List!$E$2:$CD$2,0)),"")</f>
        <v/>
      </c>
      <c r="AK95" s="13" t="str">
        <f>IF(AK$4="Yes",INDEX(List!$E$2:$CD$173,MATCH('Selection Pane Data'!$B95,List!$E$2:$E$173,0),MATCH('Selection Pane Data'!AK$3,List!$E$2:$CD$2,0)),"")</f>
        <v/>
      </c>
      <c r="AL95" s="13" t="str">
        <f>IF(AL$4="Yes",INDEX(List!$E$2:$CD$173,MATCH('Selection Pane Data'!$B95,List!$E$2:$E$173,0),MATCH('Selection Pane Data'!AL$3,List!$E$2:$CD$2,0)),"")</f>
        <v/>
      </c>
      <c r="AM95" s="13" t="str">
        <f>IF(AM$4="Yes",INDEX(List!$E$2:$CD$173,MATCH('Selection Pane Data'!$B95,List!$E$2:$E$173,0),MATCH('Selection Pane Data'!AM$3,List!$E$2:$CD$2,0)),"")</f>
        <v/>
      </c>
      <c r="AN95" s="13" t="str">
        <f>IF(AN$4="Yes",INDEX(List!$E$2:$CD$173,MATCH('Selection Pane Data'!$B95,List!$E$2:$E$173,0),MATCH('Selection Pane Data'!AN$3,List!$E$2:$CD$2,0)),"")</f>
        <v/>
      </c>
      <c r="AO95" s="13" t="str">
        <f>IF(AO$4="Yes",INDEX(List!$E$2:$CD$173,MATCH('Selection Pane Data'!$B95,List!$E$2:$E$173,0),MATCH('Selection Pane Data'!AO$3,List!$E$2:$CD$2,0)),"")</f>
        <v/>
      </c>
      <c r="AP95" s="13" t="str">
        <f>IF(AP$4="Yes",INDEX(List!$E$2:$CD$173,MATCH('Selection Pane Data'!$B95,List!$E$2:$E$173,0),MATCH('Selection Pane Data'!AP$3,List!$E$2:$CD$2,0)),"")</f>
        <v/>
      </c>
      <c r="AQ95" s="13" t="str">
        <f>IF(AQ$4="Yes",INDEX(List!$E$2:$CD$173,MATCH('Selection Pane Data'!$B95,List!$E$2:$E$173,0),MATCH('Selection Pane Data'!AQ$3,List!$E$2:$CD$2,0)),"")</f>
        <v/>
      </c>
      <c r="AR95" s="13" t="str">
        <f>IF(AR$4="Yes",INDEX(List!$E$2:$CD$173,MATCH('Selection Pane Data'!$B95,List!$E$2:$E$173,0),MATCH('Selection Pane Data'!AR$3,List!$E$2:$CD$2,0)),"")</f>
        <v/>
      </c>
      <c r="AS95" s="13" t="str">
        <f>IF(AS$4="Yes",INDEX(List!$E$2:$CD$173,MATCH('Selection Pane Data'!$B95,List!$E$2:$E$173,0),MATCH('Selection Pane Data'!AS$3,List!$E$2:$CD$2,0)),"")</f>
        <v/>
      </c>
      <c r="AT95" s="13" t="str">
        <f>IF(AT$4="Yes",INDEX(List!$E$2:$CD$173,MATCH('Selection Pane Data'!$B95,List!$E$2:$E$173,0),MATCH('Selection Pane Data'!AT$3,List!$E$2:$CD$2,0)),"")</f>
        <v/>
      </c>
      <c r="AU95" s="13" t="str">
        <f>IF(AU$4="Yes",INDEX(List!$E$2:$CD$173,MATCH('Selection Pane Data'!$B95,List!$E$2:$E$173,0),MATCH('Selection Pane Data'!AU$3,List!$E$2:$CD$2,0)),"")</f>
        <v/>
      </c>
      <c r="AV95" s="13" t="str">
        <f>IF(AV$4="Yes",INDEX(List!$E$2:$CD$173,MATCH('Selection Pane Data'!$B95,List!$E$2:$E$173,0),MATCH('Selection Pane Data'!AV$3,List!$E$2:$CD$2,0)),"")</f>
        <v/>
      </c>
      <c r="AW95" s="13" t="str">
        <f>IF(AW$4="Yes",INDEX(List!$E$2:$CD$173,MATCH('Selection Pane Data'!$B95,List!$E$2:$E$173,0),MATCH('Selection Pane Data'!AW$3,List!$E$2:$CD$2,0)),"")</f>
        <v/>
      </c>
      <c r="AX95" s="13" t="str">
        <f>IF(AX$4="Yes",INDEX(List!$E$2:$CD$173,MATCH('Selection Pane Data'!$B95,List!$E$2:$E$173,0),MATCH('Selection Pane Data'!AX$3,List!$E$2:$CD$2,0)),"")</f>
        <v/>
      </c>
      <c r="AY95" s="13" t="str">
        <f>IF(AY$4="Yes",INDEX(List!$E$2:$CD$173,MATCH('Selection Pane Data'!$B95,List!$E$2:$E$173,0),MATCH('Selection Pane Data'!AY$3,List!$E$2:$CD$2,0)),"")</f>
        <v/>
      </c>
      <c r="AZ95" s="13" t="str">
        <f>IF(AZ$4="Yes",INDEX(List!$E$2:$CD$173,MATCH('Selection Pane Data'!$B95,List!$E$2:$E$173,0),MATCH('Selection Pane Data'!AZ$3,List!$E$2:$CD$2,0)),"")</f>
        <v/>
      </c>
      <c r="BA95" s="13" t="str">
        <f>IF(BA$4="Yes",INDEX(List!$E$2:$CD$173,MATCH('Selection Pane Data'!$B95,List!$E$2:$E$173,0),MATCH('Selection Pane Data'!BA$3,List!$E$2:$CD$2,0)),"")</f>
        <v/>
      </c>
      <c r="BB95" s="13" t="str">
        <f>IF(BB$4="Yes",INDEX(List!$E$2:$CD$173,MATCH('Selection Pane Data'!$B95,List!$E$2:$E$173,0),MATCH('Selection Pane Data'!BB$3,List!$E$2:$CD$2,0)),"")</f>
        <v/>
      </c>
      <c r="BC95" s="13" t="str">
        <f>IF(BC$4="Yes",INDEX(List!$E$2:$CD$173,MATCH('Selection Pane Data'!$B95,List!$E$2:$E$173,0),MATCH('Selection Pane Data'!BC$3,List!$E$2:$CD$2,0)),"")</f>
        <v/>
      </c>
      <c r="BD95" s="13" t="str">
        <f>IF(BD$4="Yes",INDEX(List!$E$2:$CD$173,MATCH('Selection Pane Data'!$B95,List!$E$2:$E$173,0),MATCH('Selection Pane Data'!BD$3,List!$E$2:$CD$2,0)),"")</f>
        <v/>
      </c>
      <c r="BE95" s="13" t="str">
        <f>IF(BE$4="Yes",INDEX(List!$E$2:$CD$173,MATCH('Selection Pane Data'!$B95,List!$E$2:$E$173,0),MATCH('Selection Pane Data'!BE$3,List!$E$2:$CD$2,0)),"")</f>
        <v/>
      </c>
      <c r="BF95" s="13" t="str">
        <f>IF(BF$4="Yes",INDEX(List!$E$2:$CD$173,MATCH('Selection Pane Data'!$B95,List!$E$2:$E$173,0),MATCH('Selection Pane Data'!BF$3,List!$E$2:$CD$2,0)),"")</f>
        <v/>
      </c>
      <c r="BG95" s="13" t="str">
        <f>IF(BG$4="Yes",INDEX(List!$E$2:$CD$173,MATCH('Selection Pane Data'!$B95,List!$E$2:$E$173,0),MATCH('Selection Pane Data'!BG$3,List!$E$2:$CD$2,0)),"")</f>
        <v/>
      </c>
      <c r="BH95" s="13" t="str">
        <f>IF(BH$4="Yes",INDEX(List!$E$2:$CD$173,MATCH('Selection Pane Data'!$B95,List!$E$2:$E$173,0),MATCH('Selection Pane Data'!BH$3,List!$E$2:$CD$2,0)),"")</f>
        <v/>
      </c>
      <c r="BI95" s="13" t="str">
        <f>IF(BI$4="Yes",INDEX(List!$E$2:$CD$173,MATCH('Selection Pane Data'!$B95,List!$E$2:$E$173,0),MATCH('Selection Pane Data'!BI$3,List!$E$2:$CD$2,0)),"")</f>
        <v/>
      </c>
      <c r="BJ95" s="13" t="str">
        <f>IF(BJ$4="Yes",INDEX(List!$E$2:$CD$173,MATCH('Selection Pane Data'!$B95,List!$E$2:$E$173,0),MATCH('Selection Pane Data'!BJ$3,List!$E$2:$CD$2,0)),"")</f>
        <v/>
      </c>
      <c r="BK95" s="13" t="str">
        <f>IF(BK$4="Yes",INDEX(List!$E$2:$CD$173,MATCH('Selection Pane Data'!$B95,List!$E$2:$E$173,0),MATCH('Selection Pane Data'!BK$3,List!$E$2:$CD$2,0)),"")</f>
        <v/>
      </c>
      <c r="BL95" s="13" t="str">
        <f>IF(BL$4="Yes",INDEX(List!$E$2:$CD$173,MATCH('Selection Pane Data'!$B95,List!$E$2:$E$173,0),MATCH('Selection Pane Data'!BL$3,List!$E$2:$CD$2,0)),"")</f>
        <v/>
      </c>
      <c r="BM95" s="13" t="str">
        <f>IF(BM$4="Yes",INDEX(List!$E$2:$CD$173,MATCH('Selection Pane Data'!$B95,List!$E$2:$E$173,0),MATCH('Selection Pane Data'!BM$3,List!$E$2:$CD$2,0)),"")</f>
        <v/>
      </c>
      <c r="BN95" s="13" t="str">
        <f>IF(BN$4="Yes",INDEX(List!$E$2:$CD$173,MATCH('Selection Pane Data'!$B95,List!$E$2:$E$173,0),MATCH('Selection Pane Data'!BN$3,List!$E$2:$CD$2,0)),"")</f>
        <v/>
      </c>
      <c r="BO95" s="13" t="str">
        <f>IF(BO$4="Yes",INDEX(List!$E$2:$CD$173,MATCH('Selection Pane Data'!$B95,List!$E$2:$E$173,0),MATCH('Selection Pane Data'!BO$3,List!$E$2:$CD$2,0)),"")</f>
        <v/>
      </c>
      <c r="BP95" s="13" t="str">
        <f>IF(BP$4="Yes",INDEX(List!$E$2:$CD$173,MATCH('Selection Pane Data'!$B95,List!$E$2:$E$173,0),MATCH('Selection Pane Data'!BP$3,List!$E$2:$CD$2,0)),"")</f>
        <v/>
      </c>
      <c r="BQ95" s="13" t="str">
        <f>IF(BQ$4="Yes",INDEX(List!$E$2:$CD$173,MATCH('Selection Pane Data'!$B95,List!$E$2:$E$173,0),MATCH('Selection Pane Data'!BQ$3,List!$E$2:$CD$2,0)),"")</f>
        <v/>
      </c>
      <c r="BR95" s="13" t="str">
        <f>IF(BR$4="Yes",INDEX(List!$E$2:$CD$173,MATCH('Selection Pane Data'!$B95,List!$E$2:$E$173,0),MATCH('Selection Pane Data'!BR$3,List!$E$2:$CD$2,0)),"")</f>
        <v/>
      </c>
      <c r="BS95" s="13" t="str">
        <f>IF(BS$4="Yes",INDEX(List!$E$2:$CD$173,MATCH('Selection Pane Data'!$B95,List!$E$2:$E$173,0),MATCH('Selection Pane Data'!BS$3,List!$E$2:$CD$2,0)),"")</f>
        <v/>
      </c>
      <c r="BT95" s="13" t="str">
        <f>IF(BT$4="Yes",INDEX(List!$E$2:$CD$173,MATCH('Selection Pane Data'!$B95,List!$E$2:$E$173,0),MATCH('Selection Pane Data'!BT$3,List!$E$2:$CD$2,0)),"")</f>
        <v/>
      </c>
      <c r="BU95" s="13" t="str">
        <f>IF(BU$4="Yes",INDEX(List!$E$2:$CD$173,MATCH('Selection Pane Data'!$B95,List!$E$2:$E$173,0),MATCH('Selection Pane Data'!BU$3,List!$E$2:$CD$2,0)),"")</f>
        <v/>
      </c>
      <c r="BV95" s="13" t="str">
        <f>IF(BV$4="Yes",INDEX(List!$E$2:$CD$173,MATCH('Selection Pane Data'!$B95,List!$E$2:$E$173,0),MATCH('Selection Pane Data'!BV$3,List!$E$2:$CD$2,0)),"")</f>
        <v/>
      </c>
      <c r="BW95" s="13" t="str">
        <f>IF(BW$4="Yes",INDEX(List!$E$2:$CD$173,MATCH('Selection Pane Data'!$B95,List!$E$2:$E$173,0),MATCH('Selection Pane Data'!BW$3,List!$E$2:$CD$2,0)),"")</f>
        <v/>
      </c>
      <c r="BX95" s="13" t="str">
        <f>IF(BX$4="Yes",INDEX(List!$E$2:$CD$173,MATCH('Selection Pane Data'!$B95,List!$E$2:$E$173,0),MATCH('Selection Pane Data'!BX$3,List!$E$2:$CD$2,0)),"")</f>
        <v/>
      </c>
      <c r="BY95" s="13" t="str">
        <f>IF(BY$4="Yes",INDEX(List!$E$2:$CD$173,MATCH('Selection Pane Data'!$B95,List!$E$2:$E$173,0),MATCH('Selection Pane Data'!BY$3,List!$E$2:$CD$2,0)),"")</f>
        <v/>
      </c>
      <c r="BZ95" s="13" t="str">
        <f>IF(BZ$4="Yes",INDEX(List!$E$2:$CD$173,MATCH('Selection Pane Data'!$B95,List!$E$2:$E$173,0),MATCH('Selection Pane Data'!BZ$3,List!$E$2:$CD$2,0)),"")</f>
        <v/>
      </c>
      <c r="CA95" s="13" t="str">
        <f>IF(CA$4="Yes",INDEX(List!$E$2:$CD$173,MATCH('Selection Pane Data'!$B95,List!$E$2:$E$173,0),MATCH('Selection Pane Data'!CA$3,List!$E$2:$CD$2,0)),"")</f>
        <v/>
      </c>
      <c r="CB95" s="13" t="str">
        <f>IF(CB$4="Yes",INDEX(List!$E$2:$CD$173,MATCH('Selection Pane Data'!$B95,List!$E$2:$E$173,0),MATCH('Selection Pane Data'!CB$3,List!$E$2:$CD$2,0)),"")</f>
        <v/>
      </c>
      <c r="CC95" s="13" t="str">
        <f>IF(CC$4="Yes",INDEX(List!$E$2:$CD$173,MATCH('Selection Pane Data'!$B95,List!$E$2:$E$173,0),MATCH('Selection Pane Data'!CC$3,List!$E$2:$CD$2,0)),"")</f>
        <v/>
      </c>
      <c r="CD95" s="13" t="str">
        <f>IF(CD$4="Yes",INDEX(List!$E$2:$CD$173,MATCH('Selection Pane Data'!$B95,List!$E$2:$E$173,0),MATCH('Selection Pane Data'!CD$3,List!$E$2:$CD$2,0)),"")</f>
        <v/>
      </c>
      <c r="CE95" s="13" t="str">
        <f>IF(CE$4="Yes",INDEX(List!$E$2:$CD$173,MATCH('Selection Pane Data'!$B95,List!$E$2:$E$173,0),MATCH('Selection Pane Data'!CE$3,List!$E$2:$CD$2,0)),"")</f>
        <v/>
      </c>
    </row>
    <row r="96" spans="2:83" x14ac:dyDescent="0.35">
      <c r="B96" s="21" t="s">
        <v>383</v>
      </c>
      <c r="C96" s="126" t="str">
        <f>VLOOKUP(B96,List!$E$2:$G$173,2,FALSE)</f>
        <v>MA.L2-3.7.2</v>
      </c>
      <c r="D96" s="31" t="str">
        <f>List!G94</f>
        <v>Shared Coverage</v>
      </c>
      <c r="E96" s="31" t="str">
        <f>IF(Placemat!$F$4="All Practices","All Practices",IF(VLOOKUP(B96,Table7[#All],6,FALSE)="No Mapping","New CMMC Practices","Practices with NIST 800-171 Mappings"))</f>
        <v>Practices with NIST 800-171 Mappings</v>
      </c>
      <c r="F96" t="str">
        <f>INDEX('CMMC Levels'!$A$1:$F$172,MATCH('Selection Pane Data'!$C96,'CMMC Levels'!$A$1:$A$172,0),MATCH(Placemat!$F$4,'CMMC Levels'!$A$1:$F$1,0))</f>
        <v>X</v>
      </c>
      <c r="G96" s="77" t="str">
        <f>IF((COUNTIF(List!H94:CE94,"P")+COUNTIF(List!H94:CE94,"S"))=0,"N",IF(COUNTIF(H96:CE96,"P"),"P",IF(COUNTIF(H96:CE96,"S"),"S","U")))</f>
        <v>U</v>
      </c>
      <c r="H96" s="13" t="str">
        <f>IF(H$4="Yes",INDEX(List!$E$2:$CD$173,MATCH('Selection Pane Data'!$B96,List!$E$2:$E$173,0),MATCH('Selection Pane Data'!H$3,List!$E$2:$CD$2,0)),"")</f>
        <v/>
      </c>
      <c r="I96" s="13" t="str">
        <f>IF(I$4="Yes",INDEX(List!$E$2:$CD$173,MATCH('Selection Pane Data'!$B96,List!$E$2:$E$173,0),MATCH('Selection Pane Data'!I$3,List!$E$2:$CD$2,0)),"")</f>
        <v/>
      </c>
      <c r="J96" s="13" t="str">
        <f>IF(J$4="Yes",INDEX(List!$E$2:$CD$173,MATCH('Selection Pane Data'!$B96,List!$E$2:$E$173,0),MATCH('Selection Pane Data'!J$3,List!$E$2:$CD$2,0)),"")</f>
        <v>N</v>
      </c>
      <c r="K96" s="13" t="str">
        <f>IF(K$4="Yes",INDEX(List!$E$2:$CD$173,MATCH('Selection Pane Data'!$B96,List!$E$2:$E$173,0),MATCH('Selection Pane Data'!K$3,List!$E$2:$CD$2,0)),"")</f>
        <v/>
      </c>
      <c r="L96" s="13" t="str">
        <f>IF(L$4="Yes",INDEX(List!$E$2:$CD$173,MATCH('Selection Pane Data'!$B96,List!$E$2:$E$173,0),MATCH('Selection Pane Data'!L$3,List!$E$2:$CD$2,0)),"")</f>
        <v/>
      </c>
      <c r="M96" s="13" t="str">
        <f>IF(M$4="Yes",INDEX(List!$E$2:$CD$173,MATCH('Selection Pane Data'!$B96,List!$E$2:$E$173,0),MATCH('Selection Pane Data'!M$3,List!$E$2:$CD$2,0)),"")</f>
        <v/>
      </c>
      <c r="N96" s="13" t="str">
        <f>IF(N$4="Yes",INDEX(List!$E$2:$CD$173,MATCH('Selection Pane Data'!$B96,List!$E$2:$E$173,0),MATCH('Selection Pane Data'!N$3,List!$E$2:$CD$2,0)),"")</f>
        <v/>
      </c>
      <c r="O96" s="13" t="str">
        <f>IF(O$4="Yes",INDEX(List!$E$2:$CD$173,MATCH('Selection Pane Data'!$B96,List!$E$2:$E$173,0),MATCH('Selection Pane Data'!O$3,List!$E$2:$CD$2,0)),"")</f>
        <v/>
      </c>
      <c r="P96" s="13" t="str">
        <f>IF(P$4="Yes",INDEX(List!$E$2:$CD$173,MATCH('Selection Pane Data'!$B96,List!$E$2:$E$173,0),MATCH('Selection Pane Data'!P$3,List!$E$2:$CD$2,0)),"")</f>
        <v/>
      </c>
      <c r="Q96" s="13" t="str">
        <f>IF(Q$4="Yes",INDEX(List!$E$2:$CD$173,MATCH('Selection Pane Data'!$B96,List!$E$2:$E$173,0),MATCH('Selection Pane Data'!Q$3,List!$E$2:$CD$2,0)),"")</f>
        <v/>
      </c>
      <c r="R96" s="13" t="str">
        <f>IF(R$4="Yes",INDEX(List!$E$2:$CD$173,MATCH('Selection Pane Data'!$B96,List!$E$2:$E$173,0),MATCH('Selection Pane Data'!R$3,List!$E$2:$CD$2,0)),"")</f>
        <v/>
      </c>
      <c r="S96" s="13" t="str">
        <f>IF(S$4="Yes",INDEX(List!$E$2:$CD$173,MATCH('Selection Pane Data'!$B96,List!$E$2:$E$173,0),MATCH('Selection Pane Data'!S$3,List!$E$2:$CD$2,0)),"")</f>
        <v/>
      </c>
      <c r="T96" s="13" t="str">
        <f>IF(T$4="Yes",INDEX(List!$E$2:$CD$173,MATCH('Selection Pane Data'!$B96,List!$E$2:$E$173,0),MATCH('Selection Pane Data'!T$3,List!$E$2:$CD$2,0)),"")</f>
        <v/>
      </c>
      <c r="U96" s="13" t="str">
        <f>IF(U$4="Yes",INDEX(List!$E$2:$CD$173,MATCH('Selection Pane Data'!$B96,List!$E$2:$E$173,0),MATCH('Selection Pane Data'!U$3,List!$E$2:$CD$2,0)),"")</f>
        <v/>
      </c>
      <c r="V96" s="13" t="str">
        <f>IF(V$4="Yes",INDEX(List!$E$2:$CD$173,MATCH('Selection Pane Data'!$B96,List!$E$2:$E$173,0),MATCH('Selection Pane Data'!V$3,List!$E$2:$CD$2,0)),"")</f>
        <v/>
      </c>
      <c r="W96" s="13" t="str">
        <f>IF(W$4="Yes",INDEX(List!$E$2:$CD$173,MATCH('Selection Pane Data'!$B96,List!$E$2:$E$173,0),MATCH('Selection Pane Data'!W$3,List!$E$2:$CD$2,0)),"")</f>
        <v/>
      </c>
      <c r="X96" s="13" t="str">
        <f>IF(X$4="Yes",INDEX(List!$E$2:$CD$173,MATCH('Selection Pane Data'!$B96,List!$E$2:$E$173,0),MATCH('Selection Pane Data'!X$3,List!$E$2:$CD$2,0)),"")</f>
        <v/>
      </c>
      <c r="Y96" s="13" t="str">
        <f>IF(Y$4="Yes",INDEX(List!$E$2:$CD$173,MATCH('Selection Pane Data'!$B96,List!$E$2:$E$173,0),MATCH('Selection Pane Data'!Y$3,List!$E$2:$CD$2,0)),"")</f>
        <v/>
      </c>
      <c r="Z96" s="13" t="str">
        <f>IF(Z$4="Yes",INDEX(List!$E$2:$CD$173,MATCH('Selection Pane Data'!$B96,List!$E$2:$E$173,0),MATCH('Selection Pane Data'!Z$3,List!$E$2:$CD$2,0)),"")</f>
        <v/>
      </c>
      <c r="AA96" s="13" t="str">
        <f>IF(AA$4="Yes",INDEX(List!$E$2:$CD$173,MATCH('Selection Pane Data'!$B96,List!$E$2:$E$173,0),MATCH('Selection Pane Data'!AA$3,List!$E$2:$CD$2,0)),"")</f>
        <v>N</v>
      </c>
      <c r="AB96" s="13" t="str">
        <f>IF(AB$4="Yes",INDEX(List!$E$2:$CD$173,MATCH('Selection Pane Data'!$B96,List!$E$2:$E$173,0),MATCH('Selection Pane Data'!AB$3,List!$E$2:$CD$2,0)),"")</f>
        <v/>
      </c>
      <c r="AC96" s="13" t="str">
        <f>IF(AC$4="Yes",INDEX(List!$E$2:$CD$173,MATCH('Selection Pane Data'!$B96,List!$E$2:$E$173,0),MATCH('Selection Pane Data'!AC$3,List!$E$2:$CD$2,0)),"")</f>
        <v/>
      </c>
      <c r="AD96" s="13" t="str">
        <f>IF(AD$4="Yes",INDEX(List!$E$2:$CD$173,MATCH('Selection Pane Data'!$B96,List!$E$2:$E$173,0),MATCH('Selection Pane Data'!AD$3,List!$E$2:$CD$2,0)),"")</f>
        <v/>
      </c>
      <c r="AE96" s="13" t="str">
        <f>IF(AE$4="Yes",INDEX(List!$E$2:$CD$173,MATCH('Selection Pane Data'!$B96,List!$E$2:$E$173,0),MATCH('Selection Pane Data'!AE$3,List!$E$2:$CD$2,0)),"")</f>
        <v/>
      </c>
      <c r="AF96" s="13" t="str">
        <f>IF(AF$4="Yes",INDEX(List!$E$2:$CD$173,MATCH('Selection Pane Data'!$B96,List!$E$2:$E$173,0),MATCH('Selection Pane Data'!AF$3,List!$E$2:$CD$2,0)),"")</f>
        <v/>
      </c>
      <c r="AG96" s="13" t="str">
        <f>IF(AG$4="Yes",INDEX(List!$E$2:$CD$173,MATCH('Selection Pane Data'!$B96,List!$E$2:$E$173,0),MATCH('Selection Pane Data'!AG$3,List!$E$2:$CD$2,0)),"")</f>
        <v/>
      </c>
      <c r="AH96" s="13" t="str">
        <f>IF(AH$4="Yes",INDEX(List!$E$2:$CD$173,MATCH('Selection Pane Data'!$B96,List!$E$2:$E$173,0),MATCH('Selection Pane Data'!AH$3,List!$E$2:$CD$2,0)),"")</f>
        <v/>
      </c>
      <c r="AI96" s="13" t="str">
        <f>IF(AI$4="Yes",INDEX(List!$E$2:$CD$173,MATCH('Selection Pane Data'!$B96,List!$E$2:$E$173,0),MATCH('Selection Pane Data'!AI$3,List!$E$2:$CD$2,0)),"")</f>
        <v/>
      </c>
      <c r="AJ96" s="13" t="str">
        <f>IF(AJ$4="Yes",INDEX(List!$E$2:$CD$173,MATCH('Selection Pane Data'!$B96,List!$E$2:$E$173,0),MATCH('Selection Pane Data'!AJ$3,List!$E$2:$CD$2,0)),"")</f>
        <v/>
      </c>
      <c r="AK96" s="13" t="str">
        <f>IF(AK$4="Yes",INDEX(List!$E$2:$CD$173,MATCH('Selection Pane Data'!$B96,List!$E$2:$E$173,0),MATCH('Selection Pane Data'!AK$3,List!$E$2:$CD$2,0)),"")</f>
        <v/>
      </c>
      <c r="AL96" s="13" t="str">
        <f>IF(AL$4="Yes",INDEX(List!$E$2:$CD$173,MATCH('Selection Pane Data'!$B96,List!$E$2:$E$173,0),MATCH('Selection Pane Data'!AL$3,List!$E$2:$CD$2,0)),"")</f>
        <v/>
      </c>
      <c r="AM96" s="13" t="str">
        <f>IF(AM$4="Yes",INDEX(List!$E$2:$CD$173,MATCH('Selection Pane Data'!$B96,List!$E$2:$E$173,0),MATCH('Selection Pane Data'!AM$3,List!$E$2:$CD$2,0)),"")</f>
        <v/>
      </c>
      <c r="AN96" s="13" t="str">
        <f>IF(AN$4="Yes",INDEX(List!$E$2:$CD$173,MATCH('Selection Pane Data'!$B96,List!$E$2:$E$173,0),MATCH('Selection Pane Data'!AN$3,List!$E$2:$CD$2,0)),"")</f>
        <v/>
      </c>
      <c r="AO96" s="13" t="str">
        <f>IF(AO$4="Yes",INDEX(List!$E$2:$CD$173,MATCH('Selection Pane Data'!$B96,List!$E$2:$E$173,0),MATCH('Selection Pane Data'!AO$3,List!$E$2:$CD$2,0)),"")</f>
        <v/>
      </c>
      <c r="AP96" s="13" t="str">
        <f>IF(AP$4="Yes",INDEX(List!$E$2:$CD$173,MATCH('Selection Pane Data'!$B96,List!$E$2:$E$173,0),MATCH('Selection Pane Data'!AP$3,List!$E$2:$CD$2,0)),"")</f>
        <v/>
      </c>
      <c r="AQ96" s="13" t="str">
        <f>IF(AQ$4="Yes",INDEX(List!$E$2:$CD$173,MATCH('Selection Pane Data'!$B96,List!$E$2:$E$173,0),MATCH('Selection Pane Data'!AQ$3,List!$E$2:$CD$2,0)),"")</f>
        <v/>
      </c>
      <c r="AR96" s="13" t="str">
        <f>IF(AR$4="Yes",INDEX(List!$E$2:$CD$173,MATCH('Selection Pane Data'!$B96,List!$E$2:$E$173,0),MATCH('Selection Pane Data'!AR$3,List!$E$2:$CD$2,0)),"")</f>
        <v/>
      </c>
      <c r="AS96" s="13" t="str">
        <f>IF(AS$4="Yes",INDEX(List!$E$2:$CD$173,MATCH('Selection Pane Data'!$B96,List!$E$2:$E$173,0),MATCH('Selection Pane Data'!AS$3,List!$E$2:$CD$2,0)),"")</f>
        <v/>
      </c>
      <c r="AT96" s="13" t="str">
        <f>IF(AT$4="Yes",INDEX(List!$E$2:$CD$173,MATCH('Selection Pane Data'!$B96,List!$E$2:$E$173,0),MATCH('Selection Pane Data'!AT$3,List!$E$2:$CD$2,0)),"")</f>
        <v/>
      </c>
      <c r="AU96" s="13" t="str">
        <f>IF(AU$4="Yes",INDEX(List!$E$2:$CD$173,MATCH('Selection Pane Data'!$B96,List!$E$2:$E$173,0),MATCH('Selection Pane Data'!AU$3,List!$E$2:$CD$2,0)),"")</f>
        <v/>
      </c>
      <c r="AV96" s="13" t="str">
        <f>IF(AV$4="Yes",INDEX(List!$E$2:$CD$173,MATCH('Selection Pane Data'!$B96,List!$E$2:$E$173,0),MATCH('Selection Pane Data'!AV$3,List!$E$2:$CD$2,0)),"")</f>
        <v/>
      </c>
      <c r="AW96" s="13" t="str">
        <f>IF(AW$4="Yes",INDEX(List!$E$2:$CD$173,MATCH('Selection Pane Data'!$B96,List!$E$2:$E$173,0),MATCH('Selection Pane Data'!AW$3,List!$E$2:$CD$2,0)),"")</f>
        <v/>
      </c>
      <c r="AX96" s="13" t="str">
        <f>IF(AX$4="Yes",INDEX(List!$E$2:$CD$173,MATCH('Selection Pane Data'!$B96,List!$E$2:$E$173,0),MATCH('Selection Pane Data'!AX$3,List!$E$2:$CD$2,0)),"")</f>
        <v/>
      </c>
      <c r="AY96" s="13" t="str">
        <f>IF(AY$4="Yes",INDEX(List!$E$2:$CD$173,MATCH('Selection Pane Data'!$B96,List!$E$2:$E$173,0),MATCH('Selection Pane Data'!AY$3,List!$E$2:$CD$2,0)),"")</f>
        <v/>
      </c>
      <c r="AZ96" s="13" t="str">
        <f>IF(AZ$4="Yes",INDEX(List!$E$2:$CD$173,MATCH('Selection Pane Data'!$B96,List!$E$2:$E$173,0),MATCH('Selection Pane Data'!AZ$3,List!$E$2:$CD$2,0)),"")</f>
        <v/>
      </c>
      <c r="BA96" s="13" t="str">
        <f>IF(BA$4="Yes",INDEX(List!$E$2:$CD$173,MATCH('Selection Pane Data'!$B96,List!$E$2:$E$173,0),MATCH('Selection Pane Data'!BA$3,List!$E$2:$CD$2,0)),"")</f>
        <v/>
      </c>
      <c r="BB96" s="13" t="str">
        <f>IF(BB$4="Yes",INDEX(List!$E$2:$CD$173,MATCH('Selection Pane Data'!$B96,List!$E$2:$E$173,0),MATCH('Selection Pane Data'!BB$3,List!$E$2:$CD$2,0)),"")</f>
        <v/>
      </c>
      <c r="BC96" s="13" t="str">
        <f>IF(BC$4="Yes",INDEX(List!$E$2:$CD$173,MATCH('Selection Pane Data'!$B96,List!$E$2:$E$173,0),MATCH('Selection Pane Data'!BC$3,List!$E$2:$CD$2,0)),"")</f>
        <v/>
      </c>
      <c r="BD96" s="13" t="str">
        <f>IF(BD$4="Yes",INDEX(List!$E$2:$CD$173,MATCH('Selection Pane Data'!$B96,List!$E$2:$E$173,0),MATCH('Selection Pane Data'!BD$3,List!$E$2:$CD$2,0)),"")</f>
        <v/>
      </c>
      <c r="BE96" s="13" t="str">
        <f>IF(BE$4="Yes",INDEX(List!$E$2:$CD$173,MATCH('Selection Pane Data'!$B96,List!$E$2:$E$173,0),MATCH('Selection Pane Data'!BE$3,List!$E$2:$CD$2,0)),"")</f>
        <v/>
      </c>
      <c r="BF96" s="13" t="str">
        <f>IF(BF$4="Yes",INDEX(List!$E$2:$CD$173,MATCH('Selection Pane Data'!$B96,List!$E$2:$E$173,0),MATCH('Selection Pane Data'!BF$3,List!$E$2:$CD$2,0)),"")</f>
        <v/>
      </c>
      <c r="BG96" s="13" t="str">
        <f>IF(BG$4="Yes",INDEX(List!$E$2:$CD$173,MATCH('Selection Pane Data'!$B96,List!$E$2:$E$173,0),MATCH('Selection Pane Data'!BG$3,List!$E$2:$CD$2,0)),"")</f>
        <v/>
      </c>
      <c r="BH96" s="13" t="str">
        <f>IF(BH$4="Yes",INDEX(List!$E$2:$CD$173,MATCH('Selection Pane Data'!$B96,List!$E$2:$E$173,0),MATCH('Selection Pane Data'!BH$3,List!$E$2:$CD$2,0)),"")</f>
        <v/>
      </c>
      <c r="BI96" s="13" t="str">
        <f>IF(BI$4="Yes",INDEX(List!$E$2:$CD$173,MATCH('Selection Pane Data'!$B96,List!$E$2:$E$173,0),MATCH('Selection Pane Data'!BI$3,List!$E$2:$CD$2,0)),"")</f>
        <v/>
      </c>
      <c r="BJ96" s="13" t="str">
        <f>IF(BJ$4="Yes",INDEX(List!$E$2:$CD$173,MATCH('Selection Pane Data'!$B96,List!$E$2:$E$173,0),MATCH('Selection Pane Data'!BJ$3,List!$E$2:$CD$2,0)),"")</f>
        <v/>
      </c>
      <c r="BK96" s="13" t="str">
        <f>IF(BK$4="Yes",INDEX(List!$E$2:$CD$173,MATCH('Selection Pane Data'!$B96,List!$E$2:$E$173,0),MATCH('Selection Pane Data'!BK$3,List!$E$2:$CD$2,0)),"")</f>
        <v/>
      </c>
      <c r="BL96" s="13" t="str">
        <f>IF(BL$4="Yes",INDEX(List!$E$2:$CD$173,MATCH('Selection Pane Data'!$B96,List!$E$2:$E$173,0),MATCH('Selection Pane Data'!BL$3,List!$E$2:$CD$2,0)),"")</f>
        <v/>
      </c>
      <c r="BM96" s="13" t="str">
        <f>IF(BM$4="Yes",INDEX(List!$E$2:$CD$173,MATCH('Selection Pane Data'!$B96,List!$E$2:$E$173,0),MATCH('Selection Pane Data'!BM$3,List!$E$2:$CD$2,0)),"")</f>
        <v/>
      </c>
      <c r="BN96" s="13" t="str">
        <f>IF(BN$4="Yes",INDEX(List!$E$2:$CD$173,MATCH('Selection Pane Data'!$B96,List!$E$2:$E$173,0),MATCH('Selection Pane Data'!BN$3,List!$E$2:$CD$2,0)),"")</f>
        <v/>
      </c>
      <c r="BO96" s="13" t="str">
        <f>IF(BO$4="Yes",INDEX(List!$E$2:$CD$173,MATCH('Selection Pane Data'!$B96,List!$E$2:$E$173,0),MATCH('Selection Pane Data'!BO$3,List!$E$2:$CD$2,0)),"")</f>
        <v/>
      </c>
      <c r="BP96" s="13" t="str">
        <f>IF(BP$4="Yes",INDEX(List!$E$2:$CD$173,MATCH('Selection Pane Data'!$B96,List!$E$2:$E$173,0),MATCH('Selection Pane Data'!BP$3,List!$E$2:$CD$2,0)),"")</f>
        <v/>
      </c>
      <c r="BQ96" s="13" t="str">
        <f>IF(BQ$4="Yes",INDEX(List!$E$2:$CD$173,MATCH('Selection Pane Data'!$B96,List!$E$2:$E$173,0),MATCH('Selection Pane Data'!BQ$3,List!$E$2:$CD$2,0)),"")</f>
        <v/>
      </c>
      <c r="BR96" s="13" t="str">
        <f>IF(BR$4="Yes",INDEX(List!$E$2:$CD$173,MATCH('Selection Pane Data'!$B96,List!$E$2:$E$173,0),MATCH('Selection Pane Data'!BR$3,List!$E$2:$CD$2,0)),"")</f>
        <v/>
      </c>
      <c r="BS96" s="13" t="str">
        <f>IF(BS$4="Yes",INDEX(List!$E$2:$CD$173,MATCH('Selection Pane Data'!$B96,List!$E$2:$E$173,0),MATCH('Selection Pane Data'!BS$3,List!$E$2:$CD$2,0)),"")</f>
        <v/>
      </c>
      <c r="BT96" s="13" t="str">
        <f>IF(BT$4="Yes",INDEX(List!$E$2:$CD$173,MATCH('Selection Pane Data'!$B96,List!$E$2:$E$173,0),MATCH('Selection Pane Data'!BT$3,List!$E$2:$CD$2,0)),"")</f>
        <v/>
      </c>
      <c r="BU96" s="13" t="str">
        <f>IF(BU$4="Yes",INDEX(List!$E$2:$CD$173,MATCH('Selection Pane Data'!$B96,List!$E$2:$E$173,0),MATCH('Selection Pane Data'!BU$3,List!$E$2:$CD$2,0)),"")</f>
        <v/>
      </c>
      <c r="BV96" s="13" t="str">
        <f>IF(BV$4="Yes",INDEX(List!$E$2:$CD$173,MATCH('Selection Pane Data'!$B96,List!$E$2:$E$173,0),MATCH('Selection Pane Data'!BV$3,List!$E$2:$CD$2,0)),"")</f>
        <v/>
      </c>
      <c r="BW96" s="13" t="str">
        <f>IF(BW$4="Yes",INDEX(List!$E$2:$CD$173,MATCH('Selection Pane Data'!$B96,List!$E$2:$E$173,0),MATCH('Selection Pane Data'!BW$3,List!$E$2:$CD$2,0)),"")</f>
        <v/>
      </c>
      <c r="BX96" s="13" t="str">
        <f>IF(BX$4="Yes",INDEX(List!$E$2:$CD$173,MATCH('Selection Pane Data'!$B96,List!$E$2:$E$173,0),MATCH('Selection Pane Data'!BX$3,List!$E$2:$CD$2,0)),"")</f>
        <v/>
      </c>
      <c r="BY96" s="13" t="str">
        <f>IF(BY$4="Yes",INDEX(List!$E$2:$CD$173,MATCH('Selection Pane Data'!$B96,List!$E$2:$E$173,0),MATCH('Selection Pane Data'!BY$3,List!$E$2:$CD$2,0)),"")</f>
        <v/>
      </c>
      <c r="BZ96" s="13" t="str">
        <f>IF(BZ$4="Yes",INDEX(List!$E$2:$CD$173,MATCH('Selection Pane Data'!$B96,List!$E$2:$E$173,0),MATCH('Selection Pane Data'!BZ$3,List!$E$2:$CD$2,0)),"")</f>
        <v/>
      </c>
      <c r="CA96" s="13" t="str">
        <f>IF(CA$4="Yes",INDEX(List!$E$2:$CD$173,MATCH('Selection Pane Data'!$B96,List!$E$2:$E$173,0),MATCH('Selection Pane Data'!CA$3,List!$E$2:$CD$2,0)),"")</f>
        <v/>
      </c>
      <c r="CB96" s="13" t="str">
        <f>IF(CB$4="Yes",INDEX(List!$E$2:$CD$173,MATCH('Selection Pane Data'!$B96,List!$E$2:$E$173,0),MATCH('Selection Pane Data'!CB$3,List!$E$2:$CD$2,0)),"")</f>
        <v/>
      </c>
      <c r="CC96" s="13" t="str">
        <f>IF(CC$4="Yes",INDEX(List!$E$2:$CD$173,MATCH('Selection Pane Data'!$B96,List!$E$2:$E$173,0),MATCH('Selection Pane Data'!CC$3,List!$E$2:$CD$2,0)),"")</f>
        <v/>
      </c>
      <c r="CD96" s="13" t="str">
        <f>IF(CD$4="Yes",INDEX(List!$E$2:$CD$173,MATCH('Selection Pane Data'!$B96,List!$E$2:$E$173,0),MATCH('Selection Pane Data'!CD$3,List!$E$2:$CD$2,0)),"")</f>
        <v/>
      </c>
      <c r="CE96" s="13" t="str">
        <f>IF(CE$4="Yes",INDEX(List!$E$2:$CD$173,MATCH('Selection Pane Data'!$B96,List!$E$2:$E$173,0),MATCH('Selection Pane Data'!CE$3,List!$E$2:$CD$2,0)),"")</f>
        <v/>
      </c>
    </row>
    <row r="97" spans="2:83" x14ac:dyDescent="0.35">
      <c r="B97" s="21" t="s">
        <v>384</v>
      </c>
      <c r="C97" s="126" t="str">
        <f>VLOOKUP(B97,List!$E$2:$G$173,2,FALSE)</f>
        <v>MA.L2-3.7.5</v>
      </c>
      <c r="D97" s="31" t="str">
        <f>List!G95</f>
        <v>Shared Coverage</v>
      </c>
      <c r="E97" s="31" t="str">
        <f>IF(Placemat!$F$4="All Practices","All Practices",IF(VLOOKUP(B97,Table7[#All],6,FALSE)="No Mapping","New CMMC Practices","Practices with NIST 800-171 Mappings"))</f>
        <v>Practices with NIST 800-171 Mappings</v>
      </c>
      <c r="F97" t="str">
        <f>INDEX('CMMC Levels'!$A$1:$F$172,MATCH('Selection Pane Data'!$C97,'CMMC Levels'!$A$1:$A$172,0),MATCH(Placemat!$F$4,'CMMC Levels'!$A$1:$F$1,0))</f>
        <v>X</v>
      </c>
      <c r="G97" s="77" t="str">
        <f>IF((COUNTIF(List!H95:CE95,"P")+COUNTIF(List!H95:CE95,"S"))=0,"N",IF(COUNTIF(H97:CE97,"P"),"P",IF(COUNTIF(H97:CE97,"S"),"S","U")))</f>
        <v>S</v>
      </c>
      <c r="H97" s="13" t="str">
        <f>IF(H$4="Yes",INDEX(List!$E$2:$CD$173,MATCH('Selection Pane Data'!$B97,List!$E$2:$E$173,0),MATCH('Selection Pane Data'!H$3,List!$E$2:$CD$2,0)),"")</f>
        <v/>
      </c>
      <c r="I97" s="13" t="str">
        <f>IF(I$4="Yes",INDEX(List!$E$2:$CD$173,MATCH('Selection Pane Data'!$B97,List!$E$2:$E$173,0),MATCH('Selection Pane Data'!I$3,List!$E$2:$CD$2,0)),"")</f>
        <v/>
      </c>
      <c r="J97" s="13" t="str">
        <f>IF(J$4="Yes",INDEX(List!$E$2:$CD$173,MATCH('Selection Pane Data'!$B97,List!$E$2:$E$173,0),MATCH('Selection Pane Data'!J$3,List!$E$2:$CD$2,0)),"")</f>
        <v>N</v>
      </c>
      <c r="K97" s="13" t="str">
        <f>IF(K$4="Yes",INDEX(List!$E$2:$CD$173,MATCH('Selection Pane Data'!$B97,List!$E$2:$E$173,0),MATCH('Selection Pane Data'!K$3,List!$E$2:$CD$2,0)),"")</f>
        <v/>
      </c>
      <c r="L97" s="13" t="str">
        <f>IF(L$4="Yes",INDEX(List!$E$2:$CD$173,MATCH('Selection Pane Data'!$B97,List!$E$2:$E$173,0),MATCH('Selection Pane Data'!L$3,List!$E$2:$CD$2,0)),"")</f>
        <v/>
      </c>
      <c r="M97" s="13" t="str">
        <f>IF(M$4="Yes",INDEX(List!$E$2:$CD$173,MATCH('Selection Pane Data'!$B97,List!$E$2:$E$173,0),MATCH('Selection Pane Data'!M$3,List!$E$2:$CD$2,0)),"")</f>
        <v/>
      </c>
      <c r="N97" s="13" t="str">
        <f>IF(N$4="Yes",INDEX(List!$E$2:$CD$173,MATCH('Selection Pane Data'!$B97,List!$E$2:$E$173,0),MATCH('Selection Pane Data'!N$3,List!$E$2:$CD$2,0)),"")</f>
        <v/>
      </c>
      <c r="O97" s="13" t="str">
        <f>IF(O$4="Yes",INDEX(List!$E$2:$CD$173,MATCH('Selection Pane Data'!$B97,List!$E$2:$E$173,0),MATCH('Selection Pane Data'!O$3,List!$E$2:$CD$2,0)),"")</f>
        <v/>
      </c>
      <c r="P97" s="13" t="str">
        <f>IF(P$4="Yes",INDEX(List!$E$2:$CD$173,MATCH('Selection Pane Data'!$B97,List!$E$2:$E$173,0),MATCH('Selection Pane Data'!P$3,List!$E$2:$CD$2,0)),"")</f>
        <v/>
      </c>
      <c r="Q97" s="13" t="str">
        <f>IF(Q$4="Yes",INDEX(List!$E$2:$CD$173,MATCH('Selection Pane Data'!$B97,List!$E$2:$E$173,0),MATCH('Selection Pane Data'!Q$3,List!$E$2:$CD$2,0)),"")</f>
        <v/>
      </c>
      <c r="R97" s="13" t="str">
        <f>IF(R$4="Yes",INDEX(List!$E$2:$CD$173,MATCH('Selection Pane Data'!$B97,List!$E$2:$E$173,0),MATCH('Selection Pane Data'!R$3,List!$E$2:$CD$2,0)),"")</f>
        <v/>
      </c>
      <c r="S97" s="13" t="str">
        <f>IF(S$4="Yes",INDEX(List!$E$2:$CD$173,MATCH('Selection Pane Data'!$B97,List!$E$2:$E$173,0),MATCH('Selection Pane Data'!S$3,List!$E$2:$CD$2,0)),"")</f>
        <v/>
      </c>
      <c r="T97" s="13" t="str">
        <f>IF(T$4="Yes",INDEX(List!$E$2:$CD$173,MATCH('Selection Pane Data'!$B97,List!$E$2:$E$173,0),MATCH('Selection Pane Data'!T$3,List!$E$2:$CD$2,0)),"")</f>
        <v/>
      </c>
      <c r="U97" s="13" t="str">
        <f>IF(U$4="Yes",INDEX(List!$E$2:$CD$173,MATCH('Selection Pane Data'!$B97,List!$E$2:$E$173,0),MATCH('Selection Pane Data'!U$3,List!$E$2:$CD$2,0)),"")</f>
        <v/>
      </c>
      <c r="V97" s="13" t="str">
        <f>IF(V$4="Yes",INDEX(List!$E$2:$CD$173,MATCH('Selection Pane Data'!$B97,List!$E$2:$E$173,0),MATCH('Selection Pane Data'!V$3,List!$E$2:$CD$2,0)),"")</f>
        <v/>
      </c>
      <c r="W97" s="13" t="str">
        <f>IF(W$4="Yes",INDEX(List!$E$2:$CD$173,MATCH('Selection Pane Data'!$B97,List!$E$2:$E$173,0),MATCH('Selection Pane Data'!W$3,List!$E$2:$CD$2,0)),"")</f>
        <v/>
      </c>
      <c r="X97" s="13" t="str">
        <f>IF(X$4="Yes",INDEX(List!$E$2:$CD$173,MATCH('Selection Pane Data'!$B97,List!$E$2:$E$173,0),MATCH('Selection Pane Data'!X$3,List!$E$2:$CD$2,0)),"")</f>
        <v/>
      </c>
      <c r="Y97" s="13" t="str">
        <f>IF(Y$4="Yes",INDEX(List!$E$2:$CD$173,MATCH('Selection Pane Data'!$B97,List!$E$2:$E$173,0),MATCH('Selection Pane Data'!Y$3,List!$E$2:$CD$2,0)),"")</f>
        <v/>
      </c>
      <c r="Z97" s="13" t="str">
        <f>IF(Z$4="Yes",INDEX(List!$E$2:$CD$173,MATCH('Selection Pane Data'!$B97,List!$E$2:$E$173,0),MATCH('Selection Pane Data'!Z$3,List!$E$2:$CD$2,0)),"")</f>
        <v/>
      </c>
      <c r="AA97" s="13" t="str">
        <f>IF(AA$4="Yes",INDEX(List!$E$2:$CD$173,MATCH('Selection Pane Data'!$B97,List!$E$2:$E$173,0),MATCH('Selection Pane Data'!AA$3,List!$E$2:$CD$2,0)),"")</f>
        <v>S</v>
      </c>
      <c r="AB97" s="13" t="str">
        <f>IF(AB$4="Yes",INDEX(List!$E$2:$CD$173,MATCH('Selection Pane Data'!$B97,List!$E$2:$E$173,0),MATCH('Selection Pane Data'!AB$3,List!$E$2:$CD$2,0)),"")</f>
        <v/>
      </c>
      <c r="AC97" s="13" t="str">
        <f>IF(AC$4="Yes",INDEX(List!$E$2:$CD$173,MATCH('Selection Pane Data'!$B97,List!$E$2:$E$173,0),MATCH('Selection Pane Data'!AC$3,List!$E$2:$CD$2,0)),"")</f>
        <v/>
      </c>
      <c r="AD97" s="13" t="str">
        <f>IF(AD$4="Yes",INDEX(List!$E$2:$CD$173,MATCH('Selection Pane Data'!$B97,List!$E$2:$E$173,0),MATCH('Selection Pane Data'!AD$3,List!$E$2:$CD$2,0)),"")</f>
        <v/>
      </c>
      <c r="AE97" s="13" t="str">
        <f>IF(AE$4="Yes",INDEX(List!$E$2:$CD$173,MATCH('Selection Pane Data'!$B97,List!$E$2:$E$173,0),MATCH('Selection Pane Data'!AE$3,List!$E$2:$CD$2,0)),"")</f>
        <v/>
      </c>
      <c r="AF97" s="13" t="str">
        <f>IF(AF$4="Yes",INDEX(List!$E$2:$CD$173,MATCH('Selection Pane Data'!$B97,List!$E$2:$E$173,0),MATCH('Selection Pane Data'!AF$3,List!$E$2:$CD$2,0)),"")</f>
        <v/>
      </c>
      <c r="AG97" s="13" t="str">
        <f>IF(AG$4="Yes",INDEX(List!$E$2:$CD$173,MATCH('Selection Pane Data'!$B97,List!$E$2:$E$173,0),MATCH('Selection Pane Data'!AG$3,List!$E$2:$CD$2,0)),"")</f>
        <v/>
      </c>
      <c r="AH97" s="13" t="str">
        <f>IF(AH$4="Yes",INDEX(List!$E$2:$CD$173,MATCH('Selection Pane Data'!$B97,List!$E$2:$E$173,0),MATCH('Selection Pane Data'!AH$3,List!$E$2:$CD$2,0)),"")</f>
        <v/>
      </c>
      <c r="AI97" s="13" t="str">
        <f>IF(AI$4="Yes",INDEX(List!$E$2:$CD$173,MATCH('Selection Pane Data'!$B97,List!$E$2:$E$173,0),MATCH('Selection Pane Data'!AI$3,List!$E$2:$CD$2,0)),"")</f>
        <v/>
      </c>
      <c r="AJ97" s="13" t="str">
        <f>IF(AJ$4="Yes",INDEX(List!$E$2:$CD$173,MATCH('Selection Pane Data'!$B97,List!$E$2:$E$173,0),MATCH('Selection Pane Data'!AJ$3,List!$E$2:$CD$2,0)),"")</f>
        <v/>
      </c>
      <c r="AK97" s="13" t="str">
        <f>IF(AK$4="Yes",INDEX(List!$E$2:$CD$173,MATCH('Selection Pane Data'!$B97,List!$E$2:$E$173,0),MATCH('Selection Pane Data'!AK$3,List!$E$2:$CD$2,0)),"")</f>
        <v/>
      </c>
      <c r="AL97" s="13" t="str">
        <f>IF(AL$4="Yes",INDEX(List!$E$2:$CD$173,MATCH('Selection Pane Data'!$B97,List!$E$2:$E$173,0),MATCH('Selection Pane Data'!AL$3,List!$E$2:$CD$2,0)),"")</f>
        <v/>
      </c>
      <c r="AM97" s="13" t="str">
        <f>IF(AM$4="Yes",INDEX(List!$E$2:$CD$173,MATCH('Selection Pane Data'!$B97,List!$E$2:$E$173,0),MATCH('Selection Pane Data'!AM$3,List!$E$2:$CD$2,0)),"")</f>
        <v/>
      </c>
      <c r="AN97" s="13" t="str">
        <f>IF(AN$4="Yes",INDEX(List!$E$2:$CD$173,MATCH('Selection Pane Data'!$B97,List!$E$2:$E$173,0),MATCH('Selection Pane Data'!AN$3,List!$E$2:$CD$2,0)),"")</f>
        <v/>
      </c>
      <c r="AO97" s="13" t="str">
        <f>IF(AO$4="Yes",INDEX(List!$E$2:$CD$173,MATCH('Selection Pane Data'!$B97,List!$E$2:$E$173,0),MATCH('Selection Pane Data'!AO$3,List!$E$2:$CD$2,0)),"")</f>
        <v/>
      </c>
      <c r="AP97" s="13" t="str">
        <f>IF(AP$4="Yes",INDEX(List!$E$2:$CD$173,MATCH('Selection Pane Data'!$B97,List!$E$2:$E$173,0),MATCH('Selection Pane Data'!AP$3,List!$E$2:$CD$2,0)),"")</f>
        <v/>
      </c>
      <c r="AQ97" s="13" t="str">
        <f>IF(AQ$4="Yes",INDEX(List!$E$2:$CD$173,MATCH('Selection Pane Data'!$B97,List!$E$2:$E$173,0),MATCH('Selection Pane Data'!AQ$3,List!$E$2:$CD$2,0)),"")</f>
        <v/>
      </c>
      <c r="AR97" s="13" t="str">
        <f>IF(AR$4="Yes",INDEX(List!$E$2:$CD$173,MATCH('Selection Pane Data'!$B97,List!$E$2:$E$173,0),MATCH('Selection Pane Data'!AR$3,List!$E$2:$CD$2,0)),"")</f>
        <v/>
      </c>
      <c r="AS97" s="13" t="str">
        <f>IF(AS$4="Yes",INDEX(List!$E$2:$CD$173,MATCH('Selection Pane Data'!$B97,List!$E$2:$E$173,0),MATCH('Selection Pane Data'!AS$3,List!$E$2:$CD$2,0)),"")</f>
        <v/>
      </c>
      <c r="AT97" s="13" t="str">
        <f>IF(AT$4="Yes",INDEX(List!$E$2:$CD$173,MATCH('Selection Pane Data'!$B97,List!$E$2:$E$173,0),MATCH('Selection Pane Data'!AT$3,List!$E$2:$CD$2,0)),"")</f>
        <v/>
      </c>
      <c r="AU97" s="13" t="str">
        <f>IF(AU$4="Yes",INDEX(List!$E$2:$CD$173,MATCH('Selection Pane Data'!$B97,List!$E$2:$E$173,0),MATCH('Selection Pane Data'!AU$3,List!$E$2:$CD$2,0)),"")</f>
        <v/>
      </c>
      <c r="AV97" s="13" t="str">
        <f>IF(AV$4="Yes",INDEX(List!$E$2:$CD$173,MATCH('Selection Pane Data'!$B97,List!$E$2:$E$173,0),MATCH('Selection Pane Data'!AV$3,List!$E$2:$CD$2,0)),"")</f>
        <v/>
      </c>
      <c r="AW97" s="13" t="str">
        <f>IF(AW$4="Yes",INDEX(List!$E$2:$CD$173,MATCH('Selection Pane Data'!$B97,List!$E$2:$E$173,0),MATCH('Selection Pane Data'!AW$3,List!$E$2:$CD$2,0)),"")</f>
        <v/>
      </c>
      <c r="AX97" s="13" t="str">
        <f>IF(AX$4="Yes",INDEX(List!$E$2:$CD$173,MATCH('Selection Pane Data'!$B97,List!$E$2:$E$173,0),MATCH('Selection Pane Data'!AX$3,List!$E$2:$CD$2,0)),"")</f>
        <v/>
      </c>
      <c r="AY97" s="13" t="str">
        <f>IF(AY$4="Yes",INDEX(List!$E$2:$CD$173,MATCH('Selection Pane Data'!$B97,List!$E$2:$E$173,0),MATCH('Selection Pane Data'!AY$3,List!$E$2:$CD$2,0)),"")</f>
        <v/>
      </c>
      <c r="AZ97" s="13" t="str">
        <f>IF(AZ$4="Yes",INDEX(List!$E$2:$CD$173,MATCH('Selection Pane Data'!$B97,List!$E$2:$E$173,0),MATCH('Selection Pane Data'!AZ$3,List!$E$2:$CD$2,0)),"")</f>
        <v/>
      </c>
      <c r="BA97" s="13" t="str">
        <f>IF(BA$4="Yes",INDEX(List!$E$2:$CD$173,MATCH('Selection Pane Data'!$B97,List!$E$2:$E$173,0),MATCH('Selection Pane Data'!BA$3,List!$E$2:$CD$2,0)),"")</f>
        <v/>
      </c>
      <c r="BB97" s="13" t="str">
        <f>IF(BB$4="Yes",INDEX(List!$E$2:$CD$173,MATCH('Selection Pane Data'!$B97,List!$E$2:$E$173,0),MATCH('Selection Pane Data'!BB$3,List!$E$2:$CD$2,0)),"")</f>
        <v/>
      </c>
      <c r="BC97" s="13" t="str">
        <f>IF(BC$4="Yes",INDEX(List!$E$2:$CD$173,MATCH('Selection Pane Data'!$B97,List!$E$2:$E$173,0),MATCH('Selection Pane Data'!BC$3,List!$E$2:$CD$2,0)),"")</f>
        <v/>
      </c>
      <c r="BD97" s="13" t="str">
        <f>IF(BD$4="Yes",INDEX(List!$E$2:$CD$173,MATCH('Selection Pane Data'!$B97,List!$E$2:$E$173,0),MATCH('Selection Pane Data'!BD$3,List!$E$2:$CD$2,0)),"")</f>
        <v/>
      </c>
      <c r="BE97" s="13" t="str">
        <f>IF(BE$4="Yes",INDEX(List!$E$2:$CD$173,MATCH('Selection Pane Data'!$B97,List!$E$2:$E$173,0),MATCH('Selection Pane Data'!BE$3,List!$E$2:$CD$2,0)),"")</f>
        <v/>
      </c>
      <c r="BF97" s="13" t="str">
        <f>IF(BF$4="Yes",INDEX(List!$E$2:$CD$173,MATCH('Selection Pane Data'!$B97,List!$E$2:$E$173,0),MATCH('Selection Pane Data'!BF$3,List!$E$2:$CD$2,0)),"")</f>
        <v/>
      </c>
      <c r="BG97" s="13" t="str">
        <f>IF(BG$4="Yes",INDEX(List!$E$2:$CD$173,MATCH('Selection Pane Data'!$B97,List!$E$2:$E$173,0),MATCH('Selection Pane Data'!BG$3,List!$E$2:$CD$2,0)),"")</f>
        <v/>
      </c>
      <c r="BH97" s="13" t="str">
        <f>IF(BH$4="Yes",INDEX(List!$E$2:$CD$173,MATCH('Selection Pane Data'!$B97,List!$E$2:$E$173,0),MATCH('Selection Pane Data'!BH$3,List!$E$2:$CD$2,0)),"")</f>
        <v/>
      </c>
      <c r="BI97" s="13" t="str">
        <f>IF(BI$4="Yes",INDEX(List!$E$2:$CD$173,MATCH('Selection Pane Data'!$B97,List!$E$2:$E$173,0),MATCH('Selection Pane Data'!BI$3,List!$E$2:$CD$2,0)),"")</f>
        <v/>
      </c>
      <c r="BJ97" s="13" t="str">
        <f>IF(BJ$4="Yes",INDEX(List!$E$2:$CD$173,MATCH('Selection Pane Data'!$B97,List!$E$2:$E$173,0),MATCH('Selection Pane Data'!BJ$3,List!$E$2:$CD$2,0)),"")</f>
        <v/>
      </c>
      <c r="BK97" s="13" t="str">
        <f>IF(BK$4="Yes",INDEX(List!$E$2:$CD$173,MATCH('Selection Pane Data'!$B97,List!$E$2:$E$173,0),MATCH('Selection Pane Data'!BK$3,List!$E$2:$CD$2,0)),"")</f>
        <v/>
      </c>
      <c r="BL97" s="13" t="str">
        <f>IF(BL$4="Yes",INDEX(List!$E$2:$CD$173,MATCH('Selection Pane Data'!$B97,List!$E$2:$E$173,0),MATCH('Selection Pane Data'!BL$3,List!$E$2:$CD$2,0)),"")</f>
        <v/>
      </c>
      <c r="BM97" s="13" t="str">
        <f>IF(BM$4="Yes",INDEX(List!$E$2:$CD$173,MATCH('Selection Pane Data'!$B97,List!$E$2:$E$173,0),MATCH('Selection Pane Data'!BM$3,List!$E$2:$CD$2,0)),"")</f>
        <v/>
      </c>
      <c r="BN97" s="13" t="str">
        <f>IF(BN$4="Yes",INDEX(List!$E$2:$CD$173,MATCH('Selection Pane Data'!$B97,List!$E$2:$E$173,0),MATCH('Selection Pane Data'!BN$3,List!$E$2:$CD$2,0)),"")</f>
        <v/>
      </c>
      <c r="BO97" s="13" t="str">
        <f>IF(BO$4="Yes",INDEX(List!$E$2:$CD$173,MATCH('Selection Pane Data'!$B97,List!$E$2:$E$173,0),MATCH('Selection Pane Data'!BO$3,List!$E$2:$CD$2,0)),"")</f>
        <v/>
      </c>
      <c r="BP97" s="13" t="str">
        <f>IF(BP$4="Yes",INDEX(List!$E$2:$CD$173,MATCH('Selection Pane Data'!$B97,List!$E$2:$E$173,0),MATCH('Selection Pane Data'!BP$3,List!$E$2:$CD$2,0)),"")</f>
        <v/>
      </c>
      <c r="BQ97" s="13" t="str">
        <f>IF(BQ$4="Yes",INDEX(List!$E$2:$CD$173,MATCH('Selection Pane Data'!$B97,List!$E$2:$E$173,0),MATCH('Selection Pane Data'!BQ$3,List!$E$2:$CD$2,0)),"")</f>
        <v/>
      </c>
      <c r="BR97" s="13" t="str">
        <f>IF(BR$4="Yes",INDEX(List!$E$2:$CD$173,MATCH('Selection Pane Data'!$B97,List!$E$2:$E$173,0),MATCH('Selection Pane Data'!BR$3,List!$E$2:$CD$2,0)),"")</f>
        <v/>
      </c>
      <c r="BS97" s="13" t="str">
        <f>IF(BS$4="Yes",INDEX(List!$E$2:$CD$173,MATCH('Selection Pane Data'!$B97,List!$E$2:$E$173,0),MATCH('Selection Pane Data'!BS$3,List!$E$2:$CD$2,0)),"")</f>
        <v/>
      </c>
      <c r="BT97" s="13" t="str">
        <f>IF(BT$4="Yes",INDEX(List!$E$2:$CD$173,MATCH('Selection Pane Data'!$B97,List!$E$2:$E$173,0),MATCH('Selection Pane Data'!BT$3,List!$E$2:$CD$2,0)),"")</f>
        <v/>
      </c>
      <c r="BU97" s="13" t="str">
        <f>IF(BU$4="Yes",INDEX(List!$E$2:$CD$173,MATCH('Selection Pane Data'!$B97,List!$E$2:$E$173,0),MATCH('Selection Pane Data'!BU$3,List!$E$2:$CD$2,0)),"")</f>
        <v/>
      </c>
      <c r="BV97" s="13" t="str">
        <f>IF(BV$4="Yes",INDEX(List!$E$2:$CD$173,MATCH('Selection Pane Data'!$B97,List!$E$2:$E$173,0),MATCH('Selection Pane Data'!BV$3,List!$E$2:$CD$2,0)),"")</f>
        <v/>
      </c>
      <c r="BW97" s="13" t="str">
        <f>IF(BW$4="Yes",INDEX(List!$E$2:$CD$173,MATCH('Selection Pane Data'!$B97,List!$E$2:$E$173,0),MATCH('Selection Pane Data'!BW$3,List!$E$2:$CD$2,0)),"")</f>
        <v/>
      </c>
      <c r="BX97" s="13" t="str">
        <f>IF(BX$4="Yes",INDEX(List!$E$2:$CD$173,MATCH('Selection Pane Data'!$B97,List!$E$2:$E$173,0),MATCH('Selection Pane Data'!BX$3,List!$E$2:$CD$2,0)),"")</f>
        <v/>
      </c>
      <c r="BY97" s="13" t="str">
        <f>IF(BY$4="Yes",INDEX(List!$E$2:$CD$173,MATCH('Selection Pane Data'!$B97,List!$E$2:$E$173,0),MATCH('Selection Pane Data'!BY$3,List!$E$2:$CD$2,0)),"")</f>
        <v/>
      </c>
      <c r="BZ97" s="13" t="str">
        <f>IF(BZ$4="Yes",INDEX(List!$E$2:$CD$173,MATCH('Selection Pane Data'!$B97,List!$E$2:$E$173,0),MATCH('Selection Pane Data'!BZ$3,List!$E$2:$CD$2,0)),"")</f>
        <v/>
      </c>
      <c r="CA97" s="13" t="str">
        <f>IF(CA$4="Yes",INDEX(List!$E$2:$CD$173,MATCH('Selection Pane Data'!$B97,List!$E$2:$E$173,0),MATCH('Selection Pane Data'!CA$3,List!$E$2:$CD$2,0)),"")</f>
        <v/>
      </c>
      <c r="CB97" s="13" t="str">
        <f>IF(CB$4="Yes",INDEX(List!$E$2:$CD$173,MATCH('Selection Pane Data'!$B97,List!$E$2:$E$173,0),MATCH('Selection Pane Data'!CB$3,List!$E$2:$CD$2,0)),"")</f>
        <v/>
      </c>
      <c r="CC97" s="13" t="str">
        <f>IF(CC$4="Yes",INDEX(List!$E$2:$CD$173,MATCH('Selection Pane Data'!$B97,List!$E$2:$E$173,0),MATCH('Selection Pane Data'!CC$3,List!$E$2:$CD$2,0)),"")</f>
        <v/>
      </c>
      <c r="CD97" s="13" t="str">
        <f>IF(CD$4="Yes",INDEX(List!$E$2:$CD$173,MATCH('Selection Pane Data'!$B97,List!$E$2:$E$173,0),MATCH('Selection Pane Data'!CD$3,List!$E$2:$CD$2,0)),"")</f>
        <v/>
      </c>
      <c r="CE97" s="13" t="str">
        <f>IF(CE$4="Yes",INDEX(List!$E$2:$CD$173,MATCH('Selection Pane Data'!$B97,List!$E$2:$E$173,0),MATCH('Selection Pane Data'!CE$3,List!$E$2:$CD$2,0)),"")</f>
        <v/>
      </c>
    </row>
    <row r="98" spans="2:83" x14ac:dyDescent="0.35">
      <c r="B98" s="21" t="s">
        <v>385</v>
      </c>
      <c r="C98" s="126" t="str">
        <f>VLOOKUP(B98,List!$E$2:$G$173,2,FALSE)</f>
        <v>MA.L2-3.7.6</v>
      </c>
      <c r="D98" s="31" t="str">
        <f>List!G96</f>
        <v>Shared Coverage</v>
      </c>
      <c r="E98" s="31" t="str">
        <f>IF(Placemat!$F$4="All Practices","All Practices",IF(VLOOKUP(B98,Table7[#All],6,FALSE)="No Mapping","New CMMC Practices","Practices with NIST 800-171 Mappings"))</f>
        <v>Practices with NIST 800-171 Mappings</v>
      </c>
      <c r="F98" t="str">
        <f>INDEX('CMMC Levels'!$A$1:$F$172,MATCH('Selection Pane Data'!$C98,'CMMC Levels'!$A$1:$A$172,0),MATCH(Placemat!$F$4,'CMMC Levels'!$A$1:$F$1,0))</f>
        <v>X</v>
      </c>
      <c r="G98" s="77" t="str">
        <f>IF((COUNTIF(List!H96:CE96,"P")+COUNTIF(List!H96:CE96,"S"))=0,"N",IF(COUNTIF(H98:CE98,"P"),"P",IF(COUNTIF(H98:CE98,"S"),"S","U")))</f>
        <v>U</v>
      </c>
      <c r="H98" s="13" t="str">
        <f>IF(H$4="Yes",INDEX(List!$E$2:$CD$173,MATCH('Selection Pane Data'!$B98,List!$E$2:$E$173,0),MATCH('Selection Pane Data'!H$3,List!$E$2:$CD$2,0)),"")</f>
        <v/>
      </c>
      <c r="I98" s="13" t="str">
        <f>IF(I$4="Yes",INDEX(List!$E$2:$CD$173,MATCH('Selection Pane Data'!$B98,List!$E$2:$E$173,0),MATCH('Selection Pane Data'!I$3,List!$E$2:$CD$2,0)),"")</f>
        <v/>
      </c>
      <c r="J98" s="13" t="str">
        <f>IF(J$4="Yes",INDEX(List!$E$2:$CD$173,MATCH('Selection Pane Data'!$B98,List!$E$2:$E$173,0),MATCH('Selection Pane Data'!J$3,List!$E$2:$CD$2,0)),"")</f>
        <v>N</v>
      </c>
      <c r="K98" s="13" t="str">
        <f>IF(K$4="Yes",INDEX(List!$E$2:$CD$173,MATCH('Selection Pane Data'!$B98,List!$E$2:$E$173,0),MATCH('Selection Pane Data'!K$3,List!$E$2:$CD$2,0)),"")</f>
        <v/>
      </c>
      <c r="L98" s="13" t="str">
        <f>IF(L$4="Yes",INDEX(List!$E$2:$CD$173,MATCH('Selection Pane Data'!$B98,List!$E$2:$E$173,0),MATCH('Selection Pane Data'!L$3,List!$E$2:$CD$2,0)),"")</f>
        <v/>
      </c>
      <c r="M98" s="13" t="str">
        <f>IF(M$4="Yes",INDEX(List!$E$2:$CD$173,MATCH('Selection Pane Data'!$B98,List!$E$2:$E$173,0),MATCH('Selection Pane Data'!M$3,List!$E$2:$CD$2,0)),"")</f>
        <v/>
      </c>
      <c r="N98" s="13" t="str">
        <f>IF(N$4="Yes",INDEX(List!$E$2:$CD$173,MATCH('Selection Pane Data'!$B98,List!$E$2:$E$173,0),MATCH('Selection Pane Data'!N$3,List!$E$2:$CD$2,0)),"")</f>
        <v/>
      </c>
      <c r="O98" s="13" t="str">
        <f>IF(O$4="Yes",INDEX(List!$E$2:$CD$173,MATCH('Selection Pane Data'!$B98,List!$E$2:$E$173,0),MATCH('Selection Pane Data'!O$3,List!$E$2:$CD$2,0)),"")</f>
        <v/>
      </c>
      <c r="P98" s="13" t="str">
        <f>IF(P$4="Yes",INDEX(List!$E$2:$CD$173,MATCH('Selection Pane Data'!$B98,List!$E$2:$E$173,0),MATCH('Selection Pane Data'!P$3,List!$E$2:$CD$2,0)),"")</f>
        <v/>
      </c>
      <c r="Q98" s="13" t="str">
        <f>IF(Q$4="Yes",INDEX(List!$E$2:$CD$173,MATCH('Selection Pane Data'!$B98,List!$E$2:$E$173,0),MATCH('Selection Pane Data'!Q$3,List!$E$2:$CD$2,0)),"")</f>
        <v/>
      </c>
      <c r="R98" s="13" t="str">
        <f>IF(R$4="Yes",INDEX(List!$E$2:$CD$173,MATCH('Selection Pane Data'!$B98,List!$E$2:$E$173,0),MATCH('Selection Pane Data'!R$3,List!$E$2:$CD$2,0)),"")</f>
        <v/>
      </c>
      <c r="S98" s="13" t="str">
        <f>IF(S$4="Yes",INDEX(List!$E$2:$CD$173,MATCH('Selection Pane Data'!$B98,List!$E$2:$E$173,0),MATCH('Selection Pane Data'!S$3,List!$E$2:$CD$2,0)),"")</f>
        <v/>
      </c>
      <c r="T98" s="13" t="str">
        <f>IF(T$4="Yes",INDEX(List!$E$2:$CD$173,MATCH('Selection Pane Data'!$B98,List!$E$2:$E$173,0),MATCH('Selection Pane Data'!T$3,List!$E$2:$CD$2,0)),"")</f>
        <v/>
      </c>
      <c r="U98" s="13" t="str">
        <f>IF(U$4="Yes",INDEX(List!$E$2:$CD$173,MATCH('Selection Pane Data'!$B98,List!$E$2:$E$173,0),MATCH('Selection Pane Data'!U$3,List!$E$2:$CD$2,0)),"")</f>
        <v/>
      </c>
      <c r="V98" s="13" t="str">
        <f>IF(V$4="Yes",INDEX(List!$E$2:$CD$173,MATCH('Selection Pane Data'!$B98,List!$E$2:$E$173,0),MATCH('Selection Pane Data'!V$3,List!$E$2:$CD$2,0)),"")</f>
        <v/>
      </c>
      <c r="W98" s="13" t="str">
        <f>IF(W$4="Yes",INDEX(List!$E$2:$CD$173,MATCH('Selection Pane Data'!$B98,List!$E$2:$E$173,0),MATCH('Selection Pane Data'!W$3,List!$E$2:$CD$2,0)),"")</f>
        <v/>
      </c>
      <c r="X98" s="13" t="str">
        <f>IF(X$4="Yes",INDEX(List!$E$2:$CD$173,MATCH('Selection Pane Data'!$B98,List!$E$2:$E$173,0),MATCH('Selection Pane Data'!X$3,List!$E$2:$CD$2,0)),"")</f>
        <v/>
      </c>
      <c r="Y98" s="13" t="str">
        <f>IF(Y$4="Yes",INDEX(List!$E$2:$CD$173,MATCH('Selection Pane Data'!$B98,List!$E$2:$E$173,0),MATCH('Selection Pane Data'!Y$3,List!$E$2:$CD$2,0)),"")</f>
        <v/>
      </c>
      <c r="Z98" s="13" t="str">
        <f>IF(Z$4="Yes",INDEX(List!$E$2:$CD$173,MATCH('Selection Pane Data'!$B98,List!$E$2:$E$173,0),MATCH('Selection Pane Data'!Z$3,List!$E$2:$CD$2,0)),"")</f>
        <v/>
      </c>
      <c r="AA98" s="13" t="str">
        <f>IF(AA$4="Yes",INDEX(List!$E$2:$CD$173,MATCH('Selection Pane Data'!$B98,List!$E$2:$E$173,0),MATCH('Selection Pane Data'!AA$3,List!$E$2:$CD$2,0)),"")</f>
        <v>N</v>
      </c>
      <c r="AB98" s="13" t="str">
        <f>IF(AB$4="Yes",INDEX(List!$E$2:$CD$173,MATCH('Selection Pane Data'!$B98,List!$E$2:$E$173,0),MATCH('Selection Pane Data'!AB$3,List!$E$2:$CD$2,0)),"")</f>
        <v/>
      </c>
      <c r="AC98" s="13" t="str">
        <f>IF(AC$4="Yes",INDEX(List!$E$2:$CD$173,MATCH('Selection Pane Data'!$B98,List!$E$2:$E$173,0),MATCH('Selection Pane Data'!AC$3,List!$E$2:$CD$2,0)),"")</f>
        <v/>
      </c>
      <c r="AD98" s="13" t="str">
        <f>IF(AD$4="Yes",INDEX(List!$E$2:$CD$173,MATCH('Selection Pane Data'!$B98,List!$E$2:$E$173,0),MATCH('Selection Pane Data'!AD$3,List!$E$2:$CD$2,0)),"")</f>
        <v/>
      </c>
      <c r="AE98" s="13" t="str">
        <f>IF(AE$4="Yes",INDEX(List!$E$2:$CD$173,MATCH('Selection Pane Data'!$B98,List!$E$2:$E$173,0),MATCH('Selection Pane Data'!AE$3,List!$E$2:$CD$2,0)),"")</f>
        <v/>
      </c>
      <c r="AF98" s="13" t="str">
        <f>IF(AF$4="Yes",INDEX(List!$E$2:$CD$173,MATCH('Selection Pane Data'!$B98,List!$E$2:$E$173,0),MATCH('Selection Pane Data'!AF$3,List!$E$2:$CD$2,0)),"")</f>
        <v/>
      </c>
      <c r="AG98" s="13" t="str">
        <f>IF(AG$4="Yes",INDEX(List!$E$2:$CD$173,MATCH('Selection Pane Data'!$B98,List!$E$2:$E$173,0),MATCH('Selection Pane Data'!AG$3,List!$E$2:$CD$2,0)),"")</f>
        <v/>
      </c>
      <c r="AH98" s="13" t="str">
        <f>IF(AH$4="Yes",INDEX(List!$E$2:$CD$173,MATCH('Selection Pane Data'!$B98,List!$E$2:$E$173,0),MATCH('Selection Pane Data'!AH$3,List!$E$2:$CD$2,0)),"")</f>
        <v/>
      </c>
      <c r="AI98" s="13" t="str">
        <f>IF(AI$4="Yes",INDEX(List!$E$2:$CD$173,MATCH('Selection Pane Data'!$B98,List!$E$2:$E$173,0),MATCH('Selection Pane Data'!AI$3,List!$E$2:$CD$2,0)),"")</f>
        <v/>
      </c>
      <c r="AJ98" s="13" t="str">
        <f>IF(AJ$4="Yes",INDEX(List!$E$2:$CD$173,MATCH('Selection Pane Data'!$B98,List!$E$2:$E$173,0),MATCH('Selection Pane Data'!AJ$3,List!$E$2:$CD$2,0)),"")</f>
        <v/>
      </c>
      <c r="AK98" s="13" t="str">
        <f>IF(AK$4="Yes",INDEX(List!$E$2:$CD$173,MATCH('Selection Pane Data'!$B98,List!$E$2:$E$173,0),MATCH('Selection Pane Data'!AK$3,List!$E$2:$CD$2,0)),"")</f>
        <v/>
      </c>
      <c r="AL98" s="13" t="str">
        <f>IF(AL$4="Yes",INDEX(List!$E$2:$CD$173,MATCH('Selection Pane Data'!$B98,List!$E$2:$E$173,0),MATCH('Selection Pane Data'!AL$3,List!$E$2:$CD$2,0)),"")</f>
        <v/>
      </c>
      <c r="AM98" s="13" t="str">
        <f>IF(AM$4="Yes",INDEX(List!$E$2:$CD$173,MATCH('Selection Pane Data'!$B98,List!$E$2:$E$173,0),MATCH('Selection Pane Data'!AM$3,List!$E$2:$CD$2,0)),"")</f>
        <v/>
      </c>
      <c r="AN98" s="13" t="str">
        <f>IF(AN$4="Yes",INDEX(List!$E$2:$CD$173,MATCH('Selection Pane Data'!$B98,List!$E$2:$E$173,0),MATCH('Selection Pane Data'!AN$3,List!$E$2:$CD$2,0)),"")</f>
        <v/>
      </c>
      <c r="AO98" s="13" t="str">
        <f>IF(AO$4="Yes",INDEX(List!$E$2:$CD$173,MATCH('Selection Pane Data'!$B98,List!$E$2:$E$173,0),MATCH('Selection Pane Data'!AO$3,List!$E$2:$CD$2,0)),"")</f>
        <v/>
      </c>
      <c r="AP98" s="13" t="str">
        <f>IF(AP$4="Yes",INDEX(List!$E$2:$CD$173,MATCH('Selection Pane Data'!$B98,List!$E$2:$E$173,0),MATCH('Selection Pane Data'!AP$3,List!$E$2:$CD$2,0)),"")</f>
        <v/>
      </c>
      <c r="AQ98" s="13" t="str">
        <f>IF(AQ$4="Yes",INDEX(List!$E$2:$CD$173,MATCH('Selection Pane Data'!$B98,List!$E$2:$E$173,0),MATCH('Selection Pane Data'!AQ$3,List!$E$2:$CD$2,0)),"")</f>
        <v/>
      </c>
      <c r="AR98" s="13" t="str">
        <f>IF(AR$4="Yes",INDEX(List!$E$2:$CD$173,MATCH('Selection Pane Data'!$B98,List!$E$2:$E$173,0),MATCH('Selection Pane Data'!AR$3,List!$E$2:$CD$2,0)),"")</f>
        <v/>
      </c>
      <c r="AS98" s="13" t="str">
        <f>IF(AS$4="Yes",INDEX(List!$E$2:$CD$173,MATCH('Selection Pane Data'!$B98,List!$E$2:$E$173,0),MATCH('Selection Pane Data'!AS$3,List!$E$2:$CD$2,0)),"")</f>
        <v/>
      </c>
      <c r="AT98" s="13" t="str">
        <f>IF(AT$4="Yes",INDEX(List!$E$2:$CD$173,MATCH('Selection Pane Data'!$B98,List!$E$2:$E$173,0),MATCH('Selection Pane Data'!AT$3,List!$E$2:$CD$2,0)),"")</f>
        <v/>
      </c>
      <c r="AU98" s="13" t="str">
        <f>IF(AU$4="Yes",INDEX(List!$E$2:$CD$173,MATCH('Selection Pane Data'!$B98,List!$E$2:$E$173,0),MATCH('Selection Pane Data'!AU$3,List!$E$2:$CD$2,0)),"")</f>
        <v/>
      </c>
      <c r="AV98" s="13" t="str">
        <f>IF(AV$4="Yes",INDEX(List!$E$2:$CD$173,MATCH('Selection Pane Data'!$B98,List!$E$2:$E$173,0),MATCH('Selection Pane Data'!AV$3,List!$E$2:$CD$2,0)),"")</f>
        <v/>
      </c>
      <c r="AW98" s="13" t="str">
        <f>IF(AW$4="Yes",INDEX(List!$E$2:$CD$173,MATCH('Selection Pane Data'!$B98,List!$E$2:$E$173,0),MATCH('Selection Pane Data'!AW$3,List!$E$2:$CD$2,0)),"")</f>
        <v/>
      </c>
      <c r="AX98" s="13" t="str">
        <f>IF(AX$4="Yes",INDEX(List!$E$2:$CD$173,MATCH('Selection Pane Data'!$B98,List!$E$2:$E$173,0),MATCH('Selection Pane Data'!AX$3,List!$E$2:$CD$2,0)),"")</f>
        <v/>
      </c>
      <c r="AY98" s="13" t="str">
        <f>IF(AY$4="Yes",INDEX(List!$E$2:$CD$173,MATCH('Selection Pane Data'!$B98,List!$E$2:$E$173,0),MATCH('Selection Pane Data'!AY$3,List!$E$2:$CD$2,0)),"")</f>
        <v/>
      </c>
      <c r="AZ98" s="13" t="str">
        <f>IF(AZ$4="Yes",INDEX(List!$E$2:$CD$173,MATCH('Selection Pane Data'!$B98,List!$E$2:$E$173,0),MATCH('Selection Pane Data'!AZ$3,List!$E$2:$CD$2,0)),"")</f>
        <v/>
      </c>
      <c r="BA98" s="13" t="str">
        <f>IF(BA$4="Yes",INDEX(List!$E$2:$CD$173,MATCH('Selection Pane Data'!$B98,List!$E$2:$E$173,0),MATCH('Selection Pane Data'!BA$3,List!$E$2:$CD$2,0)),"")</f>
        <v/>
      </c>
      <c r="BB98" s="13" t="str">
        <f>IF(BB$4="Yes",INDEX(List!$E$2:$CD$173,MATCH('Selection Pane Data'!$B98,List!$E$2:$E$173,0),MATCH('Selection Pane Data'!BB$3,List!$E$2:$CD$2,0)),"")</f>
        <v/>
      </c>
      <c r="BC98" s="13" t="str">
        <f>IF(BC$4="Yes",INDEX(List!$E$2:$CD$173,MATCH('Selection Pane Data'!$B98,List!$E$2:$E$173,0),MATCH('Selection Pane Data'!BC$3,List!$E$2:$CD$2,0)),"")</f>
        <v/>
      </c>
      <c r="BD98" s="13" t="str">
        <f>IF(BD$4="Yes",INDEX(List!$E$2:$CD$173,MATCH('Selection Pane Data'!$B98,List!$E$2:$E$173,0),MATCH('Selection Pane Data'!BD$3,List!$E$2:$CD$2,0)),"")</f>
        <v/>
      </c>
      <c r="BE98" s="13" t="str">
        <f>IF(BE$4="Yes",INDEX(List!$E$2:$CD$173,MATCH('Selection Pane Data'!$B98,List!$E$2:$E$173,0),MATCH('Selection Pane Data'!BE$3,List!$E$2:$CD$2,0)),"")</f>
        <v/>
      </c>
      <c r="BF98" s="13" t="str">
        <f>IF(BF$4="Yes",INDEX(List!$E$2:$CD$173,MATCH('Selection Pane Data'!$B98,List!$E$2:$E$173,0),MATCH('Selection Pane Data'!BF$3,List!$E$2:$CD$2,0)),"")</f>
        <v/>
      </c>
      <c r="BG98" s="13" t="str">
        <f>IF(BG$4="Yes",INDEX(List!$E$2:$CD$173,MATCH('Selection Pane Data'!$B98,List!$E$2:$E$173,0),MATCH('Selection Pane Data'!BG$3,List!$E$2:$CD$2,0)),"")</f>
        <v/>
      </c>
      <c r="BH98" s="13" t="str">
        <f>IF(BH$4="Yes",INDEX(List!$E$2:$CD$173,MATCH('Selection Pane Data'!$B98,List!$E$2:$E$173,0),MATCH('Selection Pane Data'!BH$3,List!$E$2:$CD$2,0)),"")</f>
        <v/>
      </c>
      <c r="BI98" s="13" t="str">
        <f>IF(BI$4="Yes",INDEX(List!$E$2:$CD$173,MATCH('Selection Pane Data'!$B98,List!$E$2:$E$173,0),MATCH('Selection Pane Data'!BI$3,List!$E$2:$CD$2,0)),"")</f>
        <v/>
      </c>
      <c r="BJ98" s="13" t="str">
        <f>IF(BJ$4="Yes",INDEX(List!$E$2:$CD$173,MATCH('Selection Pane Data'!$B98,List!$E$2:$E$173,0),MATCH('Selection Pane Data'!BJ$3,List!$E$2:$CD$2,0)),"")</f>
        <v/>
      </c>
      <c r="BK98" s="13" t="str">
        <f>IF(BK$4="Yes",INDEX(List!$E$2:$CD$173,MATCH('Selection Pane Data'!$B98,List!$E$2:$E$173,0),MATCH('Selection Pane Data'!BK$3,List!$E$2:$CD$2,0)),"")</f>
        <v/>
      </c>
      <c r="BL98" s="13" t="str">
        <f>IF(BL$4="Yes",INDEX(List!$E$2:$CD$173,MATCH('Selection Pane Data'!$B98,List!$E$2:$E$173,0),MATCH('Selection Pane Data'!BL$3,List!$E$2:$CD$2,0)),"")</f>
        <v/>
      </c>
      <c r="BM98" s="13" t="str">
        <f>IF(BM$4="Yes",INDEX(List!$E$2:$CD$173,MATCH('Selection Pane Data'!$B98,List!$E$2:$E$173,0),MATCH('Selection Pane Data'!BM$3,List!$E$2:$CD$2,0)),"")</f>
        <v/>
      </c>
      <c r="BN98" s="13" t="str">
        <f>IF(BN$4="Yes",INDEX(List!$E$2:$CD$173,MATCH('Selection Pane Data'!$B98,List!$E$2:$E$173,0),MATCH('Selection Pane Data'!BN$3,List!$E$2:$CD$2,0)),"")</f>
        <v/>
      </c>
      <c r="BO98" s="13" t="str">
        <f>IF(BO$4="Yes",INDEX(List!$E$2:$CD$173,MATCH('Selection Pane Data'!$B98,List!$E$2:$E$173,0),MATCH('Selection Pane Data'!BO$3,List!$E$2:$CD$2,0)),"")</f>
        <v/>
      </c>
      <c r="BP98" s="13" t="str">
        <f>IF(BP$4="Yes",INDEX(List!$E$2:$CD$173,MATCH('Selection Pane Data'!$B98,List!$E$2:$E$173,0),MATCH('Selection Pane Data'!BP$3,List!$E$2:$CD$2,0)),"")</f>
        <v/>
      </c>
      <c r="BQ98" s="13" t="str">
        <f>IF(BQ$4="Yes",INDEX(List!$E$2:$CD$173,MATCH('Selection Pane Data'!$B98,List!$E$2:$E$173,0),MATCH('Selection Pane Data'!BQ$3,List!$E$2:$CD$2,0)),"")</f>
        <v/>
      </c>
      <c r="BR98" s="13" t="str">
        <f>IF(BR$4="Yes",INDEX(List!$E$2:$CD$173,MATCH('Selection Pane Data'!$B98,List!$E$2:$E$173,0),MATCH('Selection Pane Data'!BR$3,List!$E$2:$CD$2,0)),"")</f>
        <v/>
      </c>
      <c r="BS98" s="13" t="str">
        <f>IF(BS$4="Yes",INDEX(List!$E$2:$CD$173,MATCH('Selection Pane Data'!$B98,List!$E$2:$E$173,0),MATCH('Selection Pane Data'!BS$3,List!$E$2:$CD$2,0)),"")</f>
        <v/>
      </c>
      <c r="BT98" s="13" t="str">
        <f>IF(BT$4="Yes",INDEX(List!$E$2:$CD$173,MATCH('Selection Pane Data'!$B98,List!$E$2:$E$173,0),MATCH('Selection Pane Data'!BT$3,List!$E$2:$CD$2,0)),"")</f>
        <v/>
      </c>
      <c r="BU98" s="13" t="str">
        <f>IF(BU$4="Yes",INDEX(List!$E$2:$CD$173,MATCH('Selection Pane Data'!$B98,List!$E$2:$E$173,0),MATCH('Selection Pane Data'!BU$3,List!$E$2:$CD$2,0)),"")</f>
        <v/>
      </c>
      <c r="BV98" s="13" t="str">
        <f>IF(BV$4="Yes",INDEX(List!$E$2:$CD$173,MATCH('Selection Pane Data'!$B98,List!$E$2:$E$173,0),MATCH('Selection Pane Data'!BV$3,List!$E$2:$CD$2,0)),"")</f>
        <v/>
      </c>
      <c r="BW98" s="13" t="str">
        <f>IF(BW$4="Yes",INDEX(List!$E$2:$CD$173,MATCH('Selection Pane Data'!$B98,List!$E$2:$E$173,0),MATCH('Selection Pane Data'!BW$3,List!$E$2:$CD$2,0)),"")</f>
        <v/>
      </c>
      <c r="BX98" s="13" t="str">
        <f>IF(BX$4="Yes",INDEX(List!$E$2:$CD$173,MATCH('Selection Pane Data'!$B98,List!$E$2:$E$173,0),MATCH('Selection Pane Data'!BX$3,List!$E$2:$CD$2,0)),"")</f>
        <v/>
      </c>
      <c r="BY98" s="13" t="str">
        <f>IF(BY$4="Yes",INDEX(List!$E$2:$CD$173,MATCH('Selection Pane Data'!$B98,List!$E$2:$E$173,0),MATCH('Selection Pane Data'!BY$3,List!$E$2:$CD$2,0)),"")</f>
        <v/>
      </c>
      <c r="BZ98" s="13" t="str">
        <f>IF(BZ$4="Yes",INDEX(List!$E$2:$CD$173,MATCH('Selection Pane Data'!$B98,List!$E$2:$E$173,0),MATCH('Selection Pane Data'!BZ$3,List!$E$2:$CD$2,0)),"")</f>
        <v/>
      </c>
      <c r="CA98" s="13" t="str">
        <f>IF(CA$4="Yes",INDEX(List!$E$2:$CD$173,MATCH('Selection Pane Data'!$B98,List!$E$2:$E$173,0),MATCH('Selection Pane Data'!CA$3,List!$E$2:$CD$2,0)),"")</f>
        <v/>
      </c>
      <c r="CB98" s="13" t="str">
        <f>IF(CB$4="Yes",INDEX(List!$E$2:$CD$173,MATCH('Selection Pane Data'!$B98,List!$E$2:$E$173,0),MATCH('Selection Pane Data'!CB$3,List!$E$2:$CD$2,0)),"")</f>
        <v/>
      </c>
      <c r="CC98" s="13" t="str">
        <f>IF(CC$4="Yes",INDEX(List!$E$2:$CD$173,MATCH('Selection Pane Data'!$B98,List!$E$2:$E$173,0),MATCH('Selection Pane Data'!CC$3,List!$E$2:$CD$2,0)),"")</f>
        <v/>
      </c>
      <c r="CD98" s="13" t="str">
        <f>IF(CD$4="Yes",INDEX(List!$E$2:$CD$173,MATCH('Selection Pane Data'!$B98,List!$E$2:$E$173,0),MATCH('Selection Pane Data'!CD$3,List!$E$2:$CD$2,0)),"")</f>
        <v/>
      </c>
      <c r="CE98" s="13" t="str">
        <f>IF(CE$4="Yes",INDEX(List!$E$2:$CD$173,MATCH('Selection Pane Data'!$B98,List!$E$2:$E$173,0),MATCH('Selection Pane Data'!CE$3,List!$E$2:$CD$2,0)),"")</f>
        <v/>
      </c>
    </row>
    <row r="99" spans="2:83" x14ac:dyDescent="0.35">
      <c r="B99" s="21" t="s">
        <v>386</v>
      </c>
      <c r="C99" s="126" t="str">
        <f>VLOOKUP(B99,List!$E$2:$G$173,2,FALSE)</f>
        <v>MA.L2-3.7.3</v>
      </c>
      <c r="D99" s="31" t="str">
        <f>List!G97</f>
        <v>Shared Coverage</v>
      </c>
      <c r="E99" s="31" t="str">
        <f>IF(Placemat!$F$4="All Practices","All Practices",IF(VLOOKUP(B99,Table7[#All],6,FALSE)="No Mapping","New CMMC Practices","Practices with NIST 800-171 Mappings"))</f>
        <v>Practices with NIST 800-171 Mappings</v>
      </c>
      <c r="F99" t="str">
        <f>INDEX('CMMC Levels'!$A$1:$F$172,MATCH('Selection Pane Data'!$C99,'CMMC Levels'!$A$1:$A$172,0),MATCH(Placemat!$F$4,'CMMC Levels'!$A$1:$F$1,0))</f>
        <v>X</v>
      </c>
      <c r="G99" s="77" t="str">
        <f>IF((COUNTIF(List!H97:CE97,"P")+COUNTIF(List!H97:CE97,"S"))=0,"N",IF(COUNTIF(H99:CE99,"P"),"P",IF(COUNTIF(H99:CE99,"S"),"S","U")))</f>
        <v>U</v>
      </c>
      <c r="H99" s="13" t="str">
        <f>IF(H$4="Yes",INDEX(List!$E$2:$CD$173,MATCH('Selection Pane Data'!$B99,List!$E$2:$E$173,0),MATCH('Selection Pane Data'!H$3,List!$E$2:$CD$2,0)),"")</f>
        <v/>
      </c>
      <c r="I99" s="13" t="str">
        <f>IF(I$4="Yes",INDEX(List!$E$2:$CD$173,MATCH('Selection Pane Data'!$B99,List!$E$2:$E$173,0),MATCH('Selection Pane Data'!I$3,List!$E$2:$CD$2,0)),"")</f>
        <v/>
      </c>
      <c r="J99" s="13" t="str">
        <f>IF(J$4="Yes",INDEX(List!$E$2:$CD$173,MATCH('Selection Pane Data'!$B99,List!$E$2:$E$173,0),MATCH('Selection Pane Data'!J$3,List!$E$2:$CD$2,0)),"")</f>
        <v>N</v>
      </c>
      <c r="K99" s="13" t="str">
        <f>IF(K$4="Yes",INDEX(List!$E$2:$CD$173,MATCH('Selection Pane Data'!$B99,List!$E$2:$E$173,0),MATCH('Selection Pane Data'!K$3,List!$E$2:$CD$2,0)),"")</f>
        <v/>
      </c>
      <c r="L99" s="13" t="str">
        <f>IF(L$4="Yes",INDEX(List!$E$2:$CD$173,MATCH('Selection Pane Data'!$B99,List!$E$2:$E$173,0),MATCH('Selection Pane Data'!L$3,List!$E$2:$CD$2,0)),"")</f>
        <v/>
      </c>
      <c r="M99" s="13" t="str">
        <f>IF(M$4="Yes",INDEX(List!$E$2:$CD$173,MATCH('Selection Pane Data'!$B99,List!$E$2:$E$173,0),MATCH('Selection Pane Data'!M$3,List!$E$2:$CD$2,0)),"")</f>
        <v/>
      </c>
      <c r="N99" s="13" t="str">
        <f>IF(N$4="Yes",INDEX(List!$E$2:$CD$173,MATCH('Selection Pane Data'!$B99,List!$E$2:$E$173,0),MATCH('Selection Pane Data'!N$3,List!$E$2:$CD$2,0)),"")</f>
        <v/>
      </c>
      <c r="O99" s="13" t="str">
        <f>IF(O$4="Yes",INDEX(List!$E$2:$CD$173,MATCH('Selection Pane Data'!$B99,List!$E$2:$E$173,0),MATCH('Selection Pane Data'!O$3,List!$E$2:$CD$2,0)),"")</f>
        <v/>
      </c>
      <c r="P99" s="13" t="str">
        <f>IF(P$4="Yes",INDEX(List!$E$2:$CD$173,MATCH('Selection Pane Data'!$B99,List!$E$2:$E$173,0),MATCH('Selection Pane Data'!P$3,List!$E$2:$CD$2,0)),"")</f>
        <v/>
      </c>
      <c r="Q99" s="13" t="str">
        <f>IF(Q$4="Yes",INDEX(List!$E$2:$CD$173,MATCH('Selection Pane Data'!$B99,List!$E$2:$E$173,0),MATCH('Selection Pane Data'!Q$3,List!$E$2:$CD$2,0)),"")</f>
        <v/>
      </c>
      <c r="R99" s="13" t="str">
        <f>IF(R$4="Yes",INDEX(List!$E$2:$CD$173,MATCH('Selection Pane Data'!$B99,List!$E$2:$E$173,0),MATCH('Selection Pane Data'!R$3,List!$E$2:$CD$2,0)),"")</f>
        <v/>
      </c>
      <c r="S99" s="13" t="str">
        <f>IF(S$4="Yes",INDEX(List!$E$2:$CD$173,MATCH('Selection Pane Data'!$B99,List!$E$2:$E$173,0),MATCH('Selection Pane Data'!S$3,List!$E$2:$CD$2,0)),"")</f>
        <v/>
      </c>
      <c r="T99" s="13" t="str">
        <f>IF(T$4="Yes",INDEX(List!$E$2:$CD$173,MATCH('Selection Pane Data'!$B99,List!$E$2:$E$173,0),MATCH('Selection Pane Data'!T$3,List!$E$2:$CD$2,0)),"")</f>
        <v/>
      </c>
      <c r="U99" s="13" t="str">
        <f>IF(U$4="Yes",INDEX(List!$E$2:$CD$173,MATCH('Selection Pane Data'!$B99,List!$E$2:$E$173,0),MATCH('Selection Pane Data'!U$3,List!$E$2:$CD$2,0)),"")</f>
        <v/>
      </c>
      <c r="V99" s="13" t="str">
        <f>IF(V$4="Yes",INDEX(List!$E$2:$CD$173,MATCH('Selection Pane Data'!$B99,List!$E$2:$E$173,0),MATCH('Selection Pane Data'!V$3,List!$E$2:$CD$2,0)),"")</f>
        <v/>
      </c>
      <c r="W99" s="13" t="str">
        <f>IF(W$4="Yes",INDEX(List!$E$2:$CD$173,MATCH('Selection Pane Data'!$B99,List!$E$2:$E$173,0),MATCH('Selection Pane Data'!W$3,List!$E$2:$CD$2,0)),"")</f>
        <v/>
      </c>
      <c r="X99" s="13" t="str">
        <f>IF(X$4="Yes",INDEX(List!$E$2:$CD$173,MATCH('Selection Pane Data'!$B99,List!$E$2:$E$173,0),MATCH('Selection Pane Data'!X$3,List!$E$2:$CD$2,0)),"")</f>
        <v/>
      </c>
      <c r="Y99" s="13" t="str">
        <f>IF(Y$4="Yes",INDEX(List!$E$2:$CD$173,MATCH('Selection Pane Data'!$B99,List!$E$2:$E$173,0),MATCH('Selection Pane Data'!Y$3,List!$E$2:$CD$2,0)),"")</f>
        <v/>
      </c>
      <c r="Z99" s="13" t="str">
        <f>IF(Z$4="Yes",INDEX(List!$E$2:$CD$173,MATCH('Selection Pane Data'!$B99,List!$E$2:$E$173,0),MATCH('Selection Pane Data'!Z$3,List!$E$2:$CD$2,0)),"")</f>
        <v/>
      </c>
      <c r="AA99" s="13" t="str">
        <f>IF(AA$4="Yes",INDEX(List!$E$2:$CD$173,MATCH('Selection Pane Data'!$B99,List!$E$2:$E$173,0),MATCH('Selection Pane Data'!AA$3,List!$E$2:$CD$2,0)),"")</f>
        <v>N</v>
      </c>
      <c r="AB99" s="13" t="str">
        <f>IF(AB$4="Yes",INDEX(List!$E$2:$CD$173,MATCH('Selection Pane Data'!$B99,List!$E$2:$E$173,0),MATCH('Selection Pane Data'!AB$3,List!$E$2:$CD$2,0)),"")</f>
        <v/>
      </c>
      <c r="AC99" s="13" t="str">
        <f>IF(AC$4="Yes",INDEX(List!$E$2:$CD$173,MATCH('Selection Pane Data'!$B99,List!$E$2:$E$173,0),MATCH('Selection Pane Data'!AC$3,List!$E$2:$CD$2,0)),"")</f>
        <v/>
      </c>
      <c r="AD99" s="13" t="str">
        <f>IF(AD$4="Yes",INDEX(List!$E$2:$CD$173,MATCH('Selection Pane Data'!$B99,List!$E$2:$E$173,0),MATCH('Selection Pane Data'!AD$3,List!$E$2:$CD$2,0)),"")</f>
        <v/>
      </c>
      <c r="AE99" s="13" t="str">
        <f>IF(AE$4="Yes",INDEX(List!$E$2:$CD$173,MATCH('Selection Pane Data'!$B99,List!$E$2:$E$173,0),MATCH('Selection Pane Data'!AE$3,List!$E$2:$CD$2,0)),"")</f>
        <v/>
      </c>
      <c r="AF99" s="13" t="str">
        <f>IF(AF$4="Yes",INDEX(List!$E$2:$CD$173,MATCH('Selection Pane Data'!$B99,List!$E$2:$E$173,0),MATCH('Selection Pane Data'!AF$3,List!$E$2:$CD$2,0)),"")</f>
        <v/>
      </c>
      <c r="AG99" s="13" t="str">
        <f>IF(AG$4="Yes",INDEX(List!$E$2:$CD$173,MATCH('Selection Pane Data'!$B99,List!$E$2:$E$173,0),MATCH('Selection Pane Data'!AG$3,List!$E$2:$CD$2,0)),"")</f>
        <v/>
      </c>
      <c r="AH99" s="13" t="str">
        <f>IF(AH$4="Yes",INDEX(List!$E$2:$CD$173,MATCH('Selection Pane Data'!$B99,List!$E$2:$E$173,0),MATCH('Selection Pane Data'!AH$3,List!$E$2:$CD$2,0)),"")</f>
        <v/>
      </c>
      <c r="AI99" s="13" t="str">
        <f>IF(AI$4="Yes",INDEX(List!$E$2:$CD$173,MATCH('Selection Pane Data'!$B99,List!$E$2:$E$173,0),MATCH('Selection Pane Data'!AI$3,List!$E$2:$CD$2,0)),"")</f>
        <v/>
      </c>
      <c r="AJ99" s="13" t="str">
        <f>IF(AJ$4="Yes",INDEX(List!$E$2:$CD$173,MATCH('Selection Pane Data'!$B99,List!$E$2:$E$173,0),MATCH('Selection Pane Data'!AJ$3,List!$E$2:$CD$2,0)),"")</f>
        <v/>
      </c>
      <c r="AK99" s="13" t="str">
        <f>IF(AK$4="Yes",INDEX(List!$E$2:$CD$173,MATCH('Selection Pane Data'!$B99,List!$E$2:$E$173,0),MATCH('Selection Pane Data'!AK$3,List!$E$2:$CD$2,0)),"")</f>
        <v/>
      </c>
      <c r="AL99" s="13" t="str">
        <f>IF(AL$4="Yes",INDEX(List!$E$2:$CD$173,MATCH('Selection Pane Data'!$B99,List!$E$2:$E$173,0),MATCH('Selection Pane Data'!AL$3,List!$E$2:$CD$2,0)),"")</f>
        <v/>
      </c>
      <c r="AM99" s="13" t="str">
        <f>IF(AM$4="Yes",INDEX(List!$E$2:$CD$173,MATCH('Selection Pane Data'!$B99,List!$E$2:$E$173,0),MATCH('Selection Pane Data'!AM$3,List!$E$2:$CD$2,0)),"")</f>
        <v/>
      </c>
      <c r="AN99" s="13" t="str">
        <f>IF(AN$4="Yes",INDEX(List!$E$2:$CD$173,MATCH('Selection Pane Data'!$B99,List!$E$2:$E$173,0),MATCH('Selection Pane Data'!AN$3,List!$E$2:$CD$2,0)),"")</f>
        <v/>
      </c>
      <c r="AO99" s="13" t="str">
        <f>IF(AO$4="Yes",INDEX(List!$E$2:$CD$173,MATCH('Selection Pane Data'!$B99,List!$E$2:$E$173,0),MATCH('Selection Pane Data'!AO$3,List!$E$2:$CD$2,0)),"")</f>
        <v/>
      </c>
      <c r="AP99" s="13" t="str">
        <f>IF(AP$4="Yes",INDEX(List!$E$2:$CD$173,MATCH('Selection Pane Data'!$B99,List!$E$2:$E$173,0),MATCH('Selection Pane Data'!AP$3,List!$E$2:$CD$2,0)),"")</f>
        <v/>
      </c>
      <c r="AQ99" s="13" t="str">
        <f>IF(AQ$4="Yes",INDEX(List!$E$2:$CD$173,MATCH('Selection Pane Data'!$B99,List!$E$2:$E$173,0),MATCH('Selection Pane Data'!AQ$3,List!$E$2:$CD$2,0)),"")</f>
        <v/>
      </c>
      <c r="AR99" s="13" t="str">
        <f>IF(AR$4="Yes",INDEX(List!$E$2:$CD$173,MATCH('Selection Pane Data'!$B99,List!$E$2:$E$173,0),MATCH('Selection Pane Data'!AR$3,List!$E$2:$CD$2,0)),"")</f>
        <v/>
      </c>
      <c r="AS99" s="13" t="str">
        <f>IF(AS$4="Yes",INDEX(List!$E$2:$CD$173,MATCH('Selection Pane Data'!$B99,List!$E$2:$E$173,0),MATCH('Selection Pane Data'!AS$3,List!$E$2:$CD$2,0)),"")</f>
        <v/>
      </c>
      <c r="AT99" s="13" t="str">
        <f>IF(AT$4="Yes",INDEX(List!$E$2:$CD$173,MATCH('Selection Pane Data'!$B99,List!$E$2:$E$173,0),MATCH('Selection Pane Data'!AT$3,List!$E$2:$CD$2,0)),"")</f>
        <v/>
      </c>
      <c r="AU99" s="13" t="str">
        <f>IF(AU$4="Yes",INDEX(List!$E$2:$CD$173,MATCH('Selection Pane Data'!$B99,List!$E$2:$E$173,0),MATCH('Selection Pane Data'!AU$3,List!$E$2:$CD$2,0)),"")</f>
        <v/>
      </c>
      <c r="AV99" s="13" t="str">
        <f>IF(AV$4="Yes",INDEX(List!$E$2:$CD$173,MATCH('Selection Pane Data'!$B99,List!$E$2:$E$173,0),MATCH('Selection Pane Data'!AV$3,List!$E$2:$CD$2,0)),"")</f>
        <v/>
      </c>
      <c r="AW99" s="13" t="str">
        <f>IF(AW$4="Yes",INDEX(List!$E$2:$CD$173,MATCH('Selection Pane Data'!$B99,List!$E$2:$E$173,0),MATCH('Selection Pane Data'!AW$3,List!$E$2:$CD$2,0)),"")</f>
        <v/>
      </c>
      <c r="AX99" s="13" t="str">
        <f>IF(AX$4="Yes",INDEX(List!$E$2:$CD$173,MATCH('Selection Pane Data'!$B99,List!$E$2:$E$173,0),MATCH('Selection Pane Data'!AX$3,List!$E$2:$CD$2,0)),"")</f>
        <v/>
      </c>
      <c r="AY99" s="13" t="str">
        <f>IF(AY$4="Yes",INDEX(List!$E$2:$CD$173,MATCH('Selection Pane Data'!$B99,List!$E$2:$E$173,0),MATCH('Selection Pane Data'!AY$3,List!$E$2:$CD$2,0)),"")</f>
        <v/>
      </c>
      <c r="AZ99" s="13" t="str">
        <f>IF(AZ$4="Yes",INDEX(List!$E$2:$CD$173,MATCH('Selection Pane Data'!$B99,List!$E$2:$E$173,0),MATCH('Selection Pane Data'!AZ$3,List!$E$2:$CD$2,0)),"")</f>
        <v/>
      </c>
      <c r="BA99" s="13" t="str">
        <f>IF(BA$4="Yes",INDEX(List!$E$2:$CD$173,MATCH('Selection Pane Data'!$B99,List!$E$2:$E$173,0),MATCH('Selection Pane Data'!BA$3,List!$E$2:$CD$2,0)),"")</f>
        <v/>
      </c>
      <c r="BB99" s="13" t="str">
        <f>IF(BB$4="Yes",INDEX(List!$E$2:$CD$173,MATCH('Selection Pane Data'!$B99,List!$E$2:$E$173,0),MATCH('Selection Pane Data'!BB$3,List!$E$2:$CD$2,0)),"")</f>
        <v/>
      </c>
      <c r="BC99" s="13" t="str">
        <f>IF(BC$4="Yes",INDEX(List!$E$2:$CD$173,MATCH('Selection Pane Data'!$B99,List!$E$2:$E$173,0),MATCH('Selection Pane Data'!BC$3,List!$E$2:$CD$2,0)),"")</f>
        <v/>
      </c>
      <c r="BD99" s="13" t="str">
        <f>IF(BD$4="Yes",INDEX(List!$E$2:$CD$173,MATCH('Selection Pane Data'!$B99,List!$E$2:$E$173,0),MATCH('Selection Pane Data'!BD$3,List!$E$2:$CD$2,0)),"")</f>
        <v/>
      </c>
      <c r="BE99" s="13" t="str">
        <f>IF(BE$4="Yes",INDEX(List!$E$2:$CD$173,MATCH('Selection Pane Data'!$B99,List!$E$2:$E$173,0),MATCH('Selection Pane Data'!BE$3,List!$E$2:$CD$2,0)),"")</f>
        <v/>
      </c>
      <c r="BF99" s="13" t="str">
        <f>IF(BF$4="Yes",INDEX(List!$E$2:$CD$173,MATCH('Selection Pane Data'!$B99,List!$E$2:$E$173,0),MATCH('Selection Pane Data'!BF$3,List!$E$2:$CD$2,0)),"")</f>
        <v/>
      </c>
      <c r="BG99" s="13" t="str">
        <f>IF(BG$4="Yes",INDEX(List!$E$2:$CD$173,MATCH('Selection Pane Data'!$B99,List!$E$2:$E$173,0),MATCH('Selection Pane Data'!BG$3,List!$E$2:$CD$2,0)),"")</f>
        <v/>
      </c>
      <c r="BH99" s="13" t="str">
        <f>IF(BH$4="Yes",INDEX(List!$E$2:$CD$173,MATCH('Selection Pane Data'!$B99,List!$E$2:$E$173,0),MATCH('Selection Pane Data'!BH$3,List!$E$2:$CD$2,0)),"")</f>
        <v/>
      </c>
      <c r="BI99" s="13" t="str">
        <f>IF(BI$4="Yes",INDEX(List!$E$2:$CD$173,MATCH('Selection Pane Data'!$B99,List!$E$2:$E$173,0),MATCH('Selection Pane Data'!BI$3,List!$E$2:$CD$2,0)),"")</f>
        <v/>
      </c>
      <c r="BJ99" s="13" t="str">
        <f>IF(BJ$4="Yes",INDEX(List!$E$2:$CD$173,MATCH('Selection Pane Data'!$B99,List!$E$2:$E$173,0),MATCH('Selection Pane Data'!BJ$3,List!$E$2:$CD$2,0)),"")</f>
        <v/>
      </c>
      <c r="BK99" s="13" t="str">
        <f>IF(BK$4="Yes",INDEX(List!$E$2:$CD$173,MATCH('Selection Pane Data'!$B99,List!$E$2:$E$173,0),MATCH('Selection Pane Data'!BK$3,List!$E$2:$CD$2,0)),"")</f>
        <v/>
      </c>
      <c r="BL99" s="13" t="str">
        <f>IF(BL$4="Yes",INDEX(List!$E$2:$CD$173,MATCH('Selection Pane Data'!$B99,List!$E$2:$E$173,0),MATCH('Selection Pane Data'!BL$3,List!$E$2:$CD$2,0)),"")</f>
        <v/>
      </c>
      <c r="BM99" s="13" t="str">
        <f>IF(BM$4="Yes",INDEX(List!$E$2:$CD$173,MATCH('Selection Pane Data'!$B99,List!$E$2:$E$173,0),MATCH('Selection Pane Data'!BM$3,List!$E$2:$CD$2,0)),"")</f>
        <v/>
      </c>
      <c r="BN99" s="13" t="str">
        <f>IF(BN$4="Yes",INDEX(List!$E$2:$CD$173,MATCH('Selection Pane Data'!$B99,List!$E$2:$E$173,0),MATCH('Selection Pane Data'!BN$3,List!$E$2:$CD$2,0)),"")</f>
        <v/>
      </c>
      <c r="BO99" s="13" t="str">
        <f>IF(BO$4="Yes",INDEX(List!$E$2:$CD$173,MATCH('Selection Pane Data'!$B99,List!$E$2:$E$173,0),MATCH('Selection Pane Data'!BO$3,List!$E$2:$CD$2,0)),"")</f>
        <v/>
      </c>
      <c r="BP99" s="13" t="str">
        <f>IF(BP$4="Yes",INDEX(List!$E$2:$CD$173,MATCH('Selection Pane Data'!$B99,List!$E$2:$E$173,0),MATCH('Selection Pane Data'!BP$3,List!$E$2:$CD$2,0)),"")</f>
        <v/>
      </c>
      <c r="BQ99" s="13" t="str">
        <f>IF(BQ$4="Yes",INDEX(List!$E$2:$CD$173,MATCH('Selection Pane Data'!$B99,List!$E$2:$E$173,0),MATCH('Selection Pane Data'!BQ$3,List!$E$2:$CD$2,0)),"")</f>
        <v/>
      </c>
      <c r="BR99" s="13" t="str">
        <f>IF(BR$4="Yes",INDEX(List!$E$2:$CD$173,MATCH('Selection Pane Data'!$B99,List!$E$2:$E$173,0),MATCH('Selection Pane Data'!BR$3,List!$E$2:$CD$2,0)),"")</f>
        <v/>
      </c>
      <c r="BS99" s="13" t="str">
        <f>IF(BS$4="Yes",INDEX(List!$E$2:$CD$173,MATCH('Selection Pane Data'!$B99,List!$E$2:$E$173,0),MATCH('Selection Pane Data'!BS$3,List!$E$2:$CD$2,0)),"")</f>
        <v/>
      </c>
      <c r="BT99" s="13" t="str">
        <f>IF(BT$4="Yes",INDEX(List!$E$2:$CD$173,MATCH('Selection Pane Data'!$B99,List!$E$2:$E$173,0),MATCH('Selection Pane Data'!BT$3,List!$E$2:$CD$2,0)),"")</f>
        <v/>
      </c>
      <c r="BU99" s="13" t="str">
        <f>IF(BU$4="Yes",INDEX(List!$E$2:$CD$173,MATCH('Selection Pane Data'!$B99,List!$E$2:$E$173,0),MATCH('Selection Pane Data'!BU$3,List!$E$2:$CD$2,0)),"")</f>
        <v/>
      </c>
      <c r="BV99" s="13" t="str">
        <f>IF(BV$4="Yes",INDEX(List!$E$2:$CD$173,MATCH('Selection Pane Data'!$B99,List!$E$2:$E$173,0),MATCH('Selection Pane Data'!BV$3,List!$E$2:$CD$2,0)),"")</f>
        <v/>
      </c>
      <c r="BW99" s="13" t="str">
        <f>IF(BW$4="Yes",INDEX(List!$E$2:$CD$173,MATCH('Selection Pane Data'!$B99,List!$E$2:$E$173,0),MATCH('Selection Pane Data'!BW$3,List!$E$2:$CD$2,0)),"")</f>
        <v/>
      </c>
      <c r="BX99" s="13" t="str">
        <f>IF(BX$4="Yes",INDEX(List!$E$2:$CD$173,MATCH('Selection Pane Data'!$B99,List!$E$2:$E$173,0),MATCH('Selection Pane Data'!BX$3,List!$E$2:$CD$2,0)),"")</f>
        <v/>
      </c>
      <c r="BY99" s="13" t="str">
        <f>IF(BY$4="Yes",INDEX(List!$E$2:$CD$173,MATCH('Selection Pane Data'!$B99,List!$E$2:$E$173,0),MATCH('Selection Pane Data'!BY$3,List!$E$2:$CD$2,0)),"")</f>
        <v/>
      </c>
      <c r="BZ99" s="13" t="str">
        <f>IF(BZ$4="Yes",INDEX(List!$E$2:$CD$173,MATCH('Selection Pane Data'!$B99,List!$E$2:$E$173,0),MATCH('Selection Pane Data'!BZ$3,List!$E$2:$CD$2,0)),"")</f>
        <v/>
      </c>
      <c r="CA99" s="13" t="str">
        <f>IF(CA$4="Yes",INDEX(List!$E$2:$CD$173,MATCH('Selection Pane Data'!$B99,List!$E$2:$E$173,0),MATCH('Selection Pane Data'!CA$3,List!$E$2:$CD$2,0)),"")</f>
        <v/>
      </c>
      <c r="CB99" s="13" t="str">
        <f>IF(CB$4="Yes",INDEX(List!$E$2:$CD$173,MATCH('Selection Pane Data'!$B99,List!$E$2:$E$173,0),MATCH('Selection Pane Data'!CB$3,List!$E$2:$CD$2,0)),"")</f>
        <v/>
      </c>
      <c r="CC99" s="13" t="str">
        <f>IF(CC$4="Yes",INDEX(List!$E$2:$CD$173,MATCH('Selection Pane Data'!$B99,List!$E$2:$E$173,0),MATCH('Selection Pane Data'!CC$3,List!$E$2:$CD$2,0)),"")</f>
        <v/>
      </c>
      <c r="CD99" s="13" t="str">
        <f>IF(CD$4="Yes",INDEX(List!$E$2:$CD$173,MATCH('Selection Pane Data'!$B99,List!$E$2:$E$173,0),MATCH('Selection Pane Data'!CD$3,List!$E$2:$CD$2,0)),"")</f>
        <v/>
      </c>
      <c r="CE99" s="13" t="str">
        <f>IF(CE$4="Yes",INDEX(List!$E$2:$CD$173,MATCH('Selection Pane Data'!$B99,List!$E$2:$E$173,0),MATCH('Selection Pane Data'!CE$3,List!$E$2:$CD$2,0)),"")</f>
        <v/>
      </c>
    </row>
    <row r="100" spans="2:83" x14ac:dyDescent="0.35">
      <c r="B100" s="21" t="s">
        <v>387</v>
      </c>
      <c r="C100" s="126" t="str">
        <f>VLOOKUP(B100,List!$E$2:$G$173,2,FALSE)</f>
        <v>MA.L2-3.7.4</v>
      </c>
      <c r="D100" s="31" t="str">
        <f>List!G98</f>
        <v>Shared Coverage</v>
      </c>
      <c r="E100" s="31" t="str">
        <f>IF(Placemat!$F$4="All Practices","All Practices",IF(VLOOKUP(B100,Table7[#All],6,FALSE)="No Mapping","New CMMC Practices","Practices with NIST 800-171 Mappings"))</f>
        <v>Practices with NIST 800-171 Mappings</v>
      </c>
      <c r="F100" t="str">
        <f>INDEX('CMMC Levels'!$A$1:$F$172,MATCH('Selection Pane Data'!$C100,'CMMC Levels'!$A$1:$A$172,0),MATCH(Placemat!$F$4,'CMMC Levels'!$A$1:$F$1,0))</f>
        <v>X</v>
      </c>
      <c r="G100" s="77" t="str">
        <f>IF((COUNTIF(List!H98:CE98,"P")+COUNTIF(List!H98:CE98,"S"))=0,"N",IF(COUNTIF(H100:CE100,"P"),"P",IF(COUNTIF(H100:CE100,"S"),"S","U")))</f>
        <v>U</v>
      </c>
      <c r="H100" s="13" t="str">
        <f>IF(H$4="Yes",INDEX(List!$E$2:$CD$173,MATCH('Selection Pane Data'!$B100,List!$E$2:$E$173,0),MATCH('Selection Pane Data'!H$3,List!$E$2:$CD$2,0)),"")</f>
        <v/>
      </c>
      <c r="I100" s="13" t="str">
        <f>IF(I$4="Yes",INDEX(List!$E$2:$CD$173,MATCH('Selection Pane Data'!$B100,List!$E$2:$E$173,0),MATCH('Selection Pane Data'!I$3,List!$E$2:$CD$2,0)),"")</f>
        <v/>
      </c>
      <c r="J100" s="13" t="str">
        <f>IF(J$4="Yes",INDEX(List!$E$2:$CD$173,MATCH('Selection Pane Data'!$B100,List!$E$2:$E$173,0),MATCH('Selection Pane Data'!J$3,List!$E$2:$CD$2,0)),"")</f>
        <v>N</v>
      </c>
      <c r="K100" s="13" t="str">
        <f>IF(K$4="Yes",INDEX(List!$E$2:$CD$173,MATCH('Selection Pane Data'!$B100,List!$E$2:$E$173,0),MATCH('Selection Pane Data'!K$3,List!$E$2:$CD$2,0)),"")</f>
        <v/>
      </c>
      <c r="L100" s="13" t="str">
        <f>IF(L$4="Yes",INDEX(List!$E$2:$CD$173,MATCH('Selection Pane Data'!$B100,List!$E$2:$E$173,0),MATCH('Selection Pane Data'!L$3,List!$E$2:$CD$2,0)),"")</f>
        <v/>
      </c>
      <c r="M100" s="13" t="str">
        <f>IF(M$4="Yes",INDEX(List!$E$2:$CD$173,MATCH('Selection Pane Data'!$B100,List!$E$2:$E$173,0),MATCH('Selection Pane Data'!M$3,List!$E$2:$CD$2,0)),"")</f>
        <v/>
      </c>
      <c r="N100" s="13" t="str">
        <f>IF(N$4="Yes",INDEX(List!$E$2:$CD$173,MATCH('Selection Pane Data'!$B100,List!$E$2:$E$173,0),MATCH('Selection Pane Data'!N$3,List!$E$2:$CD$2,0)),"")</f>
        <v/>
      </c>
      <c r="O100" s="13" t="str">
        <f>IF(O$4="Yes",INDEX(List!$E$2:$CD$173,MATCH('Selection Pane Data'!$B100,List!$E$2:$E$173,0),MATCH('Selection Pane Data'!O$3,List!$E$2:$CD$2,0)),"")</f>
        <v/>
      </c>
      <c r="P100" s="13" t="str">
        <f>IF(P$4="Yes",INDEX(List!$E$2:$CD$173,MATCH('Selection Pane Data'!$B100,List!$E$2:$E$173,0),MATCH('Selection Pane Data'!P$3,List!$E$2:$CD$2,0)),"")</f>
        <v/>
      </c>
      <c r="Q100" s="13" t="str">
        <f>IF(Q$4="Yes",INDEX(List!$E$2:$CD$173,MATCH('Selection Pane Data'!$B100,List!$E$2:$E$173,0),MATCH('Selection Pane Data'!Q$3,List!$E$2:$CD$2,0)),"")</f>
        <v/>
      </c>
      <c r="R100" s="13" t="str">
        <f>IF(R$4="Yes",INDEX(List!$E$2:$CD$173,MATCH('Selection Pane Data'!$B100,List!$E$2:$E$173,0),MATCH('Selection Pane Data'!R$3,List!$E$2:$CD$2,0)),"")</f>
        <v/>
      </c>
      <c r="S100" s="13" t="str">
        <f>IF(S$4="Yes",INDEX(List!$E$2:$CD$173,MATCH('Selection Pane Data'!$B100,List!$E$2:$E$173,0),MATCH('Selection Pane Data'!S$3,List!$E$2:$CD$2,0)),"")</f>
        <v/>
      </c>
      <c r="T100" s="13" t="str">
        <f>IF(T$4="Yes",INDEX(List!$E$2:$CD$173,MATCH('Selection Pane Data'!$B100,List!$E$2:$E$173,0),MATCH('Selection Pane Data'!T$3,List!$E$2:$CD$2,0)),"")</f>
        <v/>
      </c>
      <c r="U100" s="13" t="str">
        <f>IF(U$4="Yes",INDEX(List!$E$2:$CD$173,MATCH('Selection Pane Data'!$B100,List!$E$2:$E$173,0),MATCH('Selection Pane Data'!U$3,List!$E$2:$CD$2,0)),"")</f>
        <v/>
      </c>
      <c r="V100" s="13" t="str">
        <f>IF(V$4="Yes",INDEX(List!$E$2:$CD$173,MATCH('Selection Pane Data'!$B100,List!$E$2:$E$173,0),MATCH('Selection Pane Data'!V$3,List!$E$2:$CD$2,0)),"")</f>
        <v/>
      </c>
      <c r="W100" s="13" t="str">
        <f>IF(W$4="Yes",INDEX(List!$E$2:$CD$173,MATCH('Selection Pane Data'!$B100,List!$E$2:$E$173,0),MATCH('Selection Pane Data'!W$3,List!$E$2:$CD$2,0)),"")</f>
        <v/>
      </c>
      <c r="X100" s="13" t="str">
        <f>IF(X$4="Yes",INDEX(List!$E$2:$CD$173,MATCH('Selection Pane Data'!$B100,List!$E$2:$E$173,0),MATCH('Selection Pane Data'!X$3,List!$E$2:$CD$2,0)),"")</f>
        <v/>
      </c>
      <c r="Y100" s="13" t="str">
        <f>IF(Y$4="Yes",INDEX(List!$E$2:$CD$173,MATCH('Selection Pane Data'!$B100,List!$E$2:$E$173,0),MATCH('Selection Pane Data'!Y$3,List!$E$2:$CD$2,0)),"")</f>
        <v/>
      </c>
      <c r="Z100" s="13" t="str">
        <f>IF(Z$4="Yes",INDEX(List!$E$2:$CD$173,MATCH('Selection Pane Data'!$B100,List!$E$2:$E$173,0),MATCH('Selection Pane Data'!Z$3,List!$E$2:$CD$2,0)),"")</f>
        <v/>
      </c>
      <c r="AA100" s="13" t="str">
        <f>IF(AA$4="Yes",INDEX(List!$E$2:$CD$173,MATCH('Selection Pane Data'!$B100,List!$E$2:$E$173,0),MATCH('Selection Pane Data'!AA$3,List!$E$2:$CD$2,0)),"")</f>
        <v>N</v>
      </c>
      <c r="AB100" s="13" t="str">
        <f>IF(AB$4="Yes",INDEX(List!$E$2:$CD$173,MATCH('Selection Pane Data'!$B100,List!$E$2:$E$173,0),MATCH('Selection Pane Data'!AB$3,List!$E$2:$CD$2,0)),"")</f>
        <v/>
      </c>
      <c r="AC100" s="13" t="str">
        <f>IF(AC$4="Yes",INDEX(List!$E$2:$CD$173,MATCH('Selection Pane Data'!$B100,List!$E$2:$E$173,0),MATCH('Selection Pane Data'!AC$3,List!$E$2:$CD$2,0)),"")</f>
        <v/>
      </c>
      <c r="AD100" s="13" t="str">
        <f>IF(AD$4="Yes",INDEX(List!$E$2:$CD$173,MATCH('Selection Pane Data'!$B100,List!$E$2:$E$173,0),MATCH('Selection Pane Data'!AD$3,List!$E$2:$CD$2,0)),"")</f>
        <v/>
      </c>
      <c r="AE100" s="13" t="str">
        <f>IF(AE$4="Yes",INDEX(List!$E$2:$CD$173,MATCH('Selection Pane Data'!$B100,List!$E$2:$E$173,0),MATCH('Selection Pane Data'!AE$3,List!$E$2:$CD$2,0)),"")</f>
        <v/>
      </c>
      <c r="AF100" s="13" t="str">
        <f>IF(AF$4="Yes",INDEX(List!$E$2:$CD$173,MATCH('Selection Pane Data'!$B100,List!$E$2:$E$173,0),MATCH('Selection Pane Data'!AF$3,List!$E$2:$CD$2,0)),"")</f>
        <v/>
      </c>
      <c r="AG100" s="13" t="str">
        <f>IF(AG$4="Yes",INDEX(List!$E$2:$CD$173,MATCH('Selection Pane Data'!$B100,List!$E$2:$E$173,0),MATCH('Selection Pane Data'!AG$3,List!$E$2:$CD$2,0)),"")</f>
        <v/>
      </c>
      <c r="AH100" s="13" t="str">
        <f>IF(AH$4="Yes",INDEX(List!$E$2:$CD$173,MATCH('Selection Pane Data'!$B100,List!$E$2:$E$173,0),MATCH('Selection Pane Data'!AH$3,List!$E$2:$CD$2,0)),"")</f>
        <v/>
      </c>
      <c r="AI100" s="13" t="str">
        <f>IF(AI$4="Yes",INDEX(List!$E$2:$CD$173,MATCH('Selection Pane Data'!$B100,List!$E$2:$E$173,0),MATCH('Selection Pane Data'!AI$3,List!$E$2:$CD$2,0)),"")</f>
        <v/>
      </c>
      <c r="AJ100" s="13" t="str">
        <f>IF(AJ$4="Yes",INDEX(List!$E$2:$CD$173,MATCH('Selection Pane Data'!$B100,List!$E$2:$E$173,0),MATCH('Selection Pane Data'!AJ$3,List!$E$2:$CD$2,0)),"")</f>
        <v/>
      </c>
      <c r="AK100" s="13" t="str">
        <f>IF(AK$4="Yes",INDEX(List!$E$2:$CD$173,MATCH('Selection Pane Data'!$B100,List!$E$2:$E$173,0),MATCH('Selection Pane Data'!AK$3,List!$E$2:$CD$2,0)),"")</f>
        <v/>
      </c>
      <c r="AL100" s="13" t="str">
        <f>IF(AL$4="Yes",INDEX(List!$E$2:$CD$173,MATCH('Selection Pane Data'!$B100,List!$E$2:$E$173,0),MATCH('Selection Pane Data'!AL$3,List!$E$2:$CD$2,0)),"")</f>
        <v/>
      </c>
      <c r="AM100" s="13" t="str">
        <f>IF(AM$4="Yes",INDEX(List!$E$2:$CD$173,MATCH('Selection Pane Data'!$B100,List!$E$2:$E$173,0),MATCH('Selection Pane Data'!AM$3,List!$E$2:$CD$2,0)),"")</f>
        <v/>
      </c>
      <c r="AN100" s="13" t="str">
        <f>IF(AN$4="Yes",INDEX(List!$E$2:$CD$173,MATCH('Selection Pane Data'!$B100,List!$E$2:$E$173,0),MATCH('Selection Pane Data'!AN$3,List!$E$2:$CD$2,0)),"")</f>
        <v/>
      </c>
      <c r="AO100" s="13" t="str">
        <f>IF(AO$4="Yes",INDEX(List!$E$2:$CD$173,MATCH('Selection Pane Data'!$B100,List!$E$2:$E$173,0),MATCH('Selection Pane Data'!AO$3,List!$E$2:$CD$2,0)),"")</f>
        <v/>
      </c>
      <c r="AP100" s="13" t="str">
        <f>IF(AP$4="Yes",INDEX(List!$E$2:$CD$173,MATCH('Selection Pane Data'!$B100,List!$E$2:$E$173,0),MATCH('Selection Pane Data'!AP$3,List!$E$2:$CD$2,0)),"")</f>
        <v/>
      </c>
      <c r="AQ100" s="13" t="str">
        <f>IF(AQ$4="Yes",INDEX(List!$E$2:$CD$173,MATCH('Selection Pane Data'!$B100,List!$E$2:$E$173,0),MATCH('Selection Pane Data'!AQ$3,List!$E$2:$CD$2,0)),"")</f>
        <v/>
      </c>
      <c r="AR100" s="13" t="str">
        <f>IF(AR$4="Yes",INDEX(List!$E$2:$CD$173,MATCH('Selection Pane Data'!$B100,List!$E$2:$E$173,0),MATCH('Selection Pane Data'!AR$3,List!$E$2:$CD$2,0)),"")</f>
        <v/>
      </c>
      <c r="AS100" s="13" t="str">
        <f>IF(AS$4="Yes",INDEX(List!$E$2:$CD$173,MATCH('Selection Pane Data'!$B100,List!$E$2:$E$173,0),MATCH('Selection Pane Data'!AS$3,List!$E$2:$CD$2,0)),"")</f>
        <v/>
      </c>
      <c r="AT100" s="13" t="str">
        <f>IF(AT$4="Yes",INDEX(List!$E$2:$CD$173,MATCH('Selection Pane Data'!$B100,List!$E$2:$E$173,0),MATCH('Selection Pane Data'!AT$3,List!$E$2:$CD$2,0)),"")</f>
        <v/>
      </c>
      <c r="AU100" s="13" t="str">
        <f>IF(AU$4="Yes",INDEX(List!$E$2:$CD$173,MATCH('Selection Pane Data'!$B100,List!$E$2:$E$173,0),MATCH('Selection Pane Data'!AU$3,List!$E$2:$CD$2,0)),"")</f>
        <v/>
      </c>
      <c r="AV100" s="13" t="str">
        <f>IF(AV$4="Yes",INDEX(List!$E$2:$CD$173,MATCH('Selection Pane Data'!$B100,List!$E$2:$E$173,0),MATCH('Selection Pane Data'!AV$3,List!$E$2:$CD$2,0)),"")</f>
        <v/>
      </c>
      <c r="AW100" s="13" t="str">
        <f>IF(AW$4="Yes",INDEX(List!$E$2:$CD$173,MATCH('Selection Pane Data'!$B100,List!$E$2:$E$173,0),MATCH('Selection Pane Data'!AW$3,List!$E$2:$CD$2,0)),"")</f>
        <v/>
      </c>
      <c r="AX100" s="13" t="str">
        <f>IF(AX$4="Yes",INDEX(List!$E$2:$CD$173,MATCH('Selection Pane Data'!$B100,List!$E$2:$E$173,0),MATCH('Selection Pane Data'!AX$3,List!$E$2:$CD$2,0)),"")</f>
        <v/>
      </c>
      <c r="AY100" s="13" t="str">
        <f>IF(AY$4="Yes",INDEX(List!$E$2:$CD$173,MATCH('Selection Pane Data'!$B100,List!$E$2:$E$173,0),MATCH('Selection Pane Data'!AY$3,List!$E$2:$CD$2,0)),"")</f>
        <v/>
      </c>
      <c r="AZ100" s="13" t="str">
        <f>IF(AZ$4="Yes",INDEX(List!$E$2:$CD$173,MATCH('Selection Pane Data'!$B100,List!$E$2:$E$173,0),MATCH('Selection Pane Data'!AZ$3,List!$E$2:$CD$2,0)),"")</f>
        <v/>
      </c>
      <c r="BA100" s="13" t="str">
        <f>IF(BA$4="Yes",INDEX(List!$E$2:$CD$173,MATCH('Selection Pane Data'!$B100,List!$E$2:$E$173,0),MATCH('Selection Pane Data'!BA$3,List!$E$2:$CD$2,0)),"")</f>
        <v/>
      </c>
      <c r="BB100" s="13" t="str">
        <f>IF(BB$4="Yes",INDEX(List!$E$2:$CD$173,MATCH('Selection Pane Data'!$B100,List!$E$2:$E$173,0),MATCH('Selection Pane Data'!BB$3,List!$E$2:$CD$2,0)),"")</f>
        <v/>
      </c>
      <c r="BC100" s="13" t="str">
        <f>IF(BC$4="Yes",INDEX(List!$E$2:$CD$173,MATCH('Selection Pane Data'!$B100,List!$E$2:$E$173,0),MATCH('Selection Pane Data'!BC$3,List!$E$2:$CD$2,0)),"")</f>
        <v/>
      </c>
      <c r="BD100" s="13" t="str">
        <f>IF(BD$4="Yes",INDEX(List!$E$2:$CD$173,MATCH('Selection Pane Data'!$B100,List!$E$2:$E$173,0),MATCH('Selection Pane Data'!BD$3,List!$E$2:$CD$2,0)),"")</f>
        <v/>
      </c>
      <c r="BE100" s="13" t="str">
        <f>IF(BE$4="Yes",INDEX(List!$E$2:$CD$173,MATCH('Selection Pane Data'!$B100,List!$E$2:$E$173,0),MATCH('Selection Pane Data'!BE$3,List!$E$2:$CD$2,0)),"")</f>
        <v/>
      </c>
      <c r="BF100" s="13" t="str">
        <f>IF(BF$4="Yes",INDEX(List!$E$2:$CD$173,MATCH('Selection Pane Data'!$B100,List!$E$2:$E$173,0),MATCH('Selection Pane Data'!BF$3,List!$E$2:$CD$2,0)),"")</f>
        <v/>
      </c>
      <c r="BG100" s="13" t="str">
        <f>IF(BG$4="Yes",INDEX(List!$E$2:$CD$173,MATCH('Selection Pane Data'!$B100,List!$E$2:$E$173,0),MATCH('Selection Pane Data'!BG$3,List!$E$2:$CD$2,0)),"")</f>
        <v/>
      </c>
      <c r="BH100" s="13" t="str">
        <f>IF(BH$4="Yes",INDEX(List!$E$2:$CD$173,MATCH('Selection Pane Data'!$B100,List!$E$2:$E$173,0),MATCH('Selection Pane Data'!BH$3,List!$E$2:$CD$2,0)),"")</f>
        <v/>
      </c>
      <c r="BI100" s="13" t="str">
        <f>IF(BI$4="Yes",INDEX(List!$E$2:$CD$173,MATCH('Selection Pane Data'!$B100,List!$E$2:$E$173,0),MATCH('Selection Pane Data'!BI$3,List!$E$2:$CD$2,0)),"")</f>
        <v/>
      </c>
      <c r="BJ100" s="13" t="str">
        <f>IF(BJ$4="Yes",INDEX(List!$E$2:$CD$173,MATCH('Selection Pane Data'!$B100,List!$E$2:$E$173,0),MATCH('Selection Pane Data'!BJ$3,List!$E$2:$CD$2,0)),"")</f>
        <v/>
      </c>
      <c r="BK100" s="13" t="str">
        <f>IF(BK$4="Yes",INDEX(List!$E$2:$CD$173,MATCH('Selection Pane Data'!$B100,List!$E$2:$E$173,0),MATCH('Selection Pane Data'!BK$3,List!$E$2:$CD$2,0)),"")</f>
        <v/>
      </c>
      <c r="BL100" s="13" t="str">
        <f>IF(BL$4="Yes",INDEX(List!$E$2:$CD$173,MATCH('Selection Pane Data'!$B100,List!$E$2:$E$173,0),MATCH('Selection Pane Data'!BL$3,List!$E$2:$CD$2,0)),"")</f>
        <v/>
      </c>
      <c r="BM100" s="13" t="str">
        <f>IF(BM$4="Yes",INDEX(List!$E$2:$CD$173,MATCH('Selection Pane Data'!$B100,List!$E$2:$E$173,0),MATCH('Selection Pane Data'!BM$3,List!$E$2:$CD$2,0)),"")</f>
        <v/>
      </c>
      <c r="BN100" s="13" t="str">
        <f>IF(BN$4="Yes",INDEX(List!$E$2:$CD$173,MATCH('Selection Pane Data'!$B100,List!$E$2:$E$173,0),MATCH('Selection Pane Data'!BN$3,List!$E$2:$CD$2,0)),"")</f>
        <v/>
      </c>
      <c r="BO100" s="13" t="str">
        <f>IF(BO$4="Yes",INDEX(List!$E$2:$CD$173,MATCH('Selection Pane Data'!$B100,List!$E$2:$E$173,0),MATCH('Selection Pane Data'!BO$3,List!$E$2:$CD$2,0)),"")</f>
        <v/>
      </c>
      <c r="BP100" s="13" t="str">
        <f>IF(BP$4="Yes",INDEX(List!$E$2:$CD$173,MATCH('Selection Pane Data'!$B100,List!$E$2:$E$173,0),MATCH('Selection Pane Data'!BP$3,List!$E$2:$CD$2,0)),"")</f>
        <v/>
      </c>
      <c r="BQ100" s="13" t="str">
        <f>IF(BQ$4="Yes",INDEX(List!$E$2:$CD$173,MATCH('Selection Pane Data'!$B100,List!$E$2:$E$173,0),MATCH('Selection Pane Data'!BQ$3,List!$E$2:$CD$2,0)),"")</f>
        <v/>
      </c>
      <c r="BR100" s="13" t="str">
        <f>IF(BR$4="Yes",INDEX(List!$E$2:$CD$173,MATCH('Selection Pane Data'!$B100,List!$E$2:$E$173,0),MATCH('Selection Pane Data'!BR$3,List!$E$2:$CD$2,0)),"")</f>
        <v/>
      </c>
      <c r="BS100" s="13" t="str">
        <f>IF(BS$4="Yes",INDEX(List!$E$2:$CD$173,MATCH('Selection Pane Data'!$B100,List!$E$2:$E$173,0),MATCH('Selection Pane Data'!BS$3,List!$E$2:$CD$2,0)),"")</f>
        <v/>
      </c>
      <c r="BT100" s="13" t="str">
        <f>IF(BT$4="Yes",INDEX(List!$E$2:$CD$173,MATCH('Selection Pane Data'!$B100,List!$E$2:$E$173,0),MATCH('Selection Pane Data'!BT$3,List!$E$2:$CD$2,0)),"")</f>
        <v/>
      </c>
      <c r="BU100" s="13" t="str">
        <f>IF(BU$4="Yes",INDEX(List!$E$2:$CD$173,MATCH('Selection Pane Data'!$B100,List!$E$2:$E$173,0),MATCH('Selection Pane Data'!BU$3,List!$E$2:$CD$2,0)),"")</f>
        <v/>
      </c>
      <c r="BV100" s="13" t="str">
        <f>IF(BV$4="Yes",INDEX(List!$E$2:$CD$173,MATCH('Selection Pane Data'!$B100,List!$E$2:$E$173,0),MATCH('Selection Pane Data'!BV$3,List!$E$2:$CD$2,0)),"")</f>
        <v/>
      </c>
      <c r="BW100" s="13" t="str">
        <f>IF(BW$4="Yes",INDEX(List!$E$2:$CD$173,MATCH('Selection Pane Data'!$B100,List!$E$2:$E$173,0),MATCH('Selection Pane Data'!BW$3,List!$E$2:$CD$2,0)),"")</f>
        <v/>
      </c>
      <c r="BX100" s="13" t="str">
        <f>IF(BX$4="Yes",INDEX(List!$E$2:$CD$173,MATCH('Selection Pane Data'!$B100,List!$E$2:$E$173,0),MATCH('Selection Pane Data'!BX$3,List!$E$2:$CD$2,0)),"")</f>
        <v/>
      </c>
      <c r="BY100" s="13" t="str">
        <f>IF(BY$4="Yes",INDEX(List!$E$2:$CD$173,MATCH('Selection Pane Data'!$B100,List!$E$2:$E$173,0),MATCH('Selection Pane Data'!BY$3,List!$E$2:$CD$2,0)),"")</f>
        <v/>
      </c>
      <c r="BZ100" s="13" t="str">
        <f>IF(BZ$4="Yes",INDEX(List!$E$2:$CD$173,MATCH('Selection Pane Data'!$B100,List!$E$2:$E$173,0),MATCH('Selection Pane Data'!BZ$3,List!$E$2:$CD$2,0)),"")</f>
        <v/>
      </c>
      <c r="CA100" s="13" t="str">
        <f>IF(CA$4="Yes",INDEX(List!$E$2:$CD$173,MATCH('Selection Pane Data'!$B100,List!$E$2:$E$173,0),MATCH('Selection Pane Data'!CA$3,List!$E$2:$CD$2,0)),"")</f>
        <v/>
      </c>
      <c r="CB100" s="13" t="str">
        <f>IF(CB$4="Yes",INDEX(List!$E$2:$CD$173,MATCH('Selection Pane Data'!$B100,List!$E$2:$E$173,0),MATCH('Selection Pane Data'!CB$3,List!$E$2:$CD$2,0)),"")</f>
        <v/>
      </c>
      <c r="CC100" s="13" t="str">
        <f>IF(CC$4="Yes",INDEX(List!$E$2:$CD$173,MATCH('Selection Pane Data'!$B100,List!$E$2:$E$173,0),MATCH('Selection Pane Data'!CC$3,List!$E$2:$CD$2,0)),"")</f>
        <v/>
      </c>
      <c r="CD100" s="13" t="str">
        <f>IF(CD$4="Yes",INDEX(List!$E$2:$CD$173,MATCH('Selection Pane Data'!$B100,List!$E$2:$E$173,0),MATCH('Selection Pane Data'!CD$3,List!$E$2:$CD$2,0)),"")</f>
        <v/>
      </c>
      <c r="CE100" s="13" t="str">
        <f>IF(CE$4="Yes",INDEX(List!$E$2:$CD$173,MATCH('Selection Pane Data'!$B100,List!$E$2:$E$173,0),MATCH('Selection Pane Data'!CE$3,List!$E$2:$CD$2,0)),"")</f>
        <v/>
      </c>
    </row>
    <row r="101" spans="2:83" x14ac:dyDescent="0.35">
      <c r="B101" s="21" t="s">
        <v>388</v>
      </c>
      <c r="C101" s="126" t="str">
        <f>VLOOKUP(B101,List!$E$2:$G$173,2,FALSE)</f>
        <v>MP.L1-3.8.3</v>
      </c>
      <c r="D101" s="31" t="str">
        <f>List!G99</f>
        <v>Shared Coverage</v>
      </c>
      <c r="E101" s="31" t="str">
        <f>IF(Placemat!$F$4="All Practices","All Practices",IF(VLOOKUP(B101,Table7[#All],6,FALSE)="No Mapping","New CMMC Practices","Practices with NIST 800-171 Mappings"))</f>
        <v>Practices with NIST 800-171 Mappings</v>
      </c>
      <c r="F101" t="str">
        <f>INDEX('CMMC Levels'!$A$1:$F$172,MATCH('Selection Pane Data'!$C101,'CMMC Levels'!$A$1:$A$172,0),MATCH(Placemat!$F$4,'CMMC Levels'!$A$1:$F$1,0))</f>
        <v>X</v>
      </c>
      <c r="G101" s="77" t="str">
        <f>IF((COUNTIF(List!H99:CE99,"P")+COUNTIF(List!H99:CE99,"S"))=0,"N",IF(COUNTIF(H101:CE101,"P"),"P",IF(COUNTIF(H101:CE101,"S"),"S","U")))</f>
        <v>U</v>
      </c>
      <c r="H101" s="13" t="str">
        <f>IF(H$4="Yes",INDEX(List!$E$2:$CD$173,MATCH('Selection Pane Data'!$B101,List!$E$2:$E$173,0),MATCH('Selection Pane Data'!H$3,List!$E$2:$CD$2,0)),"")</f>
        <v/>
      </c>
      <c r="I101" s="13" t="str">
        <f>IF(I$4="Yes",INDEX(List!$E$2:$CD$173,MATCH('Selection Pane Data'!$B101,List!$E$2:$E$173,0),MATCH('Selection Pane Data'!I$3,List!$E$2:$CD$2,0)),"")</f>
        <v/>
      </c>
      <c r="J101" s="13" t="str">
        <f>IF(J$4="Yes",INDEX(List!$E$2:$CD$173,MATCH('Selection Pane Data'!$B101,List!$E$2:$E$173,0),MATCH('Selection Pane Data'!J$3,List!$E$2:$CD$2,0)),"")</f>
        <v>N</v>
      </c>
      <c r="K101" s="13" t="str">
        <f>IF(K$4="Yes",INDEX(List!$E$2:$CD$173,MATCH('Selection Pane Data'!$B101,List!$E$2:$E$173,0),MATCH('Selection Pane Data'!K$3,List!$E$2:$CD$2,0)),"")</f>
        <v/>
      </c>
      <c r="L101" s="13" t="str">
        <f>IF(L$4="Yes",INDEX(List!$E$2:$CD$173,MATCH('Selection Pane Data'!$B101,List!$E$2:$E$173,0),MATCH('Selection Pane Data'!L$3,List!$E$2:$CD$2,0)),"")</f>
        <v/>
      </c>
      <c r="M101" s="13" t="str">
        <f>IF(M$4="Yes",INDEX(List!$E$2:$CD$173,MATCH('Selection Pane Data'!$B101,List!$E$2:$E$173,0),MATCH('Selection Pane Data'!M$3,List!$E$2:$CD$2,0)),"")</f>
        <v/>
      </c>
      <c r="N101" s="13" t="str">
        <f>IF(N$4="Yes",INDEX(List!$E$2:$CD$173,MATCH('Selection Pane Data'!$B101,List!$E$2:$E$173,0),MATCH('Selection Pane Data'!N$3,List!$E$2:$CD$2,0)),"")</f>
        <v/>
      </c>
      <c r="O101" s="13" t="str">
        <f>IF(O$4="Yes",INDEX(List!$E$2:$CD$173,MATCH('Selection Pane Data'!$B101,List!$E$2:$E$173,0),MATCH('Selection Pane Data'!O$3,List!$E$2:$CD$2,0)),"")</f>
        <v/>
      </c>
      <c r="P101" s="13" t="str">
        <f>IF(P$4="Yes",INDEX(List!$E$2:$CD$173,MATCH('Selection Pane Data'!$B101,List!$E$2:$E$173,0),MATCH('Selection Pane Data'!P$3,List!$E$2:$CD$2,0)),"")</f>
        <v/>
      </c>
      <c r="Q101" s="13" t="str">
        <f>IF(Q$4="Yes",INDEX(List!$E$2:$CD$173,MATCH('Selection Pane Data'!$B101,List!$E$2:$E$173,0),MATCH('Selection Pane Data'!Q$3,List!$E$2:$CD$2,0)),"")</f>
        <v/>
      </c>
      <c r="R101" s="13" t="str">
        <f>IF(R$4="Yes",INDEX(List!$E$2:$CD$173,MATCH('Selection Pane Data'!$B101,List!$E$2:$E$173,0),MATCH('Selection Pane Data'!R$3,List!$E$2:$CD$2,0)),"")</f>
        <v/>
      </c>
      <c r="S101" s="13" t="str">
        <f>IF(S$4="Yes",INDEX(List!$E$2:$CD$173,MATCH('Selection Pane Data'!$B101,List!$E$2:$E$173,0),MATCH('Selection Pane Data'!S$3,List!$E$2:$CD$2,0)),"")</f>
        <v/>
      </c>
      <c r="T101" s="13" t="str">
        <f>IF(T$4="Yes",INDEX(List!$E$2:$CD$173,MATCH('Selection Pane Data'!$B101,List!$E$2:$E$173,0),MATCH('Selection Pane Data'!T$3,List!$E$2:$CD$2,0)),"")</f>
        <v/>
      </c>
      <c r="U101" s="13" t="str">
        <f>IF(U$4="Yes",INDEX(List!$E$2:$CD$173,MATCH('Selection Pane Data'!$B101,List!$E$2:$E$173,0),MATCH('Selection Pane Data'!U$3,List!$E$2:$CD$2,0)),"")</f>
        <v/>
      </c>
      <c r="V101" s="13" t="str">
        <f>IF(V$4="Yes",INDEX(List!$E$2:$CD$173,MATCH('Selection Pane Data'!$B101,List!$E$2:$E$173,0),MATCH('Selection Pane Data'!V$3,List!$E$2:$CD$2,0)),"")</f>
        <v/>
      </c>
      <c r="W101" s="13" t="str">
        <f>IF(W$4="Yes",INDEX(List!$E$2:$CD$173,MATCH('Selection Pane Data'!$B101,List!$E$2:$E$173,0),MATCH('Selection Pane Data'!W$3,List!$E$2:$CD$2,0)),"")</f>
        <v/>
      </c>
      <c r="X101" s="13" t="str">
        <f>IF(X$4="Yes",INDEX(List!$E$2:$CD$173,MATCH('Selection Pane Data'!$B101,List!$E$2:$E$173,0),MATCH('Selection Pane Data'!X$3,List!$E$2:$CD$2,0)),"")</f>
        <v/>
      </c>
      <c r="Y101" s="13" t="str">
        <f>IF(Y$4="Yes",INDEX(List!$E$2:$CD$173,MATCH('Selection Pane Data'!$B101,List!$E$2:$E$173,0),MATCH('Selection Pane Data'!Y$3,List!$E$2:$CD$2,0)),"")</f>
        <v/>
      </c>
      <c r="Z101" s="13" t="str">
        <f>IF(Z$4="Yes",INDEX(List!$E$2:$CD$173,MATCH('Selection Pane Data'!$B101,List!$E$2:$E$173,0),MATCH('Selection Pane Data'!Z$3,List!$E$2:$CD$2,0)),"")</f>
        <v/>
      </c>
      <c r="AA101" s="13" t="str">
        <f>IF(AA$4="Yes",INDEX(List!$E$2:$CD$173,MATCH('Selection Pane Data'!$B101,List!$E$2:$E$173,0),MATCH('Selection Pane Data'!AA$3,List!$E$2:$CD$2,0)),"")</f>
        <v>N</v>
      </c>
      <c r="AB101" s="13" t="str">
        <f>IF(AB$4="Yes",INDEX(List!$E$2:$CD$173,MATCH('Selection Pane Data'!$B101,List!$E$2:$E$173,0),MATCH('Selection Pane Data'!AB$3,List!$E$2:$CD$2,0)),"")</f>
        <v/>
      </c>
      <c r="AC101" s="13" t="str">
        <f>IF(AC$4="Yes",INDEX(List!$E$2:$CD$173,MATCH('Selection Pane Data'!$B101,List!$E$2:$E$173,0),MATCH('Selection Pane Data'!AC$3,List!$E$2:$CD$2,0)),"")</f>
        <v/>
      </c>
      <c r="AD101" s="13" t="str">
        <f>IF(AD$4="Yes",INDEX(List!$E$2:$CD$173,MATCH('Selection Pane Data'!$B101,List!$E$2:$E$173,0),MATCH('Selection Pane Data'!AD$3,List!$E$2:$CD$2,0)),"")</f>
        <v/>
      </c>
      <c r="AE101" s="13" t="str">
        <f>IF(AE$4="Yes",INDEX(List!$E$2:$CD$173,MATCH('Selection Pane Data'!$B101,List!$E$2:$E$173,0),MATCH('Selection Pane Data'!AE$3,List!$E$2:$CD$2,0)),"")</f>
        <v/>
      </c>
      <c r="AF101" s="13" t="str">
        <f>IF(AF$4="Yes",INDEX(List!$E$2:$CD$173,MATCH('Selection Pane Data'!$B101,List!$E$2:$E$173,0),MATCH('Selection Pane Data'!AF$3,List!$E$2:$CD$2,0)),"")</f>
        <v/>
      </c>
      <c r="AG101" s="13" t="str">
        <f>IF(AG$4="Yes",INDEX(List!$E$2:$CD$173,MATCH('Selection Pane Data'!$B101,List!$E$2:$E$173,0),MATCH('Selection Pane Data'!AG$3,List!$E$2:$CD$2,0)),"")</f>
        <v/>
      </c>
      <c r="AH101" s="13" t="str">
        <f>IF(AH$4="Yes",INDEX(List!$E$2:$CD$173,MATCH('Selection Pane Data'!$B101,List!$E$2:$E$173,0),MATCH('Selection Pane Data'!AH$3,List!$E$2:$CD$2,0)),"")</f>
        <v/>
      </c>
      <c r="AI101" s="13" t="str">
        <f>IF(AI$4="Yes",INDEX(List!$E$2:$CD$173,MATCH('Selection Pane Data'!$B101,List!$E$2:$E$173,0),MATCH('Selection Pane Data'!AI$3,List!$E$2:$CD$2,0)),"")</f>
        <v/>
      </c>
      <c r="AJ101" s="13" t="str">
        <f>IF(AJ$4="Yes",INDEX(List!$E$2:$CD$173,MATCH('Selection Pane Data'!$B101,List!$E$2:$E$173,0),MATCH('Selection Pane Data'!AJ$3,List!$E$2:$CD$2,0)),"")</f>
        <v/>
      </c>
      <c r="AK101" s="13" t="str">
        <f>IF(AK$4="Yes",INDEX(List!$E$2:$CD$173,MATCH('Selection Pane Data'!$B101,List!$E$2:$E$173,0),MATCH('Selection Pane Data'!AK$3,List!$E$2:$CD$2,0)),"")</f>
        <v/>
      </c>
      <c r="AL101" s="13" t="str">
        <f>IF(AL$4="Yes",INDEX(List!$E$2:$CD$173,MATCH('Selection Pane Data'!$B101,List!$E$2:$E$173,0),MATCH('Selection Pane Data'!AL$3,List!$E$2:$CD$2,0)),"")</f>
        <v/>
      </c>
      <c r="AM101" s="13" t="str">
        <f>IF(AM$4="Yes",INDEX(List!$E$2:$CD$173,MATCH('Selection Pane Data'!$B101,List!$E$2:$E$173,0),MATCH('Selection Pane Data'!AM$3,List!$E$2:$CD$2,0)),"")</f>
        <v/>
      </c>
      <c r="AN101" s="13" t="str">
        <f>IF(AN$4="Yes",INDEX(List!$E$2:$CD$173,MATCH('Selection Pane Data'!$B101,List!$E$2:$E$173,0),MATCH('Selection Pane Data'!AN$3,List!$E$2:$CD$2,0)),"")</f>
        <v/>
      </c>
      <c r="AO101" s="13" t="str">
        <f>IF(AO$4="Yes",INDEX(List!$E$2:$CD$173,MATCH('Selection Pane Data'!$B101,List!$E$2:$E$173,0),MATCH('Selection Pane Data'!AO$3,List!$E$2:$CD$2,0)),"")</f>
        <v/>
      </c>
      <c r="AP101" s="13" t="str">
        <f>IF(AP$4="Yes",INDEX(List!$E$2:$CD$173,MATCH('Selection Pane Data'!$B101,List!$E$2:$E$173,0),MATCH('Selection Pane Data'!AP$3,List!$E$2:$CD$2,0)),"")</f>
        <v/>
      </c>
      <c r="AQ101" s="13" t="str">
        <f>IF(AQ$4="Yes",INDEX(List!$E$2:$CD$173,MATCH('Selection Pane Data'!$B101,List!$E$2:$E$173,0),MATCH('Selection Pane Data'!AQ$3,List!$E$2:$CD$2,0)),"")</f>
        <v/>
      </c>
      <c r="AR101" s="13" t="str">
        <f>IF(AR$4="Yes",INDEX(List!$E$2:$CD$173,MATCH('Selection Pane Data'!$B101,List!$E$2:$E$173,0),MATCH('Selection Pane Data'!AR$3,List!$E$2:$CD$2,0)),"")</f>
        <v/>
      </c>
      <c r="AS101" s="13" t="str">
        <f>IF(AS$4="Yes",INDEX(List!$E$2:$CD$173,MATCH('Selection Pane Data'!$B101,List!$E$2:$E$173,0),MATCH('Selection Pane Data'!AS$3,List!$E$2:$CD$2,0)),"")</f>
        <v/>
      </c>
      <c r="AT101" s="13" t="str">
        <f>IF(AT$4="Yes",INDEX(List!$E$2:$CD$173,MATCH('Selection Pane Data'!$B101,List!$E$2:$E$173,0),MATCH('Selection Pane Data'!AT$3,List!$E$2:$CD$2,0)),"")</f>
        <v/>
      </c>
      <c r="AU101" s="13" t="str">
        <f>IF(AU$4="Yes",INDEX(List!$E$2:$CD$173,MATCH('Selection Pane Data'!$B101,List!$E$2:$E$173,0),MATCH('Selection Pane Data'!AU$3,List!$E$2:$CD$2,0)),"")</f>
        <v/>
      </c>
      <c r="AV101" s="13" t="str">
        <f>IF(AV$4="Yes",INDEX(List!$E$2:$CD$173,MATCH('Selection Pane Data'!$B101,List!$E$2:$E$173,0),MATCH('Selection Pane Data'!AV$3,List!$E$2:$CD$2,0)),"")</f>
        <v/>
      </c>
      <c r="AW101" s="13" t="str">
        <f>IF(AW$4="Yes",INDEX(List!$E$2:$CD$173,MATCH('Selection Pane Data'!$B101,List!$E$2:$E$173,0),MATCH('Selection Pane Data'!AW$3,List!$E$2:$CD$2,0)),"")</f>
        <v/>
      </c>
      <c r="AX101" s="13" t="str">
        <f>IF(AX$4="Yes",INDEX(List!$E$2:$CD$173,MATCH('Selection Pane Data'!$B101,List!$E$2:$E$173,0),MATCH('Selection Pane Data'!AX$3,List!$E$2:$CD$2,0)),"")</f>
        <v/>
      </c>
      <c r="AY101" s="13" t="str">
        <f>IF(AY$4="Yes",INDEX(List!$E$2:$CD$173,MATCH('Selection Pane Data'!$B101,List!$E$2:$E$173,0),MATCH('Selection Pane Data'!AY$3,List!$E$2:$CD$2,0)),"")</f>
        <v/>
      </c>
      <c r="AZ101" s="13" t="str">
        <f>IF(AZ$4="Yes",INDEX(List!$E$2:$CD$173,MATCH('Selection Pane Data'!$B101,List!$E$2:$E$173,0),MATCH('Selection Pane Data'!AZ$3,List!$E$2:$CD$2,0)),"")</f>
        <v/>
      </c>
      <c r="BA101" s="13" t="str">
        <f>IF(BA$4="Yes",INDEX(List!$E$2:$CD$173,MATCH('Selection Pane Data'!$B101,List!$E$2:$E$173,0),MATCH('Selection Pane Data'!BA$3,List!$E$2:$CD$2,0)),"")</f>
        <v/>
      </c>
      <c r="BB101" s="13" t="str">
        <f>IF(BB$4="Yes",INDEX(List!$E$2:$CD$173,MATCH('Selection Pane Data'!$B101,List!$E$2:$E$173,0),MATCH('Selection Pane Data'!BB$3,List!$E$2:$CD$2,0)),"")</f>
        <v/>
      </c>
      <c r="BC101" s="13" t="str">
        <f>IF(BC$4="Yes",INDEX(List!$E$2:$CD$173,MATCH('Selection Pane Data'!$B101,List!$E$2:$E$173,0),MATCH('Selection Pane Data'!BC$3,List!$E$2:$CD$2,0)),"")</f>
        <v/>
      </c>
      <c r="BD101" s="13" t="str">
        <f>IF(BD$4="Yes",INDEX(List!$E$2:$CD$173,MATCH('Selection Pane Data'!$B101,List!$E$2:$E$173,0),MATCH('Selection Pane Data'!BD$3,List!$E$2:$CD$2,0)),"")</f>
        <v/>
      </c>
      <c r="BE101" s="13" t="str">
        <f>IF(BE$4="Yes",INDEX(List!$E$2:$CD$173,MATCH('Selection Pane Data'!$B101,List!$E$2:$E$173,0),MATCH('Selection Pane Data'!BE$3,List!$E$2:$CD$2,0)),"")</f>
        <v/>
      </c>
      <c r="BF101" s="13" t="str">
        <f>IF(BF$4="Yes",INDEX(List!$E$2:$CD$173,MATCH('Selection Pane Data'!$B101,List!$E$2:$E$173,0),MATCH('Selection Pane Data'!BF$3,List!$E$2:$CD$2,0)),"")</f>
        <v/>
      </c>
      <c r="BG101" s="13" t="str">
        <f>IF(BG$4="Yes",INDEX(List!$E$2:$CD$173,MATCH('Selection Pane Data'!$B101,List!$E$2:$E$173,0),MATCH('Selection Pane Data'!BG$3,List!$E$2:$CD$2,0)),"")</f>
        <v/>
      </c>
      <c r="BH101" s="13" t="str">
        <f>IF(BH$4="Yes",INDEX(List!$E$2:$CD$173,MATCH('Selection Pane Data'!$B101,List!$E$2:$E$173,0),MATCH('Selection Pane Data'!BH$3,List!$E$2:$CD$2,0)),"")</f>
        <v/>
      </c>
      <c r="BI101" s="13" t="str">
        <f>IF(BI$4="Yes",INDEX(List!$E$2:$CD$173,MATCH('Selection Pane Data'!$B101,List!$E$2:$E$173,0),MATCH('Selection Pane Data'!BI$3,List!$E$2:$CD$2,0)),"")</f>
        <v/>
      </c>
      <c r="BJ101" s="13" t="str">
        <f>IF(BJ$4="Yes",INDEX(List!$E$2:$CD$173,MATCH('Selection Pane Data'!$B101,List!$E$2:$E$173,0),MATCH('Selection Pane Data'!BJ$3,List!$E$2:$CD$2,0)),"")</f>
        <v/>
      </c>
      <c r="BK101" s="13" t="str">
        <f>IF(BK$4="Yes",INDEX(List!$E$2:$CD$173,MATCH('Selection Pane Data'!$B101,List!$E$2:$E$173,0),MATCH('Selection Pane Data'!BK$3,List!$E$2:$CD$2,0)),"")</f>
        <v/>
      </c>
      <c r="BL101" s="13" t="str">
        <f>IF(BL$4="Yes",INDEX(List!$E$2:$CD$173,MATCH('Selection Pane Data'!$B101,List!$E$2:$E$173,0),MATCH('Selection Pane Data'!BL$3,List!$E$2:$CD$2,0)),"")</f>
        <v/>
      </c>
      <c r="BM101" s="13" t="str">
        <f>IF(BM$4="Yes",INDEX(List!$E$2:$CD$173,MATCH('Selection Pane Data'!$B101,List!$E$2:$E$173,0),MATCH('Selection Pane Data'!BM$3,List!$E$2:$CD$2,0)),"")</f>
        <v/>
      </c>
      <c r="BN101" s="13" t="str">
        <f>IF(BN$4="Yes",INDEX(List!$E$2:$CD$173,MATCH('Selection Pane Data'!$B101,List!$E$2:$E$173,0),MATCH('Selection Pane Data'!BN$3,List!$E$2:$CD$2,0)),"")</f>
        <v/>
      </c>
      <c r="BO101" s="13" t="str">
        <f>IF(BO$4="Yes",INDEX(List!$E$2:$CD$173,MATCH('Selection Pane Data'!$B101,List!$E$2:$E$173,0),MATCH('Selection Pane Data'!BO$3,List!$E$2:$CD$2,0)),"")</f>
        <v/>
      </c>
      <c r="BP101" s="13" t="str">
        <f>IF(BP$4="Yes",INDEX(List!$E$2:$CD$173,MATCH('Selection Pane Data'!$B101,List!$E$2:$E$173,0),MATCH('Selection Pane Data'!BP$3,List!$E$2:$CD$2,0)),"")</f>
        <v/>
      </c>
      <c r="BQ101" s="13" t="str">
        <f>IF(BQ$4="Yes",INDEX(List!$E$2:$CD$173,MATCH('Selection Pane Data'!$B101,List!$E$2:$E$173,0),MATCH('Selection Pane Data'!BQ$3,List!$E$2:$CD$2,0)),"")</f>
        <v/>
      </c>
      <c r="BR101" s="13" t="str">
        <f>IF(BR$4="Yes",INDEX(List!$E$2:$CD$173,MATCH('Selection Pane Data'!$B101,List!$E$2:$E$173,0),MATCH('Selection Pane Data'!BR$3,List!$E$2:$CD$2,0)),"")</f>
        <v/>
      </c>
      <c r="BS101" s="13" t="str">
        <f>IF(BS$4="Yes",INDEX(List!$E$2:$CD$173,MATCH('Selection Pane Data'!$B101,List!$E$2:$E$173,0),MATCH('Selection Pane Data'!BS$3,List!$E$2:$CD$2,0)),"")</f>
        <v/>
      </c>
      <c r="BT101" s="13" t="str">
        <f>IF(BT$4="Yes",INDEX(List!$E$2:$CD$173,MATCH('Selection Pane Data'!$B101,List!$E$2:$E$173,0),MATCH('Selection Pane Data'!BT$3,List!$E$2:$CD$2,0)),"")</f>
        <v/>
      </c>
      <c r="BU101" s="13" t="str">
        <f>IF(BU$4="Yes",INDEX(List!$E$2:$CD$173,MATCH('Selection Pane Data'!$B101,List!$E$2:$E$173,0),MATCH('Selection Pane Data'!BU$3,List!$E$2:$CD$2,0)),"")</f>
        <v/>
      </c>
      <c r="BV101" s="13" t="str">
        <f>IF(BV$4="Yes",INDEX(List!$E$2:$CD$173,MATCH('Selection Pane Data'!$B101,List!$E$2:$E$173,0),MATCH('Selection Pane Data'!BV$3,List!$E$2:$CD$2,0)),"")</f>
        <v/>
      </c>
      <c r="BW101" s="13" t="str">
        <f>IF(BW$4="Yes",INDEX(List!$E$2:$CD$173,MATCH('Selection Pane Data'!$B101,List!$E$2:$E$173,0),MATCH('Selection Pane Data'!BW$3,List!$E$2:$CD$2,0)),"")</f>
        <v/>
      </c>
      <c r="BX101" s="13" t="str">
        <f>IF(BX$4="Yes",INDEX(List!$E$2:$CD$173,MATCH('Selection Pane Data'!$B101,List!$E$2:$E$173,0),MATCH('Selection Pane Data'!BX$3,List!$E$2:$CD$2,0)),"")</f>
        <v/>
      </c>
      <c r="BY101" s="13" t="str">
        <f>IF(BY$4="Yes",INDEX(List!$E$2:$CD$173,MATCH('Selection Pane Data'!$B101,List!$E$2:$E$173,0),MATCH('Selection Pane Data'!BY$3,List!$E$2:$CD$2,0)),"")</f>
        <v/>
      </c>
      <c r="BZ101" s="13" t="str">
        <f>IF(BZ$4="Yes",INDEX(List!$E$2:$CD$173,MATCH('Selection Pane Data'!$B101,List!$E$2:$E$173,0),MATCH('Selection Pane Data'!BZ$3,List!$E$2:$CD$2,0)),"")</f>
        <v/>
      </c>
      <c r="CA101" s="13" t="str">
        <f>IF(CA$4="Yes",INDEX(List!$E$2:$CD$173,MATCH('Selection Pane Data'!$B101,List!$E$2:$E$173,0),MATCH('Selection Pane Data'!CA$3,List!$E$2:$CD$2,0)),"")</f>
        <v/>
      </c>
      <c r="CB101" s="13" t="str">
        <f>IF(CB$4="Yes",INDEX(List!$E$2:$CD$173,MATCH('Selection Pane Data'!$B101,List!$E$2:$E$173,0),MATCH('Selection Pane Data'!CB$3,List!$E$2:$CD$2,0)),"")</f>
        <v/>
      </c>
      <c r="CC101" s="13" t="str">
        <f>IF(CC$4="Yes",INDEX(List!$E$2:$CD$173,MATCH('Selection Pane Data'!$B101,List!$E$2:$E$173,0),MATCH('Selection Pane Data'!CC$3,List!$E$2:$CD$2,0)),"")</f>
        <v/>
      </c>
      <c r="CD101" s="13" t="str">
        <f>IF(CD$4="Yes",INDEX(List!$E$2:$CD$173,MATCH('Selection Pane Data'!$B101,List!$E$2:$E$173,0),MATCH('Selection Pane Data'!CD$3,List!$E$2:$CD$2,0)),"")</f>
        <v/>
      </c>
      <c r="CE101" s="13" t="str">
        <f>IF(CE$4="Yes",INDEX(List!$E$2:$CD$173,MATCH('Selection Pane Data'!$B101,List!$E$2:$E$173,0),MATCH('Selection Pane Data'!CE$3,List!$E$2:$CD$2,0)),"")</f>
        <v/>
      </c>
    </row>
    <row r="102" spans="2:83" x14ac:dyDescent="0.35">
      <c r="B102" s="21" t="s">
        <v>389</v>
      </c>
      <c r="C102" s="126" t="str">
        <f>VLOOKUP(B102,List!$E$2:$G$173,2,FALSE)</f>
        <v>MP.L2-3.8.1</v>
      </c>
      <c r="D102" s="31" t="str">
        <f>List!G100</f>
        <v>Shared Coverage</v>
      </c>
      <c r="E102" s="31" t="str">
        <f>IF(Placemat!$F$4="All Practices","All Practices",IF(VLOOKUP(B102,Table7[#All],6,FALSE)="No Mapping","New CMMC Practices","Practices with NIST 800-171 Mappings"))</f>
        <v>Practices with NIST 800-171 Mappings</v>
      </c>
      <c r="F102" t="str">
        <f>INDEX('CMMC Levels'!$A$1:$F$172,MATCH('Selection Pane Data'!$C102,'CMMC Levels'!$A$1:$A$172,0),MATCH(Placemat!$F$4,'CMMC Levels'!$A$1:$F$1,0))</f>
        <v>X</v>
      </c>
      <c r="G102" s="77" t="str">
        <f>IF((COUNTIF(List!H100:CE100,"P")+COUNTIF(List!H100:CE100,"S"))=0,"N",IF(COUNTIF(H102:CE102,"P"),"P",IF(COUNTIF(H102:CE102,"S"),"S","U")))</f>
        <v>U</v>
      </c>
      <c r="H102" s="13" t="str">
        <f>IF(H$4="Yes",INDEX(List!$E$2:$CD$173,MATCH('Selection Pane Data'!$B102,List!$E$2:$E$173,0),MATCH('Selection Pane Data'!H$3,List!$E$2:$CD$2,0)),"")</f>
        <v/>
      </c>
      <c r="I102" s="13" t="str">
        <f>IF(I$4="Yes",INDEX(List!$E$2:$CD$173,MATCH('Selection Pane Data'!$B102,List!$E$2:$E$173,0),MATCH('Selection Pane Data'!I$3,List!$E$2:$CD$2,0)),"")</f>
        <v/>
      </c>
      <c r="J102" s="13" t="str">
        <f>IF(J$4="Yes",INDEX(List!$E$2:$CD$173,MATCH('Selection Pane Data'!$B102,List!$E$2:$E$173,0),MATCH('Selection Pane Data'!J$3,List!$E$2:$CD$2,0)),"")</f>
        <v>N</v>
      </c>
      <c r="K102" s="13" t="str">
        <f>IF(K$4="Yes",INDEX(List!$E$2:$CD$173,MATCH('Selection Pane Data'!$B102,List!$E$2:$E$173,0),MATCH('Selection Pane Data'!K$3,List!$E$2:$CD$2,0)),"")</f>
        <v/>
      </c>
      <c r="L102" s="13" t="str">
        <f>IF(L$4="Yes",INDEX(List!$E$2:$CD$173,MATCH('Selection Pane Data'!$B102,List!$E$2:$E$173,0),MATCH('Selection Pane Data'!L$3,List!$E$2:$CD$2,0)),"")</f>
        <v/>
      </c>
      <c r="M102" s="13" t="str">
        <f>IF(M$4="Yes",INDEX(List!$E$2:$CD$173,MATCH('Selection Pane Data'!$B102,List!$E$2:$E$173,0),MATCH('Selection Pane Data'!M$3,List!$E$2:$CD$2,0)),"")</f>
        <v/>
      </c>
      <c r="N102" s="13" t="str">
        <f>IF(N$4="Yes",INDEX(List!$E$2:$CD$173,MATCH('Selection Pane Data'!$B102,List!$E$2:$E$173,0),MATCH('Selection Pane Data'!N$3,List!$E$2:$CD$2,0)),"")</f>
        <v/>
      </c>
      <c r="O102" s="13" t="str">
        <f>IF(O$4="Yes",INDEX(List!$E$2:$CD$173,MATCH('Selection Pane Data'!$B102,List!$E$2:$E$173,0),MATCH('Selection Pane Data'!O$3,List!$E$2:$CD$2,0)),"")</f>
        <v/>
      </c>
      <c r="P102" s="13" t="str">
        <f>IF(P$4="Yes",INDEX(List!$E$2:$CD$173,MATCH('Selection Pane Data'!$B102,List!$E$2:$E$173,0),MATCH('Selection Pane Data'!P$3,List!$E$2:$CD$2,0)),"")</f>
        <v/>
      </c>
      <c r="Q102" s="13" t="str">
        <f>IF(Q$4="Yes",INDEX(List!$E$2:$CD$173,MATCH('Selection Pane Data'!$B102,List!$E$2:$E$173,0),MATCH('Selection Pane Data'!Q$3,List!$E$2:$CD$2,0)),"")</f>
        <v/>
      </c>
      <c r="R102" s="13" t="str">
        <f>IF(R$4="Yes",INDEX(List!$E$2:$CD$173,MATCH('Selection Pane Data'!$B102,List!$E$2:$E$173,0),MATCH('Selection Pane Data'!R$3,List!$E$2:$CD$2,0)),"")</f>
        <v/>
      </c>
      <c r="S102" s="13" t="str">
        <f>IF(S$4="Yes",INDEX(List!$E$2:$CD$173,MATCH('Selection Pane Data'!$B102,List!$E$2:$E$173,0),MATCH('Selection Pane Data'!S$3,List!$E$2:$CD$2,0)),"")</f>
        <v/>
      </c>
      <c r="T102" s="13" t="str">
        <f>IF(T$4="Yes",INDEX(List!$E$2:$CD$173,MATCH('Selection Pane Data'!$B102,List!$E$2:$E$173,0),MATCH('Selection Pane Data'!T$3,List!$E$2:$CD$2,0)),"")</f>
        <v/>
      </c>
      <c r="U102" s="13" t="str">
        <f>IF(U$4="Yes",INDEX(List!$E$2:$CD$173,MATCH('Selection Pane Data'!$B102,List!$E$2:$E$173,0),MATCH('Selection Pane Data'!U$3,List!$E$2:$CD$2,0)),"")</f>
        <v/>
      </c>
      <c r="V102" s="13" t="str">
        <f>IF(V$4="Yes",INDEX(List!$E$2:$CD$173,MATCH('Selection Pane Data'!$B102,List!$E$2:$E$173,0),MATCH('Selection Pane Data'!V$3,List!$E$2:$CD$2,0)),"")</f>
        <v/>
      </c>
      <c r="W102" s="13" t="str">
        <f>IF(W$4="Yes",INDEX(List!$E$2:$CD$173,MATCH('Selection Pane Data'!$B102,List!$E$2:$E$173,0),MATCH('Selection Pane Data'!W$3,List!$E$2:$CD$2,0)),"")</f>
        <v/>
      </c>
      <c r="X102" s="13" t="str">
        <f>IF(X$4="Yes",INDEX(List!$E$2:$CD$173,MATCH('Selection Pane Data'!$B102,List!$E$2:$E$173,0),MATCH('Selection Pane Data'!X$3,List!$E$2:$CD$2,0)),"")</f>
        <v/>
      </c>
      <c r="Y102" s="13" t="str">
        <f>IF(Y$4="Yes",INDEX(List!$E$2:$CD$173,MATCH('Selection Pane Data'!$B102,List!$E$2:$E$173,0),MATCH('Selection Pane Data'!Y$3,List!$E$2:$CD$2,0)),"")</f>
        <v/>
      </c>
      <c r="Z102" s="13" t="str">
        <f>IF(Z$4="Yes",INDEX(List!$E$2:$CD$173,MATCH('Selection Pane Data'!$B102,List!$E$2:$E$173,0),MATCH('Selection Pane Data'!Z$3,List!$E$2:$CD$2,0)),"")</f>
        <v/>
      </c>
      <c r="AA102" s="13" t="str">
        <f>IF(AA$4="Yes",INDEX(List!$E$2:$CD$173,MATCH('Selection Pane Data'!$B102,List!$E$2:$E$173,0),MATCH('Selection Pane Data'!AA$3,List!$E$2:$CD$2,0)),"")</f>
        <v>N</v>
      </c>
      <c r="AB102" s="13" t="str">
        <f>IF(AB$4="Yes",INDEX(List!$E$2:$CD$173,MATCH('Selection Pane Data'!$B102,List!$E$2:$E$173,0),MATCH('Selection Pane Data'!AB$3,List!$E$2:$CD$2,0)),"")</f>
        <v/>
      </c>
      <c r="AC102" s="13" t="str">
        <f>IF(AC$4="Yes",INDEX(List!$E$2:$CD$173,MATCH('Selection Pane Data'!$B102,List!$E$2:$E$173,0),MATCH('Selection Pane Data'!AC$3,List!$E$2:$CD$2,0)),"")</f>
        <v/>
      </c>
      <c r="AD102" s="13" t="str">
        <f>IF(AD$4="Yes",INDEX(List!$E$2:$CD$173,MATCH('Selection Pane Data'!$B102,List!$E$2:$E$173,0),MATCH('Selection Pane Data'!AD$3,List!$E$2:$CD$2,0)),"")</f>
        <v/>
      </c>
      <c r="AE102" s="13" t="str">
        <f>IF(AE$4="Yes",INDEX(List!$E$2:$CD$173,MATCH('Selection Pane Data'!$B102,List!$E$2:$E$173,0),MATCH('Selection Pane Data'!AE$3,List!$E$2:$CD$2,0)),"")</f>
        <v/>
      </c>
      <c r="AF102" s="13" t="str">
        <f>IF(AF$4="Yes",INDEX(List!$E$2:$CD$173,MATCH('Selection Pane Data'!$B102,List!$E$2:$E$173,0),MATCH('Selection Pane Data'!AF$3,List!$E$2:$CD$2,0)),"")</f>
        <v/>
      </c>
      <c r="AG102" s="13" t="str">
        <f>IF(AG$4="Yes",INDEX(List!$E$2:$CD$173,MATCH('Selection Pane Data'!$B102,List!$E$2:$E$173,0),MATCH('Selection Pane Data'!AG$3,List!$E$2:$CD$2,0)),"")</f>
        <v/>
      </c>
      <c r="AH102" s="13" t="str">
        <f>IF(AH$4="Yes",INDEX(List!$E$2:$CD$173,MATCH('Selection Pane Data'!$B102,List!$E$2:$E$173,0),MATCH('Selection Pane Data'!AH$3,List!$E$2:$CD$2,0)),"")</f>
        <v/>
      </c>
      <c r="AI102" s="13" t="str">
        <f>IF(AI$4="Yes",INDEX(List!$E$2:$CD$173,MATCH('Selection Pane Data'!$B102,List!$E$2:$E$173,0),MATCH('Selection Pane Data'!AI$3,List!$E$2:$CD$2,0)),"")</f>
        <v/>
      </c>
      <c r="AJ102" s="13" t="str">
        <f>IF(AJ$4="Yes",INDEX(List!$E$2:$CD$173,MATCH('Selection Pane Data'!$B102,List!$E$2:$E$173,0),MATCH('Selection Pane Data'!AJ$3,List!$E$2:$CD$2,0)),"")</f>
        <v/>
      </c>
      <c r="AK102" s="13" t="str">
        <f>IF(AK$4="Yes",INDEX(List!$E$2:$CD$173,MATCH('Selection Pane Data'!$B102,List!$E$2:$E$173,0),MATCH('Selection Pane Data'!AK$3,List!$E$2:$CD$2,0)),"")</f>
        <v/>
      </c>
      <c r="AL102" s="13" t="str">
        <f>IF(AL$4="Yes",INDEX(List!$E$2:$CD$173,MATCH('Selection Pane Data'!$B102,List!$E$2:$E$173,0),MATCH('Selection Pane Data'!AL$3,List!$E$2:$CD$2,0)),"")</f>
        <v/>
      </c>
      <c r="AM102" s="13" t="str">
        <f>IF(AM$4="Yes",INDEX(List!$E$2:$CD$173,MATCH('Selection Pane Data'!$B102,List!$E$2:$E$173,0),MATCH('Selection Pane Data'!AM$3,List!$E$2:$CD$2,0)),"")</f>
        <v/>
      </c>
      <c r="AN102" s="13" t="str">
        <f>IF(AN$4="Yes",INDEX(List!$E$2:$CD$173,MATCH('Selection Pane Data'!$B102,List!$E$2:$E$173,0),MATCH('Selection Pane Data'!AN$3,List!$E$2:$CD$2,0)),"")</f>
        <v/>
      </c>
      <c r="AO102" s="13" t="str">
        <f>IF(AO$4="Yes",INDEX(List!$E$2:$CD$173,MATCH('Selection Pane Data'!$B102,List!$E$2:$E$173,0),MATCH('Selection Pane Data'!AO$3,List!$E$2:$CD$2,0)),"")</f>
        <v/>
      </c>
      <c r="AP102" s="13" t="str">
        <f>IF(AP$4="Yes",INDEX(List!$E$2:$CD$173,MATCH('Selection Pane Data'!$B102,List!$E$2:$E$173,0),MATCH('Selection Pane Data'!AP$3,List!$E$2:$CD$2,0)),"")</f>
        <v/>
      </c>
      <c r="AQ102" s="13" t="str">
        <f>IF(AQ$4="Yes",INDEX(List!$E$2:$CD$173,MATCH('Selection Pane Data'!$B102,List!$E$2:$E$173,0),MATCH('Selection Pane Data'!AQ$3,List!$E$2:$CD$2,0)),"")</f>
        <v/>
      </c>
      <c r="AR102" s="13" t="str">
        <f>IF(AR$4="Yes",INDEX(List!$E$2:$CD$173,MATCH('Selection Pane Data'!$B102,List!$E$2:$E$173,0),MATCH('Selection Pane Data'!AR$3,List!$E$2:$CD$2,0)),"")</f>
        <v/>
      </c>
      <c r="AS102" s="13" t="str">
        <f>IF(AS$4="Yes",INDEX(List!$E$2:$CD$173,MATCH('Selection Pane Data'!$B102,List!$E$2:$E$173,0),MATCH('Selection Pane Data'!AS$3,List!$E$2:$CD$2,0)),"")</f>
        <v/>
      </c>
      <c r="AT102" s="13" t="str">
        <f>IF(AT$4="Yes",INDEX(List!$E$2:$CD$173,MATCH('Selection Pane Data'!$B102,List!$E$2:$E$173,0),MATCH('Selection Pane Data'!AT$3,List!$E$2:$CD$2,0)),"")</f>
        <v/>
      </c>
      <c r="AU102" s="13" t="str">
        <f>IF(AU$4="Yes",INDEX(List!$E$2:$CD$173,MATCH('Selection Pane Data'!$B102,List!$E$2:$E$173,0),MATCH('Selection Pane Data'!AU$3,List!$E$2:$CD$2,0)),"")</f>
        <v/>
      </c>
      <c r="AV102" s="13" t="str">
        <f>IF(AV$4="Yes",INDEX(List!$E$2:$CD$173,MATCH('Selection Pane Data'!$B102,List!$E$2:$E$173,0),MATCH('Selection Pane Data'!AV$3,List!$E$2:$CD$2,0)),"")</f>
        <v/>
      </c>
      <c r="AW102" s="13" t="str">
        <f>IF(AW$4="Yes",INDEX(List!$E$2:$CD$173,MATCH('Selection Pane Data'!$B102,List!$E$2:$E$173,0),MATCH('Selection Pane Data'!AW$3,List!$E$2:$CD$2,0)),"")</f>
        <v/>
      </c>
      <c r="AX102" s="13" t="str">
        <f>IF(AX$4="Yes",INDEX(List!$E$2:$CD$173,MATCH('Selection Pane Data'!$B102,List!$E$2:$E$173,0),MATCH('Selection Pane Data'!AX$3,List!$E$2:$CD$2,0)),"")</f>
        <v/>
      </c>
      <c r="AY102" s="13" t="str">
        <f>IF(AY$4="Yes",INDEX(List!$E$2:$CD$173,MATCH('Selection Pane Data'!$B102,List!$E$2:$E$173,0),MATCH('Selection Pane Data'!AY$3,List!$E$2:$CD$2,0)),"")</f>
        <v/>
      </c>
      <c r="AZ102" s="13" t="str">
        <f>IF(AZ$4="Yes",INDEX(List!$E$2:$CD$173,MATCH('Selection Pane Data'!$B102,List!$E$2:$E$173,0),MATCH('Selection Pane Data'!AZ$3,List!$E$2:$CD$2,0)),"")</f>
        <v/>
      </c>
      <c r="BA102" s="13" t="str">
        <f>IF(BA$4="Yes",INDEX(List!$E$2:$CD$173,MATCH('Selection Pane Data'!$B102,List!$E$2:$E$173,0),MATCH('Selection Pane Data'!BA$3,List!$E$2:$CD$2,0)),"")</f>
        <v/>
      </c>
      <c r="BB102" s="13" t="str">
        <f>IF(BB$4="Yes",INDEX(List!$E$2:$CD$173,MATCH('Selection Pane Data'!$B102,List!$E$2:$E$173,0),MATCH('Selection Pane Data'!BB$3,List!$E$2:$CD$2,0)),"")</f>
        <v/>
      </c>
      <c r="BC102" s="13" t="str">
        <f>IF(BC$4="Yes",INDEX(List!$E$2:$CD$173,MATCH('Selection Pane Data'!$B102,List!$E$2:$E$173,0),MATCH('Selection Pane Data'!BC$3,List!$E$2:$CD$2,0)),"")</f>
        <v/>
      </c>
      <c r="BD102" s="13" t="str">
        <f>IF(BD$4="Yes",INDEX(List!$E$2:$CD$173,MATCH('Selection Pane Data'!$B102,List!$E$2:$E$173,0),MATCH('Selection Pane Data'!BD$3,List!$E$2:$CD$2,0)),"")</f>
        <v/>
      </c>
      <c r="BE102" s="13" t="str">
        <f>IF(BE$4="Yes",INDEX(List!$E$2:$CD$173,MATCH('Selection Pane Data'!$B102,List!$E$2:$E$173,0),MATCH('Selection Pane Data'!BE$3,List!$E$2:$CD$2,0)),"")</f>
        <v/>
      </c>
      <c r="BF102" s="13" t="str">
        <f>IF(BF$4="Yes",INDEX(List!$E$2:$CD$173,MATCH('Selection Pane Data'!$B102,List!$E$2:$E$173,0),MATCH('Selection Pane Data'!BF$3,List!$E$2:$CD$2,0)),"")</f>
        <v/>
      </c>
      <c r="BG102" s="13" t="str">
        <f>IF(BG$4="Yes",INDEX(List!$E$2:$CD$173,MATCH('Selection Pane Data'!$B102,List!$E$2:$E$173,0),MATCH('Selection Pane Data'!BG$3,List!$E$2:$CD$2,0)),"")</f>
        <v/>
      </c>
      <c r="BH102" s="13" t="str">
        <f>IF(BH$4="Yes",INDEX(List!$E$2:$CD$173,MATCH('Selection Pane Data'!$B102,List!$E$2:$E$173,0),MATCH('Selection Pane Data'!BH$3,List!$E$2:$CD$2,0)),"")</f>
        <v/>
      </c>
      <c r="BI102" s="13" t="str">
        <f>IF(BI$4="Yes",INDEX(List!$E$2:$CD$173,MATCH('Selection Pane Data'!$B102,List!$E$2:$E$173,0),MATCH('Selection Pane Data'!BI$3,List!$E$2:$CD$2,0)),"")</f>
        <v/>
      </c>
      <c r="BJ102" s="13" t="str">
        <f>IF(BJ$4="Yes",INDEX(List!$E$2:$CD$173,MATCH('Selection Pane Data'!$B102,List!$E$2:$E$173,0),MATCH('Selection Pane Data'!BJ$3,List!$E$2:$CD$2,0)),"")</f>
        <v/>
      </c>
      <c r="BK102" s="13" t="str">
        <f>IF(BK$4="Yes",INDEX(List!$E$2:$CD$173,MATCH('Selection Pane Data'!$B102,List!$E$2:$E$173,0),MATCH('Selection Pane Data'!BK$3,List!$E$2:$CD$2,0)),"")</f>
        <v/>
      </c>
      <c r="BL102" s="13" t="str">
        <f>IF(BL$4="Yes",INDEX(List!$E$2:$CD$173,MATCH('Selection Pane Data'!$B102,List!$E$2:$E$173,0),MATCH('Selection Pane Data'!BL$3,List!$E$2:$CD$2,0)),"")</f>
        <v/>
      </c>
      <c r="BM102" s="13" t="str">
        <f>IF(BM$4="Yes",INDEX(List!$E$2:$CD$173,MATCH('Selection Pane Data'!$B102,List!$E$2:$E$173,0),MATCH('Selection Pane Data'!BM$3,List!$E$2:$CD$2,0)),"")</f>
        <v/>
      </c>
      <c r="BN102" s="13" t="str">
        <f>IF(BN$4="Yes",INDEX(List!$E$2:$CD$173,MATCH('Selection Pane Data'!$B102,List!$E$2:$E$173,0),MATCH('Selection Pane Data'!BN$3,List!$E$2:$CD$2,0)),"")</f>
        <v/>
      </c>
      <c r="BO102" s="13" t="str">
        <f>IF(BO$4="Yes",INDEX(List!$E$2:$CD$173,MATCH('Selection Pane Data'!$B102,List!$E$2:$E$173,0),MATCH('Selection Pane Data'!BO$3,List!$E$2:$CD$2,0)),"")</f>
        <v/>
      </c>
      <c r="BP102" s="13" t="str">
        <f>IF(BP$4="Yes",INDEX(List!$E$2:$CD$173,MATCH('Selection Pane Data'!$B102,List!$E$2:$E$173,0),MATCH('Selection Pane Data'!BP$3,List!$E$2:$CD$2,0)),"")</f>
        <v/>
      </c>
      <c r="BQ102" s="13" t="str">
        <f>IF(BQ$4="Yes",INDEX(List!$E$2:$CD$173,MATCH('Selection Pane Data'!$B102,List!$E$2:$E$173,0),MATCH('Selection Pane Data'!BQ$3,List!$E$2:$CD$2,0)),"")</f>
        <v/>
      </c>
      <c r="BR102" s="13" t="str">
        <f>IF(BR$4="Yes",INDEX(List!$E$2:$CD$173,MATCH('Selection Pane Data'!$B102,List!$E$2:$E$173,0),MATCH('Selection Pane Data'!BR$3,List!$E$2:$CD$2,0)),"")</f>
        <v/>
      </c>
      <c r="BS102" s="13" t="str">
        <f>IF(BS$4="Yes",INDEX(List!$E$2:$CD$173,MATCH('Selection Pane Data'!$B102,List!$E$2:$E$173,0),MATCH('Selection Pane Data'!BS$3,List!$E$2:$CD$2,0)),"")</f>
        <v/>
      </c>
      <c r="BT102" s="13" t="str">
        <f>IF(BT$4="Yes",INDEX(List!$E$2:$CD$173,MATCH('Selection Pane Data'!$B102,List!$E$2:$E$173,0),MATCH('Selection Pane Data'!BT$3,List!$E$2:$CD$2,0)),"")</f>
        <v/>
      </c>
      <c r="BU102" s="13" t="str">
        <f>IF(BU$4="Yes",INDEX(List!$E$2:$CD$173,MATCH('Selection Pane Data'!$B102,List!$E$2:$E$173,0),MATCH('Selection Pane Data'!BU$3,List!$E$2:$CD$2,0)),"")</f>
        <v/>
      </c>
      <c r="BV102" s="13" t="str">
        <f>IF(BV$4="Yes",INDEX(List!$E$2:$CD$173,MATCH('Selection Pane Data'!$B102,List!$E$2:$E$173,0),MATCH('Selection Pane Data'!BV$3,List!$E$2:$CD$2,0)),"")</f>
        <v/>
      </c>
      <c r="BW102" s="13" t="str">
        <f>IF(BW$4="Yes",INDEX(List!$E$2:$CD$173,MATCH('Selection Pane Data'!$B102,List!$E$2:$E$173,0),MATCH('Selection Pane Data'!BW$3,List!$E$2:$CD$2,0)),"")</f>
        <v/>
      </c>
      <c r="BX102" s="13" t="str">
        <f>IF(BX$4="Yes",INDEX(List!$E$2:$CD$173,MATCH('Selection Pane Data'!$B102,List!$E$2:$E$173,0),MATCH('Selection Pane Data'!BX$3,List!$E$2:$CD$2,0)),"")</f>
        <v/>
      </c>
      <c r="BY102" s="13" t="str">
        <f>IF(BY$4="Yes",INDEX(List!$E$2:$CD$173,MATCH('Selection Pane Data'!$B102,List!$E$2:$E$173,0),MATCH('Selection Pane Data'!BY$3,List!$E$2:$CD$2,0)),"")</f>
        <v/>
      </c>
      <c r="BZ102" s="13" t="str">
        <f>IF(BZ$4="Yes",INDEX(List!$E$2:$CD$173,MATCH('Selection Pane Data'!$B102,List!$E$2:$E$173,0),MATCH('Selection Pane Data'!BZ$3,List!$E$2:$CD$2,0)),"")</f>
        <v/>
      </c>
      <c r="CA102" s="13" t="str">
        <f>IF(CA$4="Yes",INDEX(List!$E$2:$CD$173,MATCH('Selection Pane Data'!$B102,List!$E$2:$E$173,0),MATCH('Selection Pane Data'!CA$3,List!$E$2:$CD$2,0)),"")</f>
        <v/>
      </c>
      <c r="CB102" s="13" t="str">
        <f>IF(CB$4="Yes",INDEX(List!$E$2:$CD$173,MATCH('Selection Pane Data'!$B102,List!$E$2:$E$173,0),MATCH('Selection Pane Data'!CB$3,List!$E$2:$CD$2,0)),"")</f>
        <v/>
      </c>
      <c r="CC102" s="13" t="str">
        <f>IF(CC$4="Yes",INDEX(List!$E$2:$CD$173,MATCH('Selection Pane Data'!$B102,List!$E$2:$E$173,0),MATCH('Selection Pane Data'!CC$3,List!$E$2:$CD$2,0)),"")</f>
        <v/>
      </c>
      <c r="CD102" s="13" t="str">
        <f>IF(CD$4="Yes",INDEX(List!$E$2:$CD$173,MATCH('Selection Pane Data'!$B102,List!$E$2:$E$173,0),MATCH('Selection Pane Data'!CD$3,List!$E$2:$CD$2,0)),"")</f>
        <v/>
      </c>
      <c r="CE102" s="13" t="str">
        <f>IF(CE$4="Yes",INDEX(List!$E$2:$CD$173,MATCH('Selection Pane Data'!$B102,List!$E$2:$E$173,0),MATCH('Selection Pane Data'!CE$3,List!$E$2:$CD$2,0)),"")</f>
        <v/>
      </c>
    </row>
    <row r="103" spans="2:83" x14ac:dyDescent="0.35">
      <c r="B103" s="21" t="s">
        <v>390</v>
      </c>
      <c r="C103" s="126" t="str">
        <f>VLOOKUP(B103,List!$E$2:$G$173,2,FALSE)</f>
        <v>MP.L2-3.8.2</v>
      </c>
      <c r="D103" s="31" t="str">
        <f>List!G101</f>
        <v>Customer Responsibility</v>
      </c>
      <c r="E103" s="31" t="str">
        <f>IF(Placemat!$F$4="All Practices","All Practices",IF(VLOOKUP(B103,Table7[#All],6,FALSE)="No Mapping","New CMMC Practices","Practices with NIST 800-171 Mappings"))</f>
        <v>Practices with NIST 800-171 Mappings</v>
      </c>
      <c r="F103" t="str">
        <f>INDEX('CMMC Levels'!$A$1:$F$172,MATCH('Selection Pane Data'!$C103,'CMMC Levels'!$A$1:$A$172,0),MATCH(Placemat!$F$4,'CMMC Levels'!$A$1:$F$1,0))</f>
        <v>X</v>
      </c>
      <c r="G103" s="77" t="str">
        <f>IF((COUNTIF(List!H101:CE101,"P")+COUNTIF(List!H101:CE101,"S"))=0,"N",IF(COUNTIF(H103:CE103,"P"),"P",IF(COUNTIF(H103:CE103,"S"),"S","U")))</f>
        <v>U</v>
      </c>
      <c r="H103" s="13" t="str">
        <f>IF(H$4="Yes",INDEX(List!$E$2:$CD$173,MATCH('Selection Pane Data'!$B103,List!$E$2:$E$173,0),MATCH('Selection Pane Data'!H$3,List!$E$2:$CD$2,0)),"")</f>
        <v/>
      </c>
      <c r="I103" s="13" t="str">
        <f>IF(I$4="Yes",INDEX(List!$E$2:$CD$173,MATCH('Selection Pane Data'!$B103,List!$E$2:$E$173,0),MATCH('Selection Pane Data'!I$3,List!$E$2:$CD$2,0)),"")</f>
        <v/>
      </c>
      <c r="J103" s="13" t="str">
        <f>IF(J$4="Yes",INDEX(List!$E$2:$CD$173,MATCH('Selection Pane Data'!$B103,List!$E$2:$E$173,0),MATCH('Selection Pane Data'!J$3,List!$E$2:$CD$2,0)),"")</f>
        <v>N</v>
      </c>
      <c r="K103" s="13" t="str">
        <f>IF(K$4="Yes",INDEX(List!$E$2:$CD$173,MATCH('Selection Pane Data'!$B103,List!$E$2:$E$173,0),MATCH('Selection Pane Data'!K$3,List!$E$2:$CD$2,0)),"")</f>
        <v/>
      </c>
      <c r="L103" s="13" t="str">
        <f>IF(L$4="Yes",INDEX(List!$E$2:$CD$173,MATCH('Selection Pane Data'!$B103,List!$E$2:$E$173,0),MATCH('Selection Pane Data'!L$3,List!$E$2:$CD$2,0)),"")</f>
        <v/>
      </c>
      <c r="M103" s="13" t="str">
        <f>IF(M$4="Yes",INDEX(List!$E$2:$CD$173,MATCH('Selection Pane Data'!$B103,List!$E$2:$E$173,0),MATCH('Selection Pane Data'!M$3,List!$E$2:$CD$2,0)),"")</f>
        <v/>
      </c>
      <c r="N103" s="13" t="str">
        <f>IF(N$4="Yes",INDEX(List!$E$2:$CD$173,MATCH('Selection Pane Data'!$B103,List!$E$2:$E$173,0),MATCH('Selection Pane Data'!N$3,List!$E$2:$CD$2,0)),"")</f>
        <v/>
      </c>
      <c r="O103" s="13" t="str">
        <f>IF(O$4="Yes",INDEX(List!$E$2:$CD$173,MATCH('Selection Pane Data'!$B103,List!$E$2:$E$173,0),MATCH('Selection Pane Data'!O$3,List!$E$2:$CD$2,0)),"")</f>
        <v/>
      </c>
      <c r="P103" s="13" t="str">
        <f>IF(P$4="Yes",INDEX(List!$E$2:$CD$173,MATCH('Selection Pane Data'!$B103,List!$E$2:$E$173,0),MATCH('Selection Pane Data'!P$3,List!$E$2:$CD$2,0)),"")</f>
        <v/>
      </c>
      <c r="Q103" s="13" t="str">
        <f>IF(Q$4="Yes",INDEX(List!$E$2:$CD$173,MATCH('Selection Pane Data'!$B103,List!$E$2:$E$173,0),MATCH('Selection Pane Data'!Q$3,List!$E$2:$CD$2,0)),"")</f>
        <v/>
      </c>
      <c r="R103" s="13" t="str">
        <f>IF(R$4="Yes",INDEX(List!$E$2:$CD$173,MATCH('Selection Pane Data'!$B103,List!$E$2:$E$173,0),MATCH('Selection Pane Data'!R$3,List!$E$2:$CD$2,0)),"")</f>
        <v/>
      </c>
      <c r="S103" s="13" t="str">
        <f>IF(S$4="Yes",INDEX(List!$E$2:$CD$173,MATCH('Selection Pane Data'!$B103,List!$E$2:$E$173,0),MATCH('Selection Pane Data'!S$3,List!$E$2:$CD$2,0)),"")</f>
        <v/>
      </c>
      <c r="T103" s="13" t="str">
        <f>IF(T$4="Yes",INDEX(List!$E$2:$CD$173,MATCH('Selection Pane Data'!$B103,List!$E$2:$E$173,0),MATCH('Selection Pane Data'!T$3,List!$E$2:$CD$2,0)),"")</f>
        <v/>
      </c>
      <c r="U103" s="13" t="str">
        <f>IF(U$4="Yes",INDEX(List!$E$2:$CD$173,MATCH('Selection Pane Data'!$B103,List!$E$2:$E$173,0),MATCH('Selection Pane Data'!U$3,List!$E$2:$CD$2,0)),"")</f>
        <v/>
      </c>
      <c r="V103" s="13" t="str">
        <f>IF(V$4="Yes",INDEX(List!$E$2:$CD$173,MATCH('Selection Pane Data'!$B103,List!$E$2:$E$173,0),MATCH('Selection Pane Data'!V$3,List!$E$2:$CD$2,0)),"")</f>
        <v/>
      </c>
      <c r="W103" s="13" t="str">
        <f>IF(W$4="Yes",INDEX(List!$E$2:$CD$173,MATCH('Selection Pane Data'!$B103,List!$E$2:$E$173,0),MATCH('Selection Pane Data'!W$3,List!$E$2:$CD$2,0)),"")</f>
        <v/>
      </c>
      <c r="X103" s="13" t="str">
        <f>IF(X$4="Yes",INDEX(List!$E$2:$CD$173,MATCH('Selection Pane Data'!$B103,List!$E$2:$E$173,0),MATCH('Selection Pane Data'!X$3,List!$E$2:$CD$2,0)),"")</f>
        <v/>
      </c>
      <c r="Y103" s="13" t="str">
        <f>IF(Y$4="Yes",INDEX(List!$E$2:$CD$173,MATCH('Selection Pane Data'!$B103,List!$E$2:$E$173,0),MATCH('Selection Pane Data'!Y$3,List!$E$2:$CD$2,0)),"")</f>
        <v/>
      </c>
      <c r="Z103" s="13" t="str">
        <f>IF(Z$4="Yes",INDEX(List!$E$2:$CD$173,MATCH('Selection Pane Data'!$B103,List!$E$2:$E$173,0),MATCH('Selection Pane Data'!Z$3,List!$E$2:$CD$2,0)),"")</f>
        <v/>
      </c>
      <c r="AA103" s="13" t="str">
        <f>IF(AA$4="Yes",INDEX(List!$E$2:$CD$173,MATCH('Selection Pane Data'!$B103,List!$E$2:$E$173,0),MATCH('Selection Pane Data'!AA$3,List!$E$2:$CD$2,0)),"")</f>
        <v>N</v>
      </c>
      <c r="AB103" s="13" t="str">
        <f>IF(AB$4="Yes",INDEX(List!$E$2:$CD$173,MATCH('Selection Pane Data'!$B103,List!$E$2:$E$173,0),MATCH('Selection Pane Data'!AB$3,List!$E$2:$CD$2,0)),"")</f>
        <v/>
      </c>
      <c r="AC103" s="13" t="str">
        <f>IF(AC$4="Yes",INDEX(List!$E$2:$CD$173,MATCH('Selection Pane Data'!$B103,List!$E$2:$E$173,0),MATCH('Selection Pane Data'!AC$3,List!$E$2:$CD$2,0)),"")</f>
        <v/>
      </c>
      <c r="AD103" s="13" t="str">
        <f>IF(AD$4="Yes",INDEX(List!$E$2:$CD$173,MATCH('Selection Pane Data'!$B103,List!$E$2:$E$173,0),MATCH('Selection Pane Data'!AD$3,List!$E$2:$CD$2,0)),"")</f>
        <v/>
      </c>
      <c r="AE103" s="13" t="str">
        <f>IF(AE$4="Yes",INDEX(List!$E$2:$CD$173,MATCH('Selection Pane Data'!$B103,List!$E$2:$E$173,0),MATCH('Selection Pane Data'!AE$3,List!$E$2:$CD$2,0)),"")</f>
        <v/>
      </c>
      <c r="AF103" s="13" t="str">
        <f>IF(AF$4="Yes",INDEX(List!$E$2:$CD$173,MATCH('Selection Pane Data'!$B103,List!$E$2:$E$173,0),MATCH('Selection Pane Data'!AF$3,List!$E$2:$CD$2,0)),"")</f>
        <v/>
      </c>
      <c r="AG103" s="13" t="str">
        <f>IF(AG$4="Yes",INDEX(List!$E$2:$CD$173,MATCH('Selection Pane Data'!$B103,List!$E$2:$E$173,0),MATCH('Selection Pane Data'!AG$3,List!$E$2:$CD$2,0)),"")</f>
        <v/>
      </c>
      <c r="AH103" s="13" t="str">
        <f>IF(AH$4="Yes",INDEX(List!$E$2:$CD$173,MATCH('Selection Pane Data'!$B103,List!$E$2:$E$173,0),MATCH('Selection Pane Data'!AH$3,List!$E$2:$CD$2,0)),"")</f>
        <v/>
      </c>
      <c r="AI103" s="13" t="str">
        <f>IF(AI$4="Yes",INDEX(List!$E$2:$CD$173,MATCH('Selection Pane Data'!$B103,List!$E$2:$E$173,0),MATCH('Selection Pane Data'!AI$3,List!$E$2:$CD$2,0)),"")</f>
        <v/>
      </c>
      <c r="AJ103" s="13" t="str">
        <f>IF(AJ$4="Yes",INDEX(List!$E$2:$CD$173,MATCH('Selection Pane Data'!$B103,List!$E$2:$E$173,0),MATCH('Selection Pane Data'!AJ$3,List!$E$2:$CD$2,0)),"")</f>
        <v/>
      </c>
      <c r="AK103" s="13" t="str">
        <f>IF(AK$4="Yes",INDEX(List!$E$2:$CD$173,MATCH('Selection Pane Data'!$B103,List!$E$2:$E$173,0),MATCH('Selection Pane Data'!AK$3,List!$E$2:$CD$2,0)),"")</f>
        <v/>
      </c>
      <c r="AL103" s="13" t="str">
        <f>IF(AL$4="Yes",INDEX(List!$E$2:$CD$173,MATCH('Selection Pane Data'!$B103,List!$E$2:$E$173,0),MATCH('Selection Pane Data'!AL$3,List!$E$2:$CD$2,0)),"")</f>
        <v/>
      </c>
      <c r="AM103" s="13" t="str">
        <f>IF(AM$4="Yes",INDEX(List!$E$2:$CD$173,MATCH('Selection Pane Data'!$B103,List!$E$2:$E$173,0),MATCH('Selection Pane Data'!AM$3,List!$E$2:$CD$2,0)),"")</f>
        <v/>
      </c>
      <c r="AN103" s="13" t="str">
        <f>IF(AN$4="Yes",INDEX(List!$E$2:$CD$173,MATCH('Selection Pane Data'!$B103,List!$E$2:$E$173,0),MATCH('Selection Pane Data'!AN$3,List!$E$2:$CD$2,0)),"")</f>
        <v/>
      </c>
      <c r="AO103" s="13" t="str">
        <f>IF(AO$4="Yes",INDEX(List!$E$2:$CD$173,MATCH('Selection Pane Data'!$B103,List!$E$2:$E$173,0),MATCH('Selection Pane Data'!AO$3,List!$E$2:$CD$2,0)),"")</f>
        <v/>
      </c>
      <c r="AP103" s="13" t="str">
        <f>IF(AP$4="Yes",INDEX(List!$E$2:$CD$173,MATCH('Selection Pane Data'!$B103,List!$E$2:$E$173,0),MATCH('Selection Pane Data'!AP$3,List!$E$2:$CD$2,0)),"")</f>
        <v/>
      </c>
      <c r="AQ103" s="13" t="str">
        <f>IF(AQ$4="Yes",INDEX(List!$E$2:$CD$173,MATCH('Selection Pane Data'!$B103,List!$E$2:$E$173,0),MATCH('Selection Pane Data'!AQ$3,List!$E$2:$CD$2,0)),"")</f>
        <v/>
      </c>
      <c r="AR103" s="13" t="str">
        <f>IF(AR$4="Yes",INDEX(List!$E$2:$CD$173,MATCH('Selection Pane Data'!$B103,List!$E$2:$E$173,0),MATCH('Selection Pane Data'!AR$3,List!$E$2:$CD$2,0)),"")</f>
        <v/>
      </c>
      <c r="AS103" s="13" t="str">
        <f>IF(AS$4="Yes",INDEX(List!$E$2:$CD$173,MATCH('Selection Pane Data'!$B103,List!$E$2:$E$173,0),MATCH('Selection Pane Data'!AS$3,List!$E$2:$CD$2,0)),"")</f>
        <v/>
      </c>
      <c r="AT103" s="13" t="str">
        <f>IF(AT$4="Yes",INDEX(List!$E$2:$CD$173,MATCH('Selection Pane Data'!$B103,List!$E$2:$E$173,0),MATCH('Selection Pane Data'!AT$3,List!$E$2:$CD$2,0)),"")</f>
        <v/>
      </c>
      <c r="AU103" s="13" t="str">
        <f>IF(AU$4="Yes",INDEX(List!$E$2:$CD$173,MATCH('Selection Pane Data'!$B103,List!$E$2:$E$173,0),MATCH('Selection Pane Data'!AU$3,List!$E$2:$CD$2,0)),"")</f>
        <v/>
      </c>
      <c r="AV103" s="13" t="str">
        <f>IF(AV$4="Yes",INDEX(List!$E$2:$CD$173,MATCH('Selection Pane Data'!$B103,List!$E$2:$E$173,0),MATCH('Selection Pane Data'!AV$3,List!$E$2:$CD$2,0)),"")</f>
        <v/>
      </c>
      <c r="AW103" s="13" t="str">
        <f>IF(AW$4="Yes",INDEX(List!$E$2:$CD$173,MATCH('Selection Pane Data'!$B103,List!$E$2:$E$173,0),MATCH('Selection Pane Data'!AW$3,List!$E$2:$CD$2,0)),"")</f>
        <v/>
      </c>
      <c r="AX103" s="13" t="str">
        <f>IF(AX$4="Yes",INDEX(List!$E$2:$CD$173,MATCH('Selection Pane Data'!$B103,List!$E$2:$E$173,0),MATCH('Selection Pane Data'!AX$3,List!$E$2:$CD$2,0)),"")</f>
        <v/>
      </c>
      <c r="AY103" s="13" t="str">
        <f>IF(AY$4="Yes",INDEX(List!$E$2:$CD$173,MATCH('Selection Pane Data'!$B103,List!$E$2:$E$173,0),MATCH('Selection Pane Data'!AY$3,List!$E$2:$CD$2,0)),"")</f>
        <v/>
      </c>
      <c r="AZ103" s="13" t="str">
        <f>IF(AZ$4="Yes",INDEX(List!$E$2:$CD$173,MATCH('Selection Pane Data'!$B103,List!$E$2:$E$173,0),MATCH('Selection Pane Data'!AZ$3,List!$E$2:$CD$2,0)),"")</f>
        <v/>
      </c>
      <c r="BA103" s="13" t="str">
        <f>IF(BA$4="Yes",INDEX(List!$E$2:$CD$173,MATCH('Selection Pane Data'!$B103,List!$E$2:$E$173,0),MATCH('Selection Pane Data'!BA$3,List!$E$2:$CD$2,0)),"")</f>
        <v/>
      </c>
      <c r="BB103" s="13" t="str">
        <f>IF(BB$4="Yes",INDEX(List!$E$2:$CD$173,MATCH('Selection Pane Data'!$B103,List!$E$2:$E$173,0),MATCH('Selection Pane Data'!BB$3,List!$E$2:$CD$2,0)),"")</f>
        <v/>
      </c>
      <c r="BC103" s="13" t="str">
        <f>IF(BC$4="Yes",INDEX(List!$E$2:$CD$173,MATCH('Selection Pane Data'!$B103,List!$E$2:$E$173,0),MATCH('Selection Pane Data'!BC$3,List!$E$2:$CD$2,0)),"")</f>
        <v/>
      </c>
      <c r="BD103" s="13" t="str">
        <f>IF(BD$4="Yes",INDEX(List!$E$2:$CD$173,MATCH('Selection Pane Data'!$B103,List!$E$2:$E$173,0),MATCH('Selection Pane Data'!BD$3,List!$E$2:$CD$2,0)),"")</f>
        <v/>
      </c>
      <c r="BE103" s="13" t="str">
        <f>IF(BE$4="Yes",INDEX(List!$E$2:$CD$173,MATCH('Selection Pane Data'!$B103,List!$E$2:$E$173,0),MATCH('Selection Pane Data'!BE$3,List!$E$2:$CD$2,0)),"")</f>
        <v/>
      </c>
      <c r="BF103" s="13" t="str">
        <f>IF(BF$4="Yes",INDEX(List!$E$2:$CD$173,MATCH('Selection Pane Data'!$B103,List!$E$2:$E$173,0),MATCH('Selection Pane Data'!BF$3,List!$E$2:$CD$2,0)),"")</f>
        <v/>
      </c>
      <c r="BG103" s="13" t="str">
        <f>IF(BG$4="Yes",INDEX(List!$E$2:$CD$173,MATCH('Selection Pane Data'!$B103,List!$E$2:$E$173,0),MATCH('Selection Pane Data'!BG$3,List!$E$2:$CD$2,0)),"")</f>
        <v/>
      </c>
      <c r="BH103" s="13" t="str">
        <f>IF(BH$4="Yes",INDEX(List!$E$2:$CD$173,MATCH('Selection Pane Data'!$B103,List!$E$2:$E$173,0),MATCH('Selection Pane Data'!BH$3,List!$E$2:$CD$2,0)),"")</f>
        <v/>
      </c>
      <c r="BI103" s="13" t="str">
        <f>IF(BI$4="Yes",INDEX(List!$E$2:$CD$173,MATCH('Selection Pane Data'!$B103,List!$E$2:$E$173,0),MATCH('Selection Pane Data'!BI$3,List!$E$2:$CD$2,0)),"")</f>
        <v/>
      </c>
      <c r="BJ103" s="13" t="str">
        <f>IF(BJ$4="Yes",INDEX(List!$E$2:$CD$173,MATCH('Selection Pane Data'!$B103,List!$E$2:$E$173,0),MATCH('Selection Pane Data'!BJ$3,List!$E$2:$CD$2,0)),"")</f>
        <v/>
      </c>
      <c r="BK103" s="13" t="str">
        <f>IF(BK$4="Yes",INDEX(List!$E$2:$CD$173,MATCH('Selection Pane Data'!$B103,List!$E$2:$E$173,0),MATCH('Selection Pane Data'!BK$3,List!$E$2:$CD$2,0)),"")</f>
        <v/>
      </c>
      <c r="BL103" s="13" t="str">
        <f>IF(BL$4="Yes",INDEX(List!$E$2:$CD$173,MATCH('Selection Pane Data'!$B103,List!$E$2:$E$173,0),MATCH('Selection Pane Data'!BL$3,List!$E$2:$CD$2,0)),"")</f>
        <v/>
      </c>
      <c r="BM103" s="13" t="str">
        <f>IF(BM$4="Yes",INDEX(List!$E$2:$CD$173,MATCH('Selection Pane Data'!$B103,List!$E$2:$E$173,0),MATCH('Selection Pane Data'!BM$3,List!$E$2:$CD$2,0)),"")</f>
        <v/>
      </c>
      <c r="BN103" s="13" t="str">
        <f>IF(BN$4="Yes",INDEX(List!$E$2:$CD$173,MATCH('Selection Pane Data'!$B103,List!$E$2:$E$173,0),MATCH('Selection Pane Data'!BN$3,List!$E$2:$CD$2,0)),"")</f>
        <v/>
      </c>
      <c r="BO103" s="13" t="str">
        <f>IF(BO$4="Yes",INDEX(List!$E$2:$CD$173,MATCH('Selection Pane Data'!$B103,List!$E$2:$E$173,0),MATCH('Selection Pane Data'!BO$3,List!$E$2:$CD$2,0)),"")</f>
        <v/>
      </c>
      <c r="BP103" s="13" t="str">
        <f>IF(BP$4="Yes",INDEX(List!$E$2:$CD$173,MATCH('Selection Pane Data'!$B103,List!$E$2:$E$173,0),MATCH('Selection Pane Data'!BP$3,List!$E$2:$CD$2,0)),"")</f>
        <v/>
      </c>
      <c r="BQ103" s="13" t="str">
        <f>IF(BQ$4="Yes",INDEX(List!$E$2:$CD$173,MATCH('Selection Pane Data'!$B103,List!$E$2:$E$173,0),MATCH('Selection Pane Data'!BQ$3,List!$E$2:$CD$2,0)),"")</f>
        <v/>
      </c>
      <c r="BR103" s="13" t="str">
        <f>IF(BR$4="Yes",INDEX(List!$E$2:$CD$173,MATCH('Selection Pane Data'!$B103,List!$E$2:$E$173,0),MATCH('Selection Pane Data'!BR$3,List!$E$2:$CD$2,0)),"")</f>
        <v/>
      </c>
      <c r="BS103" s="13" t="str">
        <f>IF(BS$4="Yes",INDEX(List!$E$2:$CD$173,MATCH('Selection Pane Data'!$B103,List!$E$2:$E$173,0),MATCH('Selection Pane Data'!BS$3,List!$E$2:$CD$2,0)),"")</f>
        <v/>
      </c>
      <c r="BT103" s="13" t="str">
        <f>IF(BT$4="Yes",INDEX(List!$E$2:$CD$173,MATCH('Selection Pane Data'!$B103,List!$E$2:$E$173,0),MATCH('Selection Pane Data'!BT$3,List!$E$2:$CD$2,0)),"")</f>
        <v/>
      </c>
      <c r="BU103" s="13" t="str">
        <f>IF(BU$4="Yes",INDEX(List!$E$2:$CD$173,MATCH('Selection Pane Data'!$B103,List!$E$2:$E$173,0),MATCH('Selection Pane Data'!BU$3,List!$E$2:$CD$2,0)),"")</f>
        <v/>
      </c>
      <c r="BV103" s="13" t="str">
        <f>IF(BV$4="Yes",INDEX(List!$E$2:$CD$173,MATCH('Selection Pane Data'!$B103,List!$E$2:$E$173,0),MATCH('Selection Pane Data'!BV$3,List!$E$2:$CD$2,0)),"")</f>
        <v/>
      </c>
      <c r="BW103" s="13" t="str">
        <f>IF(BW$4="Yes",INDEX(List!$E$2:$CD$173,MATCH('Selection Pane Data'!$B103,List!$E$2:$E$173,0),MATCH('Selection Pane Data'!BW$3,List!$E$2:$CD$2,0)),"")</f>
        <v/>
      </c>
      <c r="BX103" s="13" t="str">
        <f>IF(BX$4="Yes",INDEX(List!$E$2:$CD$173,MATCH('Selection Pane Data'!$B103,List!$E$2:$E$173,0),MATCH('Selection Pane Data'!BX$3,List!$E$2:$CD$2,0)),"")</f>
        <v/>
      </c>
      <c r="BY103" s="13" t="str">
        <f>IF(BY$4="Yes",INDEX(List!$E$2:$CD$173,MATCH('Selection Pane Data'!$B103,List!$E$2:$E$173,0),MATCH('Selection Pane Data'!BY$3,List!$E$2:$CD$2,0)),"")</f>
        <v/>
      </c>
      <c r="BZ103" s="13" t="str">
        <f>IF(BZ$4="Yes",INDEX(List!$E$2:$CD$173,MATCH('Selection Pane Data'!$B103,List!$E$2:$E$173,0),MATCH('Selection Pane Data'!BZ$3,List!$E$2:$CD$2,0)),"")</f>
        <v/>
      </c>
      <c r="CA103" s="13" t="str">
        <f>IF(CA$4="Yes",INDEX(List!$E$2:$CD$173,MATCH('Selection Pane Data'!$B103,List!$E$2:$E$173,0),MATCH('Selection Pane Data'!CA$3,List!$E$2:$CD$2,0)),"")</f>
        <v/>
      </c>
      <c r="CB103" s="13" t="str">
        <f>IF(CB$4="Yes",INDEX(List!$E$2:$CD$173,MATCH('Selection Pane Data'!$B103,List!$E$2:$E$173,0),MATCH('Selection Pane Data'!CB$3,List!$E$2:$CD$2,0)),"")</f>
        <v/>
      </c>
      <c r="CC103" s="13" t="str">
        <f>IF(CC$4="Yes",INDEX(List!$E$2:$CD$173,MATCH('Selection Pane Data'!$B103,List!$E$2:$E$173,0),MATCH('Selection Pane Data'!CC$3,List!$E$2:$CD$2,0)),"")</f>
        <v/>
      </c>
      <c r="CD103" s="13" t="str">
        <f>IF(CD$4="Yes",INDEX(List!$E$2:$CD$173,MATCH('Selection Pane Data'!$B103,List!$E$2:$E$173,0),MATCH('Selection Pane Data'!CD$3,List!$E$2:$CD$2,0)),"")</f>
        <v/>
      </c>
      <c r="CE103" s="13" t="str">
        <f>IF(CE$4="Yes",INDEX(List!$E$2:$CD$173,MATCH('Selection Pane Data'!$B103,List!$E$2:$E$173,0),MATCH('Selection Pane Data'!CE$3,List!$E$2:$CD$2,0)),"")</f>
        <v/>
      </c>
    </row>
    <row r="104" spans="2:83" x14ac:dyDescent="0.35">
      <c r="B104" s="21" t="s">
        <v>391</v>
      </c>
      <c r="C104" s="126" t="str">
        <f>VLOOKUP(B104,List!$E$2:$G$173,2,FALSE)</f>
        <v>MP.L2-3.8.7</v>
      </c>
      <c r="D104" s="31" t="str">
        <f>List!G102</f>
        <v>Shared Coverage</v>
      </c>
      <c r="E104" s="31" t="str">
        <f>IF(Placemat!$F$4="All Practices","All Practices",IF(VLOOKUP(B104,Table7[#All],6,FALSE)="No Mapping","New CMMC Practices","Practices with NIST 800-171 Mappings"))</f>
        <v>Practices with NIST 800-171 Mappings</v>
      </c>
      <c r="F104" t="str">
        <f>INDEX('CMMC Levels'!$A$1:$F$172,MATCH('Selection Pane Data'!$C104,'CMMC Levels'!$A$1:$A$172,0),MATCH(Placemat!$F$4,'CMMC Levels'!$A$1:$F$1,0))</f>
        <v>X</v>
      </c>
      <c r="G104" s="77" t="str">
        <f>IF((COUNTIF(List!H102:CE102,"P")+COUNTIF(List!H102:CE102,"S"))=0,"N",IF(COUNTIF(H104:CE104,"P"),"P",IF(COUNTIF(H104:CE104,"S"),"S","U")))</f>
        <v>U</v>
      </c>
      <c r="H104" s="13" t="str">
        <f>IF(H$4="Yes",INDEX(List!$E$2:$CD$173,MATCH('Selection Pane Data'!$B104,List!$E$2:$E$173,0),MATCH('Selection Pane Data'!H$3,List!$E$2:$CD$2,0)),"")</f>
        <v/>
      </c>
      <c r="I104" s="13" t="str">
        <f>IF(I$4="Yes",INDEX(List!$E$2:$CD$173,MATCH('Selection Pane Data'!$B104,List!$E$2:$E$173,0),MATCH('Selection Pane Data'!I$3,List!$E$2:$CD$2,0)),"")</f>
        <v/>
      </c>
      <c r="J104" s="13" t="str">
        <f>IF(J$4="Yes",INDEX(List!$E$2:$CD$173,MATCH('Selection Pane Data'!$B104,List!$E$2:$E$173,0),MATCH('Selection Pane Data'!J$3,List!$E$2:$CD$2,0)),"")</f>
        <v>N</v>
      </c>
      <c r="K104" s="13" t="str">
        <f>IF(K$4="Yes",INDEX(List!$E$2:$CD$173,MATCH('Selection Pane Data'!$B104,List!$E$2:$E$173,0),MATCH('Selection Pane Data'!K$3,List!$E$2:$CD$2,0)),"")</f>
        <v/>
      </c>
      <c r="L104" s="13" t="str">
        <f>IF(L$4="Yes",INDEX(List!$E$2:$CD$173,MATCH('Selection Pane Data'!$B104,List!$E$2:$E$173,0),MATCH('Selection Pane Data'!L$3,List!$E$2:$CD$2,0)),"")</f>
        <v/>
      </c>
      <c r="M104" s="13" t="str">
        <f>IF(M$4="Yes",INDEX(List!$E$2:$CD$173,MATCH('Selection Pane Data'!$B104,List!$E$2:$E$173,0),MATCH('Selection Pane Data'!M$3,List!$E$2:$CD$2,0)),"")</f>
        <v/>
      </c>
      <c r="N104" s="13" t="str">
        <f>IF(N$4="Yes",INDEX(List!$E$2:$CD$173,MATCH('Selection Pane Data'!$B104,List!$E$2:$E$173,0),MATCH('Selection Pane Data'!N$3,List!$E$2:$CD$2,0)),"")</f>
        <v/>
      </c>
      <c r="O104" s="13" t="str">
        <f>IF(O$4="Yes",INDEX(List!$E$2:$CD$173,MATCH('Selection Pane Data'!$B104,List!$E$2:$E$173,0),MATCH('Selection Pane Data'!O$3,List!$E$2:$CD$2,0)),"")</f>
        <v/>
      </c>
      <c r="P104" s="13" t="str">
        <f>IF(P$4="Yes",INDEX(List!$E$2:$CD$173,MATCH('Selection Pane Data'!$B104,List!$E$2:$E$173,0),MATCH('Selection Pane Data'!P$3,List!$E$2:$CD$2,0)),"")</f>
        <v/>
      </c>
      <c r="Q104" s="13" t="str">
        <f>IF(Q$4="Yes",INDEX(List!$E$2:$CD$173,MATCH('Selection Pane Data'!$B104,List!$E$2:$E$173,0),MATCH('Selection Pane Data'!Q$3,List!$E$2:$CD$2,0)),"")</f>
        <v/>
      </c>
      <c r="R104" s="13" t="str">
        <f>IF(R$4="Yes",INDEX(List!$E$2:$CD$173,MATCH('Selection Pane Data'!$B104,List!$E$2:$E$173,0),MATCH('Selection Pane Data'!R$3,List!$E$2:$CD$2,0)),"")</f>
        <v/>
      </c>
      <c r="S104" s="13" t="str">
        <f>IF(S$4="Yes",INDEX(List!$E$2:$CD$173,MATCH('Selection Pane Data'!$B104,List!$E$2:$E$173,0),MATCH('Selection Pane Data'!S$3,List!$E$2:$CD$2,0)),"")</f>
        <v/>
      </c>
      <c r="T104" s="13" t="str">
        <f>IF(T$4="Yes",INDEX(List!$E$2:$CD$173,MATCH('Selection Pane Data'!$B104,List!$E$2:$E$173,0),MATCH('Selection Pane Data'!T$3,List!$E$2:$CD$2,0)),"")</f>
        <v/>
      </c>
      <c r="U104" s="13" t="str">
        <f>IF(U$4="Yes",INDEX(List!$E$2:$CD$173,MATCH('Selection Pane Data'!$B104,List!$E$2:$E$173,0),MATCH('Selection Pane Data'!U$3,List!$E$2:$CD$2,0)),"")</f>
        <v/>
      </c>
      <c r="V104" s="13" t="str">
        <f>IF(V$4="Yes",INDEX(List!$E$2:$CD$173,MATCH('Selection Pane Data'!$B104,List!$E$2:$E$173,0),MATCH('Selection Pane Data'!V$3,List!$E$2:$CD$2,0)),"")</f>
        <v/>
      </c>
      <c r="W104" s="13" t="str">
        <f>IF(W$4="Yes",INDEX(List!$E$2:$CD$173,MATCH('Selection Pane Data'!$B104,List!$E$2:$E$173,0),MATCH('Selection Pane Data'!W$3,List!$E$2:$CD$2,0)),"")</f>
        <v/>
      </c>
      <c r="X104" s="13" t="str">
        <f>IF(X$4="Yes",INDEX(List!$E$2:$CD$173,MATCH('Selection Pane Data'!$B104,List!$E$2:$E$173,0),MATCH('Selection Pane Data'!X$3,List!$E$2:$CD$2,0)),"")</f>
        <v/>
      </c>
      <c r="Y104" s="13" t="str">
        <f>IF(Y$4="Yes",INDEX(List!$E$2:$CD$173,MATCH('Selection Pane Data'!$B104,List!$E$2:$E$173,0),MATCH('Selection Pane Data'!Y$3,List!$E$2:$CD$2,0)),"")</f>
        <v/>
      </c>
      <c r="Z104" s="13" t="str">
        <f>IF(Z$4="Yes",INDEX(List!$E$2:$CD$173,MATCH('Selection Pane Data'!$B104,List!$E$2:$E$173,0),MATCH('Selection Pane Data'!Z$3,List!$E$2:$CD$2,0)),"")</f>
        <v/>
      </c>
      <c r="AA104" s="13" t="str">
        <f>IF(AA$4="Yes",INDEX(List!$E$2:$CD$173,MATCH('Selection Pane Data'!$B104,List!$E$2:$E$173,0),MATCH('Selection Pane Data'!AA$3,List!$E$2:$CD$2,0)),"")</f>
        <v>N</v>
      </c>
      <c r="AB104" s="13" t="str">
        <f>IF(AB$4="Yes",INDEX(List!$E$2:$CD$173,MATCH('Selection Pane Data'!$B104,List!$E$2:$E$173,0),MATCH('Selection Pane Data'!AB$3,List!$E$2:$CD$2,0)),"")</f>
        <v/>
      </c>
      <c r="AC104" s="13" t="str">
        <f>IF(AC$4="Yes",INDEX(List!$E$2:$CD$173,MATCH('Selection Pane Data'!$B104,List!$E$2:$E$173,0),MATCH('Selection Pane Data'!AC$3,List!$E$2:$CD$2,0)),"")</f>
        <v/>
      </c>
      <c r="AD104" s="13" t="str">
        <f>IF(AD$4="Yes",INDEX(List!$E$2:$CD$173,MATCH('Selection Pane Data'!$B104,List!$E$2:$E$173,0),MATCH('Selection Pane Data'!AD$3,List!$E$2:$CD$2,0)),"")</f>
        <v/>
      </c>
      <c r="AE104" s="13" t="str">
        <f>IF(AE$4="Yes",INDEX(List!$E$2:$CD$173,MATCH('Selection Pane Data'!$B104,List!$E$2:$E$173,0),MATCH('Selection Pane Data'!AE$3,List!$E$2:$CD$2,0)),"")</f>
        <v/>
      </c>
      <c r="AF104" s="13" t="str">
        <f>IF(AF$4="Yes",INDEX(List!$E$2:$CD$173,MATCH('Selection Pane Data'!$B104,List!$E$2:$E$173,0),MATCH('Selection Pane Data'!AF$3,List!$E$2:$CD$2,0)),"")</f>
        <v/>
      </c>
      <c r="AG104" s="13" t="str">
        <f>IF(AG$4="Yes",INDEX(List!$E$2:$CD$173,MATCH('Selection Pane Data'!$B104,List!$E$2:$E$173,0),MATCH('Selection Pane Data'!AG$3,List!$E$2:$CD$2,0)),"")</f>
        <v/>
      </c>
      <c r="AH104" s="13" t="str">
        <f>IF(AH$4="Yes",INDEX(List!$E$2:$CD$173,MATCH('Selection Pane Data'!$B104,List!$E$2:$E$173,0),MATCH('Selection Pane Data'!AH$3,List!$E$2:$CD$2,0)),"")</f>
        <v/>
      </c>
      <c r="AI104" s="13" t="str">
        <f>IF(AI$4="Yes",INDEX(List!$E$2:$CD$173,MATCH('Selection Pane Data'!$B104,List!$E$2:$E$173,0),MATCH('Selection Pane Data'!AI$3,List!$E$2:$CD$2,0)),"")</f>
        <v/>
      </c>
      <c r="AJ104" s="13" t="str">
        <f>IF(AJ$4="Yes",INDEX(List!$E$2:$CD$173,MATCH('Selection Pane Data'!$B104,List!$E$2:$E$173,0),MATCH('Selection Pane Data'!AJ$3,List!$E$2:$CD$2,0)),"")</f>
        <v/>
      </c>
      <c r="AK104" s="13" t="str">
        <f>IF(AK$4="Yes",INDEX(List!$E$2:$CD$173,MATCH('Selection Pane Data'!$B104,List!$E$2:$E$173,0),MATCH('Selection Pane Data'!AK$3,List!$E$2:$CD$2,0)),"")</f>
        <v/>
      </c>
      <c r="AL104" s="13" t="str">
        <f>IF(AL$4="Yes",INDEX(List!$E$2:$CD$173,MATCH('Selection Pane Data'!$B104,List!$E$2:$E$173,0),MATCH('Selection Pane Data'!AL$3,List!$E$2:$CD$2,0)),"")</f>
        <v/>
      </c>
      <c r="AM104" s="13" t="str">
        <f>IF(AM$4="Yes",INDEX(List!$E$2:$CD$173,MATCH('Selection Pane Data'!$B104,List!$E$2:$E$173,0),MATCH('Selection Pane Data'!AM$3,List!$E$2:$CD$2,0)),"")</f>
        <v/>
      </c>
      <c r="AN104" s="13" t="str">
        <f>IF(AN$4="Yes",INDEX(List!$E$2:$CD$173,MATCH('Selection Pane Data'!$B104,List!$E$2:$E$173,0),MATCH('Selection Pane Data'!AN$3,List!$E$2:$CD$2,0)),"")</f>
        <v/>
      </c>
      <c r="AO104" s="13" t="str">
        <f>IF(AO$4="Yes",INDEX(List!$E$2:$CD$173,MATCH('Selection Pane Data'!$B104,List!$E$2:$E$173,0),MATCH('Selection Pane Data'!AO$3,List!$E$2:$CD$2,0)),"")</f>
        <v/>
      </c>
      <c r="AP104" s="13" t="str">
        <f>IF(AP$4="Yes",INDEX(List!$E$2:$CD$173,MATCH('Selection Pane Data'!$B104,List!$E$2:$E$173,0),MATCH('Selection Pane Data'!AP$3,List!$E$2:$CD$2,0)),"")</f>
        <v/>
      </c>
      <c r="AQ104" s="13" t="str">
        <f>IF(AQ$4="Yes",INDEX(List!$E$2:$CD$173,MATCH('Selection Pane Data'!$B104,List!$E$2:$E$173,0),MATCH('Selection Pane Data'!AQ$3,List!$E$2:$CD$2,0)),"")</f>
        <v/>
      </c>
      <c r="AR104" s="13" t="str">
        <f>IF(AR$4="Yes",INDEX(List!$E$2:$CD$173,MATCH('Selection Pane Data'!$B104,List!$E$2:$E$173,0),MATCH('Selection Pane Data'!AR$3,List!$E$2:$CD$2,0)),"")</f>
        <v/>
      </c>
      <c r="AS104" s="13" t="str">
        <f>IF(AS$4="Yes",INDEX(List!$E$2:$CD$173,MATCH('Selection Pane Data'!$B104,List!$E$2:$E$173,0),MATCH('Selection Pane Data'!AS$3,List!$E$2:$CD$2,0)),"")</f>
        <v/>
      </c>
      <c r="AT104" s="13" t="str">
        <f>IF(AT$4="Yes",INDEX(List!$E$2:$CD$173,MATCH('Selection Pane Data'!$B104,List!$E$2:$E$173,0),MATCH('Selection Pane Data'!AT$3,List!$E$2:$CD$2,0)),"")</f>
        <v/>
      </c>
      <c r="AU104" s="13" t="str">
        <f>IF(AU$4="Yes",INDEX(List!$E$2:$CD$173,MATCH('Selection Pane Data'!$B104,List!$E$2:$E$173,0),MATCH('Selection Pane Data'!AU$3,List!$E$2:$CD$2,0)),"")</f>
        <v/>
      </c>
      <c r="AV104" s="13" t="str">
        <f>IF(AV$4="Yes",INDEX(List!$E$2:$CD$173,MATCH('Selection Pane Data'!$B104,List!$E$2:$E$173,0),MATCH('Selection Pane Data'!AV$3,List!$E$2:$CD$2,0)),"")</f>
        <v/>
      </c>
      <c r="AW104" s="13" t="str">
        <f>IF(AW$4="Yes",INDEX(List!$E$2:$CD$173,MATCH('Selection Pane Data'!$B104,List!$E$2:$E$173,0),MATCH('Selection Pane Data'!AW$3,List!$E$2:$CD$2,0)),"")</f>
        <v/>
      </c>
      <c r="AX104" s="13" t="str">
        <f>IF(AX$4="Yes",INDEX(List!$E$2:$CD$173,MATCH('Selection Pane Data'!$B104,List!$E$2:$E$173,0),MATCH('Selection Pane Data'!AX$3,List!$E$2:$CD$2,0)),"")</f>
        <v/>
      </c>
      <c r="AY104" s="13" t="str">
        <f>IF(AY$4="Yes",INDEX(List!$E$2:$CD$173,MATCH('Selection Pane Data'!$B104,List!$E$2:$E$173,0),MATCH('Selection Pane Data'!AY$3,List!$E$2:$CD$2,0)),"")</f>
        <v/>
      </c>
      <c r="AZ104" s="13" t="str">
        <f>IF(AZ$4="Yes",INDEX(List!$E$2:$CD$173,MATCH('Selection Pane Data'!$B104,List!$E$2:$E$173,0),MATCH('Selection Pane Data'!AZ$3,List!$E$2:$CD$2,0)),"")</f>
        <v/>
      </c>
      <c r="BA104" s="13" t="str">
        <f>IF(BA$4="Yes",INDEX(List!$E$2:$CD$173,MATCH('Selection Pane Data'!$B104,List!$E$2:$E$173,0),MATCH('Selection Pane Data'!BA$3,List!$E$2:$CD$2,0)),"")</f>
        <v/>
      </c>
      <c r="BB104" s="13" t="str">
        <f>IF(BB$4="Yes",INDEX(List!$E$2:$CD$173,MATCH('Selection Pane Data'!$B104,List!$E$2:$E$173,0),MATCH('Selection Pane Data'!BB$3,List!$E$2:$CD$2,0)),"")</f>
        <v/>
      </c>
      <c r="BC104" s="13" t="str">
        <f>IF(BC$4="Yes",INDEX(List!$E$2:$CD$173,MATCH('Selection Pane Data'!$B104,List!$E$2:$E$173,0),MATCH('Selection Pane Data'!BC$3,List!$E$2:$CD$2,0)),"")</f>
        <v/>
      </c>
      <c r="BD104" s="13" t="str">
        <f>IF(BD$4="Yes",INDEX(List!$E$2:$CD$173,MATCH('Selection Pane Data'!$B104,List!$E$2:$E$173,0),MATCH('Selection Pane Data'!BD$3,List!$E$2:$CD$2,0)),"")</f>
        <v/>
      </c>
      <c r="BE104" s="13" t="str">
        <f>IF(BE$4="Yes",INDEX(List!$E$2:$CD$173,MATCH('Selection Pane Data'!$B104,List!$E$2:$E$173,0),MATCH('Selection Pane Data'!BE$3,List!$E$2:$CD$2,0)),"")</f>
        <v/>
      </c>
      <c r="BF104" s="13" t="str">
        <f>IF(BF$4="Yes",INDEX(List!$E$2:$CD$173,MATCH('Selection Pane Data'!$B104,List!$E$2:$E$173,0),MATCH('Selection Pane Data'!BF$3,List!$E$2:$CD$2,0)),"")</f>
        <v/>
      </c>
      <c r="BG104" s="13" t="str">
        <f>IF(BG$4="Yes",INDEX(List!$E$2:$CD$173,MATCH('Selection Pane Data'!$B104,List!$E$2:$E$173,0),MATCH('Selection Pane Data'!BG$3,List!$E$2:$CD$2,0)),"")</f>
        <v/>
      </c>
      <c r="BH104" s="13" t="str">
        <f>IF(BH$4="Yes",INDEX(List!$E$2:$CD$173,MATCH('Selection Pane Data'!$B104,List!$E$2:$E$173,0),MATCH('Selection Pane Data'!BH$3,List!$E$2:$CD$2,0)),"")</f>
        <v/>
      </c>
      <c r="BI104" s="13" t="str">
        <f>IF(BI$4="Yes",INDEX(List!$E$2:$CD$173,MATCH('Selection Pane Data'!$B104,List!$E$2:$E$173,0),MATCH('Selection Pane Data'!BI$3,List!$E$2:$CD$2,0)),"")</f>
        <v/>
      </c>
      <c r="BJ104" s="13" t="str">
        <f>IF(BJ$4="Yes",INDEX(List!$E$2:$CD$173,MATCH('Selection Pane Data'!$B104,List!$E$2:$E$173,0),MATCH('Selection Pane Data'!BJ$3,List!$E$2:$CD$2,0)),"")</f>
        <v/>
      </c>
      <c r="BK104" s="13" t="str">
        <f>IF(BK$4="Yes",INDEX(List!$E$2:$CD$173,MATCH('Selection Pane Data'!$B104,List!$E$2:$E$173,0),MATCH('Selection Pane Data'!BK$3,List!$E$2:$CD$2,0)),"")</f>
        <v/>
      </c>
      <c r="BL104" s="13" t="str">
        <f>IF(BL$4="Yes",INDEX(List!$E$2:$CD$173,MATCH('Selection Pane Data'!$B104,List!$E$2:$E$173,0),MATCH('Selection Pane Data'!BL$3,List!$E$2:$CD$2,0)),"")</f>
        <v/>
      </c>
      <c r="BM104" s="13" t="str">
        <f>IF(BM$4="Yes",INDEX(List!$E$2:$CD$173,MATCH('Selection Pane Data'!$B104,List!$E$2:$E$173,0),MATCH('Selection Pane Data'!BM$3,List!$E$2:$CD$2,0)),"")</f>
        <v/>
      </c>
      <c r="BN104" s="13" t="str">
        <f>IF(BN$4="Yes",INDEX(List!$E$2:$CD$173,MATCH('Selection Pane Data'!$B104,List!$E$2:$E$173,0),MATCH('Selection Pane Data'!BN$3,List!$E$2:$CD$2,0)),"")</f>
        <v/>
      </c>
      <c r="BO104" s="13" t="str">
        <f>IF(BO$4="Yes",INDEX(List!$E$2:$CD$173,MATCH('Selection Pane Data'!$B104,List!$E$2:$E$173,0),MATCH('Selection Pane Data'!BO$3,List!$E$2:$CD$2,0)),"")</f>
        <v/>
      </c>
      <c r="BP104" s="13" t="str">
        <f>IF(BP$4="Yes",INDEX(List!$E$2:$CD$173,MATCH('Selection Pane Data'!$B104,List!$E$2:$E$173,0),MATCH('Selection Pane Data'!BP$3,List!$E$2:$CD$2,0)),"")</f>
        <v/>
      </c>
      <c r="BQ104" s="13" t="str">
        <f>IF(BQ$4="Yes",INDEX(List!$E$2:$CD$173,MATCH('Selection Pane Data'!$B104,List!$E$2:$E$173,0),MATCH('Selection Pane Data'!BQ$3,List!$E$2:$CD$2,0)),"")</f>
        <v/>
      </c>
      <c r="BR104" s="13" t="str">
        <f>IF(BR$4="Yes",INDEX(List!$E$2:$CD$173,MATCH('Selection Pane Data'!$B104,List!$E$2:$E$173,0),MATCH('Selection Pane Data'!BR$3,List!$E$2:$CD$2,0)),"")</f>
        <v/>
      </c>
      <c r="BS104" s="13" t="str">
        <f>IF(BS$4="Yes",INDEX(List!$E$2:$CD$173,MATCH('Selection Pane Data'!$B104,List!$E$2:$E$173,0),MATCH('Selection Pane Data'!BS$3,List!$E$2:$CD$2,0)),"")</f>
        <v/>
      </c>
      <c r="BT104" s="13" t="str">
        <f>IF(BT$4="Yes",INDEX(List!$E$2:$CD$173,MATCH('Selection Pane Data'!$B104,List!$E$2:$E$173,0),MATCH('Selection Pane Data'!BT$3,List!$E$2:$CD$2,0)),"")</f>
        <v/>
      </c>
      <c r="BU104" s="13" t="str">
        <f>IF(BU$4="Yes",INDEX(List!$E$2:$CD$173,MATCH('Selection Pane Data'!$B104,List!$E$2:$E$173,0),MATCH('Selection Pane Data'!BU$3,List!$E$2:$CD$2,0)),"")</f>
        <v/>
      </c>
      <c r="BV104" s="13" t="str">
        <f>IF(BV$4="Yes",INDEX(List!$E$2:$CD$173,MATCH('Selection Pane Data'!$B104,List!$E$2:$E$173,0),MATCH('Selection Pane Data'!BV$3,List!$E$2:$CD$2,0)),"")</f>
        <v/>
      </c>
      <c r="BW104" s="13" t="str">
        <f>IF(BW$4="Yes",INDEX(List!$E$2:$CD$173,MATCH('Selection Pane Data'!$B104,List!$E$2:$E$173,0),MATCH('Selection Pane Data'!BW$3,List!$E$2:$CD$2,0)),"")</f>
        <v/>
      </c>
      <c r="BX104" s="13" t="str">
        <f>IF(BX$4="Yes",INDEX(List!$E$2:$CD$173,MATCH('Selection Pane Data'!$B104,List!$E$2:$E$173,0),MATCH('Selection Pane Data'!BX$3,List!$E$2:$CD$2,0)),"")</f>
        <v/>
      </c>
      <c r="BY104" s="13" t="str">
        <f>IF(BY$4="Yes",INDEX(List!$E$2:$CD$173,MATCH('Selection Pane Data'!$B104,List!$E$2:$E$173,0),MATCH('Selection Pane Data'!BY$3,List!$E$2:$CD$2,0)),"")</f>
        <v/>
      </c>
      <c r="BZ104" s="13" t="str">
        <f>IF(BZ$4="Yes",INDEX(List!$E$2:$CD$173,MATCH('Selection Pane Data'!$B104,List!$E$2:$E$173,0),MATCH('Selection Pane Data'!BZ$3,List!$E$2:$CD$2,0)),"")</f>
        <v/>
      </c>
      <c r="CA104" s="13" t="str">
        <f>IF(CA$4="Yes",INDEX(List!$E$2:$CD$173,MATCH('Selection Pane Data'!$B104,List!$E$2:$E$173,0),MATCH('Selection Pane Data'!CA$3,List!$E$2:$CD$2,0)),"")</f>
        <v/>
      </c>
      <c r="CB104" s="13" t="str">
        <f>IF(CB$4="Yes",INDEX(List!$E$2:$CD$173,MATCH('Selection Pane Data'!$B104,List!$E$2:$E$173,0),MATCH('Selection Pane Data'!CB$3,List!$E$2:$CD$2,0)),"")</f>
        <v/>
      </c>
      <c r="CC104" s="13" t="str">
        <f>IF(CC$4="Yes",INDEX(List!$E$2:$CD$173,MATCH('Selection Pane Data'!$B104,List!$E$2:$E$173,0),MATCH('Selection Pane Data'!CC$3,List!$E$2:$CD$2,0)),"")</f>
        <v/>
      </c>
      <c r="CD104" s="13" t="str">
        <f>IF(CD$4="Yes",INDEX(List!$E$2:$CD$173,MATCH('Selection Pane Data'!$B104,List!$E$2:$E$173,0),MATCH('Selection Pane Data'!CD$3,List!$E$2:$CD$2,0)),"")</f>
        <v/>
      </c>
      <c r="CE104" s="13" t="str">
        <f>IF(CE$4="Yes",INDEX(List!$E$2:$CD$173,MATCH('Selection Pane Data'!$B104,List!$E$2:$E$173,0),MATCH('Selection Pane Data'!CE$3,List!$E$2:$CD$2,0)),"")</f>
        <v/>
      </c>
    </row>
    <row r="105" spans="2:83" x14ac:dyDescent="0.35">
      <c r="B105" s="21" t="s">
        <v>392</v>
      </c>
      <c r="C105" s="126" t="str">
        <f>VLOOKUP(B105,List!$E$2:$G$173,2,FALSE)</f>
        <v>MP.L2-3.8.4</v>
      </c>
      <c r="D105" s="31" t="str">
        <f>List!G103</f>
        <v>Customer Responsibility</v>
      </c>
      <c r="E105" s="31" t="str">
        <f>IF(Placemat!$F$4="All Practices","All Practices",IF(VLOOKUP(B105,Table7[#All],6,FALSE)="No Mapping","New CMMC Practices","Practices with NIST 800-171 Mappings"))</f>
        <v>Practices with NIST 800-171 Mappings</v>
      </c>
      <c r="F105" t="str">
        <f>INDEX('CMMC Levels'!$A$1:$F$172,MATCH('Selection Pane Data'!$C105,'CMMC Levels'!$A$1:$A$172,0),MATCH(Placemat!$F$4,'CMMC Levels'!$A$1:$F$1,0))</f>
        <v>X</v>
      </c>
      <c r="G105" s="77" t="str">
        <f>IF((COUNTIF(List!H103:CE103,"P")+COUNTIF(List!H103:CE103,"S"))=0,"N",IF(COUNTIF(H105:CE105,"P"),"P",IF(COUNTIF(H105:CE105,"S"),"S","U")))</f>
        <v>U</v>
      </c>
      <c r="H105" s="13" t="str">
        <f>IF(H$4="Yes",INDEX(List!$E$2:$CD$173,MATCH('Selection Pane Data'!$B105,List!$E$2:$E$173,0),MATCH('Selection Pane Data'!H$3,List!$E$2:$CD$2,0)),"")</f>
        <v/>
      </c>
      <c r="I105" s="13" t="str">
        <f>IF(I$4="Yes",INDEX(List!$E$2:$CD$173,MATCH('Selection Pane Data'!$B105,List!$E$2:$E$173,0),MATCH('Selection Pane Data'!I$3,List!$E$2:$CD$2,0)),"")</f>
        <v/>
      </c>
      <c r="J105" s="13" t="str">
        <f>IF(J$4="Yes",INDEX(List!$E$2:$CD$173,MATCH('Selection Pane Data'!$B105,List!$E$2:$E$173,0),MATCH('Selection Pane Data'!J$3,List!$E$2:$CD$2,0)),"")</f>
        <v>N</v>
      </c>
      <c r="K105" s="13" t="str">
        <f>IF(K$4="Yes",INDEX(List!$E$2:$CD$173,MATCH('Selection Pane Data'!$B105,List!$E$2:$E$173,0),MATCH('Selection Pane Data'!K$3,List!$E$2:$CD$2,0)),"")</f>
        <v/>
      </c>
      <c r="L105" s="13" t="str">
        <f>IF(L$4="Yes",INDEX(List!$E$2:$CD$173,MATCH('Selection Pane Data'!$B105,List!$E$2:$E$173,0),MATCH('Selection Pane Data'!L$3,List!$E$2:$CD$2,0)),"")</f>
        <v/>
      </c>
      <c r="M105" s="13" t="str">
        <f>IF(M$4="Yes",INDEX(List!$E$2:$CD$173,MATCH('Selection Pane Data'!$B105,List!$E$2:$E$173,0),MATCH('Selection Pane Data'!M$3,List!$E$2:$CD$2,0)),"")</f>
        <v/>
      </c>
      <c r="N105" s="13" t="str">
        <f>IF(N$4="Yes",INDEX(List!$E$2:$CD$173,MATCH('Selection Pane Data'!$B105,List!$E$2:$E$173,0),MATCH('Selection Pane Data'!N$3,List!$E$2:$CD$2,0)),"")</f>
        <v/>
      </c>
      <c r="O105" s="13" t="str">
        <f>IF(O$4="Yes",INDEX(List!$E$2:$CD$173,MATCH('Selection Pane Data'!$B105,List!$E$2:$E$173,0),MATCH('Selection Pane Data'!O$3,List!$E$2:$CD$2,0)),"")</f>
        <v/>
      </c>
      <c r="P105" s="13" t="str">
        <f>IF(P$4="Yes",INDEX(List!$E$2:$CD$173,MATCH('Selection Pane Data'!$B105,List!$E$2:$E$173,0),MATCH('Selection Pane Data'!P$3,List!$E$2:$CD$2,0)),"")</f>
        <v/>
      </c>
      <c r="Q105" s="13" t="str">
        <f>IF(Q$4="Yes",INDEX(List!$E$2:$CD$173,MATCH('Selection Pane Data'!$B105,List!$E$2:$E$173,0),MATCH('Selection Pane Data'!Q$3,List!$E$2:$CD$2,0)),"")</f>
        <v/>
      </c>
      <c r="R105" s="13" t="str">
        <f>IF(R$4="Yes",INDEX(List!$E$2:$CD$173,MATCH('Selection Pane Data'!$B105,List!$E$2:$E$173,0),MATCH('Selection Pane Data'!R$3,List!$E$2:$CD$2,0)),"")</f>
        <v/>
      </c>
      <c r="S105" s="13" t="str">
        <f>IF(S$4="Yes",INDEX(List!$E$2:$CD$173,MATCH('Selection Pane Data'!$B105,List!$E$2:$E$173,0),MATCH('Selection Pane Data'!S$3,List!$E$2:$CD$2,0)),"")</f>
        <v/>
      </c>
      <c r="T105" s="13" t="str">
        <f>IF(T$4="Yes",INDEX(List!$E$2:$CD$173,MATCH('Selection Pane Data'!$B105,List!$E$2:$E$173,0),MATCH('Selection Pane Data'!T$3,List!$E$2:$CD$2,0)),"")</f>
        <v/>
      </c>
      <c r="U105" s="13" t="str">
        <f>IF(U$4="Yes",INDEX(List!$E$2:$CD$173,MATCH('Selection Pane Data'!$B105,List!$E$2:$E$173,0),MATCH('Selection Pane Data'!U$3,List!$E$2:$CD$2,0)),"")</f>
        <v/>
      </c>
      <c r="V105" s="13" t="str">
        <f>IF(V$4="Yes",INDEX(List!$E$2:$CD$173,MATCH('Selection Pane Data'!$B105,List!$E$2:$E$173,0),MATCH('Selection Pane Data'!V$3,List!$E$2:$CD$2,0)),"")</f>
        <v/>
      </c>
      <c r="W105" s="13" t="str">
        <f>IF(W$4="Yes",INDEX(List!$E$2:$CD$173,MATCH('Selection Pane Data'!$B105,List!$E$2:$E$173,0),MATCH('Selection Pane Data'!W$3,List!$E$2:$CD$2,0)),"")</f>
        <v/>
      </c>
      <c r="X105" s="13" t="str">
        <f>IF(X$4="Yes",INDEX(List!$E$2:$CD$173,MATCH('Selection Pane Data'!$B105,List!$E$2:$E$173,0),MATCH('Selection Pane Data'!X$3,List!$E$2:$CD$2,0)),"")</f>
        <v/>
      </c>
      <c r="Y105" s="13" t="str">
        <f>IF(Y$4="Yes",INDEX(List!$E$2:$CD$173,MATCH('Selection Pane Data'!$B105,List!$E$2:$E$173,0),MATCH('Selection Pane Data'!Y$3,List!$E$2:$CD$2,0)),"")</f>
        <v/>
      </c>
      <c r="Z105" s="13" t="str">
        <f>IF(Z$4="Yes",INDEX(List!$E$2:$CD$173,MATCH('Selection Pane Data'!$B105,List!$E$2:$E$173,0),MATCH('Selection Pane Data'!Z$3,List!$E$2:$CD$2,0)),"")</f>
        <v/>
      </c>
      <c r="AA105" s="13" t="str">
        <f>IF(AA$4="Yes",INDEX(List!$E$2:$CD$173,MATCH('Selection Pane Data'!$B105,List!$E$2:$E$173,0),MATCH('Selection Pane Data'!AA$3,List!$E$2:$CD$2,0)),"")</f>
        <v>N</v>
      </c>
      <c r="AB105" s="13" t="str">
        <f>IF(AB$4="Yes",INDEX(List!$E$2:$CD$173,MATCH('Selection Pane Data'!$B105,List!$E$2:$E$173,0),MATCH('Selection Pane Data'!AB$3,List!$E$2:$CD$2,0)),"")</f>
        <v/>
      </c>
      <c r="AC105" s="13" t="str">
        <f>IF(AC$4="Yes",INDEX(List!$E$2:$CD$173,MATCH('Selection Pane Data'!$B105,List!$E$2:$E$173,0),MATCH('Selection Pane Data'!AC$3,List!$E$2:$CD$2,0)),"")</f>
        <v/>
      </c>
      <c r="AD105" s="13" t="str">
        <f>IF(AD$4="Yes",INDEX(List!$E$2:$CD$173,MATCH('Selection Pane Data'!$B105,List!$E$2:$E$173,0),MATCH('Selection Pane Data'!AD$3,List!$E$2:$CD$2,0)),"")</f>
        <v/>
      </c>
      <c r="AE105" s="13" t="str">
        <f>IF(AE$4="Yes",INDEX(List!$E$2:$CD$173,MATCH('Selection Pane Data'!$B105,List!$E$2:$E$173,0),MATCH('Selection Pane Data'!AE$3,List!$E$2:$CD$2,0)),"")</f>
        <v/>
      </c>
      <c r="AF105" s="13" t="str">
        <f>IF(AF$4="Yes",INDEX(List!$E$2:$CD$173,MATCH('Selection Pane Data'!$B105,List!$E$2:$E$173,0),MATCH('Selection Pane Data'!AF$3,List!$E$2:$CD$2,0)),"")</f>
        <v/>
      </c>
      <c r="AG105" s="13" t="str">
        <f>IF(AG$4="Yes",INDEX(List!$E$2:$CD$173,MATCH('Selection Pane Data'!$B105,List!$E$2:$E$173,0),MATCH('Selection Pane Data'!AG$3,List!$E$2:$CD$2,0)),"")</f>
        <v/>
      </c>
      <c r="AH105" s="13" t="str">
        <f>IF(AH$4="Yes",INDEX(List!$E$2:$CD$173,MATCH('Selection Pane Data'!$B105,List!$E$2:$E$173,0),MATCH('Selection Pane Data'!AH$3,List!$E$2:$CD$2,0)),"")</f>
        <v/>
      </c>
      <c r="AI105" s="13" t="str">
        <f>IF(AI$4="Yes",INDEX(List!$E$2:$CD$173,MATCH('Selection Pane Data'!$B105,List!$E$2:$E$173,0),MATCH('Selection Pane Data'!AI$3,List!$E$2:$CD$2,0)),"")</f>
        <v/>
      </c>
      <c r="AJ105" s="13" t="str">
        <f>IF(AJ$4="Yes",INDEX(List!$E$2:$CD$173,MATCH('Selection Pane Data'!$B105,List!$E$2:$E$173,0),MATCH('Selection Pane Data'!AJ$3,List!$E$2:$CD$2,0)),"")</f>
        <v/>
      </c>
      <c r="AK105" s="13" t="str">
        <f>IF(AK$4="Yes",INDEX(List!$E$2:$CD$173,MATCH('Selection Pane Data'!$B105,List!$E$2:$E$173,0),MATCH('Selection Pane Data'!AK$3,List!$E$2:$CD$2,0)),"")</f>
        <v/>
      </c>
      <c r="AL105" s="13" t="str">
        <f>IF(AL$4="Yes",INDEX(List!$E$2:$CD$173,MATCH('Selection Pane Data'!$B105,List!$E$2:$E$173,0),MATCH('Selection Pane Data'!AL$3,List!$E$2:$CD$2,0)),"")</f>
        <v/>
      </c>
      <c r="AM105" s="13" t="str">
        <f>IF(AM$4="Yes",INDEX(List!$E$2:$CD$173,MATCH('Selection Pane Data'!$B105,List!$E$2:$E$173,0),MATCH('Selection Pane Data'!AM$3,List!$E$2:$CD$2,0)),"")</f>
        <v/>
      </c>
      <c r="AN105" s="13" t="str">
        <f>IF(AN$4="Yes",INDEX(List!$E$2:$CD$173,MATCH('Selection Pane Data'!$B105,List!$E$2:$E$173,0),MATCH('Selection Pane Data'!AN$3,List!$E$2:$CD$2,0)),"")</f>
        <v/>
      </c>
      <c r="AO105" s="13" t="str">
        <f>IF(AO$4="Yes",INDEX(List!$E$2:$CD$173,MATCH('Selection Pane Data'!$B105,List!$E$2:$E$173,0),MATCH('Selection Pane Data'!AO$3,List!$E$2:$CD$2,0)),"")</f>
        <v/>
      </c>
      <c r="AP105" s="13" t="str">
        <f>IF(AP$4="Yes",INDEX(List!$E$2:$CD$173,MATCH('Selection Pane Data'!$B105,List!$E$2:$E$173,0),MATCH('Selection Pane Data'!AP$3,List!$E$2:$CD$2,0)),"")</f>
        <v/>
      </c>
      <c r="AQ105" s="13" t="str">
        <f>IF(AQ$4="Yes",INDEX(List!$E$2:$CD$173,MATCH('Selection Pane Data'!$B105,List!$E$2:$E$173,0),MATCH('Selection Pane Data'!AQ$3,List!$E$2:$CD$2,0)),"")</f>
        <v/>
      </c>
      <c r="AR105" s="13" t="str">
        <f>IF(AR$4="Yes",INDEX(List!$E$2:$CD$173,MATCH('Selection Pane Data'!$B105,List!$E$2:$E$173,0),MATCH('Selection Pane Data'!AR$3,List!$E$2:$CD$2,0)),"")</f>
        <v/>
      </c>
      <c r="AS105" s="13" t="str">
        <f>IF(AS$4="Yes",INDEX(List!$E$2:$CD$173,MATCH('Selection Pane Data'!$B105,List!$E$2:$E$173,0),MATCH('Selection Pane Data'!AS$3,List!$E$2:$CD$2,0)),"")</f>
        <v/>
      </c>
      <c r="AT105" s="13" t="str">
        <f>IF(AT$4="Yes",INDEX(List!$E$2:$CD$173,MATCH('Selection Pane Data'!$B105,List!$E$2:$E$173,0),MATCH('Selection Pane Data'!AT$3,List!$E$2:$CD$2,0)),"")</f>
        <v/>
      </c>
      <c r="AU105" s="13" t="str">
        <f>IF(AU$4="Yes",INDEX(List!$E$2:$CD$173,MATCH('Selection Pane Data'!$B105,List!$E$2:$E$173,0),MATCH('Selection Pane Data'!AU$3,List!$E$2:$CD$2,0)),"")</f>
        <v/>
      </c>
      <c r="AV105" s="13" t="str">
        <f>IF(AV$4="Yes",INDEX(List!$E$2:$CD$173,MATCH('Selection Pane Data'!$B105,List!$E$2:$E$173,0),MATCH('Selection Pane Data'!AV$3,List!$E$2:$CD$2,0)),"")</f>
        <v/>
      </c>
      <c r="AW105" s="13" t="str">
        <f>IF(AW$4="Yes",INDEX(List!$E$2:$CD$173,MATCH('Selection Pane Data'!$B105,List!$E$2:$E$173,0),MATCH('Selection Pane Data'!AW$3,List!$E$2:$CD$2,0)),"")</f>
        <v/>
      </c>
      <c r="AX105" s="13" t="str">
        <f>IF(AX$4="Yes",INDEX(List!$E$2:$CD$173,MATCH('Selection Pane Data'!$B105,List!$E$2:$E$173,0),MATCH('Selection Pane Data'!AX$3,List!$E$2:$CD$2,0)),"")</f>
        <v/>
      </c>
      <c r="AY105" s="13" t="str">
        <f>IF(AY$4="Yes",INDEX(List!$E$2:$CD$173,MATCH('Selection Pane Data'!$B105,List!$E$2:$E$173,0),MATCH('Selection Pane Data'!AY$3,List!$E$2:$CD$2,0)),"")</f>
        <v/>
      </c>
      <c r="AZ105" s="13" t="str">
        <f>IF(AZ$4="Yes",INDEX(List!$E$2:$CD$173,MATCH('Selection Pane Data'!$B105,List!$E$2:$E$173,0),MATCH('Selection Pane Data'!AZ$3,List!$E$2:$CD$2,0)),"")</f>
        <v/>
      </c>
      <c r="BA105" s="13" t="str">
        <f>IF(BA$4="Yes",INDEX(List!$E$2:$CD$173,MATCH('Selection Pane Data'!$B105,List!$E$2:$E$173,0),MATCH('Selection Pane Data'!BA$3,List!$E$2:$CD$2,0)),"")</f>
        <v/>
      </c>
      <c r="BB105" s="13" t="str">
        <f>IF(BB$4="Yes",INDEX(List!$E$2:$CD$173,MATCH('Selection Pane Data'!$B105,List!$E$2:$E$173,0),MATCH('Selection Pane Data'!BB$3,List!$E$2:$CD$2,0)),"")</f>
        <v/>
      </c>
      <c r="BC105" s="13" t="str">
        <f>IF(BC$4="Yes",INDEX(List!$E$2:$CD$173,MATCH('Selection Pane Data'!$B105,List!$E$2:$E$173,0),MATCH('Selection Pane Data'!BC$3,List!$E$2:$CD$2,0)),"")</f>
        <v/>
      </c>
      <c r="BD105" s="13" t="str">
        <f>IF(BD$4="Yes",INDEX(List!$E$2:$CD$173,MATCH('Selection Pane Data'!$B105,List!$E$2:$E$173,0),MATCH('Selection Pane Data'!BD$3,List!$E$2:$CD$2,0)),"")</f>
        <v/>
      </c>
      <c r="BE105" s="13" t="str">
        <f>IF(BE$4="Yes",INDEX(List!$E$2:$CD$173,MATCH('Selection Pane Data'!$B105,List!$E$2:$E$173,0),MATCH('Selection Pane Data'!BE$3,List!$E$2:$CD$2,0)),"")</f>
        <v/>
      </c>
      <c r="BF105" s="13" t="str">
        <f>IF(BF$4="Yes",INDEX(List!$E$2:$CD$173,MATCH('Selection Pane Data'!$B105,List!$E$2:$E$173,0),MATCH('Selection Pane Data'!BF$3,List!$E$2:$CD$2,0)),"")</f>
        <v/>
      </c>
      <c r="BG105" s="13" t="str">
        <f>IF(BG$4="Yes",INDEX(List!$E$2:$CD$173,MATCH('Selection Pane Data'!$B105,List!$E$2:$E$173,0),MATCH('Selection Pane Data'!BG$3,List!$E$2:$CD$2,0)),"")</f>
        <v/>
      </c>
      <c r="BH105" s="13" t="str">
        <f>IF(BH$4="Yes",INDEX(List!$E$2:$CD$173,MATCH('Selection Pane Data'!$B105,List!$E$2:$E$173,0),MATCH('Selection Pane Data'!BH$3,List!$E$2:$CD$2,0)),"")</f>
        <v/>
      </c>
      <c r="BI105" s="13" t="str">
        <f>IF(BI$4="Yes",INDEX(List!$E$2:$CD$173,MATCH('Selection Pane Data'!$B105,List!$E$2:$E$173,0),MATCH('Selection Pane Data'!BI$3,List!$E$2:$CD$2,0)),"")</f>
        <v/>
      </c>
      <c r="BJ105" s="13" t="str">
        <f>IF(BJ$4="Yes",INDEX(List!$E$2:$CD$173,MATCH('Selection Pane Data'!$B105,List!$E$2:$E$173,0),MATCH('Selection Pane Data'!BJ$3,List!$E$2:$CD$2,0)),"")</f>
        <v/>
      </c>
      <c r="BK105" s="13" t="str">
        <f>IF(BK$4="Yes",INDEX(List!$E$2:$CD$173,MATCH('Selection Pane Data'!$B105,List!$E$2:$E$173,0),MATCH('Selection Pane Data'!BK$3,List!$E$2:$CD$2,0)),"")</f>
        <v/>
      </c>
      <c r="BL105" s="13" t="str">
        <f>IF(BL$4="Yes",INDEX(List!$E$2:$CD$173,MATCH('Selection Pane Data'!$B105,List!$E$2:$E$173,0),MATCH('Selection Pane Data'!BL$3,List!$E$2:$CD$2,0)),"")</f>
        <v/>
      </c>
      <c r="BM105" s="13" t="str">
        <f>IF(BM$4="Yes",INDEX(List!$E$2:$CD$173,MATCH('Selection Pane Data'!$B105,List!$E$2:$E$173,0),MATCH('Selection Pane Data'!BM$3,List!$E$2:$CD$2,0)),"")</f>
        <v/>
      </c>
      <c r="BN105" s="13" t="str">
        <f>IF(BN$4="Yes",INDEX(List!$E$2:$CD$173,MATCH('Selection Pane Data'!$B105,List!$E$2:$E$173,0),MATCH('Selection Pane Data'!BN$3,List!$E$2:$CD$2,0)),"")</f>
        <v/>
      </c>
      <c r="BO105" s="13" t="str">
        <f>IF(BO$4="Yes",INDEX(List!$E$2:$CD$173,MATCH('Selection Pane Data'!$B105,List!$E$2:$E$173,0),MATCH('Selection Pane Data'!BO$3,List!$E$2:$CD$2,0)),"")</f>
        <v/>
      </c>
      <c r="BP105" s="13" t="str">
        <f>IF(BP$4="Yes",INDEX(List!$E$2:$CD$173,MATCH('Selection Pane Data'!$B105,List!$E$2:$E$173,0),MATCH('Selection Pane Data'!BP$3,List!$E$2:$CD$2,0)),"")</f>
        <v/>
      </c>
      <c r="BQ105" s="13" t="str">
        <f>IF(BQ$4="Yes",INDEX(List!$E$2:$CD$173,MATCH('Selection Pane Data'!$B105,List!$E$2:$E$173,0),MATCH('Selection Pane Data'!BQ$3,List!$E$2:$CD$2,0)),"")</f>
        <v/>
      </c>
      <c r="BR105" s="13" t="str">
        <f>IF(BR$4="Yes",INDEX(List!$E$2:$CD$173,MATCH('Selection Pane Data'!$B105,List!$E$2:$E$173,0),MATCH('Selection Pane Data'!BR$3,List!$E$2:$CD$2,0)),"")</f>
        <v/>
      </c>
      <c r="BS105" s="13" t="str">
        <f>IF(BS$4="Yes",INDEX(List!$E$2:$CD$173,MATCH('Selection Pane Data'!$B105,List!$E$2:$E$173,0),MATCH('Selection Pane Data'!BS$3,List!$E$2:$CD$2,0)),"")</f>
        <v/>
      </c>
      <c r="BT105" s="13" t="str">
        <f>IF(BT$4="Yes",INDEX(List!$E$2:$CD$173,MATCH('Selection Pane Data'!$B105,List!$E$2:$E$173,0),MATCH('Selection Pane Data'!BT$3,List!$E$2:$CD$2,0)),"")</f>
        <v/>
      </c>
      <c r="BU105" s="13" t="str">
        <f>IF(BU$4="Yes",INDEX(List!$E$2:$CD$173,MATCH('Selection Pane Data'!$B105,List!$E$2:$E$173,0),MATCH('Selection Pane Data'!BU$3,List!$E$2:$CD$2,0)),"")</f>
        <v/>
      </c>
      <c r="BV105" s="13" t="str">
        <f>IF(BV$4="Yes",INDEX(List!$E$2:$CD$173,MATCH('Selection Pane Data'!$B105,List!$E$2:$E$173,0),MATCH('Selection Pane Data'!BV$3,List!$E$2:$CD$2,0)),"")</f>
        <v/>
      </c>
      <c r="BW105" s="13" t="str">
        <f>IF(BW$4="Yes",INDEX(List!$E$2:$CD$173,MATCH('Selection Pane Data'!$B105,List!$E$2:$E$173,0),MATCH('Selection Pane Data'!BW$3,List!$E$2:$CD$2,0)),"")</f>
        <v/>
      </c>
      <c r="BX105" s="13" t="str">
        <f>IF(BX$4="Yes",INDEX(List!$E$2:$CD$173,MATCH('Selection Pane Data'!$B105,List!$E$2:$E$173,0),MATCH('Selection Pane Data'!BX$3,List!$E$2:$CD$2,0)),"")</f>
        <v/>
      </c>
      <c r="BY105" s="13" t="str">
        <f>IF(BY$4="Yes",INDEX(List!$E$2:$CD$173,MATCH('Selection Pane Data'!$B105,List!$E$2:$E$173,0),MATCH('Selection Pane Data'!BY$3,List!$E$2:$CD$2,0)),"")</f>
        <v/>
      </c>
      <c r="BZ105" s="13" t="str">
        <f>IF(BZ$4="Yes",INDEX(List!$E$2:$CD$173,MATCH('Selection Pane Data'!$B105,List!$E$2:$E$173,0),MATCH('Selection Pane Data'!BZ$3,List!$E$2:$CD$2,0)),"")</f>
        <v/>
      </c>
      <c r="CA105" s="13" t="str">
        <f>IF(CA$4="Yes",INDEX(List!$E$2:$CD$173,MATCH('Selection Pane Data'!$B105,List!$E$2:$E$173,0),MATCH('Selection Pane Data'!CA$3,List!$E$2:$CD$2,0)),"")</f>
        <v/>
      </c>
      <c r="CB105" s="13" t="str">
        <f>IF(CB$4="Yes",INDEX(List!$E$2:$CD$173,MATCH('Selection Pane Data'!$B105,List!$E$2:$E$173,0),MATCH('Selection Pane Data'!CB$3,List!$E$2:$CD$2,0)),"")</f>
        <v/>
      </c>
      <c r="CC105" s="13" t="str">
        <f>IF(CC$4="Yes",INDEX(List!$E$2:$CD$173,MATCH('Selection Pane Data'!$B105,List!$E$2:$E$173,0),MATCH('Selection Pane Data'!CC$3,List!$E$2:$CD$2,0)),"")</f>
        <v/>
      </c>
      <c r="CD105" s="13" t="str">
        <f>IF(CD$4="Yes",INDEX(List!$E$2:$CD$173,MATCH('Selection Pane Data'!$B105,List!$E$2:$E$173,0),MATCH('Selection Pane Data'!CD$3,List!$E$2:$CD$2,0)),"")</f>
        <v/>
      </c>
      <c r="CE105" s="13" t="str">
        <f>IF(CE$4="Yes",INDEX(List!$E$2:$CD$173,MATCH('Selection Pane Data'!$B105,List!$E$2:$E$173,0),MATCH('Selection Pane Data'!CE$3,List!$E$2:$CD$2,0)),"")</f>
        <v/>
      </c>
    </row>
    <row r="106" spans="2:83" x14ac:dyDescent="0.35">
      <c r="B106" s="21" t="s">
        <v>393</v>
      </c>
      <c r="C106" s="126" t="str">
        <f>VLOOKUP(B106,List!$E$2:$G$173,2,FALSE)</f>
        <v>MP.L2-3.8.8</v>
      </c>
      <c r="D106" s="31" t="str">
        <f>List!G104</f>
        <v>Shared Coverage</v>
      </c>
      <c r="E106" s="31" t="str">
        <f>IF(Placemat!$F$4="All Practices","All Practices",IF(VLOOKUP(B106,Table7[#All],6,FALSE)="No Mapping","New CMMC Practices","Practices with NIST 800-171 Mappings"))</f>
        <v>Practices with NIST 800-171 Mappings</v>
      </c>
      <c r="F106" t="str">
        <f>INDEX('CMMC Levels'!$A$1:$F$172,MATCH('Selection Pane Data'!$C106,'CMMC Levels'!$A$1:$A$172,0),MATCH(Placemat!$F$4,'CMMC Levels'!$A$1:$F$1,0))</f>
        <v>X</v>
      </c>
      <c r="G106" s="77" t="str">
        <f>IF((COUNTIF(List!H104:CE104,"P")+COUNTIF(List!H104:CE104,"S"))=0,"N",IF(COUNTIF(H106:CE106,"P"),"P",IF(COUNTIF(H106:CE106,"S"),"S","U")))</f>
        <v>U</v>
      </c>
      <c r="H106" s="13" t="str">
        <f>IF(H$4="Yes",INDEX(List!$E$2:$CD$173,MATCH('Selection Pane Data'!$B106,List!$E$2:$E$173,0),MATCH('Selection Pane Data'!H$3,List!$E$2:$CD$2,0)),"")</f>
        <v/>
      </c>
      <c r="I106" s="13" t="str">
        <f>IF(I$4="Yes",INDEX(List!$E$2:$CD$173,MATCH('Selection Pane Data'!$B106,List!$E$2:$E$173,0),MATCH('Selection Pane Data'!I$3,List!$E$2:$CD$2,0)),"")</f>
        <v/>
      </c>
      <c r="J106" s="13" t="str">
        <f>IF(J$4="Yes",INDEX(List!$E$2:$CD$173,MATCH('Selection Pane Data'!$B106,List!$E$2:$E$173,0),MATCH('Selection Pane Data'!J$3,List!$E$2:$CD$2,0)),"")</f>
        <v>N</v>
      </c>
      <c r="K106" s="13" t="str">
        <f>IF(K$4="Yes",INDEX(List!$E$2:$CD$173,MATCH('Selection Pane Data'!$B106,List!$E$2:$E$173,0),MATCH('Selection Pane Data'!K$3,List!$E$2:$CD$2,0)),"")</f>
        <v/>
      </c>
      <c r="L106" s="13" t="str">
        <f>IF(L$4="Yes",INDEX(List!$E$2:$CD$173,MATCH('Selection Pane Data'!$B106,List!$E$2:$E$173,0),MATCH('Selection Pane Data'!L$3,List!$E$2:$CD$2,0)),"")</f>
        <v/>
      </c>
      <c r="M106" s="13" t="str">
        <f>IF(M$4="Yes",INDEX(List!$E$2:$CD$173,MATCH('Selection Pane Data'!$B106,List!$E$2:$E$173,0),MATCH('Selection Pane Data'!M$3,List!$E$2:$CD$2,0)),"")</f>
        <v/>
      </c>
      <c r="N106" s="13" t="str">
        <f>IF(N$4="Yes",INDEX(List!$E$2:$CD$173,MATCH('Selection Pane Data'!$B106,List!$E$2:$E$173,0),MATCH('Selection Pane Data'!N$3,List!$E$2:$CD$2,0)),"")</f>
        <v/>
      </c>
      <c r="O106" s="13" t="str">
        <f>IF(O$4="Yes",INDEX(List!$E$2:$CD$173,MATCH('Selection Pane Data'!$B106,List!$E$2:$E$173,0),MATCH('Selection Pane Data'!O$3,List!$E$2:$CD$2,0)),"")</f>
        <v/>
      </c>
      <c r="P106" s="13" t="str">
        <f>IF(P$4="Yes",INDEX(List!$E$2:$CD$173,MATCH('Selection Pane Data'!$B106,List!$E$2:$E$173,0),MATCH('Selection Pane Data'!P$3,List!$E$2:$CD$2,0)),"")</f>
        <v/>
      </c>
      <c r="Q106" s="13" t="str">
        <f>IF(Q$4="Yes",INDEX(List!$E$2:$CD$173,MATCH('Selection Pane Data'!$B106,List!$E$2:$E$173,0),MATCH('Selection Pane Data'!Q$3,List!$E$2:$CD$2,0)),"")</f>
        <v/>
      </c>
      <c r="R106" s="13" t="str">
        <f>IF(R$4="Yes",INDEX(List!$E$2:$CD$173,MATCH('Selection Pane Data'!$B106,List!$E$2:$E$173,0),MATCH('Selection Pane Data'!R$3,List!$E$2:$CD$2,0)),"")</f>
        <v/>
      </c>
      <c r="S106" s="13" t="str">
        <f>IF(S$4="Yes",INDEX(List!$E$2:$CD$173,MATCH('Selection Pane Data'!$B106,List!$E$2:$E$173,0),MATCH('Selection Pane Data'!S$3,List!$E$2:$CD$2,0)),"")</f>
        <v/>
      </c>
      <c r="T106" s="13" t="str">
        <f>IF(T$4="Yes",INDEX(List!$E$2:$CD$173,MATCH('Selection Pane Data'!$B106,List!$E$2:$E$173,0),MATCH('Selection Pane Data'!T$3,List!$E$2:$CD$2,0)),"")</f>
        <v/>
      </c>
      <c r="U106" s="13" t="str">
        <f>IF(U$4="Yes",INDEX(List!$E$2:$CD$173,MATCH('Selection Pane Data'!$B106,List!$E$2:$E$173,0),MATCH('Selection Pane Data'!U$3,List!$E$2:$CD$2,0)),"")</f>
        <v/>
      </c>
      <c r="V106" s="13" t="str">
        <f>IF(V$4="Yes",INDEX(List!$E$2:$CD$173,MATCH('Selection Pane Data'!$B106,List!$E$2:$E$173,0),MATCH('Selection Pane Data'!V$3,List!$E$2:$CD$2,0)),"")</f>
        <v/>
      </c>
      <c r="W106" s="13" t="str">
        <f>IF(W$4="Yes",INDEX(List!$E$2:$CD$173,MATCH('Selection Pane Data'!$B106,List!$E$2:$E$173,0),MATCH('Selection Pane Data'!W$3,List!$E$2:$CD$2,0)),"")</f>
        <v/>
      </c>
      <c r="X106" s="13" t="str">
        <f>IF(X$4="Yes",INDEX(List!$E$2:$CD$173,MATCH('Selection Pane Data'!$B106,List!$E$2:$E$173,0),MATCH('Selection Pane Data'!X$3,List!$E$2:$CD$2,0)),"")</f>
        <v/>
      </c>
      <c r="Y106" s="13" t="str">
        <f>IF(Y$4="Yes",INDEX(List!$E$2:$CD$173,MATCH('Selection Pane Data'!$B106,List!$E$2:$E$173,0),MATCH('Selection Pane Data'!Y$3,List!$E$2:$CD$2,0)),"")</f>
        <v/>
      </c>
      <c r="Z106" s="13" t="str">
        <f>IF(Z$4="Yes",INDEX(List!$E$2:$CD$173,MATCH('Selection Pane Data'!$B106,List!$E$2:$E$173,0),MATCH('Selection Pane Data'!Z$3,List!$E$2:$CD$2,0)),"")</f>
        <v/>
      </c>
      <c r="AA106" s="13" t="str">
        <f>IF(AA$4="Yes",INDEX(List!$E$2:$CD$173,MATCH('Selection Pane Data'!$B106,List!$E$2:$E$173,0),MATCH('Selection Pane Data'!AA$3,List!$E$2:$CD$2,0)),"")</f>
        <v>N</v>
      </c>
      <c r="AB106" s="13" t="str">
        <f>IF(AB$4="Yes",INDEX(List!$E$2:$CD$173,MATCH('Selection Pane Data'!$B106,List!$E$2:$E$173,0),MATCH('Selection Pane Data'!AB$3,List!$E$2:$CD$2,0)),"")</f>
        <v/>
      </c>
      <c r="AC106" s="13" t="str">
        <f>IF(AC$4="Yes",INDEX(List!$E$2:$CD$173,MATCH('Selection Pane Data'!$B106,List!$E$2:$E$173,0),MATCH('Selection Pane Data'!AC$3,List!$E$2:$CD$2,0)),"")</f>
        <v/>
      </c>
      <c r="AD106" s="13" t="str">
        <f>IF(AD$4="Yes",INDEX(List!$E$2:$CD$173,MATCH('Selection Pane Data'!$B106,List!$E$2:$E$173,0),MATCH('Selection Pane Data'!AD$3,List!$E$2:$CD$2,0)),"")</f>
        <v/>
      </c>
      <c r="AE106" s="13" t="str">
        <f>IF(AE$4="Yes",INDEX(List!$E$2:$CD$173,MATCH('Selection Pane Data'!$B106,List!$E$2:$E$173,0),MATCH('Selection Pane Data'!AE$3,List!$E$2:$CD$2,0)),"")</f>
        <v/>
      </c>
      <c r="AF106" s="13" t="str">
        <f>IF(AF$4="Yes",INDEX(List!$E$2:$CD$173,MATCH('Selection Pane Data'!$B106,List!$E$2:$E$173,0),MATCH('Selection Pane Data'!AF$3,List!$E$2:$CD$2,0)),"")</f>
        <v/>
      </c>
      <c r="AG106" s="13" t="str">
        <f>IF(AG$4="Yes",INDEX(List!$E$2:$CD$173,MATCH('Selection Pane Data'!$B106,List!$E$2:$E$173,0),MATCH('Selection Pane Data'!AG$3,List!$E$2:$CD$2,0)),"")</f>
        <v/>
      </c>
      <c r="AH106" s="13" t="str">
        <f>IF(AH$4="Yes",INDEX(List!$E$2:$CD$173,MATCH('Selection Pane Data'!$B106,List!$E$2:$E$173,0),MATCH('Selection Pane Data'!AH$3,List!$E$2:$CD$2,0)),"")</f>
        <v/>
      </c>
      <c r="AI106" s="13" t="str">
        <f>IF(AI$4="Yes",INDEX(List!$E$2:$CD$173,MATCH('Selection Pane Data'!$B106,List!$E$2:$E$173,0),MATCH('Selection Pane Data'!AI$3,List!$E$2:$CD$2,0)),"")</f>
        <v/>
      </c>
      <c r="AJ106" s="13" t="str">
        <f>IF(AJ$4="Yes",INDEX(List!$E$2:$CD$173,MATCH('Selection Pane Data'!$B106,List!$E$2:$E$173,0),MATCH('Selection Pane Data'!AJ$3,List!$E$2:$CD$2,0)),"")</f>
        <v/>
      </c>
      <c r="AK106" s="13" t="str">
        <f>IF(AK$4="Yes",INDEX(List!$E$2:$CD$173,MATCH('Selection Pane Data'!$B106,List!$E$2:$E$173,0),MATCH('Selection Pane Data'!AK$3,List!$E$2:$CD$2,0)),"")</f>
        <v/>
      </c>
      <c r="AL106" s="13" t="str">
        <f>IF(AL$4="Yes",INDEX(List!$E$2:$CD$173,MATCH('Selection Pane Data'!$B106,List!$E$2:$E$173,0),MATCH('Selection Pane Data'!AL$3,List!$E$2:$CD$2,0)),"")</f>
        <v/>
      </c>
      <c r="AM106" s="13" t="str">
        <f>IF(AM$4="Yes",INDEX(List!$E$2:$CD$173,MATCH('Selection Pane Data'!$B106,List!$E$2:$E$173,0),MATCH('Selection Pane Data'!AM$3,List!$E$2:$CD$2,0)),"")</f>
        <v/>
      </c>
      <c r="AN106" s="13" t="str">
        <f>IF(AN$4="Yes",INDEX(List!$E$2:$CD$173,MATCH('Selection Pane Data'!$B106,List!$E$2:$E$173,0),MATCH('Selection Pane Data'!AN$3,List!$E$2:$CD$2,0)),"")</f>
        <v/>
      </c>
      <c r="AO106" s="13" t="str">
        <f>IF(AO$4="Yes",INDEX(List!$E$2:$CD$173,MATCH('Selection Pane Data'!$B106,List!$E$2:$E$173,0),MATCH('Selection Pane Data'!AO$3,List!$E$2:$CD$2,0)),"")</f>
        <v/>
      </c>
      <c r="AP106" s="13" t="str">
        <f>IF(AP$4="Yes",INDEX(List!$E$2:$CD$173,MATCH('Selection Pane Data'!$B106,List!$E$2:$E$173,0),MATCH('Selection Pane Data'!AP$3,List!$E$2:$CD$2,0)),"")</f>
        <v/>
      </c>
      <c r="AQ106" s="13" t="str">
        <f>IF(AQ$4="Yes",INDEX(List!$E$2:$CD$173,MATCH('Selection Pane Data'!$B106,List!$E$2:$E$173,0),MATCH('Selection Pane Data'!AQ$3,List!$E$2:$CD$2,0)),"")</f>
        <v/>
      </c>
      <c r="AR106" s="13" t="str">
        <f>IF(AR$4="Yes",INDEX(List!$E$2:$CD$173,MATCH('Selection Pane Data'!$B106,List!$E$2:$E$173,0),MATCH('Selection Pane Data'!AR$3,List!$E$2:$CD$2,0)),"")</f>
        <v/>
      </c>
      <c r="AS106" s="13" t="str">
        <f>IF(AS$4="Yes",INDEX(List!$E$2:$CD$173,MATCH('Selection Pane Data'!$B106,List!$E$2:$E$173,0),MATCH('Selection Pane Data'!AS$3,List!$E$2:$CD$2,0)),"")</f>
        <v/>
      </c>
      <c r="AT106" s="13" t="str">
        <f>IF(AT$4="Yes",INDEX(List!$E$2:$CD$173,MATCH('Selection Pane Data'!$B106,List!$E$2:$E$173,0),MATCH('Selection Pane Data'!AT$3,List!$E$2:$CD$2,0)),"")</f>
        <v/>
      </c>
      <c r="AU106" s="13" t="str">
        <f>IF(AU$4="Yes",INDEX(List!$E$2:$CD$173,MATCH('Selection Pane Data'!$B106,List!$E$2:$E$173,0),MATCH('Selection Pane Data'!AU$3,List!$E$2:$CD$2,0)),"")</f>
        <v/>
      </c>
      <c r="AV106" s="13" t="str">
        <f>IF(AV$4="Yes",INDEX(List!$E$2:$CD$173,MATCH('Selection Pane Data'!$B106,List!$E$2:$E$173,0),MATCH('Selection Pane Data'!AV$3,List!$E$2:$CD$2,0)),"")</f>
        <v/>
      </c>
      <c r="AW106" s="13" t="str">
        <f>IF(AW$4="Yes",INDEX(List!$E$2:$CD$173,MATCH('Selection Pane Data'!$B106,List!$E$2:$E$173,0),MATCH('Selection Pane Data'!AW$3,List!$E$2:$CD$2,0)),"")</f>
        <v/>
      </c>
      <c r="AX106" s="13" t="str">
        <f>IF(AX$4="Yes",INDEX(List!$E$2:$CD$173,MATCH('Selection Pane Data'!$B106,List!$E$2:$E$173,0),MATCH('Selection Pane Data'!AX$3,List!$E$2:$CD$2,0)),"")</f>
        <v/>
      </c>
      <c r="AY106" s="13" t="str">
        <f>IF(AY$4="Yes",INDEX(List!$E$2:$CD$173,MATCH('Selection Pane Data'!$B106,List!$E$2:$E$173,0),MATCH('Selection Pane Data'!AY$3,List!$E$2:$CD$2,0)),"")</f>
        <v/>
      </c>
      <c r="AZ106" s="13" t="str">
        <f>IF(AZ$4="Yes",INDEX(List!$E$2:$CD$173,MATCH('Selection Pane Data'!$B106,List!$E$2:$E$173,0),MATCH('Selection Pane Data'!AZ$3,List!$E$2:$CD$2,0)),"")</f>
        <v/>
      </c>
      <c r="BA106" s="13" t="str">
        <f>IF(BA$4="Yes",INDEX(List!$E$2:$CD$173,MATCH('Selection Pane Data'!$B106,List!$E$2:$E$173,0),MATCH('Selection Pane Data'!BA$3,List!$E$2:$CD$2,0)),"")</f>
        <v/>
      </c>
      <c r="BB106" s="13" t="str">
        <f>IF(BB$4="Yes",INDEX(List!$E$2:$CD$173,MATCH('Selection Pane Data'!$B106,List!$E$2:$E$173,0),MATCH('Selection Pane Data'!BB$3,List!$E$2:$CD$2,0)),"")</f>
        <v/>
      </c>
      <c r="BC106" s="13" t="str">
        <f>IF(BC$4="Yes",INDEX(List!$E$2:$CD$173,MATCH('Selection Pane Data'!$B106,List!$E$2:$E$173,0),MATCH('Selection Pane Data'!BC$3,List!$E$2:$CD$2,0)),"")</f>
        <v/>
      </c>
      <c r="BD106" s="13" t="str">
        <f>IF(BD$4="Yes",INDEX(List!$E$2:$CD$173,MATCH('Selection Pane Data'!$B106,List!$E$2:$E$173,0),MATCH('Selection Pane Data'!BD$3,List!$E$2:$CD$2,0)),"")</f>
        <v/>
      </c>
      <c r="BE106" s="13" t="str">
        <f>IF(BE$4="Yes",INDEX(List!$E$2:$CD$173,MATCH('Selection Pane Data'!$B106,List!$E$2:$E$173,0),MATCH('Selection Pane Data'!BE$3,List!$E$2:$CD$2,0)),"")</f>
        <v/>
      </c>
      <c r="BF106" s="13" t="str">
        <f>IF(BF$4="Yes",INDEX(List!$E$2:$CD$173,MATCH('Selection Pane Data'!$B106,List!$E$2:$E$173,0),MATCH('Selection Pane Data'!BF$3,List!$E$2:$CD$2,0)),"")</f>
        <v/>
      </c>
      <c r="BG106" s="13" t="str">
        <f>IF(BG$4="Yes",INDEX(List!$E$2:$CD$173,MATCH('Selection Pane Data'!$B106,List!$E$2:$E$173,0),MATCH('Selection Pane Data'!BG$3,List!$E$2:$CD$2,0)),"")</f>
        <v/>
      </c>
      <c r="BH106" s="13" t="str">
        <f>IF(BH$4="Yes",INDEX(List!$E$2:$CD$173,MATCH('Selection Pane Data'!$B106,List!$E$2:$E$173,0),MATCH('Selection Pane Data'!BH$3,List!$E$2:$CD$2,0)),"")</f>
        <v/>
      </c>
      <c r="BI106" s="13" t="str">
        <f>IF(BI$4="Yes",INDEX(List!$E$2:$CD$173,MATCH('Selection Pane Data'!$B106,List!$E$2:$E$173,0),MATCH('Selection Pane Data'!BI$3,List!$E$2:$CD$2,0)),"")</f>
        <v/>
      </c>
      <c r="BJ106" s="13" t="str">
        <f>IF(BJ$4="Yes",INDEX(List!$E$2:$CD$173,MATCH('Selection Pane Data'!$B106,List!$E$2:$E$173,0),MATCH('Selection Pane Data'!BJ$3,List!$E$2:$CD$2,0)),"")</f>
        <v/>
      </c>
      <c r="BK106" s="13" t="str">
        <f>IF(BK$4="Yes",INDEX(List!$E$2:$CD$173,MATCH('Selection Pane Data'!$B106,List!$E$2:$E$173,0),MATCH('Selection Pane Data'!BK$3,List!$E$2:$CD$2,0)),"")</f>
        <v/>
      </c>
      <c r="BL106" s="13" t="str">
        <f>IF(BL$4="Yes",INDEX(List!$E$2:$CD$173,MATCH('Selection Pane Data'!$B106,List!$E$2:$E$173,0),MATCH('Selection Pane Data'!BL$3,List!$E$2:$CD$2,0)),"")</f>
        <v/>
      </c>
      <c r="BM106" s="13" t="str">
        <f>IF(BM$4="Yes",INDEX(List!$E$2:$CD$173,MATCH('Selection Pane Data'!$B106,List!$E$2:$E$173,0),MATCH('Selection Pane Data'!BM$3,List!$E$2:$CD$2,0)),"")</f>
        <v/>
      </c>
      <c r="BN106" s="13" t="str">
        <f>IF(BN$4="Yes",INDEX(List!$E$2:$CD$173,MATCH('Selection Pane Data'!$B106,List!$E$2:$E$173,0),MATCH('Selection Pane Data'!BN$3,List!$E$2:$CD$2,0)),"")</f>
        <v/>
      </c>
      <c r="BO106" s="13" t="str">
        <f>IF(BO$4="Yes",INDEX(List!$E$2:$CD$173,MATCH('Selection Pane Data'!$B106,List!$E$2:$E$173,0),MATCH('Selection Pane Data'!BO$3,List!$E$2:$CD$2,0)),"")</f>
        <v/>
      </c>
      <c r="BP106" s="13" t="str">
        <f>IF(BP$4="Yes",INDEX(List!$E$2:$CD$173,MATCH('Selection Pane Data'!$B106,List!$E$2:$E$173,0),MATCH('Selection Pane Data'!BP$3,List!$E$2:$CD$2,0)),"")</f>
        <v/>
      </c>
      <c r="BQ106" s="13" t="str">
        <f>IF(BQ$4="Yes",INDEX(List!$E$2:$CD$173,MATCH('Selection Pane Data'!$B106,List!$E$2:$E$173,0),MATCH('Selection Pane Data'!BQ$3,List!$E$2:$CD$2,0)),"")</f>
        <v/>
      </c>
      <c r="BR106" s="13" t="str">
        <f>IF(BR$4="Yes",INDEX(List!$E$2:$CD$173,MATCH('Selection Pane Data'!$B106,List!$E$2:$E$173,0),MATCH('Selection Pane Data'!BR$3,List!$E$2:$CD$2,0)),"")</f>
        <v/>
      </c>
      <c r="BS106" s="13" t="str">
        <f>IF(BS$4="Yes",INDEX(List!$E$2:$CD$173,MATCH('Selection Pane Data'!$B106,List!$E$2:$E$173,0),MATCH('Selection Pane Data'!BS$3,List!$E$2:$CD$2,0)),"")</f>
        <v/>
      </c>
      <c r="BT106" s="13" t="str">
        <f>IF(BT$4="Yes",INDEX(List!$E$2:$CD$173,MATCH('Selection Pane Data'!$B106,List!$E$2:$E$173,0),MATCH('Selection Pane Data'!BT$3,List!$E$2:$CD$2,0)),"")</f>
        <v/>
      </c>
      <c r="BU106" s="13" t="str">
        <f>IF(BU$4="Yes",INDEX(List!$E$2:$CD$173,MATCH('Selection Pane Data'!$B106,List!$E$2:$E$173,0),MATCH('Selection Pane Data'!BU$3,List!$E$2:$CD$2,0)),"")</f>
        <v/>
      </c>
      <c r="BV106" s="13" t="str">
        <f>IF(BV$4="Yes",INDEX(List!$E$2:$CD$173,MATCH('Selection Pane Data'!$B106,List!$E$2:$E$173,0),MATCH('Selection Pane Data'!BV$3,List!$E$2:$CD$2,0)),"")</f>
        <v/>
      </c>
      <c r="BW106" s="13" t="str">
        <f>IF(BW$4="Yes",INDEX(List!$E$2:$CD$173,MATCH('Selection Pane Data'!$B106,List!$E$2:$E$173,0),MATCH('Selection Pane Data'!BW$3,List!$E$2:$CD$2,0)),"")</f>
        <v/>
      </c>
      <c r="BX106" s="13" t="str">
        <f>IF(BX$4="Yes",INDEX(List!$E$2:$CD$173,MATCH('Selection Pane Data'!$B106,List!$E$2:$E$173,0),MATCH('Selection Pane Data'!BX$3,List!$E$2:$CD$2,0)),"")</f>
        <v/>
      </c>
      <c r="BY106" s="13" t="str">
        <f>IF(BY$4="Yes",INDEX(List!$E$2:$CD$173,MATCH('Selection Pane Data'!$B106,List!$E$2:$E$173,0),MATCH('Selection Pane Data'!BY$3,List!$E$2:$CD$2,0)),"")</f>
        <v/>
      </c>
      <c r="BZ106" s="13" t="str">
        <f>IF(BZ$4="Yes",INDEX(List!$E$2:$CD$173,MATCH('Selection Pane Data'!$B106,List!$E$2:$E$173,0),MATCH('Selection Pane Data'!BZ$3,List!$E$2:$CD$2,0)),"")</f>
        <v/>
      </c>
      <c r="CA106" s="13" t="str">
        <f>IF(CA$4="Yes",INDEX(List!$E$2:$CD$173,MATCH('Selection Pane Data'!$B106,List!$E$2:$E$173,0),MATCH('Selection Pane Data'!CA$3,List!$E$2:$CD$2,0)),"")</f>
        <v/>
      </c>
      <c r="CB106" s="13" t="str">
        <f>IF(CB$4="Yes",INDEX(List!$E$2:$CD$173,MATCH('Selection Pane Data'!$B106,List!$E$2:$E$173,0),MATCH('Selection Pane Data'!CB$3,List!$E$2:$CD$2,0)),"")</f>
        <v/>
      </c>
      <c r="CC106" s="13" t="str">
        <f>IF(CC$4="Yes",INDEX(List!$E$2:$CD$173,MATCH('Selection Pane Data'!$B106,List!$E$2:$E$173,0),MATCH('Selection Pane Data'!CC$3,List!$E$2:$CD$2,0)),"")</f>
        <v/>
      </c>
      <c r="CD106" s="13" t="str">
        <f>IF(CD$4="Yes",INDEX(List!$E$2:$CD$173,MATCH('Selection Pane Data'!$B106,List!$E$2:$E$173,0),MATCH('Selection Pane Data'!CD$3,List!$E$2:$CD$2,0)),"")</f>
        <v/>
      </c>
      <c r="CE106" s="13" t="str">
        <f>IF(CE$4="Yes",INDEX(List!$E$2:$CD$173,MATCH('Selection Pane Data'!$B106,List!$E$2:$E$173,0),MATCH('Selection Pane Data'!CE$3,List!$E$2:$CD$2,0)),"")</f>
        <v/>
      </c>
    </row>
    <row r="107" spans="2:83" x14ac:dyDescent="0.35">
      <c r="B107" s="21" t="s">
        <v>394</v>
      </c>
      <c r="C107" s="126" t="str">
        <f>VLOOKUP(B107,List!$E$2:$G$173,2,FALSE)</f>
        <v>MP.L2-3.8.5</v>
      </c>
      <c r="D107" s="31" t="str">
        <f>List!G105</f>
        <v>Shared Coverage</v>
      </c>
      <c r="E107" s="31" t="str">
        <f>IF(Placemat!$F$4="All Practices","All Practices",IF(VLOOKUP(B107,Table7[#All],6,FALSE)="No Mapping","New CMMC Practices","Practices with NIST 800-171 Mappings"))</f>
        <v>Practices with NIST 800-171 Mappings</v>
      </c>
      <c r="F107" t="str">
        <f>INDEX('CMMC Levels'!$A$1:$F$172,MATCH('Selection Pane Data'!$C107,'CMMC Levels'!$A$1:$A$172,0),MATCH(Placemat!$F$4,'CMMC Levels'!$A$1:$F$1,0))</f>
        <v>X</v>
      </c>
      <c r="G107" s="77" t="str">
        <f>IF((COUNTIF(List!H105:CE105,"P")+COUNTIF(List!H105:CE105,"S"))=0,"N",IF(COUNTIF(H107:CE107,"P"),"P",IF(COUNTIF(H107:CE107,"S"),"S","U")))</f>
        <v>U</v>
      </c>
      <c r="H107" s="13" t="str">
        <f>IF(H$4="Yes",INDEX(List!$E$2:$CD$173,MATCH('Selection Pane Data'!$B107,List!$E$2:$E$173,0),MATCH('Selection Pane Data'!H$3,List!$E$2:$CD$2,0)),"")</f>
        <v/>
      </c>
      <c r="I107" s="13" t="str">
        <f>IF(I$4="Yes",INDEX(List!$E$2:$CD$173,MATCH('Selection Pane Data'!$B107,List!$E$2:$E$173,0),MATCH('Selection Pane Data'!I$3,List!$E$2:$CD$2,0)),"")</f>
        <v/>
      </c>
      <c r="J107" s="13" t="str">
        <f>IF(J$4="Yes",INDEX(List!$E$2:$CD$173,MATCH('Selection Pane Data'!$B107,List!$E$2:$E$173,0),MATCH('Selection Pane Data'!J$3,List!$E$2:$CD$2,0)),"")</f>
        <v>N</v>
      </c>
      <c r="K107" s="13" t="str">
        <f>IF(K$4="Yes",INDEX(List!$E$2:$CD$173,MATCH('Selection Pane Data'!$B107,List!$E$2:$E$173,0),MATCH('Selection Pane Data'!K$3,List!$E$2:$CD$2,0)),"")</f>
        <v/>
      </c>
      <c r="L107" s="13" t="str">
        <f>IF(L$4="Yes",INDEX(List!$E$2:$CD$173,MATCH('Selection Pane Data'!$B107,List!$E$2:$E$173,0),MATCH('Selection Pane Data'!L$3,List!$E$2:$CD$2,0)),"")</f>
        <v/>
      </c>
      <c r="M107" s="13" t="str">
        <f>IF(M$4="Yes",INDEX(List!$E$2:$CD$173,MATCH('Selection Pane Data'!$B107,List!$E$2:$E$173,0),MATCH('Selection Pane Data'!M$3,List!$E$2:$CD$2,0)),"")</f>
        <v/>
      </c>
      <c r="N107" s="13" t="str">
        <f>IF(N$4="Yes",INDEX(List!$E$2:$CD$173,MATCH('Selection Pane Data'!$B107,List!$E$2:$E$173,0),MATCH('Selection Pane Data'!N$3,List!$E$2:$CD$2,0)),"")</f>
        <v/>
      </c>
      <c r="O107" s="13" t="str">
        <f>IF(O$4="Yes",INDEX(List!$E$2:$CD$173,MATCH('Selection Pane Data'!$B107,List!$E$2:$E$173,0),MATCH('Selection Pane Data'!O$3,List!$E$2:$CD$2,0)),"")</f>
        <v/>
      </c>
      <c r="P107" s="13" t="str">
        <f>IF(P$4="Yes",INDEX(List!$E$2:$CD$173,MATCH('Selection Pane Data'!$B107,List!$E$2:$E$173,0),MATCH('Selection Pane Data'!P$3,List!$E$2:$CD$2,0)),"")</f>
        <v/>
      </c>
      <c r="Q107" s="13" t="str">
        <f>IF(Q$4="Yes",INDEX(List!$E$2:$CD$173,MATCH('Selection Pane Data'!$B107,List!$E$2:$E$173,0),MATCH('Selection Pane Data'!Q$3,List!$E$2:$CD$2,0)),"")</f>
        <v/>
      </c>
      <c r="R107" s="13" t="str">
        <f>IF(R$4="Yes",INDEX(List!$E$2:$CD$173,MATCH('Selection Pane Data'!$B107,List!$E$2:$E$173,0),MATCH('Selection Pane Data'!R$3,List!$E$2:$CD$2,0)),"")</f>
        <v/>
      </c>
      <c r="S107" s="13" t="str">
        <f>IF(S$4="Yes",INDEX(List!$E$2:$CD$173,MATCH('Selection Pane Data'!$B107,List!$E$2:$E$173,0),MATCH('Selection Pane Data'!S$3,List!$E$2:$CD$2,0)),"")</f>
        <v/>
      </c>
      <c r="T107" s="13" t="str">
        <f>IF(T$4="Yes",INDEX(List!$E$2:$CD$173,MATCH('Selection Pane Data'!$B107,List!$E$2:$E$173,0),MATCH('Selection Pane Data'!T$3,List!$E$2:$CD$2,0)),"")</f>
        <v/>
      </c>
      <c r="U107" s="13" t="str">
        <f>IF(U$4="Yes",INDEX(List!$E$2:$CD$173,MATCH('Selection Pane Data'!$B107,List!$E$2:$E$173,0),MATCH('Selection Pane Data'!U$3,List!$E$2:$CD$2,0)),"")</f>
        <v/>
      </c>
      <c r="V107" s="13" t="str">
        <f>IF(V$4="Yes",INDEX(List!$E$2:$CD$173,MATCH('Selection Pane Data'!$B107,List!$E$2:$E$173,0),MATCH('Selection Pane Data'!V$3,List!$E$2:$CD$2,0)),"")</f>
        <v/>
      </c>
      <c r="W107" s="13" t="str">
        <f>IF(W$4="Yes",INDEX(List!$E$2:$CD$173,MATCH('Selection Pane Data'!$B107,List!$E$2:$E$173,0),MATCH('Selection Pane Data'!W$3,List!$E$2:$CD$2,0)),"")</f>
        <v/>
      </c>
      <c r="X107" s="13" t="str">
        <f>IF(X$4="Yes",INDEX(List!$E$2:$CD$173,MATCH('Selection Pane Data'!$B107,List!$E$2:$E$173,0),MATCH('Selection Pane Data'!X$3,List!$E$2:$CD$2,0)),"")</f>
        <v/>
      </c>
      <c r="Y107" s="13" t="str">
        <f>IF(Y$4="Yes",INDEX(List!$E$2:$CD$173,MATCH('Selection Pane Data'!$B107,List!$E$2:$E$173,0),MATCH('Selection Pane Data'!Y$3,List!$E$2:$CD$2,0)),"")</f>
        <v/>
      </c>
      <c r="Z107" s="13" t="str">
        <f>IF(Z$4="Yes",INDEX(List!$E$2:$CD$173,MATCH('Selection Pane Data'!$B107,List!$E$2:$E$173,0),MATCH('Selection Pane Data'!Z$3,List!$E$2:$CD$2,0)),"")</f>
        <v/>
      </c>
      <c r="AA107" s="13" t="str">
        <f>IF(AA$4="Yes",INDEX(List!$E$2:$CD$173,MATCH('Selection Pane Data'!$B107,List!$E$2:$E$173,0),MATCH('Selection Pane Data'!AA$3,List!$E$2:$CD$2,0)),"")</f>
        <v>N</v>
      </c>
      <c r="AB107" s="13" t="str">
        <f>IF(AB$4="Yes",INDEX(List!$E$2:$CD$173,MATCH('Selection Pane Data'!$B107,List!$E$2:$E$173,0),MATCH('Selection Pane Data'!AB$3,List!$E$2:$CD$2,0)),"")</f>
        <v/>
      </c>
      <c r="AC107" s="13" t="str">
        <f>IF(AC$4="Yes",INDEX(List!$E$2:$CD$173,MATCH('Selection Pane Data'!$B107,List!$E$2:$E$173,0),MATCH('Selection Pane Data'!AC$3,List!$E$2:$CD$2,0)),"")</f>
        <v/>
      </c>
      <c r="AD107" s="13" t="str">
        <f>IF(AD$4="Yes",INDEX(List!$E$2:$CD$173,MATCH('Selection Pane Data'!$B107,List!$E$2:$E$173,0),MATCH('Selection Pane Data'!AD$3,List!$E$2:$CD$2,0)),"")</f>
        <v/>
      </c>
      <c r="AE107" s="13" t="str">
        <f>IF(AE$4="Yes",INDEX(List!$E$2:$CD$173,MATCH('Selection Pane Data'!$B107,List!$E$2:$E$173,0),MATCH('Selection Pane Data'!AE$3,List!$E$2:$CD$2,0)),"")</f>
        <v/>
      </c>
      <c r="AF107" s="13" t="str">
        <f>IF(AF$4="Yes",INDEX(List!$E$2:$CD$173,MATCH('Selection Pane Data'!$B107,List!$E$2:$E$173,0),MATCH('Selection Pane Data'!AF$3,List!$E$2:$CD$2,0)),"")</f>
        <v/>
      </c>
      <c r="AG107" s="13" t="str">
        <f>IF(AG$4="Yes",INDEX(List!$E$2:$CD$173,MATCH('Selection Pane Data'!$B107,List!$E$2:$E$173,0),MATCH('Selection Pane Data'!AG$3,List!$E$2:$CD$2,0)),"")</f>
        <v/>
      </c>
      <c r="AH107" s="13" t="str">
        <f>IF(AH$4="Yes",INDEX(List!$E$2:$CD$173,MATCH('Selection Pane Data'!$B107,List!$E$2:$E$173,0),MATCH('Selection Pane Data'!AH$3,List!$E$2:$CD$2,0)),"")</f>
        <v/>
      </c>
      <c r="AI107" s="13" t="str">
        <f>IF(AI$4="Yes",INDEX(List!$E$2:$CD$173,MATCH('Selection Pane Data'!$B107,List!$E$2:$E$173,0),MATCH('Selection Pane Data'!AI$3,List!$E$2:$CD$2,0)),"")</f>
        <v/>
      </c>
      <c r="AJ107" s="13" t="str">
        <f>IF(AJ$4="Yes",INDEX(List!$E$2:$CD$173,MATCH('Selection Pane Data'!$B107,List!$E$2:$E$173,0),MATCH('Selection Pane Data'!AJ$3,List!$E$2:$CD$2,0)),"")</f>
        <v/>
      </c>
      <c r="AK107" s="13" t="str">
        <f>IF(AK$4="Yes",INDEX(List!$E$2:$CD$173,MATCH('Selection Pane Data'!$B107,List!$E$2:$E$173,0),MATCH('Selection Pane Data'!AK$3,List!$E$2:$CD$2,0)),"")</f>
        <v/>
      </c>
      <c r="AL107" s="13" t="str">
        <f>IF(AL$4="Yes",INDEX(List!$E$2:$CD$173,MATCH('Selection Pane Data'!$B107,List!$E$2:$E$173,0),MATCH('Selection Pane Data'!AL$3,List!$E$2:$CD$2,0)),"")</f>
        <v/>
      </c>
      <c r="AM107" s="13" t="str">
        <f>IF(AM$4="Yes",INDEX(List!$E$2:$CD$173,MATCH('Selection Pane Data'!$B107,List!$E$2:$E$173,0),MATCH('Selection Pane Data'!AM$3,List!$E$2:$CD$2,0)),"")</f>
        <v/>
      </c>
      <c r="AN107" s="13" t="str">
        <f>IF(AN$4="Yes",INDEX(List!$E$2:$CD$173,MATCH('Selection Pane Data'!$B107,List!$E$2:$E$173,0),MATCH('Selection Pane Data'!AN$3,List!$E$2:$CD$2,0)),"")</f>
        <v/>
      </c>
      <c r="AO107" s="13" t="str">
        <f>IF(AO$4="Yes",INDEX(List!$E$2:$CD$173,MATCH('Selection Pane Data'!$B107,List!$E$2:$E$173,0),MATCH('Selection Pane Data'!AO$3,List!$E$2:$CD$2,0)),"")</f>
        <v/>
      </c>
      <c r="AP107" s="13" t="str">
        <f>IF(AP$4="Yes",INDEX(List!$E$2:$CD$173,MATCH('Selection Pane Data'!$B107,List!$E$2:$E$173,0),MATCH('Selection Pane Data'!AP$3,List!$E$2:$CD$2,0)),"")</f>
        <v/>
      </c>
      <c r="AQ107" s="13" t="str">
        <f>IF(AQ$4="Yes",INDEX(List!$E$2:$CD$173,MATCH('Selection Pane Data'!$B107,List!$E$2:$E$173,0),MATCH('Selection Pane Data'!AQ$3,List!$E$2:$CD$2,0)),"")</f>
        <v/>
      </c>
      <c r="AR107" s="13" t="str">
        <f>IF(AR$4="Yes",INDEX(List!$E$2:$CD$173,MATCH('Selection Pane Data'!$B107,List!$E$2:$E$173,0),MATCH('Selection Pane Data'!AR$3,List!$E$2:$CD$2,0)),"")</f>
        <v/>
      </c>
      <c r="AS107" s="13" t="str">
        <f>IF(AS$4="Yes",INDEX(List!$E$2:$CD$173,MATCH('Selection Pane Data'!$B107,List!$E$2:$E$173,0),MATCH('Selection Pane Data'!AS$3,List!$E$2:$CD$2,0)),"")</f>
        <v/>
      </c>
      <c r="AT107" s="13" t="str">
        <f>IF(AT$4="Yes",INDEX(List!$E$2:$CD$173,MATCH('Selection Pane Data'!$B107,List!$E$2:$E$173,0),MATCH('Selection Pane Data'!AT$3,List!$E$2:$CD$2,0)),"")</f>
        <v/>
      </c>
      <c r="AU107" s="13" t="str">
        <f>IF(AU$4="Yes",INDEX(List!$E$2:$CD$173,MATCH('Selection Pane Data'!$B107,List!$E$2:$E$173,0),MATCH('Selection Pane Data'!AU$3,List!$E$2:$CD$2,0)),"")</f>
        <v/>
      </c>
      <c r="AV107" s="13" t="str">
        <f>IF(AV$4="Yes",INDEX(List!$E$2:$CD$173,MATCH('Selection Pane Data'!$B107,List!$E$2:$E$173,0),MATCH('Selection Pane Data'!AV$3,List!$E$2:$CD$2,0)),"")</f>
        <v/>
      </c>
      <c r="AW107" s="13" t="str">
        <f>IF(AW$4="Yes",INDEX(List!$E$2:$CD$173,MATCH('Selection Pane Data'!$B107,List!$E$2:$E$173,0),MATCH('Selection Pane Data'!AW$3,List!$E$2:$CD$2,0)),"")</f>
        <v/>
      </c>
      <c r="AX107" s="13" t="str">
        <f>IF(AX$4="Yes",INDEX(List!$E$2:$CD$173,MATCH('Selection Pane Data'!$B107,List!$E$2:$E$173,0),MATCH('Selection Pane Data'!AX$3,List!$E$2:$CD$2,0)),"")</f>
        <v/>
      </c>
      <c r="AY107" s="13" t="str">
        <f>IF(AY$4="Yes",INDEX(List!$E$2:$CD$173,MATCH('Selection Pane Data'!$B107,List!$E$2:$E$173,0),MATCH('Selection Pane Data'!AY$3,List!$E$2:$CD$2,0)),"")</f>
        <v/>
      </c>
      <c r="AZ107" s="13" t="str">
        <f>IF(AZ$4="Yes",INDEX(List!$E$2:$CD$173,MATCH('Selection Pane Data'!$B107,List!$E$2:$E$173,0),MATCH('Selection Pane Data'!AZ$3,List!$E$2:$CD$2,0)),"")</f>
        <v/>
      </c>
      <c r="BA107" s="13" t="str">
        <f>IF(BA$4="Yes",INDEX(List!$E$2:$CD$173,MATCH('Selection Pane Data'!$B107,List!$E$2:$E$173,0),MATCH('Selection Pane Data'!BA$3,List!$E$2:$CD$2,0)),"")</f>
        <v/>
      </c>
      <c r="BB107" s="13" t="str">
        <f>IF(BB$4="Yes",INDEX(List!$E$2:$CD$173,MATCH('Selection Pane Data'!$B107,List!$E$2:$E$173,0),MATCH('Selection Pane Data'!BB$3,List!$E$2:$CD$2,0)),"")</f>
        <v/>
      </c>
      <c r="BC107" s="13" t="str">
        <f>IF(BC$4="Yes",INDEX(List!$E$2:$CD$173,MATCH('Selection Pane Data'!$B107,List!$E$2:$E$173,0),MATCH('Selection Pane Data'!BC$3,List!$E$2:$CD$2,0)),"")</f>
        <v/>
      </c>
      <c r="BD107" s="13" t="str">
        <f>IF(BD$4="Yes",INDEX(List!$E$2:$CD$173,MATCH('Selection Pane Data'!$B107,List!$E$2:$E$173,0),MATCH('Selection Pane Data'!BD$3,List!$E$2:$CD$2,0)),"")</f>
        <v/>
      </c>
      <c r="BE107" s="13" t="str">
        <f>IF(BE$4="Yes",INDEX(List!$E$2:$CD$173,MATCH('Selection Pane Data'!$B107,List!$E$2:$E$173,0),MATCH('Selection Pane Data'!BE$3,List!$E$2:$CD$2,0)),"")</f>
        <v/>
      </c>
      <c r="BF107" s="13" t="str">
        <f>IF(BF$4="Yes",INDEX(List!$E$2:$CD$173,MATCH('Selection Pane Data'!$B107,List!$E$2:$E$173,0),MATCH('Selection Pane Data'!BF$3,List!$E$2:$CD$2,0)),"")</f>
        <v/>
      </c>
      <c r="BG107" s="13" t="str">
        <f>IF(BG$4="Yes",INDEX(List!$E$2:$CD$173,MATCH('Selection Pane Data'!$B107,List!$E$2:$E$173,0),MATCH('Selection Pane Data'!BG$3,List!$E$2:$CD$2,0)),"")</f>
        <v/>
      </c>
      <c r="BH107" s="13" t="str">
        <f>IF(BH$4="Yes",INDEX(List!$E$2:$CD$173,MATCH('Selection Pane Data'!$B107,List!$E$2:$E$173,0),MATCH('Selection Pane Data'!BH$3,List!$E$2:$CD$2,0)),"")</f>
        <v/>
      </c>
      <c r="BI107" s="13" t="str">
        <f>IF(BI$4="Yes",INDEX(List!$E$2:$CD$173,MATCH('Selection Pane Data'!$B107,List!$E$2:$E$173,0),MATCH('Selection Pane Data'!BI$3,List!$E$2:$CD$2,0)),"")</f>
        <v/>
      </c>
      <c r="BJ107" s="13" t="str">
        <f>IF(BJ$4="Yes",INDEX(List!$E$2:$CD$173,MATCH('Selection Pane Data'!$B107,List!$E$2:$E$173,0),MATCH('Selection Pane Data'!BJ$3,List!$E$2:$CD$2,0)),"")</f>
        <v/>
      </c>
      <c r="BK107" s="13" t="str">
        <f>IF(BK$4="Yes",INDEX(List!$E$2:$CD$173,MATCH('Selection Pane Data'!$B107,List!$E$2:$E$173,0),MATCH('Selection Pane Data'!BK$3,List!$E$2:$CD$2,0)),"")</f>
        <v/>
      </c>
      <c r="BL107" s="13" t="str">
        <f>IF(BL$4="Yes",INDEX(List!$E$2:$CD$173,MATCH('Selection Pane Data'!$B107,List!$E$2:$E$173,0),MATCH('Selection Pane Data'!BL$3,List!$E$2:$CD$2,0)),"")</f>
        <v/>
      </c>
      <c r="BM107" s="13" t="str">
        <f>IF(BM$4="Yes",INDEX(List!$E$2:$CD$173,MATCH('Selection Pane Data'!$B107,List!$E$2:$E$173,0),MATCH('Selection Pane Data'!BM$3,List!$E$2:$CD$2,0)),"")</f>
        <v/>
      </c>
      <c r="BN107" s="13" t="str">
        <f>IF(BN$4="Yes",INDEX(List!$E$2:$CD$173,MATCH('Selection Pane Data'!$B107,List!$E$2:$E$173,0),MATCH('Selection Pane Data'!BN$3,List!$E$2:$CD$2,0)),"")</f>
        <v/>
      </c>
      <c r="BO107" s="13" t="str">
        <f>IF(BO$4="Yes",INDEX(List!$E$2:$CD$173,MATCH('Selection Pane Data'!$B107,List!$E$2:$E$173,0),MATCH('Selection Pane Data'!BO$3,List!$E$2:$CD$2,0)),"")</f>
        <v/>
      </c>
      <c r="BP107" s="13" t="str">
        <f>IF(BP$4="Yes",INDEX(List!$E$2:$CD$173,MATCH('Selection Pane Data'!$B107,List!$E$2:$E$173,0),MATCH('Selection Pane Data'!BP$3,List!$E$2:$CD$2,0)),"")</f>
        <v/>
      </c>
      <c r="BQ107" s="13" t="str">
        <f>IF(BQ$4="Yes",INDEX(List!$E$2:$CD$173,MATCH('Selection Pane Data'!$B107,List!$E$2:$E$173,0),MATCH('Selection Pane Data'!BQ$3,List!$E$2:$CD$2,0)),"")</f>
        <v/>
      </c>
      <c r="BR107" s="13" t="str">
        <f>IF(BR$4="Yes",INDEX(List!$E$2:$CD$173,MATCH('Selection Pane Data'!$B107,List!$E$2:$E$173,0),MATCH('Selection Pane Data'!BR$3,List!$E$2:$CD$2,0)),"")</f>
        <v/>
      </c>
      <c r="BS107" s="13" t="str">
        <f>IF(BS$4="Yes",INDEX(List!$E$2:$CD$173,MATCH('Selection Pane Data'!$B107,List!$E$2:$E$173,0),MATCH('Selection Pane Data'!BS$3,List!$E$2:$CD$2,0)),"")</f>
        <v/>
      </c>
      <c r="BT107" s="13" t="str">
        <f>IF(BT$4="Yes",INDEX(List!$E$2:$CD$173,MATCH('Selection Pane Data'!$B107,List!$E$2:$E$173,0),MATCH('Selection Pane Data'!BT$3,List!$E$2:$CD$2,0)),"")</f>
        <v/>
      </c>
      <c r="BU107" s="13" t="str">
        <f>IF(BU$4="Yes",INDEX(List!$E$2:$CD$173,MATCH('Selection Pane Data'!$B107,List!$E$2:$E$173,0),MATCH('Selection Pane Data'!BU$3,List!$E$2:$CD$2,0)),"")</f>
        <v/>
      </c>
      <c r="BV107" s="13" t="str">
        <f>IF(BV$4="Yes",INDEX(List!$E$2:$CD$173,MATCH('Selection Pane Data'!$B107,List!$E$2:$E$173,0),MATCH('Selection Pane Data'!BV$3,List!$E$2:$CD$2,0)),"")</f>
        <v/>
      </c>
      <c r="BW107" s="13" t="str">
        <f>IF(BW$4="Yes",INDEX(List!$E$2:$CD$173,MATCH('Selection Pane Data'!$B107,List!$E$2:$E$173,0),MATCH('Selection Pane Data'!BW$3,List!$E$2:$CD$2,0)),"")</f>
        <v/>
      </c>
      <c r="BX107" s="13" t="str">
        <f>IF(BX$4="Yes",INDEX(List!$E$2:$CD$173,MATCH('Selection Pane Data'!$B107,List!$E$2:$E$173,0),MATCH('Selection Pane Data'!BX$3,List!$E$2:$CD$2,0)),"")</f>
        <v/>
      </c>
      <c r="BY107" s="13" t="str">
        <f>IF(BY$4="Yes",INDEX(List!$E$2:$CD$173,MATCH('Selection Pane Data'!$B107,List!$E$2:$E$173,0),MATCH('Selection Pane Data'!BY$3,List!$E$2:$CD$2,0)),"")</f>
        <v/>
      </c>
      <c r="BZ107" s="13" t="str">
        <f>IF(BZ$4="Yes",INDEX(List!$E$2:$CD$173,MATCH('Selection Pane Data'!$B107,List!$E$2:$E$173,0),MATCH('Selection Pane Data'!BZ$3,List!$E$2:$CD$2,0)),"")</f>
        <v/>
      </c>
      <c r="CA107" s="13" t="str">
        <f>IF(CA$4="Yes",INDEX(List!$E$2:$CD$173,MATCH('Selection Pane Data'!$B107,List!$E$2:$E$173,0),MATCH('Selection Pane Data'!CA$3,List!$E$2:$CD$2,0)),"")</f>
        <v/>
      </c>
      <c r="CB107" s="13" t="str">
        <f>IF(CB$4="Yes",INDEX(List!$E$2:$CD$173,MATCH('Selection Pane Data'!$B107,List!$E$2:$E$173,0),MATCH('Selection Pane Data'!CB$3,List!$E$2:$CD$2,0)),"")</f>
        <v/>
      </c>
      <c r="CC107" s="13" t="str">
        <f>IF(CC$4="Yes",INDEX(List!$E$2:$CD$173,MATCH('Selection Pane Data'!$B107,List!$E$2:$E$173,0),MATCH('Selection Pane Data'!CC$3,List!$E$2:$CD$2,0)),"")</f>
        <v/>
      </c>
      <c r="CD107" s="13" t="str">
        <f>IF(CD$4="Yes",INDEX(List!$E$2:$CD$173,MATCH('Selection Pane Data'!$B107,List!$E$2:$E$173,0),MATCH('Selection Pane Data'!CD$3,List!$E$2:$CD$2,0)),"")</f>
        <v/>
      </c>
      <c r="CE107" s="13" t="str">
        <f>IF(CE$4="Yes",INDEX(List!$E$2:$CD$173,MATCH('Selection Pane Data'!$B107,List!$E$2:$E$173,0),MATCH('Selection Pane Data'!CE$3,List!$E$2:$CD$2,0)),"")</f>
        <v/>
      </c>
    </row>
    <row r="108" spans="2:83" x14ac:dyDescent="0.35">
      <c r="B108" s="21" t="s">
        <v>395</v>
      </c>
      <c r="C108" s="126" t="str">
        <f>VLOOKUP(B108,List!$E$2:$G$173,2,FALSE)</f>
        <v>MP.L2-3.8.6</v>
      </c>
      <c r="D108" s="31" t="str">
        <f>List!G106</f>
        <v>Shared Coverage</v>
      </c>
      <c r="E108" s="31" t="str">
        <f>IF(Placemat!$F$4="All Practices","All Practices",IF(VLOOKUP(B108,Table7[#All],6,FALSE)="No Mapping","New CMMC Practices","Practices with NIST 800-171 Mappings"))</f>
        <v>Practices with NIST 800-171 Mappings</v>
      </c>
      <c r="F108" t="str">
        <f>INDEX('CMMC Levels'!$A$1:$F$172,MATCH('Selection Pane Data'!$C108,'CMMC Levels'!$A$1:$A$172,0),MATCH(Placemat!$F$4,'CMMC Levels'!$A$1:$F$1,0))</f>
        <v>X</v>
      </c>
      <c r="G108" s="77" t="str">
        <f>IF((COUNTIF(List!H106:CE106,"P")+COUNTIF(List!H106:CE106,"S"))=0,"N",IF(COUNTIF(H108:CE108,"P"),"P",IF(COUNTIF(H108:CE108,"S"),"S","U")))</f>
        <v>U</v>
      </c>
      <c r="H108" s="13" t="str">
        <f>IF(H$4="Yes",INDEX(List!$E$2:$CD$173,MATCH('Selection Pane Data'!$B108,List!$E$2:$E$173,0),MATCH('Selection Pane Data'!H$3,List!$E$2:$CD$2,0)),"")</f>
        <v/>
      </c>
      <c r="I108" s="13" t="str">
        <f>IF(I$4="Yes",INDEX(List!$E$2:$CD$173,MATCH('Selection Pane Data'!$B108,List!$E$2:$E$173,0),MATCH('Selection Pane Data'!I$3,List!$E$2:$CD$2,0)),"")</f>
        <v/>
      </c>
      <c r="J108" s="13" t="str">
        <f>IF(J$4="Yes",INDEX(List!$E$2:$CD$173,MATCH('Selection Pane Data'!$B108,List!$E$2:$E$173,0),MATCH('Selection Pane Data'!J$3,List!$E$2:$CD$2,0)),"")</f>
        <v>N</v>
      </c>
      <c r="K108" s="13" t="str">
        <f>IF(K$4="Yes",INDEX(List!$E$2:$CD$173,MATCH('Selection Pane Data'!$B108,List!$E$2:$E$173,0),MATCH('Selection Pane Data'!K$3,List!$E$2:$CD$2,0)),"")</f>
        <v/>
      </c>
      <c r="L108" s="13" t="str">
        <f>IF(L$4="Yes",INDEX(List!$E$2:$CD$173,MATCH('Selection Pane Data'!$B108,List!$E$2:$E$173,0),MATCH('Selection Pane Data'!L$3,List!$E$2:$CD$2,0)),"")</f>
        <v/>
      </c>
      <c r="M108" s="13" t="str">
        <f>IF(M$4="Yes",INDEX(List!$E$2:$CD$173,MATCH('Selection Pane Data'!$B108,List!$E$2:$E$173,0),MATCH('Selection Pane Data'!M$3,List!$E$2:$CD$2,0)),"")</f>
        <v/>
      </c>
      <c r="N108" s="13" t="str">
        <f>IF(N$4="Yes",INDEX(List!$E$2:$CD$173,MATCH('Selection Pane Data'!$B108,List!$E$2:$E$173,0),MATCH('Selection Pane Data'!N$3,List!$E$2:$CD$2,0)),"")</f>
        <v/>
      </c>
      <c r="O108" s="13" t="str">
        <f>IF(O$4="Yes",INDEX(List!$E$2:$CD$173,MATCH('Selection Pane Data'!$B108,List!$E$2:$E$173,0),MATCH('Selection Pane Data'!O$3,List!$E$2:$CD$2,0)),"")</f>
        <v/>
      </c>
      <c r="P108" s="13" t="str">
        <f>IF(P$4="Yes",INDEX(List!$E$2:$CD$173,MATCH('Selection Pane Data'!$B108,List!$E$2:$E$173,0),MATCH('Selection Pane Data'!P$3,List!$E$2:$CD$2,0)),"")</f>
        <v/>
      </c>
      <c r="Q108" s="13" t="str">
        <f>IF(Q$4="Yes",INDEX(List!$E$2:$CD$173,MATCH('Selection Pane Data'!$B108,List!$E$2:$E$173,0),MATCH('Selection Pane Data'!Q$3,List!$E$2:$CD$2,0)),"")</f>
        <v/>
      </c>
      <c r="R108" s="13" t="str">
        <f>IF(R$4="Yes",INDEX(List!$E$2:$CD$173,MATCH('Selection Pane Data'!$B108,List!$E$2:$E$173,0),MATCH('Selection Pane Data'!R$3,List!$E$2:$CD$2,0)),"")</f>
        <v/>
      </c>
      <c r="S108" s="13" t="str">
        <f>IF(S$4="Yes",INDEX(List!$E$2:$CD$173,MATCH('Selection Pane Data'!$B108,List!$E$2:$E$173,0),MATCH('Selection Pane Data'!S$3,List!$E$2:$CD$2,0)),"")</f>
        <v/>
      </c>
      <c r="T108" s="13" t="str">
        <f>IF(T$4="Yes",INDEX(List!$E$2:$CD$173,MATCH('Selection Pane Data'!$B108,List!$E$2:$E$173,0),MATCH('Selection Pane Data'!T$3,List!$E$2:$CD$2,0)),"")</f>
        <v/>
      </c>
      <c r="U108" s="13" t="str">
        <f>IF(U$4="Yes",INDEX(List!$E$2:$CD$173,MATCH('Selection Pane Data'!$B108,List!$E$2:$E$173,0),MATCH('Selection Pane Data'!U$3,List!$E$2:$CD$2,0)),"")</f>
        <v/>
      </c>
      <c r="V108" s="13" t="str">
        <f>IF(V$4="Yes",INDEX(List!$E$2:$CD$173,MATCH('Selection Pane Data'!$B108,List!$E$2:$E$173,0),MATCH('Selection Pane Data'!V$3,List!$E$2:$CD$2,0)),"")</f>
        <v/>
      </c>
      <c r="W108" s="13" t="str">
        <f>IF(W$4="Yes",INDEX(List!$E$2:$CD$173,MATCH('Selection Pane Data'!$B108,List!$E$2:$E$173,0),MATCH('Selection Pane Data'!W$3,List!$E$2:$CD$2,0)),"")</f>
        <v/>
      </c>
      <c r="X108" s="13" t="str">
        <f>IF(X$4="Yes",INDEX(List!$E$2:$CD$173,MATCH('Selection Pane Data'!$B108,List!$E$2:$E$173,0),MATCH('Selection Pane Data'!X$3,List!$E$2:$CD$2,0)),"")</f>
        <v/>
      </c>
      <c r="Y108" s="13" t="str">
        <f>IF(Y$4="Yes",INDEX(List!$E$2:$CD$173,MATCH('Selection Pane Data'!$B108,List!$E$2:$E$173,0),MATCH('Selection Pane Data'!Y$3,List!$E$2:$CD$2,0)),"")</f>
        <v/>
      </c>
      <c r="Z108" s="13" t="str">
        <f>IF(Z$4="Yes",INDEX(List!$E$2:$CD$173,MATCH('Selection Pane Data'!$B108,List!$E$2:$E$173,0),MATCH('Selection Pane Data'!Z$3,List!$E$2:$CD$2,0)),"")</f>
        <v/>
      </c>
      <c r="AA108" s="13" t="str">
        <f>IF(AA$4="Yes",INDEX(List!$E$2:$CD$173,MATCH('Selection Pane Data'!$B108,List!$E$2:$E$173,0),MATCH('Selection Pane Data'!AA$3,List!$E$2:$CD$2,0)),"")</f>
        <v>N</v>
      </c>
      <c r="AB108" s="13" t="str">
        <f>IF(AB$4="Yes",INDEX(List!$E$2:$CD$173,MATCH('Selection Pane Data'!$B108,List!$E$2:$E$173,0),MATCH('Selection Pane Data'!AB$3,List!$E$2:$CD$2,0)),"")</f>
        <v/>
      </c>
      <c r="AC108" s="13" t="str">
        <f>IF(AC$4="Yes",INDEX(List!$E$2:$CD$173,MATCH('Selection Pane Data'!$B108,List!$E$2:$E$173,0),MATCH('Selection Pane Data'!AC$3,List!$E$2:$CD$2,0)),"")</f>
        <v/>
      </c>
      <c r="AD108" s="13" t="str">
        <f>IF(AD$4="Yes",INDEX(List!$E$2:$CD$173,MATCH('Selection Pane Data'!$B108,List!$E$2:$E$173,0),MATCH('Selection Pane Data'!AD$3,List!$E$2:$CD$2,0)),"")</f>
        <v/>
      </c>
      <c r="AE108" s="13" t="str">
        <f>IF(AE$4="Yes",INDEX(List!$E$2:$CD$173,MATCH('Selection Pane Data'!$B108,List!$E$2:$E$173,0),MATCH('Selection Pane Data'!AE$3,List!$E$2:$CD$2,0)),"")</f>
        <v/>
      </c>
      <c r="AF108" s="13" t="str">
        <f>IF(AF$4="Yes",INDEX(List!$E$2:$CD$173,MATCH('Selection Pane Data'!$B108,List!$E$2:$E$173,0),MATCH('Selection Pane Data'!AF$3,List!$E$2:$CD$2,0)),"")</f>
        <v/>
      </c>
      <c r="AG108" s="13" t="str">
        <f>IF(AG$4="Yes",INDEX(List!$E$2:$CD$173,MATCH('Selection Pane Data'!$B108,List!$E$2:$E$173,0),MATCH('Selection Pane Data'!AG$3,List!$E$2:$CD$2,0)),"")</f>
        <v/>
      </c>
      <c r="AH108" s="13" t="str">
        <f>IF(AH$4="Yes",INDEX(List!$E$2:$CD$173,MATCH('Selection Pane Data'!$B108,List!$E$2:$E$173,0),MATCH('Selection Pane Data'!AH$3,List!$E$2:$CD$2,0)),"")</f>
        <v/>
      </c>
      <c r="AI108" s="13" t="str">
        <f>IF(AI$4="Yes",INDEX(List!$E$2:$CD$173,MATCH('Selection Pane Data'!$B108,List!$E$2:$E$173,0),MATCH('Selection Pane Data'!AI$3,List!$E$2:$CD$2,0)),"")</f>
        <v/>
      </c>
      <c r="AJ108" s="13" t="str">
        <f>IF(AJ$4="Yes",INDEX(List!$E$2:$CD$173,MATCH('Selection Pane Data'!$B108,List!$E$2:$E$173,0),MATCH('Selection Pane Data'!AJ$3,List!$E$2:$CD$2,0)),"")</f>
        <v/>
      </c>
      <c r="AK108" s="13" t="str">
        <f>IF(AK$4="Yes",INDEX(List!$E$2:$CD$173,MATCH('Selection Pane Data'!$B108,List!$E$2:$E$173,0),MATCH('Selection Pane Data'!AK$3,List!$E$2:$CD$2,0)),"")</f>
        <v/>
      </c>
      <c r="AL108" s="13" t="str">
        <f>IF(AL$4="Yes",INDEX(List!$E$2:$CD$173,MATCH('Selection Pane Data'!$B108,List!$E$2:$E$173,0),MATCH('Selection Pane Data'!AL$3,List!$E$2:$CD$2,0)),"")</f>
        <v/>
      </c>
      <c r="AM108" s="13" t="str">
        <f>IF(AM$4="Yes",INDEX(List!$E$2:$CD$173,MATCH('Selection Pane Data'!$B108,List!$E$2:$E$173,0),MATCH('Selection Pane Data'!AM$3,List!$E$2:$CD$2,0)),"")</f>
        <v/>
      </c>
      <c r="AN108" s="13" t="str">
        <f>IF(AN$4="Yes",INDEX(List!$E$2:$CD$173,MATCH('Selection Pane Data'!$B108,List!$E$2:$E$173,0),MATCH('Selection Pane Data'!AN$3,List!$E$2:$CD$2,0)),"")</f>
        <v/>
      </c>
      <c r="AO108" s="13" t="str">
        <f>IF(AO$4="Yes",INDEX(List!$E$2:$CD$173,MATCH('Selection Pane Data'!$B108,List!$E$2:$E$173,0),MATCH('Selection Pane Data'!AO$3,List!$E$2:$CD$2,0)),"")</f>
        <v/>
      </c>
      <c r="AP108" s="13" t="str">
        <f>IF(AP$4="Yes",INDEX(List!$E$2:$CD$173,MATCH('Selection Pane Data'!$B108,List!$E$2:$E$173,0),MATCH('Selection Pane Data'!AP$3,List!$E$2:$CD$2,0)),"")</f>
        <v/>
      </c>
      <c r="AQ108" s="13" t="str">
        <f>IF(AQ$4="Yes",INDEX(List!$E$2:$CD$173,MATCH('Selection Pane Data'!$B108,List!$E$2:$E$173,0),MATCH('Selection Pane Data'!AQ$3,List!$E$2:$CD$2,0)),"")</f>
        <v/>
      </c>
      <c r="AR108" s="13" t="str">
        <f>IF(AR$4="Yes",INDEX(List!$E$2:$CD$173,MATCH('Selection Pane Data'!$B108,List!$E$2:$E$173,0),MATCH('Selection Pane Data'!AR$3,List!$E$2:$CD$2,0)),"")</f>
        <v/>
      </c>
      <c r="AS108" s="13" t="str">
        <f>IF(AS$4="Yes",INDEX(List!$E$2:$CD$173,MATCH('Selection Pane Data'!$B108,List!$E$2:$E$173,0),MATCH('Selection Pane Data'!AS$3,List!$E$2:$CD$2,0)),"")</f>
        <v/>
      </c>
      <c r="AT108" s="13" t="str">
        <f>IF(AT$4="Yes",INDEX(List!$E$2:$CD$173,MATCH('Selection Pane Data'!$B108,List!$E$2:$E$173,0),MATCH('Selection Pane Data'!AT$3,List!$E$2:$CD$2,0)),"")</f>
        <v/>
      </c>
      <c r="AU108" s="13" t="str">
        <f>IF(AU$4="Yes",INDEX(List!$E$2:$CD$173,MATCH('Selection Pane Data'!$B108,List!$E$2:$E$173,0),MATCH('Selection Pane Data'!AU$3,List!$E$2:$CD$2,0)),"")</f>
        <v/>
      </c>
      <c r="AV108" s="13" t="str">
        <f>IF(AV$4="Yes",INDEX(List!$E$2:$CD$173,MATCH('Selection Pane Data'!$B108,List!$E$2:$E$173,0),MATCH('Selection Pane Data'!AV$3,List!$E$2:$CD$2,0)),"")</f>
        <v/>
      </c>
      <c r="AW108" s="13" t="str">
        <f>IF(AW$4="Yes",INDEX(List!$E$2:$CD$173,MATCH('Selection Pane Data'!$B108,List!$E$2:$E$173,0),MATCH('Selection Pane Data'!AW$3,List!$E$2:$CD$2,0)),"")</f>
        <v/>
      </c>
      <c r="AX108" s="13" t="str">
        <f>IF(AX$4="Yes",INDEX(List!$E$2:$CD$173,MATCH('Selection Pane Data'!$B108,List!$E$2:$E$173,0),MATCH('Selection Pane Data'!AX$3,List!$E$2:$CD$2,0)),"")</f>
        <v/>
      </c>
      <c r="AY108" s="13" t="str">
        <f>IF(AY$4="Yes",INDEX(List!$E$2:$CD$173,MATCH('Selection Pane Data'!$B108,List!$E$2:$E$173,0),MATCH('Selection Pane Data'!AY$3,List!$E$2:$CD$2,0)),"")</f>
        <v/>
      </c>
      <c r="AZ108" s="13" t="str">
        <f>IF(AZ$4="Yes",INDEX(List!$E$2:$CD$173,MATCH('Selection Pane Data'!$B108,List!$E$2:$E$173,0),MATCH('Selection Pane Data'!AZ$3,List!$E$2:$CD$2,0)),"")</f>
        <v/>
      </c>
      <c r="BA108" s="13" t="str">
        <f>IF(BA$4="Yes",INDEX(List!$E$2:$CD$173,MATCH('Selection Pane Data'!$B108,List!$E$2:$E$173,0),MATCH('Selection Pane Data'!BA$3,List!$E$2:$CD$2,0)),"")</f>
        <v/>
      </c>
      <c r="BB108" s="13" t="str">
        <f>IF(BB$4="Yes",INDEX(List!$E$2:$CD$173,MATCH('Selection Pane Data'!$B108,List!$E$2:$E$173,0),MATCH('Selection Pane Data'!BB$3,List!$E$2:$CD$2,0)),"")</f>
        <v/>
      </c>
      <c r="BC108" s="13" t="str">
        <f>IF(BC$4="Yes",INDEX(List!$E$2:$CD$173,MATCH('Selection Pane Data'!$B108,List!$E$2:$E$173,0),MATCH('Selection Pane Data'!BC$3,List!$E$2:$CD$2,0)),"")</f>
        <v/>
      </c>
      <c r="BD108" s="13" t="str">
        <f>IF(BD$4="Yes",INDEX(List!$E$2:$CD$173,MATCH('Selection Pane Data'!$B108,List!$E$2:$E$173,0),MATCH('Selection Pane Data'!BD$3,List!$E$2:$CD$2,0)),"")</f>
        <v/>
      </c>
      <c r="BE108" s="13" t="str">
        <f>IF(BE$4="Yes",INDEX(List!$E$2:$CD$173,MATCH('Selection Pane Data'!$B108,List!$E$2:$E$173,0),MATCH('Selection Pane Data'!BE$3,List!$E$2:$CD$2,0)),"")</f>
        <v/>
      </c>
      <c r="BF108" s="13" t="str">
        <f>IF(BF$4="Yes",INDEX(List!$E$2:$CD$173,MATCH('Selection Pane Data'!$B108,List!$E$2:$E$173,0),MATCH('Selection Pane Data'!BF$3,List!$E$2:$CD$2,0)),"")</f>
        <v/>
      </c>
      <c r="BG108" s="13" t="str">
        <f>IF(BG$4="Yes",INDEX(List!$E$2:$CD$173,MATCH('Selection Pane Data'!$B108,List!$E$2:$E$173,0),MATCH('Selection Pane Data'!BG$3,List!$E$2:$CD$2,0)),"")</f>
        <v/>
      </c>
      <c r="BH108" s="13" t="str">
        <f>IF(BH$4="Yes",INDEX(List!$E$2:$CD$173,MATCH('Selection Pane Data'!$B108,List!$E$2:$E$173,0),MATCH('Selection Pane Data'!BH$3,List!$E$2:$CD$2,0)),"")</f>
        <v/>
      </c>
      <c r="BI108" s="13" t="str">
        <f>IF(BI$4="Yes",INDEX(List!$E$2:$CD$173,MATCH('Selection Pane Data'!$B108,List!$E$2:$E$173,0),MATCH('Selection Pane Data'!BI$3,List!$E$2:$CD$2,0)),"")</f>
        <v/>
      </c>
      <c r="BJ108" s="13" t="str">
        <f>IF(BJ$4="Yes",INDEX(List!$E$2:$CD$173,MATCH('Selection Pane Data'!$B108,List!$E$2:$E$173,0),MATCH('Selection Pane Data'!BJ$3,List!$E$2:$CD$2,0)),"")</f>
        <v/>
      </c>
      <c r="BK108" s="13" t="str">
        <f>IF(BK$4="Yes",INDEX(List!$E$2:$CD$173,MATCH('Selection Pane Data'!$B108,List!$E$2:$E$173,0),MATCH('Selection Pane Data'!BK$3,List!$E$2:$CD$2,0)),"")</f>
        <v/>
      </c>
      <c r="BL108" s="13" t="str">
        <f>IF(BL$4="Yes",INDEX(List!$E$2:$CD$173,MATCH('Selection Pane Data'!$B108,List!$E$2:$E$173,0),MATCH('Selection Pane Data'!BL$3,List!$E$2:$CD$2,0)),"")</f>
        <v/>
      </c>
      <c r="BM108" s="13" t="str">
        <f>IF(BM$4="Yes",INDEX(List!$E$2:$CD$173,MATCH('Selection Pane Data'!$B108,List!$E$2:$E$173,0),MATCH('Selection Pane Data'!BM$3,List!$E$2:$CD$2,0)),"")</f>
        <v/>
      </c>
      <c r="BN108" s="13" t="str">
        <f>IF(BN$4="Yes",INDEX(List!$E$2:$CD$173,MATCH('Selection Pane Data'!$B108,List!$E$2:$E$173,0),MATCH('Selection Pane Data'!BN$3,List!$E$2:$CD$2,0)),"")</f>
        <v/>
      </c>
      <c r="BO108" s="13" t="str">
        <f>IF(BO$4="Yes",INDEX(List!$E$2:$CD$173,MATCH('Selection Pane Data'!$B108,List!$E$2:$E$173,0),MATCH('Selection Pane Data'!BO$3,List!$E$2:$CD$2,0)),"")</f>
        <v/>
      </c>
      <c r="BP108" s="13" t="str">
        <f>IF(BP$4="Yes",INDEX(List!$E$2:$CD$173,MATCH('Selection Pane Data'!$B108,List!$E$2:$E$173,0),MATCH('Selection Pane Data'!BP$3,List!$E$2:$CD$2,0)),"")</f>
        <v/>
      </c>
      <c r="BQ108" s="13" t="str">
        <f>IF(BQ$4="Yes",INDEX(List!$E$2:$CD$173,MATCH('Selection Pane Data'!$B108,List!$E$2:$E$173,0),MATCH('Selection Pane Data'!BQ$3,List!$E$2:$CD$2,0)),"")</f>
        <v/>
      </c>
      <c r="BR108" s="13" t="str">
        <f>IF(BR$4="Yes",INDEX(List!$E$2:$CD$173,MATCH('Selection Pane Data'!$B108,List!$E$2:$E$173,0),MATCH('Selection Pane Data'!BR$3,List!$E$2:$CD$2,0)),"")</f>
        <v/>
      </c>
      <c r="BS108" s="13" t="str">
        <f>IF(BS$4="Yes",INDEX(List!$E$2:$CD$173,MATCH('Selection Pane Data'!$B108,List!$E$2:$E$173,0),MATCH('Selection Pane Data'!BS$3,List!$E$2:$CD$2,0)),"")</f>
        <v/>
      </c>
      <c r="BT108" s="13" t="str">
        <f>IF(BT$4="Yes",INDEX(List!$E$2:$CD$173,MATCH('Selection Pane Data'!$B108,List!$E$2:$E$173,0),MATCH('Selection Pane Data'!BT$3,List!$E$2:$CD$2,0)),"")</f>
        <v/>
      </c>
      <c r="BU108" s="13" t="str">
        <f>IF(BU$4="Yes",INDEX(List!$E$2:$CD$173,MATCH('Selection Pane Data'!$B108,List!$E$2:$E$173,0),MATCH('Selection Pane Data'!BU$3,List!$E$2:$CD$2,0)),"")</f>
        <v/>
      </c>
      <c r="BV108" s="13" t="str">
        <f>IF(BV$4="Yes",INDEX(List!$E$2:$CD$173,MATCH('Selection Pane Data'!$B108,List!$E$2:$E$173,0),MATCH('Selection Pane Data'!BV$3,List!$E$2:$CD$2,0)),"")</f>
        <v/>
      </c>
      <c r="BW108" s="13" t="str">
        <f>IF(BW$4="Yes",INDEX(List!$E$2:$CD$173,MATCH('Selection Pane Data'!$B108,List!$E$2:$E$173,0),MATCH('Selection Pane Data'!BW$3,List!$E$2:$CD$2,0)),"")</f>
        <v/>
      </c>
      <c r="BX108" s="13" t="str">
        <f>IF(BX$4="Yes",INDEX(List!$E$2:$CD$173,MATCH('Selection Pane Data'!$B108,List!$E$2:$E$173,0),MATCH('Selection Pane Data'!BX$3,List!$E$2:$CD$2,0)),"")</f>
        <v/>
      </c>
      <c r="BY108" s="13" t="str">
        <f>IF(BY$4="Yes",INDEX(List!$E$2:$CD$173,MATCH('Selection Pane Data'!$B108,List!$E$2:$E$173,0),MATCH('Selection Pane Data'!BY$3,List!$E$2:$CD$2,0)),"")</f>
        <v/>
      </c>
      <c r="BZ108" s="13" t="str">
        <f>IF(BZ$4="Yes",INDEX(List!$E$2:$CD$173,MATCH('Selection Pane Data'!$B108,List!$E$2:$E$173,0),MATCH('Selection Pane Data'!BZ$3,List!$E$2:$CD$2,0)),"")</f>
        <v/>
      </c>
      <c r="CA108" s="13" t="str">
        <f>IF(CA$4="Yes",INDEX(List!$E$2:$CD$173,MATCH('Selection Pane Data'!$B108,List!$E$2:$E$173,0),MATCH('Selection Pane Data'!CA$3,List!$E$2:$CD$2,0)),"")</f>
        <v/>
      </c>
      <c r="CB108" s="13" t="str">
        <f>IF(CB$4="Yes",INDEX(List!$E$2:$CD$173,MATCH('Selection Pane Data'!$B108,List!$E$2:$E$173,0),MATCH('Selection Pane Data'!CB$3,List!$E$2:$CD$2,0)),"")</f>
        <v/>
      </c>
      <c r="CC108" s="13" t="str">
        <f>IF(CC$4="Yes",INDEX(List!$E$2:$CD$173,MATCH('Selection Pane Data'!$B108,List!$E$2:$E$173,0),MATCH('Selection Pane Data'!CC$3,List!$E$2:$CD$2,0)),"")</f>
        <v/>
      </c>
      <c r="CD108" s="13" t="str">
        <f>IF(CD$4="Yes",INDEX(List!$E$2:$CD$173,MATCH('Selection Pane Data'!$B108,List!$E$2:$E$173,0),MATCH('Selection Pane Data'!CD$3,List!$E$2:$CD$2,0)),"")</f>
        <v/>
      </c>
      <c r="CE108" s="13" t="str">
        <f>IF(CE$4="Yes",INDEX(List!$E$2:$CD$173,MATCH('Selection Pane Data'!$B108,List!$E$2:$E$173,0),MATCH('Selection Pane Data'!CE$3,List!$E$2:$CD$2,0)),"")</f>
        <v/>
      </c>
    </row>
    <row r="109" spans="2:83" x14ac:dyDescent="0.35">
      <c r="B109" s="21" t="s">
        <v>396</v>
      </c>
      <c r="C109" s="126" t="str">
        <f>VLOOKUP(B109,List!$E$2:$G$173,2,FALSE)</f>
        <v>PE.L1-3.10.1</v>
      </c>
      <c r="D109" s="31" t="str">
        <f>List!G107</f>
        <v>Microsoft Coverage</v>
      </c>
      <c r="E109" s="31" t="str">
        <f>IF(Placemat!$F$4="All Practices","All Practices",IF(VLOOKUP(B109,Table7[#All],6,FALSE)="No Mapping","New CMMC Practices","Practices with NIST 800-171 Mappings"))</f>
        <v>Practices with NIST 800-171 Mappings</v>
      </c>
      <c r="F109" t="str">
        <f>INDEX('CMMC Levels'!$A$1:$F$172,MATCH('Selection Pane Data'!$C109,'CMMC Levels'!$A$1:$A$172,0),MATCH(Placemat!$F$4,'CMMC Levels'!$A$1:$F$1,0))</f>
        <v>X</v>
      </c>
      <c r="G109" s="77" t="str">
        <f>IF((COUNTIF(List!H107:CE107,"P")+COUNTIF(List!H107:CE107,"S"))=0,"N",IF(COUNTIF(H109:CE109,"P"),"P",IF(COUNTIF(H109:CE109,"S"),"S","U")))</f>
        <v>P</v>
      </c>
      <c r="H109" s="13" t="str">
        <f>IF(H$4="Yes",INDEX(List!$E$2:$CD$173,MATCH('Selection Pane Data'!$B109,List!$E$2:$E$173,0),MATCH('Selection Pane Data'!H$3,List!$E$2:$CD$2,0)),"")</f>
        <v/>
      </c>
      <c r="I109" s="13" t="str">
        <f>IF(I$4="Yes",INDEX(List!$E$2:$CD$173,MATCH('Selection Pane Data'!$B109,List!$E$2:$E$173,0),MATCH('Selection Pane Data'!I$3,List!$E$2:$CD$2,0)),"")</f>
        <v/>
      </c>
      <c r="J109" s="13" t="str">
        <f>IF(J$4="Yes",INDEX(List!$E$2:$CD$173,MATCH('Selection Pane Data'!$B109,List!$E$2:$E$173,0),MATCH('Selection Pane Data'!J$3,List!$E$2:$CD$2,0)),"")</f>
        <v>P</v>
      </c>
      <c r="K109" s="13" t="str">
        <f>IF(K$4="Yes",INDEX(List!$E$2:$CD$173,MATCH('Selection Pane Data'!$B109,List!$E$2:$E$173,0),MATCH('Selection Pane Data'!K$3,List!$E$2:$CD$2,0)),"")</f>
        <v/>
      </c>
      <c r="L109" s="13" t="str">
        <f>IF(L$4="Yes",INDEX(List!$E$2:$CD$173,MATCH('Selection Pane Data'!$B109,List!$E$2:$E$173,0),MATCH('Selection Pane Data'!L$3,List!$E$2:$CD$2,0)),"")</f>
        <v/>
      </c>
      <c r="M109" s="13" t="str">
        <f>IF(M$4="Yes",INDEX(List!$E$2:$CD$173,MATCH('Selection Pane Data'!$B109,List!$E$2:$E$173,0),MATCH('Selection Pane Data'!M$3,List!$E$2:$CD$2,0)),"")</f>
        <v/>
      </c>
      <c r="N109" s="13" t="str">
        <f>IF(N$4="Yes",INDEX(List!$E$2:$CD$173,MATCH('Selection Pane Data'!$B109,List!$E$2:$E$173,0),MATCH('Selection Pane Data'!N$3,List!$E$2:$CD$2,0)),"")</f>
        <v/>
      </c>
      <c r="O109" s="13" t="str">
        <f>IF(O$4="Yes",INDEX(List!$E$2:$CD$173,MATCH('Selection Pane Data'!$B109,List!$E$2:$E$173,0),MATCH('Selection Pane Data'!O$3,List!$E$2:$CD$2,0)),"")</f>
        <v/>
      </c>
      <c r="P109" s="13" t="str">
        <f>IF(P$4="Yes",INDEX(List!$E$2:$CD$173,MATCH('Selection Pane Data'!$B109,List!$E$2:$E$173,0),MATCH('Selection Pane Data'!P$3,List!$E$2:$CD$2,0)),"")</f>
        <v/>
      </c>
      <c r="Q109" s="13" t="str">
        <f>IF(Q$4="Yes",INDEX(List!$E$2:$CD$173,MATCH('Selection Pane Data'!$B109,List!$E$2:$E$173,0),MATCH('Selection Pane Data'!Q$3,List!$E$2:$CD$2,0)),"")</f>
        <v/>
      </c>
      <c r="R109" s="13" t="str">
        <f>IF(R$4="Yes",INDEX(List!$E$2:$CD$173,MATCH('Selection Pane Data'!$B109,List!$E$2:$E$173,0),MATCH('Selection Pane Data'!R$3,List!$E$2:$CD$2,0)),"")</f>
        <v/>
      </c>
      <c r="S109" s="13" t="str">
        <f>IF(S$4="Yes",INDEX(List!$E$2:$CD$173,MATCH('Selection Pane Data'!$B109,List!$E$2:$E$173,0),MATCH('Selection Pane Data'!S$3,List!$E$2:$CD$2,0)),"")</f>
        <v/>
      </c>
      <c r="T109" s="13" t="str">
        <f>IF(T$4="Yes",INDEX(List!$E$2:$CD$173,MATCH('Selection Pane Data'!$B109,List!$E$2:$E$173,0),MATCH('Selection Pane Data'!T$3,List!$E$2:$CD$2,0)),"")</f>
        <v/>
      </c>
      <c r="U109" s="13" t="str">
        <f>IF(U$4="Yes",INDEX(List!$E$2:$CD$173,MATCH('Selection Pane Data'!$B109,List!$E$2:$E$173,0),MATCH('Selection Pane Data'!U$3,List!$E$2:$CD$2,0)),"")</f>
        <v/>
      </c>
      <c r="V109" s="13" t="str">
        <f>IF(V$4="Yes",INDEX(List!$E$2:$CD$173,MATCH('Selection Pane Data'!$B109,List!$E$2:$E$173,0),MATCH('Selection Pane Data'!V$3,List!$E$2:$CD$2,0)),"")</f>
        <v/>
      </c>
      <c r="W109" s="13" t="str">
        <f>IF(W$4="Yes",INDEX(List!$E$2:$CD$173,MATCH('Selection Pane Data'!$B109,List!$E$2:$E$173,0),MATCH('Selection Pane Data'!W$3,List!$E$2:$CD$2,0)),"")</f>
        <v/>
      </c>
      <c r="X109" s="13" t="str">
        <f>IF(X$4="Yes",INDEX(List!$E$2:$CD$173,MATCH('Selection Pane Data'!$B109,List!$E$2:$E$173,0),MATCH('Selection Pane Data'!X$3,List!$E$2:$CD$2,0)),"")</f>
        <v/>
      </c>
      <c r="Y109" s="13" t="str">
        <f>IF(Y$4="Yes",INDEX(List!$E$2:$CD$173,MATCH('Selection Pane Data'!$B109,List!$E$2:$E$173,0),MATCH('Selection Pane Data'!Y$3,List!$E$2:$CD$2,0)),"")</f>
        <v/>
      </c>
      <c r="Z109" s="13" t="str">
        <f>IF(Z$4="Yes",INDEX(List!$E$2:$CD$173,MATCH('Selection Pane Data'!$B109,List!$E$2:$E$173,0),MATCH('Selection Pane Data'!Z$3,List!$E$2:$CD$2,0)),"")</f>
        <v/>
      </c>
      <c r="AA109" s="13" t="str">
        <f>IF(AA$4="Yes",INDEX(List!$E$2:$CD$173,MATCH('Selection Pane Data'!$B109,List!$E$2:$E$173,0),MATCH('Selection Pane Data'!AA$3,List!$E$2:$CD$2,0)),"")</f>
        <v>N</v>
      </c>
      <c r="AB109" s="13" t="str">
        <f>IF(AB$4="Yes",INDEX(List!$E$2:$CD$173,MATCH('Selection Pane Data'!$B109,List!$E$2:$E$173,0),MATCH('Selection Pane Data'!AB$3,List!$E$2:$CD$2,0)),"")</f>
        <v/>
      </c>
      <c r="AC109" s="13" t="str">
        <f>IF(AC$4="Yes",INDEX(List!$E$2:$CD$173,MATCH('Selection Pane Data'!$B109,List!$E$2:$E$173,0),MATCH('Selection Pane Data'!AC$3,List!$E$2:$CD$2,0)),"")</f>
        <v/>
      </c>
      <c r="AD109" s="13" t="str">
        <f>IF(AD$4="Yes",INDEX(List!$E$2:$CD$173,MATCH('Selection Pane Data'!$B109,List!$E$2:$E$173,0),MATCH('Selection Pane Data'!AD$3,List!$E$2:$CD$2,0)),"")</f>
        <v/>
      </c>
      <c r="AE109" s="13" t="str">
        <f>IF(AE$4="Yes",INDEX(List!$E$2:$CD$173,MATCH('Selection Pane Data'!$B109,List!$E$2:$E$173,0),MATCH('Selection Pane Data'!AE$3,List!$E$2:$CD$2,0)),"")</f>
        <v/>
      </c>
      <c r="AF109" s="13" t="str">
        <f>IF(AF$4="Yes",INDEX(List!$E$2:$CD$173,MATCH('Selection Pane Data'!$B109,List!$E$2:$E$173,0),MATCH('Selection Pane Data'!AF$3,List!$E$2:$CD$2,0)),"")</f>
        <v/>
      </c>
      <c r="AG109" s="13" t="str">
        <f>IF(AG$4="Yes",INDEX(List!$E$2:$CD$173,MATCH('Selection Pane Data'!$B109,List!$E$2:$E$173,0),MATCH('Selection Pane Data'!AG$3,List!$E$2:$CD$2,0)),"")</f>
        <v/>
      </c>
      <c r="AH109" s="13" t="str">
        <f>IF(AH$4="Yes",INDEX(List!$E$2:$CD$173,MATCH('Selection Pane Data'!$B109,List!$E$2:$E$173,0),MATCH('Selection Pane Data'!AH$3,List!$E$2:$CD$2,0)),"")</f>
        <v/>
      </c>
      <c r="AI109" s="13" t="str">
        <f>IF(AI$4="Yes",INDEX(List!$E$2:$CD$173,MATCH('Selection Pane Data'!$B109,List!$E$2:$E$173,0),MATCH('Selection Pane Data'!AI$3,List!$E$2:$CD$2,0)),"")</f>
        <v/>
      </c>
      <c r="AJ109" s="13" t="str">
        <f>IF(AJ$4="Yes",INDEX(List!$E$2:$CD$173,MATCH('Selection Pane Data'!$B109,List!$E$2:$E$173,0),MATCH('Selection Pane Data'!AJ$3,List!$E$2:$CD$2,0)),"")</f>
        <v/>
      </c>
      <c r="AK109" s="13" t="str">
        <f>IF(AK$4="Yes",INDEX(List!$E$2:$CD$173,MATCH('Selection Pane Data'!$B109,List!$E$2:$E$173,0),MATCH('Selection Pane Data'!AK$3,List!$E$2:$CD$2,0)),"")</f>
        <v/>
      </c>
      <c r="AL109" s="13" t="str">
        <f>IF(AL$4="Yes",INDEX(List!$E$2:$CD$173,MATCH('Selection Pane Data'!$B109,List!$E$2:$E$173,0),MATCH('Selection Pane Data'!AL$3,List!$E$2:$CD$2,0)),"")</f>
        <v/>
      </c>
      <c r="AM109" s="13" t="str">
        <f>IF(AM$4="Yes",INDEX(List!$E$2:$CD$173,MATCH('Selection Pane Data'!$B109,List!$E$2:$E$173,0),MATCH('Selection Pane Data'!AM$3,List!$E$2:$CD$2,0)),"")</f>
        <v/>
      </c>
      <c r="AN109" s="13" t="str">
        <f>IF(AN$4="Yes",INDEX(List!$E$2:$CD$173,MATCH('Selection Pane Data'!$B109,List!$E$2:$E$173,0),MATCH('Selection Pane Data'!AN$3,List!$E$2:$CD$2,0)),"")</f>
        <v/>
      </c>
      <c r="AO109" s="13" t="str">
        <f>IF(AO$4="Yes",INDEX(List!$E$2:$CD$173,MATCH('Selection Pane Data'!$B109,List!$E$2:$E$173,0),MATCH('Selection Pane Data'!AO$3,List!$E$2:$CD$2,0)),"")</f>
        <v/>
      </c>
      <c r="AP109" s="13" t="str">
        <f>IF(AP$4="Yes",INDEX(List!$E$2:$CD$173,MATCH('Selection Pane Data'!$B109,List!$E$2:$E$173,0),MATCH('Selection Pane Data'!AP$3,List!$E$2:$CD$2,0)),"")</f>
        <v/>
      </c>
      <c r="AQ109" s="13" t="str">
        <f>IF(AQ$4="Yes",INDEX(List!$E$2:$CD$173,MATCH('Selection Pane Data'!$B109,List!$E$2:$E$173,0),MATCH('Selection Pane Data'!AQ$3,List!$E$2:$CD$2,0)),"")</f>
        <v/>
      </c>
      <c r="AR109" s="13" t="str">
        <f>IF(AR$4="Yes",INDEX(List!$E$2:$CD$173,MATCH('Selection Pane Data'!$B109,List!$E$2:$E$173,0),MATCH('Selection Pane Data'!AR$3,List!$E$2:$CD$2,0)),"")</f>
        <v/>
      </c>
      <c r="AS109" s="13" t="str">
        <f>IF(AS$4="Yes",INDEX(List!$E$2:$CD$173,MATCH('Selection Pane Data'!$B109,List!$E$2:$E$173,0),MATCH('Selection Pane Data'!AS$3,List!$E$2:$CD$2,0)),"")</f>
        <v/>
      </c>
      <c r="AT109" s="13" t="str">
        <f>IF(AT$4="Yes",INDEX(List!$E$2:$CD$173,MATCH('Selection Pane Data'!$B109,List!$E$2:$E$173,0),MATCH('Selection Pane Data'!AT$3,List!$E$2:$CD$2,0)),"")</f>
        <v/>
      </c>
      <c r="AU109" s="13" t="str">
        <f>IF(AU$4="Yes",INDEX(List!$E$2:$CD$173,MATCH('Selection Pane Data'!$B109,List!$E$2:$E$173,0),MATCH('Selection Pane Data'!AU$3,List!$E$2:$CD$2,0)),"")</f>
        <v/>
      </c>
      <c r="AV109" s="13" t="str">
        <f>IF(AV$4="Yes",INDEX(List!$E$2:$CD$173,MATCH('Selection Pane Data'!$B109,List!$E$2:$E$173,0),MATCH('Selection Pane Data'!AV$3,List!$E$2:$CD$2,0)),"")</f>
        <v/>
      </c>
      <c r="AW109" s="13" t="str">
        <f>IF(AW$4="Yes",INDEX(List!$E$2:$CD$173,MATCH('Selection Pane Data'!$B109,List!$E$2:$E$173,0),MATCH('Selection Pane Data'!AW$3,List!$E$2:$CD$2,0)),"")</f>
        <v/>
      </c>
      <c r="AX109" s="13" t="str">
        <f>IF(AX$4="Yes",INDEX(List!$E$2:$CD$173,MATCH('Selection Pane Data'!$B109,List!$E$2:$E$173,0),MATCH('Selection Pane Data'!AX$3,List!$E$2:$CD$2,0)),"")</f>
        <v/>
      </c>
      <c r="AY109" s="13" t="str">
        <f>IF(AY$4="Yes",INDEX(List!$E$2:$CD$173,MATCH('Selection Pane Data'!$B109,List!$E$2:$E$173,0),MATCH('Selection Pane Data'!AY$3,List!$E$2:$CD$2,0)),"")</f>
        <v/>
      </c>
      <c r="AZ109" s="13" t="str">
        <f>IF(AZ$4="Yes",INDEX(List!$E$2:$CD$173,MATCH('Selection Pane Data'!$B109,List!$E$2:$E$173,0),MATCH('Selection Pane Data'!AZ$3,List!$E$2:$CD$2,0)),"")</f>
        <v/>
      </c>
      <c r="BA109" s="13" t="str">
        <f>IF(BA$4="Yes",INDEX(List!$E$2:$CD$173,MATCH('Selection Pane Data'!$B109,List!$E$2:$E$173,0),MATCH('Selection Pane Data'!BA$3,List!$E$2:$CD$2,0)),"")</f>
        <v/>
      </c>
      <c r="BB109" s="13" t="str">
        <f>IF(BB$4="Yes",INDEX(List!$E$2:$CD$173,MATCH('Selection Pane Data'!$B109,List!$E$2:$E$173,0),MATCH('Selection Pane Data'!BB$3,List!$E$2:$CD$2,0)),"")</f>
        <v/>
      </c>
      <c r="BC109" s="13" t="str">
        <f>IF(BC$4="Yes",INDEX(List!$E$2:$CD$173,MATCH('Selection Pane Data'!$B109,List!$E$2:$E$173,0),MATCH('Selection Pane Data'!BC$3,List!$E$2:$CD$2,0)),"")</f>
        <v/>
      </c>
      <c r="BD109" s="13" t="str">
        <f>IF(BD$4="Yes",INDEX(List!$E$2:$CD$173,MATCH('Selection Pane Data'!$B109,List!$E$2:$E$173,0),MATCH('Selection Pane Data'!BD$3,List!$E$2:$CD$2,0)),"")</f>
        <v/>
      </c>
      <c r="BE109" s="13" t="str">
        <f>IF(BE$4="Yes",INDEX(List!$E$2:$CD$173,MATCH('Selection Pane Data'!$B109,List!$E$2:$E$173,0),MATCH('Selection Pane Data'!BE$3,List!$E$2:$CD$2,0)),"")</f>
        <v/>
      </c>
      <c r="BF109" s="13" t="str">
        <f>IF(BF$4="Yes",INDEX(List!$E$2:$CD$173,MATCH('Selection Pane Data'!$B109,List!$E$2:$E$173,0),MATCH('Selection Pane Data'!BF$3,List!$E$2:$CD$2,0)),"")</f>
        <v/>
      </c>
      <c r="BG109" s="13" t="str">
        <f>IF(BG$4="Yes",INDEX(List!$E$2:$CD$173,MATCH('Selection Pane Data'!$B109,List!$E$2:$E$173,0),MATCH('Selection Pane Data'!BG$3,List!$E$2:$CD$2,0)),"")</f>
        <v/>
      </c>
      <c r="BH109" s="13" t="str">
        <f>IF(BH$4="Yes",INDEX(List!$E$2:$CD$173,MATCH('Selection Pane Data'!$B109,List!$E$2:$E$173,0),MATCH('Selection Pane Data'!BH$3,List!$E$2:$CD$2,0)),"")</f>
        <v/>
      </c>
      <c r="BI109" s="13" t="str">
        <f>IF(BI$4="Yes",INDEX(List!$E$2:$CD$173,MATCH('Selection Pane Data'!$B109,List!$E$2:$E$173,0),MATCH('Selection Pane Data'!BI$3,List!$E$2:$CD$2,0)),"")</f>
        <v/>
      </c>
      <c r="BJ109" s="13" t="str">
        <f>IF(BJ$4="Yes",INDEX(List!$E$2:$CD$173,MATCH('Selection Pane Data'!$B109,List!$E$2:$E$173,0),MATCH('Selection Pane Data'!BJ$3,List!$E$2:$CD$2,0)),"")</f>
        <v/>
      </c>
      <c r="BK109" s="13" t="str">
        <f>IF(BK$4="Yes",INDEX(List!$E$2:$CD$173,MATCH('Selection Pane Data'!$B109,List!$E$2:$E$173,0),MATCH('Selection Pane Data'!BK$3,List!$E$2:$CD$2,0)),"")</f>
        <v/>
      </c>
      <c r="BL109" s="13" t="str">
        <f>IF(BL$4="Yes",INDEX(List!$E$2:$CD$173,MATCH('Selection Pane Data'!$B109,List!$E$2:$E$173,0),MATCH('Selection Pane Data'!BL$3,List!$E$2:$CD$2,0)),"")</f>
        <v/>
      </c>
      <c r="BM109" s="13" t="str">
        <f>IF(BM$4="Yes",INDEX(List!$E$2:$CD$173,MATCH('Selection Pane Data'!$B109,List!$E$2:$E$173,0),MATCH('Selection Pane Data'!BM$3,List!$E$2:$CD$2,0)),"")</f>
        <v/>
      </c>
      <c r="BN109" s="13" t="str">
        <f>IF(BN$4="Yes",INDEX(List!$E$2:$CD$173,MATCH('Selection Pane Data'!$B109,List!$E$2:$E$173,0),MATCH('Selection Pane Data'!BN$3,List!$E$2:$CD$2,0)),"")</f>
        <v/>
      </c>
      <c r="BO109" s="13" t="str">
        <f>IF(BO$4="Yes",INDEX(List!$E$2:$CD$173,MATCH('Selection Pane Data'!$B109,List!$E$2:$E$173,0),MATCH('Selection Pane Data'!BO$3,List!$E$2:$CD$2,0)),"")</f>
        <v/>
      </c>
      <c r="BP109" s="13" t="str">
        <f>IF(BP$4="Yes",INDEX(List!$E$2:$CD$173,MATCH('Selection Pane Data'!$B109,List!$E$2:$E$173,0),MATCH('Selection Pane Data'!BP$3,List!$E$2:$CD$2,0)),"")</f>
        <v/>
      </c>
      <c r="BQ109" s="13" t="str">
        <f>IF(BQ$4="Yes",INDEX(List!$E$2:$CD$173,MATCH('Selection Pane Data'!$B109,List!$E$2:$E$173,0),MATCH('Selection Pane Data'!BQ$3,List!$E$2:$CD$2,0)),"")</f>
        <v/>
      </c>
      <c r="BR109" s="13" t="str">
        <f>IF(BR$4="Yes",INDEX(List!$E$2:$CD$173,MATCH('Selection Pane Data'!$B109,List!$E$2:$E$173,0),MATCH('Selection Pane Data'!BR$3,List!$E$2:$CD$2,0)),"")</f>
        <v/>
      </c>
      <c r="BS109" s="13" t="str">
        <f>IF(BS$4="Yes",INDEX(List!$E$2:$CD$173,MATCH('Selection Pane Data'!$B109,List!$E$2:$E$173,0),MATCH('Selection Pane Data'!BS$3,List!$E$2:$CD$2,0)),"")</f>
        <v/>
      </c>
      <c r="BT109" s="13" t="str">
        <f>IF(BT$4="Yes",INDEX(List!$E$2:$CD$173,MATCH('Selection Pane Data'!$B109,List!$E$2:$E$173,0),MATCH('Selection Pane Data'!BT$3,List!$E$2:$CD$2,0)),"")</f>
        <v/>
      </c>
      <c r="BU109" s="13" t="str">
        <f>IF(BU$4="Yes",INDEX(List!$E$2:$CD$173,MATCH('Selection Pane Data'!$B109,List!$E$2:$E$173,0),MATCH('Selection Pane Data'!BU$3,List!$E$2:$CD$2,0)),"")</f>
        <v/>
      </c>
      <c r="BV109" s="13" t="str">
        <f>IF(BV$4="Yes",INDEX(List!$E$2:$CD$173,MATCH('Selection Pane Data'!$B109,List!$E$2:$E$173,0),MATCH('Selection Pane Data'!BV$3,List!$E$2:$CD$2,0)),"")</f>
        <v/>
      </c>
      <c r="BW109" s="13" t="str">
        <f>IF(BW$4="Yes",INDEX(List!$E$2:$CD$173,MATCH('Selection Pane Data'!$B109,List!$E$2:$E$173,0),MATCH('Selection Pane Data'!BW$3,List!$E$2:$CD$2,0)),"")</f>
        <v/>
      </c>
      <c r="BX109" s="13" t="str">
        <f>IF(BX$4="Yes",INDEX(List!$E$2:$CD$173,MATCH('Selection Pane Data'!$B109,List!$E$2:$E$173,0),MATCH('Selection Pane Data'!BX$3,List!$E$2:$CD$2,0)),"")</f>
        <v/>
      </c>
      <c r="BY109" s="13" t="str">
        <f>IF(BY$4="Yes",INDEX(List!$E$2:$CD$173,MATCH('Selection Pane Data'!$B109,List!$E$2:$E$173,0),MATCH('Selection Pane Data'!BY$3,List!$E$2:$CD$2,0)),"")</f>
        <v/>
      </c>
      <c r="BZ109" s="13" t="str">
        <f>IF(BZ$4="Yes",INDEX(List!$E$2:$CD$173,MATCH('Selection Pane Data'!$B109,List!$E$2:$E$173,0),MATCH('Selection Pane Data'!BZ$3,List!$E$2:$CD$2,0)),"")</f>
        <v/>
      </c>
      <c r="CA109" s="13" t="str">
        <f>IF(CA$4="Yes",INDEX(List!$E$2:$CD$173,MATCH('Selection Pane Data'!$B109,List!$E$2:$E$173,0),MATCH('Selection Pane Data'!CA$3,List!$E$2:$CD$2,0)),"")</f>
        <v/>
      </c>
      <c r="CB109" s="13" t="str">
        <f>IF(CB$4="Yes",INDEX(List!$E$2:$CD$173,MATCH('Selection Pane Data'!$B109,List!$E$2:$E$173,0),MATCH('Selection Pane Data'!CB$3,List!$E$2:$CD$2,0)),"")</f>
        <v/>
      </c>
      <c r="CC109" s="13" t="str">
        <f>IF(CC$4="Yes",INDEX(List!$E$2:$CD$173,MATCH('Selection Pane Data'!$B109,List!$E$2:$E$173,0),MATCH('Selection Pane Data'!CC$3,List!$E$2:$CD$2,0)),"")</f>
        <v/>
      </c>
      <c r="CD109" s="13" t="str">
        <f>IF(CD$4="Yes",INDEX(List!$E$2:$CD$173,MATCH('Selection Pane Data'!$B109,List!$E$2:$E$173,0),MATCH('Selection Pane Data'!CD$3,List!$E$2:$CD$2,0)),"")</f>
        <v/>
      </c>
      <c r="CE109" s="13" t="str">
        <f>IF(CE$4="Yes",INDEX(List!$E$2:$CD$173,MATCH('Selection Pane Data'!$B109,List!$E$2:$E$173,0),MATCH('Selection Pane Data'!CE$3,List!$E$2:$CD$2,0)),"")</f>
        <v/>
      </c>
    </row>
    <row r="110" spans="2:83" x14ac:dyDescent="0.35">
      <c r="B110" s="21" t="s">
        <v>397</v>
      </c>
      <c r="C110" s="126" t="str">
        <f>VLOOKUP(B110,List!$E$2:$G$173,2,FALSE)</f>
        <v>PE.L1-3.10.3</v>
      </c>
      <c r="D110" s="31" t="str">
        <f>List!G108</f>
        <v>Microsoft Coverage</v>
      </c>
      <c r="E110" s="31" t="str">
        <f>IF(Placemat!$F$4="All Practices","All Practices",IF(VLOOKUP(B110,Table7[#All],6,FALSE)="No Mapping","New CMMC Practices","Practices with NIST 800-171 Mappings"))</f>
        <v>Practices with NIST 800-171 Mappings</v>
      </c>
      <c r="F110" t="str">
        <f>INDEX('CMMC Levels'!$A$1:$F$172,MATCH('Selection Pane Data'!$C110,'CMMC Levels'!$A$1:$A$172,0),MATCH(Placemat!$F$4,'CMMC Levels'!$A$1:$F$1,0))</f>
        <v>X</v>
      </c>
      <c r="G110" s="77" t="str">
        <f>IF((COUNTIF(List!H108:CE108,"P")+COUNTIF(List!H108:CE108,"S"))=0,"N",IF(COUNTIF(H110:CE110,"P"),"P",IF(COUNTIF(H110:CE110,"S"),"S","U")))</f>
        <v>P</v>
      </c>
      <c r="H110" s="13" t="str">
        <f>IF(H$4="Yes",INDEX(List!$E$2:$CD$173,MATCH('Selection Pane Data'!$B110,List!$E$2:$E$173,0),MATCH('Selection Pane Data'!H$3,List!$E$2:$CD$2,0)),"")</f>
        <v/>
      </c>
      <c r="I110" s="13" t="str">
        <f>IF(I$4="Yes",INDEX(List!$E$2:$CD$173,MATCH('Selection Pane Data'!$B110,List!$E$2:$E$173,0),MATCH('Selection Pane Data'!I$3,List!$E$2:$CD$2,0)),"")</f>
        <v/>
      </c>
      <c r="J110" s="13" t="str">
        <f>IF(J$4="Yes",INDEX(List!$E$2:$CD$173,MATCH('Selection Pane Data'!$B110,List!$E$2:$E$173,0),MATCH('Selection Pane Data'!J$3,List!$E$2:$CD$2,0)),"")</f>
        <v>P</v>
      </c>
      <c r="K110" s="13" t="str">
        <f>IF(K$4="Yes",INDEX(List!$E$2:$CD$173,MATCH('Selection Pane Data'!$B110,List!$E$2:$E$173,0),MATCH('Selection Pane Data'!K$3,List!$E$2:$CD$2,0)),"")</f>
        <v/>
      </c>
      <c r="L110" s="13" t="str">
        <f>IF(L$4="Yes",INDEX(List!$E$2:$CD$173,MATCH('Selection Pane Data'!$B110,List!$E$2:$E$173,0),MATCH('Selection Pane Data'!L$3,List!$E$2:$CD$2,0)),"")</f>
        <v/>
      </c>
      <c r="M110" s="13" t="str">
        <f>IF(M$4="Yes",INDEX(List!$E$2:$CD$173,MATCH('Selection Pane Data'!$B110,List!$E$2:$E$173,0),MATCH('Selection Pane Data'!M$3,List!$E$2:$CD$2,0)),"")</f>
        <v/>
      </c>
      <c r="N110" s="13" t="str">
        <f>IF(N$4="Yes",INDEX(List!$E$2:$CD$173,MATCH('Selection Pane Data'!$B110,List!$E$2:$E$173,0),MATCH('Selection Pane Data'!N$3,List!$E$2:$CD$2,0)),"")</f>
        <v/>
      </c>
      <c r="O110" s="13" t="str">
        <f>IF(O$4="Yes",INDEX(List!$E$2:$CD$173,MATCH('Selection Pane Data'!$B110,List!$E$2:$E$173,0),MATCH('Selection Pane Data'!O$3,List!$E$2:$CD$2,0)),"")</f>
        <v/>
      </c>
      <c r="P110" s="13" t="str">
        <f>IF(P$4="Yes",INDEX(List!$E$2:$CD$173,MATCH('Selection Pane Data'!$B110,List!$E$2:$E$173,0),MATCH('Selection Pane Data'!P$3,List!$E$2:$CD$2,0)),"")</f>
        <v/>
      </c>
      <c r="Q110" s="13" t="str">
        <f>IF(Q$4="Yes",INDEX(List!$E$2:$CD$173,MATCH('Selection Pane Data'!$B110,List!$E$2:$E$173,0),MATCH('Selection Pane Data'!Q$3,List!$E$2:$CD$2,0)),"")</f>
        <v/>
      </c>
      <c r="R110" s="13" t="str">
        <f>IF(R$4="Yes",INDEX(List!$E$2:$CD$173,MATCH('Selection Pane Data'!$B110,List!$E$2:$E$173,0),MATCH('Selection Pane Data'!R$3,List!$E$2:$CD$2,0)),"")</f>
        <v/>
      </c>
      <c r="S110" s="13" t="str">
        <f>IF(S$4="Yes",INDEX(List!$E$2:$CD$173,MATCH('Selection Pane Data'!$B110,List!$E$2:$E$173,0),MATCH('Selection Pane Data'!S$3,List!$E$2:$CD$2,0)),"")</f>
        <v/>
      </c>
      <c r="T110" s="13" t="str">
        <f>IF(T$4="Yes",INDEX(List!$E$2:$CD$173,MATCH('Selection Pane Data'!$B110,List!$E$2:$E$173,0),MATCH('Selection Pane Data'!T$3,List!$E$2:$CD$2,0)),"")</f>
        <v/>
      </c>
      <c r="U110" s="13" t="str">
        <f>IF(U$4="Yes",INDEX(List!$E$2:$CD$173,MATCH('Selection Pane Data'!$B110,List!$E$2:$E$173,0),MATCH('Selection Pane Data'!U$3,List!$E$2:$CD$2,0)),"")</f>
        <v/>
      </c>
      <c r="V110" s="13" t="str">
        <f>IF(V$4="Yes",INDEX(List!$E$2:$CD$173,MATCH('Selection Pane Data'!$B110,List!$E$2:$E$173,0),MATCH('Selection Pane Data'!V$3,List!$E$2:$CD$2,0)),"")</f>
        <v/>
      </c>
      <c r="W110" s="13" t="str">
        <f>IF(W$4="Yes",INDEX(List!$E$2:$CD$173,MATCH('Selection Pane Data'!$B110,List!$E$2:$E$173,0),MATCH('Selection Pane Data'!W$3,List!$E$2:$CD$2,0)),"")</f>
        <v/>
      </c>
      <c r="X110" s="13" t="str">
        <f>IF(X$4="Yes",INDEX(List!$E$2:$CD$173,MATCH('Selection Pane Data'!$B110,List!$E$2:$E$173,0),MATCH('Selection Pane Data'!X$3,List!$E$2:$CD$2,0)),"")</f>
        <v/>
      </c>
      <c r="Y110" s="13" t="str">
        <f>IF(Y$4="Yes",INDEX(List!$E$2:$CD$173,MATCH('Selection Pane Data'!$B110,List!$E$2:$E$173,0),MATCH('Selection Pane Data'!Y$3,List!$E$2:$CD$2,0)),"")</f>
        <v/>
      </c>
      <c r="Z110" s="13" t="str">
        <f>IF(Z$4="Yes",INDEX(List!$E$2:$CD$173,MATCH('Selection Pane Data'!$B110,List!$E$2:$E$173,0),MATCH('Selection Pane Data'!Z$3,List!$E$2:$CD$2,0)),"")</f>
        <v/>
      </c>
      <c r="AA110" s="13" t="str">
        <f>IF(AA$4="Yes",INDEX(List!$E$2:$CD$173,MATCH('Selection Pane Data'!$B110,List!$E$2:$E$173,0),MATCH('Selection Pane Data'!AA$3,List!$E$2:$CD$2,0)),"")</f>
        <v>N</v>
      </c>
      <c r="AB110" s="13" t="str">
        <f>IF(AB$4="Yes",INDEX(List!$E$2:$CD$173,MATCH('Selection Pane Data'!$B110,List!$E$2:$E$173,0),MATCH('Selection Pane Data'!AB$3,List!$E$2:$CD$2,0)),"")</f>
        <v/>
      </c>
      <c r="AC110" s="13" t="str">
        <f>IF(AC$4="Yes",INDEX(List!$E$2:$CD$173,MATCH('Selection Pane Data'!$B110,List!$E$2:$E$173,0),MATCH('Selection Pane Data'!AC$3,List!$E$2:$CD$2,0)),"")</f>
        <v/>
      </c>
      <c r="AD110" s="13" t="str">
        <f>IF(AD$4="Yes",INDEX(List!$E$2:$CD$173,MATCH('Selection Pane Data'!$B110,List!$E$2:$E$173,0),MATCH('Selection Pane Data'!AD$3,List!$E$2:$CD$2,0)),"")</f>
        <v/>
      </c>
      <c r="AE110" s="13" t="str">
        <f>IF(AE$4="Yes",INDEX(List!$E$2:$CD$173,MATCH('Selection Pane Data'!$B110,List!$E$2:$E$173,0),MATCH('Selection Pane Data'!AE$3,List!$E$2:$CD$2,0)),"")</f>
        <v/>
      </c>
      <c r="AF110" s="13" t="str">
        <f>IF(AF$4="Yes",INDEX(List!$E$2:$CD$173,MATCH('Selection Pane Data'!$B110,List!$E$2:$E$173,0),MATCH('Selection Pane Data'!AF$3,List!$E$2:$CD$2,0)),"")</f>
        <v/>
      </c>
      <c r="AG110" s="13" t="str">
        <f>IF(AG$4="Yes",INDEX(List!$E$2:$CD$173,MATCH('Selection Pane Data'!$B110,List!$E$2:$E$173,0),MATCH('Selection Pane Data'!AG$3,List!$E$2:$CD$2,0)),"")</f>
        <v/>
      </c>
      <c r="AH110" s="13" t="str">
        <f>IF(AH$4="Yes",INDEX(List!$E$2:$CD$173,MATCH('Selection Pane Data'!$B110,List!$E$2:$E$173,0),MATCH('Selection Pane Data'!AH$3,List!$E$2:$CD$2,0)),"")</f>
        <v/>
      </c>
      <c r="AI110" s="13" t="str">
        <f>IF(AI$4="Yes",INDEX(List!$E$2:$CD$173,MATCH('Selection Pane Data'!$B110,List!$E$2:$E$173,0),MATCH('Selection Pane Data'!AI$3,List!$E$2:$CD$2,0)),"")</f>
        <v/>
      </c>
      <c r="AJ110" s="13" t="str">
        <f>IF(AJ$4="Yes",INDEX(List!$E$2:$CD$173,MATCH('Selection Pane Data'!$B110,List!$E$2:$E$173,0),MATCH('Selection Pane Data'!AJ$3,List!$E$2:$CD$2,0)),"")</f>
        <v/>
      </c>
      <c r="AK110" s="13" t="str">
        <f>IF(AK$4="Yes",INDEX(List!$E$2:$CD$173,MATCH('Selection Pane Data'!$B110,List!$E$2:$E$173,0),MATCH('Selection Pane Data'!AK$3,List!$E$2:$CD$2,0)),"")</f>
        <v/>
      </c>
      <c r="AL110" s="13" t="str">
        <f>IF(AL$4="Yes",INDEX(List!$E$2:$CD$173,MATCH('Selection Pane Data'!$B110,List!$E$2:$E$173,0),MATCH('Selection Pane Data'!AL$3,List!$E$2:$CD$2,0)),"")</f>
        <v/>
      </c>
      <c r="AM110" s="13" t="str">
        <f>IF(AM$4="Yes",INDEX(List!$E$2:$CD$173,MATCH('Selection Pane Data'!$B110,List!$E$2:$E$173,0),MATCH('Selection Pane Data'!AM$3,List!$E$2:$CD$2,0)),"")</f>
        <v/>
      </c>
      <c r="AN110" s="13" t="str">
        <f>IF(AN$4="Yes",INDEX(List!$E$2:$CD$173,MATCH('Selection Pane Data'!$B110,List!$E$2:$E$173,0),MATCH('Selection Pane Data'!AN$3,List!$E$2:$CD$2,0)),"")</f>
        <v/>
      </c>
      <c r="AO110" s="13" t="str">
        <f>IF(AO$4="Yes",INDEX(List!$E$2:$CD$173,MATCH('Selection Pane Data'!$B110,List!$E$2:$E$173,0),MATCH('Selection Pane Data'!AO$3,List!$E$2:$CD$2,0)),"")</f>
        <v/>
      </c>
      <c r="AP110" s="13" t="str">
        <f>IF(AP$4="Yes",INDEX(List!$E$2:$CD$173,MATCH('Selection Pane Data'!$B110,List!$E$2:$E$173,0),MATCH('Selection Pane Data'!AP$3,List!$E$2:$CD$2,0)),"")</f>
        <v/>
      </c>
      <c r="AQ110" s="13" t="str">
        <f>IF(AQ$4="Yes",INDEX(List!$E$2:$CD$173,MATCH('Selection Pane Data'!$B110,List!$E$2:$E$173,0),MATCH('Selection Pane Data'!AQ$3,List!$E$2:$CD$2,0)),"")</f>
        <v/>
      </c>
      <c r="AR110" s="13" t="str">
        <f>IF(AR$4="Yes",INDEX(List!$E$2:$CD$173,MATCH('Selection Pane Data'!$B110,List!$E$2:$E$173,0),MATCH('Selection Pane Data'!AR$3,List!$E$2:$CD$2,0)),"")</f>
        <v/>
      </c>
      <c r="AS110" s="13" t="str">
        <f>IF(AS$4="Yes",INDEX(List!$E$2:$CD$173,MATCH('Selection Pane Data'!$B110,List!$E$2:$E$173,0),MATCH('Selection Pane Data'!AS$3,List!$E$2:$CD$2,0)),"")</f>
        <v/>
      </c>
      <c r="AT110" s="13" t="str">
        <f>IF(AT$4="Yes",INDEX(List!$E$2:$CD$173,MATCH('Selection Pane Data'!$B110,List!$E$2:$E$173,0),MATCH('Selection Pane Data'!AT$3,List!$E$2:$CD$2,0)),"")</f>
        <v/>
      </c>
      <c r="AU110" s="13" t="str">
        <f>IF(AU$4="Yes",INDEX(List!$E$2:$CD$173,MATCH('Selection Pane Data'!$B110,List!$E$2:$E$173,0),MATCH('Selection Pane Data'!AU$3,List!$E$2:$CD$2,0)),"")</f>
        <v/>
      </c>
      <c r="AV110" s="13" t="str">
        <f>IF(AV$4="Yes",INDEX(List!$E$2:$CD$173,MATCH('Selection Pane Data'!$B110,List!$E$2:$E$173,0),MATCH('Selection Pane Data'!AV$3,List!$E$2:$CD$2,0)),"")</f>
        <v/>
      </c>
      <c r="AW110" s="13" t="str">
        <f>IF(AW$4="Yes",INDEX(List!$E$2:$CD$173,MATCH('Selection Pane Data'!$B110,List!$E$2:$E$173,0),MATCH('Selection Pane Data'!AW$3,List!$E$2:$CD$2,0)),"")</f>
        <v/>
      </c>
      <c r="AX110" s="13" t="str">
        <f>IF(AX$4="Yes",INDEX(List!$E$2:$CD$173,MATCH('Selection Pane Data'!$B110,List!$E$2:$E$173,0),MATCH('Selection Pane Data'!AX$3,List!$E$2:$CD$2,0)),"")</f>
        <v/>
      </c>
      <c r="AY110" s="13" t="str">
        <f>IF(AY$4="Yes",INDEX(List!$E$2:$CD$173,MATCH('Selection Pane Data'!$B110,List!$E$2:$E$173,0),MATCH('Selection Pane Data'!AY$3,List!$E$2:$CD$2,0)),"")</f>
        <v/>
      </c>
      <c r="AZ110" s="13" t="str">
        <f>IF(AZ$4="Yes",INDEX(List!$E$2:$CD$173,MATCH('Selection Pane Data'!$B110,List!$E$2:$E$173,0),MATCH('Selection Pane Data'!AZ$3,List!$E$2:$CD$2,0)),"")</f>
        <v/>
      </c>
      <c r="BA110" s="13" t="str">
        <f>IF(BA$4="Yes",INDEX(List!$E$2:$CD$173,MATCH('Selection Pane Data'!$B110,List!$E$2:$E$173,0),MATCH('Selection Pane Data'!BA$3,List!$E$2:$CD$2,0)),"")</f>
        <v/>
      </c>
      <c r="BB110" s="13" t="str">
        <f>IF(BB$4="Yes",INDEX(List!$E$2:$CD$173,MATCH('Selection Pane Data'!$B110,List!$E$2:$E$173,0),MATCH('Selection Pane Data'!BB$3,List!$E$2:$CD$2,0)),"")</f>
        <v/>
      </c>
      <c r="BC110" s="13" t="str">
        <f>IF(BC$4="Yes",INDEX(List!$E$2:$CD$173,MATCH('Selection Pane Data'!$B110,List!$E$2:$E$173,0),MATCH('Selection Pane Data'!BC$3,List!$E$2:$CD$2,0)),"")</f>
        <v/>
      </c>
      <c r="BD110" s="13" t="str">
        <f>IF(BD$4="Yes",INDEX(List!$E$2:$CD$173,MATCH('Selection Pane Data'!$B110,List!$E$2:$E$173,0),MATCH('Selection Pane Data'!BD$3,List!$E$2:$CD$2,0)),"")</f>
        <v/>
      </c>
      <c r="BE110" s="13" t="str">
        <f>IF(BE$4="Yes",INDEX(List!$E$2:$CD$173,MATCH('Selection Pane Data'!$B110,List!$E$2:$E$173,0),MATCH('Selection Pane Data'!BE$3,List!$E$2:$CD$2,0)),"")</f>
        <v/>
      </c>
      <c r="BF110" s="13" t="str">
        <f>IF(BF$4="Yes",INDEX(List!$E$2:$CD$173,MATCH('Selection Pane Data'!$B110,List!$E$2:$E$173,0),MATCH('Selection Pane Data'!BF$3,List!$E$2:$CD$2,0)),"")</f>
        <v/>
      </c>
      <c r="BG110" s="13" t="str">
        <f>IF(BG$4="Yes",INDEX(List!$E$2:$CD$173,MATCH('Selection Pane Data'!$B110,List!$E$2:$E$173,0),MATCH('Selection Pane Data'!BG$3,List!$E$2:$CD$2,0)),"")</f>
        <v/>
      </c>
      <c r="BH110" s="13" t="str">
        <f>IF(BH$4="Yes",INDEX(List!$E$2:$CD$173,MATCH('Selection Pane Data'!$B110,List!$E$2:$E$173,0),MATCH('Selection Pane Data'!BH$3,List!$E$2:$CD$2,0)),"")</f>
        <v/>
      </c>
      <c r="BI110" s="13" t="str">
        <f>IF(BI$4="Yes",INDEX(List!$E$2:$CD$173,MATCH('Selection Pane Data'!$B110,List!$E$2:$E$173,0),MATCH('Selection Pane Data'!BI$3,List!$E$2:$CD$2,0)),"")</f>
        <v/>
      </c>
      <c r="BJ110" s="13" t="str">
        <f>IF(BJ$4="Yes",INDEX(List!$E$2:$CD$173,MATCH('Selection Pane Data'!$B110,List!$E$2:$E$173,0),MATCH('Selection Pane Data'!BJ$3,List!$E$2:$CD$2,0)),"")</f>
        <v/>
      </c>
      <c r="BK110" s="13" t="str">
        <f>IF(BK$4="Yes",INDEX(List!$E$2:$CD$173,MATCH('Selection Pane Data'!$B110,List!$E$2:$E$173,0),MATCH('Selection Pane Data'!BK$3,List!$E$2:$CD$2,0)),"")</f>
        <v/>
      </c>
      <c r="BL110" s="13" t="str">
        <f>IF(BL$4="Yes",INDEX(List!$E$2:$CD$173,MATCH('Selection Pane Data'!$B110,List!$E$2:$E$173,0),MATCH('Selection Pane Data'!BL$3,List!$E$2:$CD$2,0)),"")</f>
        <v/>
      </c>
      <c r="BM110" s="13" t="str">
        <f>IF(BM$4="Yes",INDEX(List!$E$2:$CD$173,MATCH('Selection Pane Data'!$B110,List!$E$2:$E$173,0),MATCH('Selection Pane Data'!BM$3,List!$E$2:$CD$2,0)),"")</f>
        <v/>
      </c>
      <c r="BN110" s="13" t="str">
        <f>IF(BN$4="Yes",INDEX(List!$E$2:$CD$173,MATCH('Selection Pane Data'!$B110,List!$E$2:$E$173,0),MATCH('Selection Pane Data'!BN$3,List!$E$2:$CD$2,0)),"")</f>
        <v/>
      </c>
      <c r="BO110" s="13" t="str">
        <f>IF(BO$4="Yes",INDEX(List!$E$2:$CD$173,MATCH('Selection Pane Data'!$B110,List!$E$2:$E$173,0),MATCH('Selection Pane Data'!BO$3,List!$E$2:$CD$2,0)),"")</f>
        <v/>
      </c>
      <c r="BP110" s="13" t="str">
        <f>IF(BP$4="Yes",INDEX(List!$E$2:$CD$173,MATCH('Selection Pane Data'!$B110,List!$E$2:$E$173,0),MATCH('Selection Pane Data'!BP$3,List!$E$2:$CD$2,0)),"")</f>
        <v/>
      </c>
      <c r="BQ110" s="13" t="str">
        <f>IF(BQ$4="Yes",INDEX(List!$E$2:$CD$173,MATCH('Selection Pane Data'!$B110,List!$E$2:$E$173,0),MATCH('Selection Pane Data'!BQ$3,List!$E$2:$CD$2,0)),"")</f>
        <v/>
      </c>
      <c r="BR110" s="13" t="str">
        <f>IF(BR$4="Yes",INDEX(List!$E$2:$CD$173,MATCH('Selection Pane Data'!$B110,List!$E$2:$E$173,0),MATCH('Selection Pane Data'!BR$3,List!$E$2:$CD$2,0)),"")</f>
        <v/>
      </c>
      <c r="BS110" s="13" t="str">
        <f>IF(BS$4="Yes",INDEX(List!$E$2:$CD$173,MATCH('Selection Pane Data'!$B110,List!$E$2:$E$173,0),MATCH('Selection Pane Data'!BS$3,List!$E$2:$CD$2,0)),"")</f>
        <v/>
      </c>
      <c r="BT110" s="13" t="str">
        <f>IF(BT$4="Yes",INDEX(List!$E$2:$CD$173,MATCH('Selection Pane Data'!$B110,List!$E$2:$E$173,0),MATCH('Selection Pane Data'!BT$3,List!$E$2:$CD$2,0)),"")</f>
        <v/>
      </c>
      <c r="BU110" s="13" t="str">
        <f>IF(BU$4="Yes",INDEX(List!$E$2:$CD$173,MATCH('Selection Pane Data'!$B110,List!$E$2:$E$173,0),MATCH('Selection Pane Data'!BU$3,List!$E$2:$CD$2,0)),"")</f>
        <v/>
      </c>
      <c r="BV110" s="13" t="str">
        <f>IF(BV$4="Yes",INDEX(List!$E$2:$CD$173,MATCH('Selection Pane Data'!$B110,List!$E$2:$E$173,0),MATCH('Selection Pane Data'!BV$3,List!$E$2:$CD$2,0)),"")</f>
        <v/>
      </c>
      <c r="BW110" s="13" t="str">
        <f>IF(BW$4="Yes",INDEX(List!$E$2:$CD$173,MATCH('Selection Pane Data'!$B110,List!$E$2:$E$173,0),MATCH('Selection Pane Data'!BW$3,List!$E$2:$CD$2,0)),"")</f>
        <v/>
      </c>
      <c r="BX110" s="13" t="str">
        <f>IF(BX$4="Yes",INDEX(List!$E$2:$CD$173,MATCH('Selection Pane Data'!$B110,List!$E$2:$E$173,0),MATCH('Selection Pane Data'!BX$3,List!$E$2:$CD$2,0)),"")</f>
        <v/>
      </c>
      <c r="BY110" s="13" t="str">
        <f>IF(BY$4="Yes",INDEX(List!$E$2:$CD$173,MATCH('Selection Pane Data'!$B110,List!$E$2:$E$173,0),MATCH('Selection Pane Data'!BY$3,List!$E$2:$CD$2,0)),"")</f>
        <v/>
      </c>
      <c r="BZ110" s="13" t="str">
        <f>IF(BZ$4="Yes",INDEX(List!$E$2:$CD$173,MATCH('Selection Pane Data'!$B110,List!$E$2:$E$173,0),MATCH('Selection Pane Data'!BZ$3,List!$E$2:$CD$2,0)),"")</f>
        <v/>
      </c>
      <c r="CA110" s="13" t="str">
        <f>IF(CA$4="Yes",INDEX(List!$E$2:$CD$173,MATCH('Selection Pane Data'!$B110,List!$E$2:$E$173,0),MATCH('Selection Pane Data'!CA$3,List!$E$2:$CD$2,0)),"")</f>
        <v/>
      </c>
      <c r="CB110" s="13" t="str">
        <f>IF(CB$4="Yes",INDEX(List!$E$2:$CD$173,MATCH('Selection Pane Data'!$B110,List!$E$2:$E$173,0),MATCH('Selection Pane Data'!CB$3,List!$E$2:$CD$2,0)),"")</f>
        <v/>
      </c>
      <c r="CC110" s="13" t="str">
        <f>IF(CC$4="Yes",INDEX(List!$E$2:$CD$173,MATCH('Selection Pane Data'!$B110,List!$E$2:$E$173,0),MATCH('Selection Pane Data'!CC$3,List!$E$2:$CD$2,0)),"")</f>
        <v/>
      </c>
      <c r="CD110" s="13" t="str">
        <f>IF(CD$4="Yes",INDEX(List!$E$2:$CD$173,MATCH('Selection Pane Data'!$B110,List!$E$2:$E$173,0),MATCH('Selection Pane Data'!CD$3,List!$E$2:$CD$2,0)),"")</f>
        <v/>
      </c>
      <c r="CE110" s="13" t="str">
        <f>IF(CE$4="Yes",INDEX(List!$E$2:$CD$173,MATCH('Selection Pane Data'!$B110,List!$E$2:$E$173,0),MATCH('Selection Pane Data'!CE$3,List!$E$2:$CD$2,0)),"")</f>
        <v/>
      </c>
    </row>
    <row r="111" spans="2:83" x14ac:dyDescent="0.35">
      <c r="B111" s="21" t="s">
        <v>398</v>
      </c>
      <c r="C111" s="126" t="str">
        <f>VLOOKUP(B111,List!$E$2:$G$173,2,FALSE)</f>
        <v>PE.L1-3.10.4</v>
      </c>
      <c r="D111" s="31" t="str">
        <f>List!G109</f>
        <v>Microsoft Coverage</v>
      </c>
      <c r="E111" s="31" t="str">
        <f>IF(Placemat!$F$4="All Practices","All Practices",IF(VLOOKUP(B111,Table7[#All],6,FALSE)="No Mapping","New CMMC Practices","Practices with NIST 800-171 Mappings"))</f>
        <v>Practices with NIST 800-171 Mappings</v>
      </c>
      <c r="F111" t="str">
        <f>INDEX('CMMC Levels'!$A$1:$F$172,MATCH('Selection Pane Data'!$C111,'CMMC Levels'!$A$1:$A$172,0),MATCH(Placemat!$F$4,'CMMC Levels'!$A$1:$F$1,0))</f>
        <v>X</v>
      </c>
      <c r="G111" s="77" t="str">
        <f>IF((COUNTIF(List!H109:CE109,"P")+COUNTIF(List!H109:CE109,"S"))=0,"N",IF(COUNTIF(H111:CE111,"P"),"P",IF(COUNTIF(H111:CE111,"S"),"S","U")))</f>
        <v>P</v>
      </c>
      <c r="H111" s="13" t="str">
        <f>IF(H$4="Yes",INDEX(List!$E$2:$CD$173,MATCH('Selection Pane Data'!$B111,List!$E$2:$E$173,0),MATCH('Selection Pane Data'!H$3,List!$E$2:$CD$2,0)),"")</f>
        <v/>
      </c>
      <c r="I111" s="13" t="str">
        <f>IF(I$4="Yes",INDEX(List!$E$2:$CD$173,MATCH('Selection Pane Data'!$B111,List!$E$2:$E$173,0),MATCH('Selection Pane Data'!I$3,List!$E$2:$CD$2,0)),"")</f>
        <v/>
      </c>
      <c r="J111" s="13" t="str">
        <f>IF(J$4="Yes",INDEX(List!$E$2:$CD$173,MATCH('Selection Pane Data'!$B111,List!$E$2:$E$173,0),MATCH('Selection Pane Data'!J$3,List!$E$2:$CD$2,0)),"")</f>
        <v>P</v>
      </c>
      <c r="K111" s="13" t="str">
        <f>IF(K$4="Yes",INDEX(List!$E$2:$CD$173,MATCH('Selection Pane Data'!$B111,List!$E$2:$E$173,0),MATCH('Selection Pane Data'!K$3,List!$E$2:$CD$2,0)),"")</f>
        <v/>
      </c>
      <c r="L111" s="13" t="str">
        <f>IF(L$4="Yes",INDEX(List!$E$2:$CD$173,MATCH('Selection Pane Data'!$B111,List!$E$2:$E$173,0),MATCH('Selection Pane Data'!L$3,List!$E$2:$CD$2,0)),"")</f>
        <v/>
      </c>
      <c r="M111" s="13" t="str">
        <f>IF(M$4="Yes",INDEX(List!$E$2:$CD$173,MATCH('Selection Pane Data'!$B111,List!$E$2:$E$173,0),MATCH('Selection Pane Data'!M$3,List!$E$2:$CD$2,0)),"")</f>
        <v/>
      </c>
      <c r="N111" s="13" t="str">
        <f>IF(N$4="Yes",INDEX(List!$E$2:$CD$173,MATCH('Selection Pane Data'!$B111,List!$E$2:$E$173,0),MATCH('Selection Pane Data'!N$3,List!$E$2:$CD$2,0)),"")</f>
        <v/>
      </c>
      <c r="O111" s="13" t="str">
        <f>IF(O$4="Yes",INDEX(List!$E$2:$CD$173,MATCH('Selection Pane Data'!$B111,List!$E$2:$E$173,0),MATCH('Selection Pane Data'!O$3,List!$E$2:$CD$2,0)),"")</f>
        <v/>
      </c>
      <c r="P111" s="13" t="str">
        <f>IF(P$4="Yes",INDEX(List!$E$2:$CD$173,MATCH('Selection Pane Data'!$B111,List!$E$2:$E$173,0),MATCH('Selection Pane Data'!P$3,List!$E$2:$CD$2,0)),"")</f>
        <v/>
      </c>
      <c r="Q111" s="13" t="str">
        <f>IF(Q$4="Yes",INDEX(List!$E$2:$CD$173,MATCH('Selection Pane Data'!$B111,List!$E$2:$E$173,0),MATCH('Selection Pane Data'!Q$3,List!$E$2:$CD$2,0)),"")</f>
        <v/>
      </c>
      <c r="R111" s="13" t="str">
        <f>IF(R$4="Yes",INDEX(List!$E$2:$CD$173,MATCH('Selection Pane Data'!$B111,List!$E$2:$E$173,0),MATCH('Selection Pane Data'!R$3,List!$E$2:$CD$2,0)),"")</f>
        <v/>
      </c>
      <c r="S111" s="13" t="str">
        <f>IF(S$4="Yes",INDEX(List!$E$2:$CD$173,MATCH('Selection Pane Data'!$B111,List!$E$2:$E$173,0),MATCH('Selection Pane Data'!S$3,List!$E$2:$CD$2,0)),"")</f>
        <v/>
      </c>
      <c r="T111" s="13" t="str">
        <f>IF(T$4="Yes",INDEX(List!$E$2:$CD$173,MATCH('Selection Pane Data'!$B111,List!$E$2:$E$173,0),MATCH('Selection Pane Data'!T$3,List!$E$2:$CD$2,0)),"")</f>
        <v/>
      </c>
      <c r="U111" s="13" t="str">
        <f>IF(U$4="Yes",INDEX(List!$E$2:$CD$173,MATCH('Selection Pane Data'!$B111,List!$E$2:$E$173,0),MATCH('Selection Pane Data'!U$3,List!$E$2:$CD$2,0)),"")</f>
        <v/>
      </c>
      <c r="V111" s="13" t="str">
        <f>IF(V$4="Yes",INDEX(List!$E$2:$CD$173,MATCH('Selection Pane Data'!$B111,List!$E$2:$E$173,0),MATCH('Selection Pane Data'!V$3,List!$E$2:$CD$2,0)),"")</f>
        <v/>
      </c>
      <c r="W111" s="13" t="str">
        <f>IF(W$4="Yes",INDEX(List!$E$2:$CD$173,MATCH('Selection Pane Data'!$B111,List!$E$2:$E$173,0),MATCH('Selection Pane Data'!W$3,List!$E$2:$CD$2,0)),"")</f>
        <v/>
      </c>
      <c r="X111" s="13" t="str">
        <f>IF(X$4="Yes",INDEX(List!$E$2:$CD$173,MATCH('Selection Pane Data'!$B111,List!$E$2:$E$173,0),MATCH('Selection Pane Data'!X$3,List!$E$2:$CD$2,0)),"")</f>
        <v/>
      </c>
      <c r="Y111" s="13" t="str">
        <f>IF(Y$4="Yes",INDEX(List!$E$2:$CD$173,MATCH('Selection Pane Data'!$B111,List!$E$2:$E$173,0),MATCH('Selection Pane Data'!Y$3,List!$E$2:$CD$2,0)),"")</f>
        <v/>
      </c>
      <c r="Z111" s="13" t="str">
        <f>IF(Z$4="Yes",INDEX(List!$E$2:$CD$173,MATCH('Selection Pane Data'!$B111,List!$E$2:$E$173,0),MATCH('Selection Pane Data'!Z$3,List!$E$2:$CD$2,0)),"")</f>
        <v/>
      </c>
      <c r="AA111" s="13" t="str">
        <f>IF(AA$4="Yes",INDEX(List!$E$2:$CD$173,MATCH('Selection Pane Data'!$B111,List!$E$2:$E$173,0),MATCH('Selection Pane Data'!AA$3,List!$E$2:$CD$2,0)),"")</f>
        <v>N</v>
      </c>
      <c r="AB111" s="13" t="str">
        <f>IF(AB$4="Yes",INDEX(List!$E$2:$CD$173,MATCH('Selection Pane Data'!$B111,List!$E$2:$E$173,0),MATCH('Selection Pane Data'!AB$3,List!$E$2:$CD$2,0)),"")</f>
        <v/>
      </c>
      <c r="AC111" s="13" t="str">
        <f>IF(AC$4="Yes",INDEX(List!$E$2:$CD$173,MATCH('Selection Pane Data'!$B111,List!$E$2:$E$173,0),MATCH('Selection Pane Data'!AC$3,List!$E$2:$CD$2,0)),"")</f>
        <v/>
      </c>
      <c r="AD111" s="13" t="str">
        <f>IF(AD$4="Yes",INDEX(List!$E$2:$CD$173,MATCH('Selection Pane Data'!$B111,List!$E$2:$E$173,0),MATCH('Selection Pane Data'!AD$3,List!$E$2:$CD$2,0)),"")</f>
        <v/>
      </c>
      <c r="AE111" s="13" t="str">
        <f>IF(AE$4="Yes",INDEX(List!$E$2:$CD$173,MATCH('Selection Pane Data'!$B111,List!$E$2:$E$173,0),MATCH('Selection Pane Data'!AE$3,List!$E$2:$CD$2,0)),"")</f>
        <v/>
      </c>
      <c r="AF111" s="13" t="str">
        <f>IF(AF$4="Yes",INDEX(List!$E$2:$CD$173,MATCH('Selection Pane Data'!$B111,List!$E$2:$E$173,0),MATCH('Selection Pane Data'!AF$3,List!$E$2:$CD$2,0)),"")</f>
        <v/>
      </c>
      <c r="AG111" s="13" t="str">
        <f>IF(AG$4="Yes",INDEX(List!$E$2:$CD$173,MATCH('Selection Pane Data'!$B111,List!$E$2:$E$173,0),MATCH('Selection Pane Data'!AG$3,List!$E$2:$CD$2,0)),"")</f>
        <v/>
      </c>
      <c r="AH111" s="13" t="str">
        <f>IF(AH$4="Yes",INDEX(List!$E$2:$CD$173,MATCH('Selection Pane Data'!$B111,List!$E$2:$E$173,0),MATCH('Selection Pane Data'!AH$3,List!$E$2:$CD$2,0)),"")</f>
        <v/>
      </c>
      <c r="AI111" s="13" t="str">
        <f>IF(AI$4="Yes",INDEX(List!$E$2:$CD$173,MATCH('Selection Pane Data'!$B111,List!$E$2:$E$173,0),MATCH('Selection Pane Data'!AI$3,List!$E$2:$CD$2,0)),"")</f>
        <v/>
      </c>
      <c r="AJ111" s="13" t="str">
        <f>IF(AJ$4="Yes",INDEX(List!$E$2:$CD$173,MATCH('Selection Pane Data'!$B111,List!$E$2:$E$173,0),MATCH('Selection Pane Data'!AJ$3,List!$E$2:$CD$2,0)),"")</f>
        <v/>
      </c>
      <c r="AK111" s="13" t="str">
        <f>IF(AK$4="Yes",INDEX(List!$E$2:$CD$173,MATCH('Selection Pane Data'!$B111,List!$E$2:$E$173,0),MATCH('Selection Pane Data'!AK$3,List!$E$2:$CD$2,0)),"")</f>
        <v/>
      </c>
      <c r="AL111" s="13" t="str">
        <f>IF(AL$4="Yes",INDEX(List!$E$2:$CD$173,MATCH('Selection Pane Data'!$B111,List!$E$2:$E$173,0),MATCH('Selection Pane Data'!AL$3,List!$E$2:$CD$2,0)),"")</f>
        <v/>
      </c>
      <c r="AM111" s="13" t="str">
        <f>IF(AM$4="Yes",INDEX(List!$E$2:$CD$173,MATCH('Selection Pane Data'!$B111,List!$E$2:$E$173,0),MATCH('Selection Pane Data'!AM$3,List!$E$2:$CD$2,0)),"")</f>
        <v/>
      </c>
      <c r="AN111" s="13" t="str">
        <f>IF(AN$4="Yes",INDEX(List!$E$2:$CD$173,MATCH('Selection Pane Data'!$B111,List!$E$2:$E$173,0),MATCH('Selection Pane Data'!AN$3,List!$E$2:$CD$2,0)),"")</f>
        <v/>
      </c>
      <c r="AO111" s="13" t="str">
        <f>IF(AO$4="Yes",INDEX(List!$E$2:$CD$173,MATCH('Selection Pane Data'!$B111,List!$E$2:$E$173,0),MATCH('Selection Pane Data'!AO$3,List!$E$2:$CD$2,0)),"")</f>
        <v/>
      </c>
      <c r="AP111" s="13" t="str">
        <f>IF(AP$4="Yes",INDEX(List!$E$2:$CD$173,MATCH('Selection Pane Data'!$B111,List!$E$2:$E$173,0),MATCH('Selection Pane Data'!AP$3,List!$E$2:$CD$2,0)),"")</f>
        <v/>
      </c>
      <c r="AQ111" s="13" t="str">
        <f>IF(AQ$4="Yes",INDEX(List!$E$2:$CD$173,MATCH('Selection Pane Data'!$B111,List!$E$2:$E$173,0),MATCH('Selection Pane Data'!AQ$3,List!$E$2:$CD$2,0)),"")</f>
        <v/>
      </c>
      <c r="AR111" s="13" t="str">
        <f>IF(AR$4="Yes",INDEX(List!$E$2:$CD$173,MATCH('Selection Pane Data'!$B111,List!$E$2:$E$173,0),MATCH('Selection Pane Data'!AR$3,List!$E$2:$CD$2,0)),"")</f>
        <v/>
      </c>
      <c r="AS111" s="13" t="str">
        <f>IF(AS$4="Yes",INDEX(List!$E$2:$CD$173,MATCH('Selection Pane Data'!$B111,List!$E$2:$E$173,0),MATCH('Selection Pane Data'!AS$3,List!$E$2:$CD$2,0)),"")</f>
        <v/>
      </c>
      <c r="AT111" s="13" t="str">
        <f>IF(AT$4="Yes",INDEX(List!$E$2:$CD$173,MATCH('Selection Pane Data'!$B111,List!$E$2:$E$173,0),MATCH('Selection Pane Data'!AT$3,List!$E$2:$CD$2,0)),"")</f>
        <v/>
      </c>
      <c r="AU111" s="13" t="str">
        <f>IF(AU$4="Yes",INDEX(List!$E$2:$CD$173,MATCH('Selection Pane Data'!$B111,List!$E$2:$E$173,0),MATCH('Selection Pane Data'!AU$3,List!$E$2:$CD$2,0)),"")</f>
        <v/>
      </c>
      <c r="AV111" s="13" t="str">
        <f>IF(AV$4="Yes",INDEX(List!$E$2:$CD$173,MATCH('Selection Pane Data'!$B111,List!$E$2:$E$173,0),MATCH('Selection Pane Data'!AV$3,List!$E$2:$CD$2,0)),"")</f>
        <v/>
      </c>
      <c r="AW111" s="13" t="str">
        <f>IF(AW$4="Yes",INDEX(List!$E$2:$CD$173,MATCH('Selection Pane Data'!$B111,List!$E$2:$E$173,0),MATCH('Selection Pane Data'!AW$3,List!$E$2:$CD$2,0)),"")</f>
        <v/>
      </c>
      <c r="AX111" s="13" t="str">
        <f>IF(AX$4="Yes",INDEX(List!$E$2:$CD$173,MATCH('Selection Pane Data'!$B111,List!$E$2:$E$173,0),MATCH('Selection Pane Data'!AX$3,List!$E$2:$CD$2,0)),"")</f>
        <v/>
      </c>
      <c r="AY111" s="13" t="str">
        <f>IF(AY$4="Yes",INDEX(List!$E$2:$CD$173,MATCH('Selection Pane Data'!$B111,List!$E$2:$E$173,0),MATCH('Selection Pane Data'!AY$3,List!$E$2:$CD$2,0)),"")</f>
        <v/>
      </c>
      <c r="AZ111" s="13" t="str">
        <f>IF(AZ$4="Yes",INDEX(List!$E$2:$CD$173,MATCH('Selection Pane Data'!$B111,List!$E$2:$E$173,0),MATCH('Selection Pane Data'!AZ$3,List!$E$2:$CD$2,0)),"")</f>
        <v/>
      </c>
      <c r="BA111" s="13" t="str">
        <f>IF(BA$4="Yes",INDEX(List!$E$2:$CD$173,MATCH('Selection Pane Data'!$B111,List!$E$2:$E$173,0),MATCH('Selection Pane Data'!BA$3,List!$E$2:$CD$2,0)),"")</f>
        <v/>
      </c>
      <c r="BB111" s="13" t="str">
        <f>IF(BB$4="Yes",INDEX(List!$E$2:$CD$173,MATCH('Selection Pane Data'!$B111,List!$E$2:$E$173,0),MATCH('Selection Pane Data'!BB$3,List!$E$2:$CD$2,0)),"")</f>
        <v/>
      </c>
      <c r="BC111" s="13" t="str">
        <f>IF(BC$4="Yes",INDEX(List!$E$2:$CD$173,MATCH('Selection Pane Data'!$B111,List!$E$2:$E$173,0),MATCH('Selection Pane Data'!BC$3,List!$E$2:$CD$2,0)),"")</f>
        <v/>
      </c>
      <c r="BD111" s="13" t="str">
        <f>IF(BD$4="Yes",INDEX(List!$E$2:$CD$173,MATCH('Selection Pane Data'!$B111,List!$E$2:$E$173,0),MATCH('Selection Pane Data'!BD$3,List!$E$2:$CD$2,0)),"")</f>
        <v/>
      </c>
      <c r="BE111" s="13" t="str">
        <f>IF(BE$4="Yes",INDEX(List!$E$2:$CD$173,MATCH('Selection Pane Data'!$B111,List!$E$2:$E$173,0),MATCH('Selection Pane Data'!BE$3,List!$E$2:$CD$2,0)),"")</f>
        <v/>
      </c>
      <c r="BF111" s="13" t="str">
        <f>IF(BF$4="Yes",INDEX(List!$E$2:$CD$173,MATCH('Selection Pane Data'!$B111,List!$E$2:$E$173,0),MATCH('Selection Pane Data'!BF$3,List!$E$2:$CD$2,0)),"")</f>
        <v/>
      </c>
      <c r="BG111" s="13" t="str">
        <f>IF(BG$4="Yes",INDEX(List!$E$2:$CD$173,MATCH('Selection Pane Data'!$B111,List!$E$2:$E$173,0),MATCH('Selection Pane Data'!BG$3,List!$E$2:$CD$2,0)),"")</f>
        <v/>
      </c>
      <c r="BH111" s="13" t="str">
        <f>IF(BH$4="Yes",INDEX(List!$E$2:$CD$173,MATCH('Selection Pane Data'!$B111,List!$E$2:$E$173,0),MATCH('Selection Pane Data'!BH$3,List!$E$2:$CD$2,0)),"")</f>
        <v/>
      </c>
      <c r="BI111" s="13" t="str">
        <f>IF(BI$4="Yes",INDEX(List!$E$2:$CD$173,MATCH('Selection Pane Data'!$B111,List!$E$2:$E$173,0),MATCH('Selection Pane Data'!BI$3,List!$E$2:$CD$2,0)),"")</f>
        <v/>
      </c>
      <c r="BJ111" s="13" t="str">
        <f>IF(BJ$4="Yes",INDEX(List!$E$2:$CD$173,MATCH('Selection Pane Data'!$B111,List!$E$2:$E$173,0),MATCH('Selection Pane Data'!BJ$3,List!$E$2:$CD$2,0)),"")</f>
        <v/>
      </c>
      <c r="BK111" s="13" t="str">
        <f>IF(BK$4="Yes",INDEX(List!$E$2:$CD$173,MATCH('Selection Pane Data'!$B111,List!$E$2:$E$173,0),MATCH('Selection Pane Data'!BK$3,List!$E$2:$CD$2,0)),"")</f>
        <v/>
      </c>
      <c r="BL111" s="13" t="str">
        <f>IF(BL$4="Yes",INDEX(List!$E$2:$CD$173,MATCH('Selection Pane Data'!$B111,List!$E$2:$E$173,0),MATCH('Selection Pane Data'!BL$3,List!$E$2:$CD$2,0)),"")</f>
        <v/>
      </c>
      <c r="BM111" s="13" t="str">
        <f>IF(BM$4="Yes",INDEX(List!$E$2:$CD$173,MATCH('Selection Pane Data'!$B111,List!$E$2:$E$173,0),MATCH('Selection Pane Data'!BM$3,List!$E$2:$CD$2,0)),"")</f>
        <v/>
      </c>
      <c r="BN111" s="13" t="str">
        <f>IF(BN$4="Yes",INDEX(List!$E$2:$CD$173,MATCH('Selection Pane Data'!$B111,List!$E$2:$E$173,0),MATCH('Selection Pane Data'!BN$3,List!$E$2:$CD$2,0)),"")</f>
        <v/>
      </c>
      <c r="BO111" s="13" t="str">
        <f>IF(BO$4="Yes",INDEX(List!$E$2:$CD$173,MATCH('Selection Pane Data'!$B111,List!$E$2:$E$173,0),MATCH('Selection Pane Data'!BO$3,List!$E$2:$CD$2,0)),"")</f>
        <v/>
      </c>
      <c r="BP111" s="13" t="str">
        <f>IF(BP$4="Yes",INDEX(List!$E$2:$CD$173,MATCH('Selection Pane Data'!$B111,List!$E$2:$E$173,0),MATCH('Selection Pane Data'!BP$3,List!$E$2:$CD$2,0)),"")</f>
        <v/>
      </c>
      <c r="BQ111" s="13" t="str">
        <f>IF(BQ$4="Yes",INDEX(List!$E$2:$CD$173,MATCH('Selection Pane Data'!$B111,List!$E$2:$E$173,0),MATCH('Selection Pane Data'!BQ$3,List!$E$2:$CD$2,0)),"")</f>
        <v/>
      </c>
      <c r="BR111" s="13" t="str">
        <f>IF(BR$4="Yes",INDEX(List!$E$2:$CD$173,MATCH('Selection Pane Data'!$B111,List!$E$2:$E$173,0),MATCH('Selection Pane Data'!BR$3,List!$E$2:$CD$2,0)),"")</f>
        <v/>
      </c>
      <c r="BS111" s="13" t="str">
        <f>IF(BS$4="Yes",INDEX(List!$E$2:$CD$173,MATCH('Selection Pane Data'!$B111,List!$E$2:$E$173,0),MATCH('Selection Pane Data'!BS$3,List!$E$2:$CD$2,0)),"")</f>
        <v/>
      </c>
      <c r="BT111" s="13" t="str">
        <f>IF(BT$4="Yes",INDEX(List!$E$2:$CD$173,MATCH('Selection Pane Data'!$B111,List!$E$2:$E$173,0),MATCH('Selection Pane Data'!BT$3,List!$E$2:$CD$2,0)),"")</f>
        <v/>
      </c>
      <c r="BU111" s="13" t="str">
        <f>IF(BU$4="Yes",INDEX(List!$E$2:$CD$173,MATCH('Selection Pane Data'!$B111,List!$E$2:$E$173,0),MATCH('Selection Pane Data'!BU$3,List!$E$2:$CD$2,0)),"")</f>
        <v/>
      </c>
      <c r="BV111" s="13" t="str">
        <f>IF(BV$4="Yes",INDEX(List!$E$2:$CD$173,MATCH('Selection Pane Data'!$B111,List!$E$2:$E$173,0),MATCH('Selection Pane Data'!BV$3,List!$E$2:$CD$2,0)),"")</f>
        <v/>
      </c>
      <c r="BW111" s="13" t="str">
        <f>IF(BW$4="Yes",INDEX(List!$E$2:$CD$173,MATCH('Selection Pane Data'!$B111,List!$E$2:$E$173,0),MATCH('Selection Pane Data'!BW$3,List!$E$2:$CD$2,0)),"")</f>
        <v/>
      </c>
      <c r="BX111" s="13" t="str">
        <f>IF(BX$4="Yes",INDEX(List!$E$2:$CD$173,MATCH('Selection Pane Data'!$B111,List!$E$2:$E$173,0),MATCH('Selection Pane Data'!BX$3,List!$E$2:$CD$2,0)),"")</f>
        <v/>
      </c>
      <c r="BY111" s="13" t="str">
        <f>IF(BY$4="Yes",INDEX(List!$E$2:$CD$173,MATCH('Selection Pane Data'!$B111,List!$E$2:$E$173,0),MATCH('Selection Pane Data'!BY$3,List!$E$2:$CD$2,0)),"")</f>
        <v/>
      </c>
      <c r="BZ111" s="13" t="str">
        <f>IF(BZ$4="Yes",INDEX(List!$E$2:$CD$173,MATCH('Selection Pane Data'!$B111,List!$E$2:$E$173,0),MATCH('Selection Pane Data'!BZ$3,List!$E$2:$CD$2,0)),"")</f>
        <v/>
      </c>
      <c r="CA111" s="13" t="str">
        <f>IF(CA$4="Yes",INDEX(List!$E$2:$CD$173,MATCH('Selection Pane Data'!$B111,List!$E$2:$E$173,0),MATCH('Selection Pane Data'!CA$3,List!$E$2:$CD$2,0)),"")</f>
        <v/>
      </c>
      <c r="CB111" s="13" t="str">
        <f>IF(CB$4="Yes",INDEX(List!$E$2:$CD$173,MATCH('Selection Pane Data'!$B111,List!$E$2:$E$173,0),MATCH('Selection Pane Data'!CB$3,List!$E$2:$CD$2,0)),"")</f>
        <v/>
      </c>
      <c r="CC111" s="13" t="str">
        <f>IF(CC$4="Yes",INDEX(List!$E$2:$CD$173,MATCH('Selection Pane Data'!$B111,List!$E$2:$E$173,0),MATCH('Selection Pane Data'!CC$3,List!$E$2:$CD$2,0)),"")</f>
        <v/>
      </c>
      <c r="CD111" s="13" t="str">
        <f>IF(CD$4="Yes",INDEX(List!$E$2:$CD$173,MATCH('Selection Pane Data'!$B111,List!$E$2:$E$173,0),MATCH('Selection Pane Data'!CD$3,List!$E$2:$CD$2,0)),"")</f>
        <v/>
      </c>
      <c r="CE111" s="13" t="str">
        <f>IF(CE$4="Yes",INDEX(List!$E$2:$CD$173,MATCH('Selection Pane Data'!$B111,List!$E$2:$E$173,0),MATCH('Selection Pane Data'!CE$3,List!$E$2:$CD$2,0)),"")</f>
        <v/>
      </c>
    </row>
    <row r="112" spans="2:83" x14ac:dyDescent="0.35">
      <c r="B112" s="21" t="s">
        <v>399</v>
      </c>
      <c r="C112" s="126" t="str">
        <f>VLOOKUP(B112,List!$E$2:$G$173,2,FALSE)</f>
        <v>PE.L1-3.10.5</v>
      </c>
      <c r="D112" s="31" t="str">
        <f>List!G110</f>
        <v>Microsoft Coverage</v>
      </c>
      <c r="E112" s="31" t="str">
        <f>IF(Placemat!$F$4="All Practices","All Practices",IF(VLOOKUP(B112,Table7[#All],6,FALSE)="No Mapping","New CMMC Practices","Practices with NIST 800-171 Mappings"))</f>
        <v>Practices with NIST 800-171 Mappings</v>
      </c>
      <c r="F112" t="str">
        <f>INDEX('CMMC Levels'!$A$1:$F$172,MATCH('Selection Pane Data'!$C112,'CMMC Levels'!$A$1:$A$172,0),MATCH(Placemat!$F$4,'CMMC Levels'!$A$1:$F$1,0))</f>
        <v>X</v>
      </c>
      <c r="G112" s="77" t="str">
        <f>IF((COUNTIF(List!H110:CE110,"P")+COUNTIF(List!H110:CE110,"S"))=0,"N",IF(COUNTIF(H112:CE112,"P"),"P",IF(COUNTIF(H112:CE112,"S"),"S","U")))</f>
        <v>P</v>
      </c>
      <c r="H112" s="13" t="str">
        <f>IF(H$4="Yes",INDEX(List!$E$2:$CD$173,MATCH('Selection Pane Data'!$B112,List!$E$2:$E$173,0),MATCH('Selection Pane Data'!H$3,List!$E$2:$CD$2,0)),"")</f>
        <v/>
      </c>
      <c r="I112" s="13" t="str">
        <f>IF(I$4="Yes",INDEX(List!$E$2:$CD$173,MATCH('Selection Pane Data'!$B112,List!$E$2:$E$173,0),MATCH('Selection Pane Data'!I$3,List!$E$2:$CD$2,0)),"")</f>
        <v/>
      </c>
      <c r="J112" s="13" t="str">
        <f>IF(J$4="Yes",INDEX(List!$E$2:$CD$173,MATCH('Selection Pane Data'!$B112,List!$E$2:$E$173,0),MATCH('Selection Pane Data'!J$3,List!$E$2:$CD$2,0)),"")</f>
        <v>P</v>
      </c>
      <c r="K112" s="13" t="str">
        <f>IF(K$4="Yes",INDEX(List!$E$2:$CD$173,MATCH('Selection Pane Data'!$B112,List!$E$2:$E$173,0),MATCH('Selection Pane Data'!K$3,List!$E$2:$CD$2,0)),"")</f>
        <v/>
      </c>
      <c r="L112" s="13" t="str">
        <f>IF(L$4="Yes",INDEX(List!$E$2:$CD$173,MATCH('Selection Pane Data'!$B112,List!$E$2:$E$173,0),MATCH('Selection Pane Data'!L$3,List!$E$2:$CD$2,0)),"")</f>
        <v/>
      </c>
      <c r="M112" s="13" t="str">
        <f>IF(M$4="Yes",INDEX(List!$E$2:$CD$173,MATCH('Selection Pane Data'!$B112,List!$E$2:$E$173,0),MATCH('Selection Pane Data'!M$3,List!$E$2:$CD$2,0)),"")</f>
        <v/>
      </c>
      <c r="N112" s="13" t="str">
        <f>IF(N$4="Yes",INDEX(List!$E$2:$CD$173,MATCH('Selection Pane Data'!$B112,List!$E$2:$E$173,0),MATCH('Selection Pane Data'!N$3,List!$E$2:$CD$2,0)),"")</f>
        <v/>
      </c>
      <c r="O112" s="13" t="str">
        <f>IF(O$4="Yes",INDEX(List!$E$2:$CD$173,MATCH('Selection Pane Data'!$B112,List!$E$2:$E$173,0),MATCH('Selection Pane Data'!O$3,List!$E$2:$CD$2,0)),"")</f>
        <v/>
      </c>
      <c r="P112" s="13" t="str">
        <f>IF(P$4="Yes",INDEX(List!$E$2:$CD$173,MATCH('Selection Pane Data'!$B112,List!$E$2:$E$173,0),MATCH('Selection Pane Data'!P$3,List!$E$2:$CD$2,0)),"")</f>
        <v/>
      </c>
      <c r="Q112" s="13" t="str">
        <f>IF(Q$4="Yes",INDEX(List!$E$2:$CD$173,MATCH('Selection Pane Data'!$B112,List!$E$2:$E$173,0),MATCH('Selection Pane Data'!Q$3,List!$E$2:$CD$2,0)),"")</f>
        <v/>
      </c>
      <c r="R112" s="13" t="str">
        <f>IF(R$4="Yes",INDEX(List!$E$2:$CD$173,MATCH('Selection Pane Data'!$B112,List!$E$2:$E$173,0),MATCH('Selection Pane Data'!R$3,List!$E$2:$CD$2,0)),"")</f>
        <v/>
      </c>
      <c r="S112" s="13" t="str">
        <f>IF(S$4="Yes",INDEX(List!$E$2:$CD$173,MATCH('Selection Pane Data'!$B112,List!$E$2:$E$173,0),MATCH('Selection Pane Data'!S$3,List!$E$2:$CD$2,0)),"")</f>
        <v/>
      </c>
      <c r="T112" s="13" t="str">
        <f>IF(T$4="Yes",INDEX(List!$E$2:$CD$173,MATCH('Selection Pane Data'!$B112,List!$E$2:$E$173,0),MATCH('Selection Pane Data'!T$3,List!$E$2:$CD$2,0)),"")</f>
        <v/>
      </c>
      <c r="U112" s="13" t="str">
        <f>IF(U$4="Yes",INDEX(List!$E$2:$CD$173,MATCH('Selection Pane Data'!$B112,List!$E$2:$E$173,0),MATCH('Selection Pane Data'!U$3,List!$E$2:$CD$2,0)),"")</f>
        <v/>
      </c>
      <c r="V112" s="13" t="str">
        <f>IF(V$4="Yes",INDEX(List!$E$2:$CD$173,MATCH('Selection Pane Data'!$B112,List!$E$2:$E$173,0),MATCH('Selection Pane Data'!V$3,List!$E$2:$CD$2,0)),"")</f>
        <v/>
      </c>
      <c r="W112" s="13" t="str">
        <f>IF(W$4="Yes",INDEX(List!$E$2:$CD$173,MATCH('Selection Pane Data'!$B112,List!$E$2:$E$173,0),MATCH('Selection Pane Data'!W$3,List!$E$2:$CD$2,0)),"")</f>
        <v/>
      </c>
      <c r="X112" s="13" t="str">
        <f>IF(X$4="Yes",INDEX(List!$E$2:$CD$173,MATCH('Selection Pane Data'!$B112,List!$E$2:$E$173,0),MATCH('Selection Pane Data'!X$3,List!$E$2:$CD$2,0)),"")</f>
        <v/>
      </c>
      <c r="Y112" s="13" t="str">
        <f>IF(Y$4="Yes",INDEX(List!$E$2:$CD$173,MATCH('Selection Pane Data'!$B112,List!$E$2:$E$173,0),MATCH('Selection Pane Data'!Y$3,List!$E$2:$CD$2,0)),"")</f>
        <v/>
      </c>
      <c r="Z112" s="13" t="str">
        <f>IF(Z$4="Yes",INDEX(List!$E$2:$CD$173,MATCH('Selection Pane Data'!$B112,List!$E$2:$E$173,0),MATCH('Selection Pane Data'!Z$3,List!$E$2:$CD$2,0)),"")</f>
        <v/>
      </c>
      <c r="AA112" s="13" t="str">
        <f>IF(AA$4="Yes",INDEX(List!$E$2:$CD$173,MATCH('Selection Pane Data'!$B112,List!$E$2:$E$173,0),MATCH('Selection Pane Data'!AA$3,List!$E$2:$CD$2,0)),"")</f>
        <v>N</v>
      </c>
      <c r="AB112" s="13" t="str">
        <f>IF(AB$4="Yes",INDEX(List!$E$2:$CD$173,MATCH('Selection Pane Data'!$B112,List!$E$2:$E$173,0),MATCH('Selection Pane Data'!AB$3,List!$E$2:$CD$2,0)),"")</f>
        <v/>
      </c>
      <c r="AC112" s="13" t="str">
        <f>IF(AC$4="Yes",INDEX(List!$E$2:$CD$173,MATCH('Selection Pane Data'!$B112,List!$E$2:$E$173,0),MATCH('Selection Pane Data'!AC$3,List!$E$2:$CD$2,0)),"")</f>
        <v/>
      </c>
      <c r="AD112" s="13" t="str">
        <f>IF(AD$4="Yes",INDEX(List!$E$2:$CD$173,MATCH('Selection Pane Data'!$B112,List!$E$2:$E$173,0),MATCH('Selection Pane Data'!AD$3,List!$E$2:$CD$2,0)),"")</f>
        <v/>
      </c>
      <c r="AE112" s="13" t="str">
        <f>IF(AE$4="Yes",INDEX(List!$E$2:$CD$173,MATCH('Selection Pane Data'!$B112,List!$E$2:$E$173,0),MATCH('Selection Pane Data'!AE$3,List!$E$2:$CD$2,0)),"")</f>
        <v/>
      </c>
      <c r="AF112" s="13" t="str">
        <f>IF(AF$4="Yes",INDEX(List!$E$2:$CD$173,MATCH('Selection Pane Data'!$B112,List!$E$2:$E$173,0),MATCH('Selection Pane Data'!AF$3,List!$E$2:$CD$2,0)),"")</f>
        <v/>
      </c>
      <c r="AG112" s="13" t="str">
        <f>IF(AG$4="Yes",INDEX(List!$E$2:$CD$173,MATCH('Selection Pane Data'!$B112,List!$E$2:$E$173,0),MATCH('Selection Pane Data'!AG$3,List!$E$2:$CD$2,0)),"")</f>
        <v/>
      </c>
      <c r="AH112" s="13" t="str">
        <f>IF(AH$4="Yes",INDEX(List!$E$2:$CD$173,MATCH('Selection Pane Data'!$B112,List!$E$2:$E$173,0),MATCH('Selection Pane Data'!AH$3,List!$E$2:$CD$2,0)),"")</f>
        <v/>
      </c>
      <c r="AI112" s="13" t="str">
        <f>IF(AI$4="Yes",INDEX(List!$E$2:$CD$173,MATCH('Selection Pane Data'!$B112,List!$E$2:$E$173,0),MATCH('Selection Pane Data'!AI$3,List!$E$2:$CD$2,0)),"")</f>
        <v/>
      </c>
      <c r="AJ112" s="13" t="str">
        <f>IF(AJ$4="Yes",INDEX(List!$E$2:$CD$173,MATCH('Selection Pane Data'!$B112,List!$E$2:$E$173,0),MATCH('Selection Pane Data'!AJ$3,List!$E$2:$CD$2,0)),"")</f>
        <v/>
      </c>
      <c r="AK112" s="13" t="str">
        <f>IF(AK$4="Yes",INDEX(List!$E$2:$CD$173,MATCH('Selection Pane Data'!$B112,List!$E$2:$E$173,0),MATCH('Selection Pane Data'!AK$3,List!$E$2:$CD$2,0)),"")</f>
        <v/>
      </c>
      <c r="AL112" s="13" t="str">
        <f>IF(AL$4="Yes",INDEX(List!$E$2:$CD$173,MATCH('Selection Pane Data'!$B112,List!$E$2:$E$173,0),MATCH('Selection Pane Data'!AL$3,List!$E$2:$CD$2,0)),"")</f>
        <v/>
      </c>
      <c r="AM112" s="13" t="str">
        <f>IF(AM$4="Yes",INDEX(List!$E$2:$CD$173,MATCH('Selection Pane Data'!$B112,List!$E$2:$E$173,0),MATCH('Selection Pane Data'!AM$3,List!$E$2:$CD$2,0)),"")</f>
        <v/>
      </c>
      <c r="AN112" s="13" t="str">
        <f>IF(AN$4="Yes",INDEX(List!$E$2:$CD$173,MATCH('Selection Pane Data'!$B112,List!$E$2:$E$173,0),MATCH('Selection Pane Data'!AN$3,List!$E$2:$CD$2,0)),"")</f>
        <v/>
      </c>
      <c r="AO112" s="13" t="str">
        <f>IF(AO$4="Yes",INDEX(List!$E$2:$CD$173,MATCH('Selection Pane Data'!$B112,List!$E$2:$E$173,0),MATCH('Selection Pane Data'!AO$3,List!$E$2:$CD$2,0)),"")</f>
        <v/>
      </c>
      <c r="AP112" s="13" t="str">
        <f>IF(AP$4="Yes",INDEX(List!$E$2:$CD$173,MATCH('Selection Pane Data'!$B112,List!$E$2:$E$173,0),MATCH('Selection Pane Data'!AP$3,List!$E$2:$CD$2,0)),"")</f>
        <v/>
      </c>
      <c r="AQ112" s="13" t="str">
        <f>IF(AQ$4="Yes",INDEX(List!$E$2:$CD$173,MATCH('Selection Pane Data'!$B112,List!$E$2:$E$173,0),MATCH('Selection Pane Data'!AQ$3,List!$E$2:$CD$2,0)),"")</f>
        <v/>
      </c>
      <c r="AR112" s="13" t="str">
        <f>IF(AR$4="Yes",INDEX(List!$E$2:$CD$173,MATCH('Selection Pane Data'!$B112,List!$E$2:$E$173,0),MATCH('Selection Pane Data'!AR$3,List!$E$2:$CD$2,0)),"")</f>
        <v/>
      </c>
      <c r="AS112" s="13" t="str">
        <f>IF(AS$4="Yes",INDEX(List!$E$2:$CD$173,MATCH('Selection Pane Data'!$B112,List!$E$2:$E$173,0),MATCH('Selection Pane Data'!AS$3,List!$E$2:$CD$2,0)),"")</f>
        <v/>
      </c>
      <c r="AT112" s="13" t="str">
        <f>IF(AT$4="Yes",INDEX(List!$E$2:$CD$173,MATCH('Selection Pane Data'!$B112,List!$E$2:$E$173,0),MATCH('Selection Pane Data'!AT$3,List!$E$2:$CD$2,0)),"")</f>
        <v/>
      </c>
      <c r="AU112" s="13" t="str">
        <f>IF(AU$4="Yes",INDEX(List!$E$2:$CD$173,MATCH('Selection Pane Data'!$B112,List!$E$2:$E$173,0),MATCH('Selection Pane Data'!AU$3,List!$E$2:$CD$2,0)),"")</f>
        <v/>
      </c>
      <c r="AV112" s="13" t="str">
        <f>IF(AV$4="Yes",INDEX(List!$E$2:$CD$173,MATCH('Selection Pane Data'!$B112,List!$E$2:$E$173,0),MATCH('Selection Pane Data'!AV$3,List!$E$2:$CD$2,0)),"")</f>
        <v/>
      </c>
      <c r="AW112" s="13" t="str">
        <f>IF(AW$4="Yes",INDEX(List!$E$2:$CD$173,MATCH('Selection Pane Data'!$B112,List!$E$2:$E$173,0),MATCH('Selection Pane Data'!AW$3,List!$E$2:$CD$2,0)),"")</f>
        <v/>
      </c>
      <c r="AX112" s="13" t="str">
        <f>IF(AX$4="Yes",INDEX(List!$E$2:$CD$173,MATCH('Selection Pane Data'!$B112,List!$E$2:$E$173,0),MATCH('Selection Pane Data'!AX$3,List!$E$2:$CD$2,0)),"")</f>
        <v/>
      </c>
      <c r="AY112" s="13" t="str">
        <f>IF(AY$4="Yes",INDEX(List!$E$2:$CD$173,MATCH('Selection Pane Data'!$B112,List!$E$2:$E$173,0),MATCH('Selection Pane Data'!AY$3,List!$E$2:$CD$2,0)),"")</f>
        <v/>
      </c>
      <c r="AZ112" s="13" t="str">
        <f>IF(AZ$4="Yes",INDEX(List!$E$2:$CD$173,MATCH('Selection Pane Data'!$B112,List!$E$2:$E$173,0),MATCH('Selection Pane Data'!AZ$3,List!$E$2:$CD$2,0)),"")</f>
        <v/>
      </c>
      <c r="BA112" s="13" t="str">
        <f>IF(BA$4="Yes",INDEX(List!$E$2:$CD$173,MATCH('Selection Pane Data'!$B112,List!$E$2:$E$173,0),MATCH('Selection Pane Data'!BA$3,List!$E$2:$CD$2,0)),"")</f>
        <v/>
      </c>
      <c r="BB112" s="13" t="str">
        <f>IF(BB$4="Yes",INDEX(List!$E$2:$CD$173,MATCH('Selection Pane Data'!$B112,List!$E$2:$E$173,0),MATCH('Selection Pane Data'!BB$3,List!$E$2:$CD$2,0)),"")</f>
        <v/>
      </c>
      <c r="BC112" s="13" t="str">
        <f>IF(BC$4="Yes",INDEX(List!$E$2:$CD$173,MATCH('Selection Pane Data'!$B112,List!$E$2:$E$173,0),MATCH('Selection Pane Data'!BC$3,List!$E$2:$CD$2,0)),"")</f>
        <v/>
      </c>
      <c r="BD112" s="13" t="str">
        <f>IF(BD$4="Yes",INDEX(List!$E$2:$CD$173,MATCH('Selection Pane Data'!$B112,List!$E$2:$E$173,0),MATCH('Selection Pane Data'!BD$3,List!$E$2:$CD$2,0)),"")</f>
        <v/>
      </c>
      <c r="BE112" s="13" t="str">
        <f>IF(BE$4="Yes",INDEX(List!$E$2:$CD$173,MATCH('Selection Pane Data'!$B112,List!$E$2:$E$173,0),MATCH('Selection Pane Data'!BE$3,List!$E$2:$CD$2,0)),"")</f>
        <v/>
      </c>
      <c r="BF112" s="13" t="str">
        <f>IF(BF$4="Yes",INDEX(List!$E$2:$CD$173,MATCH('Selection Pane Data'!$B112,List!$E$2:$E$173,0),MATCH('Selection Pane Data'!BF$3,List!$E$2:$CD$2,0)),"")</f>
        <v/>
      </c>
      <c r="BG112" s="13" t="str">
        <f>IF(BG$4="Yes",INDEX(List!$E$2:$CD$173,MATCH('Selection Pane Data'!$B112,List!$E$2:$E$173,0),MATCH('Selection Pane Data'!BG$3,List!$E$2:$CD$2,0)),"")</f>
        <v/>
      </c>
      <c r="BH112" s="13" t="str">
        <f>IF(BH$4="Yes",INDEX(List!$E$2:$CD$173,MATCH('Selection Pane Data'!$B112,List!$E$2:$E$173,0),MATCH('Selection Pane Data'!BH$3,List!$E$2:$CD$2,0)),"")</f>
        <v/>
      </c>
      <c r="BI112" s="13" t="str">
        <f>IF(BI$4="Yes",INDEX(List!$E$2:$CD$173,MATCH('Selection Pane Data'!$B112,List!$E$2:$E$173,0),MATCH('Selection Pane Data'!BI$3,List!$E$2:$CD$2,0)),"")</f>
        <v/>
      </c>
      <c r="BJ112" s="13" t="str">
        <f>IF(BJ$4="Yes",INDEX(List!$E$2:$CD$173,MATCH('Selection Pane Data'!$B112,List!$E$2:$E$173,0),MATCH('Selection Pane Data'!BJ$3,List!$E$2:$CD$2,0)),"")</f>
        <v/>
      </c>
      <c r="BK112" s="13" t="str">
        <f>IF(BK$4="Yes",INDEX(List!$E$2:$CD$173,MATCH('Selection Pane Data'!$B112,List!$E$2:$E$173,0),MATCH('Selection Pane Data'!BK$3,List!$E$2:$CD$2,0)),"")</f>
        <v/>
      </c>
      <c r="BL112" s="13" t="str">
        <f>IF(BL$4="Yes",INDEX(List!$E$2:$CD$173,MATCH('Selection Pane Data'!$B112,List!$E$2:$E$173,0),MATCH('Selection Pane Data'!BL$3,List!$E$2:$CD$2,0)),"")</f>
        <v/>
      </c>
      <c r="BM112" s="13" t="str">
        <f>IF(BM$4="Yes",INDEX(List!$E$2:$CD$173,MATCH('Selection Pane Data'!$B112,List!$E$2:$E$173,0),MATCH('Selection Pane Data'!BM$3,List!$E$2:$CD$2,0)),"")</f>
        <v/>
      </c>
      <c r="BN112" s="13" t="str">
        <f>IF(BN$4="Yes",INDEX(List!$E$2:$CD$173,MATCH('Selection Pane Data'!$B112,List!$E$2:$E$173,0),MATCH('Selection Pane Data'!BN$3,List!$E$2:$CD$2,0)),"")</f>
        <v/>
      </c>
      <c r="BO112" s="13" t="str">
        <f>IF(BO$4="Yes",INDEX(List!$E$2:$CD$173,MATCH('Selection Pane Data'!$B112,List!$E$2:$E$173,0),MATCH('Selection Pane Data'!BO$3,List!$E$2:$CD$2,0)),"")</f>
        <v/>
      </c>
      <c r="BP112" s="13" t="str">
        <f>IF(BP$4="Yes",INDEX(List!$E$2:$CD$173,MATCH('Selection Pane Data'!$B112,List!$E$2:$E$173,0),MATCH('Selection Pane Data'!BP$3,List!$E$2:$CD$2,0)),"")</f>
        <v/>
      </c>
      <c r="BQ112" s="13" t="str">
        <f>IF(BQ$4="Yes",INDEX(List!$E$2:$CD$173,MATCH('Selection Pane Data'!$B112,List!$E$2:$E$173,0),MATCH('Selection Pane Data'!BQ$3,List!$E$2:$CD$2,0)),"")</f>
        <v/>
      </c>
      <c r="BR112" s="13" t="str">
        <f>IF(BR$4="Yes",INDEX(List!$E$2:$CD$173,MATCH('Selection Pane Data'!$B112,List!$E$2:$E$173,0),MATCH('Selection Pane Data'!BR$3,List!$E$2:$CD$2,0)),"")</f>
        <v/>
      </c>
      <c r="BS112" s="13" t="str">
        <f>IF(BS$4="Yes",INDEX(List!$E$2:$CD$173,MATCH('Selection Pane Data'!$B112,List!$E$2:$E$173,0),MATCH('Selection Pane Data'!BS$3,List!$E$2:$CD$2,0)),"")</f>
        <v/>
      </c>
      <c r="BT112" s="13" t="str">
        <f>IF(BT$4="Yes",INDEX(List!$E$2:$CD$173,MATCH('Selection Pane Data'!$B112,List!$E$2:$E$173,0),MATCH('Selection Pane Data'!BT$3,List!$E$2:$CD$2,0)),"")</f>
        <v/>
      </c>
      <c r="BU112" s="13" t="str">
        <f>IF(BU$4="Yes",INDEX(List!$E$2:$CD$173,MATCH('Selection Pane Data'!$B112,List!$E$2:$E$173,0),MATCH('Selection Pane Data'!BU$3,List!$E$2:$CD$2,0)),"")</f>
        <v/>
      </c>
      <c r="BV112" s="13" t="str">
        <f>IF(BV$4="Yes",INDEX(List!$E$2:$CD$173,MATCH('Selection Pane Data'!$B112,List!$E$2:$E$173,0),MATCH('Selection Pane Data'!BV$3,List!$E$2:$CD$2,0)),"")</f>
        <v/>
      </c>
      <c r="BW112" s="13" t="str">
        <f>IF(BW$4="Yes",INDEX(List!$E$2:$CD$173,MATCH('Selection Pane Data'!$B112,List!$E$2:$E$173,0),MATCH('Selection Pane Data'!BW$3,List!$E$2:$CD$2,0)),"")</f>
        <v/>
      </c>
      <c r="BX112" s="13" t="str">
        <f>IF(BX$4="Yes",INDEX(List!$E$2:$CD$173,MATCH('Selection Pane Data'!$B112,List!$E$2:$E$173,0),MATCH('Selection Pane Data'!BX$3,List!$E$2:$CD$2,0)),"")</f>
        <v/>
      </c>
      <c r="BY112" s="13" t="str">
        <f>IF(BY$4="Yes",INDEX(List!$E$2:$CD$173,MATCH('Selection Pane Data'!$B112,List!$E$2:$E$173,0),MATCH('Selection Pane Data'!BY$3,List!$E$2:$CD$2,0)),"")</f>
        <v/>
      </c>
      <c r="BZ112" s="13" t="str">
        <f>IF(BZ$4="Yes",INDEX(List!$E$2:$CD$173,MATCH('Selection Pane Data'!$B112,List!$E$2:$E$173,0),MATCH('Selection Pane Data'!BZ$3,List!$E$2:$CD$2,0)),"")</f>
        <v/>
      </c>
      <c r="CA112" s="13" t="str">
        <f>IF(CA$4="Yes",INDEX(List!$E$2:$CD$173,MATCH('Selection Pane Data'!$B112,List!$E$2:$E$173,0),MATCH('Selection Pane Data'!CA$3,List!$E$2:$CD$2,0)),"")</f>
        <v/>
      </c>
      <c r="CB112" s="13" t="str">
        <f>IF(CB$4="Yes",INDEX(List!$E$2:$CD$173,MATCH('Selection Pane Data'!$B112,List!$E$2:$E$173,0),MATCH('Selection Pane Data'!CB$3,List!$E$2:$CD$2,0)),"")</f>
        <v/>
      </c>
      <c r="CC112" s="13" t="str">
        <f>IF(CC$4="Yes",INDEX(List!$E$2:$CD$173,MATCH('Selection Pane Data'!$B112,List!$E$2:$E$173,0),MATCH('Selection Pane Data'!CC$3,List!$E$2:$CD$2,0)),"")</f>
        <v/>
      </c>
      <c r="CD112" s="13" t="str">
        <f>IF(CD$4="Yes",INDEX(List!$E$2:$CD$173,MATCH('Selection Pane Data'!$B112,List!$E$2:$E$173,0),MATCH('Selection Pane Data'!CD$3,List!$E$2:$CD$2,0)),"")</f>
        <v/>
      </c>
      <c r="CE112" s="13" t="str">
        <f>IF(CE$4="Yes",INDEX(List!$E$2:$CD$173,MATCH('Selection Pane Data'!$B112,List!$E$2:$E$173,0),MATCH('Selection Pane Data'!CE$3,List!$E$2:$CD$2,0)),"")</f>
        <v/>
      </c>
    </row>
    <row r="113" spans="2:83" x14ac:dyDescent="0.35">
      <c r="B113" s="21" t="s">
        <v>400</v>
      </c>
      <c r="C113" s="126" t="str">
        <f>VLOOKUP(B113,List!$E$2:$G$173,2,FALSE)</f>
        <v>PE.L2-3.10.2</v>
      </c>
      <c r="D113" s="31" t="str">
        <f>List!G111</f>
        <v>Microsoft Coverage</v>
      </c>
      <c r="E113" s="31" t="str">
        <f>IF(Placemat!$F$4="All Practices","All Practices",IF(VLOOKUP(B113,Table7[#All],6,FALSE)="No Mapping","New CMMC Practices","Practices with NIST 800-171 Mappings"))</f>
        <v>Practices with NIST 800-171 Mappings</v>
      </c>
      <c r="F113" t="str">
        <f>INDEX('CMMC Levels'!$A$1:$F$172,MATCH('Selection Pane Data'!$C113,'CMMC Levels'!$A$1:$A$172,0),MATCH(Placemat!$F$4,'CMMC Levels'!$A$1:$F$1,0))</f>
        <v>X</v>
      </c>
      <c r="G113" s="77" t="str">
        <f>IF((COUNTIF(List!H111:CE111,"P")+COUNTIF(List!H111:CE111,"S"))=0,"N",IF(COUNTIF(H113:CE113,"P"),"P",IF(COUNTIF(H113:CE113,"S"),"S","U")))</f>
        <v>P</v>
      </c>
      <c r="H113" s="13" t="str">
        <f>IF(H$4="Yes",INDEX(List!$E$2:$CD$173,MATCH('Selection Pane Data'!$B113,List!$E$2:$E$173,0),MATCH('Selection Pane Data'!H$3,List!$E$2:$CD$2,0)),"")</f>
        <v/>
      </c>
      <c r="I113" s="13" t="str">
        <f>IF(I$4="Yes",INDEX(List!$E$2:$CD$173,MATCH('Selection Pane Data'!$B113,List!$E$2:$E$173,0),MATCH('Selection Pane Data'!I$3,List!$E$2:$CD$2,0)),"")</f>
        <v/>
      </c>
      <c r="J113" s="13" t="str">
        <f>IF(J$4="Yes",INDEX(List!$E$2:$CD$173,MATCH('Selection Pane Data'!$B113,List!$E$2:$E$173,0),MATCH('Selection Pane Data'!J$3,List!$E$2:$CD$2,0)),"")</f>
        <v>P</v>
      </c>
      <c r="K113" s="13" t="str">
        <f>IF(K$4="Yes",INDEX(List!$E$2:$CD$173,MATCH('Selection Pane Data'!$B113,List!$E$2:$E$173,0),MATCH('Selection Pane Data'!K$3,List!$E$2:$CD$2,0)),"")</f>
        <v/>
      </c>
      <c r="L113" s="13" t="str">
        <f>IF(L$4="Yes",INDEX(List!$E$2:$CD$173,MATCH('Selection Pane Data'!$B113,List!$E$2:$E$173,0),MATCH('Selection Pane Data'!L$3,List!$E$2:$CD$2,0)),"")</f>
        <v/>
      </c>
      <c r="M113" s="13" t="str">
        <f>IF(M$4="Yes",INDEX(List!$E$2:$CD$173,MATCH('Selection Pane Data'!$B113,List!$E$2:$E$173,0),MATCH('Selection Pane Data'!M$3,List!$E$2:$CD$2,0)),"")</f>
        <v/>
      </c>
      <c r="N113" s="13" t="str">
        <f>IF(N$4="Yes",INDEX(List!$E$2:$CD$173,MATCH('Selection Pane Data'!$B113,List!$E$2:$E$173,0),MATCH('Selection Pane Data'!N$3,List!$E$2:$CD$2,0)),"")</f>
        <v/>
      </c>
      <c r="O113" s="13" t="str">
        <f>IF(O$4="Yes",INDEX(List!$E$2:$CD$173,MATCH('Selection Pane Data'!$B113,List!$E$2:$E$173,0),MATCH('Selection Pane Data'!O$3,List!$E$2:$CD$2,0)),"")</f>
        <v/>
      </c>
      <c r="P113" s="13" t="str">
        <f>IF(P$4="Yes",INDEX(List!$E$2:$CD$173,MATCH('Selection Pane Data'!$B113,List!$E$2:$E$173,0),MATCH('Selection Pane Data'!P$3,List!$E$2:$CD$2,0)),"")</f>
        <v/>
      </c>
      <c r="Q113" s="13" t="str">
        <f>IF(Q$4="Yes",INDEX(List!$E$2:$CD$173,MATCH('Selection Pane Data'!$B113,List!$E$2:$E$173,0),MATCH('Selection Pane Data'!Q$3,List!$E$2:$CD$2,0)),"")</f>
        <v/>
      </c>
      <c r="R113" s="13" t="str">
        <f>IF(R$4="Yes",INDEX(List!$E$2:$CD$173,MATCH('Selection Pane Data'!$B113,List!$E$2:$E$173,0),MATCH('Selection Pane Data'!R$3,List!$E$2:$CD$2,0)),"")</f>
        <v/>
      </c>
      <c r="S113" s="13" t="str">
        <f>IF(S$4="Yes",INDEX(List!$E$2:$CD$173,MATCH('Selection Pane Data'!$B113,List!$E$2:$E$173,0),MATCH('Selection Pane Data'!S$3,List!$E$2:$CD$2,0)),"")</f>
        <v/>
      </c>
      <c r="T113" s="13" t="str">
        <f>IF(T$4="Yes",INDEX(List!$E$2:$CD$173,MATCH('Selection Pane Data'!$B113,List!$E$2:$E$173,0),MATCH('Selection Pane Data'!T$3,List!$E$2:$CD$2,0)),"")</f>
        <v/>
      </c>
      <c r="U113" s="13" t="str">
        <f>IF(U$4="Yes",INDEX(List!$E$2:$CD$173,MATCH('Selection Pane Data'!$B113,List!$E$2:$E$173,0),MATCH('Selection Pane Data'!U$3,List!$E$2:$CD$2,0)),"")</f>
        <v/>
      </c>
      <c r="V113" s="13" t="str">
        <f>IF(V$4="Yes",INDEX(List!$E$2:$CD$173,MATCH('Selection Pane Data'!$B113,List!$E$2:$E$173,0),MATCH('Selection Pane Data'!V$3,List!$E$2:$CD$2,0)),"")</f>
        <v/>
      </c>
      <c r="W113" s="13" t="str">
        <f>IF(W$4="Yes",INDEX(List!$E$2:$CD$173,MATCH('Selection Pane Data'!$B113,List!$E$2:$E$173,0),MATCH('Selection Pane Data'!W$3,List!$E$2:$CD$2,0)),"")</f>
        <v/>
      </c>
      <c r="X113" s="13" t="str">
        <f>IF(X$4="Yes",INDEX(List!$E$2:$CD$173,MATCH('Selection Pane Data'!$B113,List!$E$2:$E$173,0),MATCH('Selection Pane Data'!X$3,List!$E$2:$CD$2,0)),"")</f>
        <v/>
      </c>
      <c r="Y113" s="13" t="str">
        <f>IF(Y$4="Yes",INDEX(List!$E$2:$CD$173,MATCH('Selection Pane Data'!$B113,List!$E$2:$E$173,0),MATCH('Selection Pane Data'!Y$3,List!$E$2:$CD$2,0)),"")</f>
        <v/>
      </c>
      <c r="Z113" s="13" t="str">
        <f>IF(Z$4="Yes",INDEX(List!$E$2:$CD$173,MATCH('Selection Pane Data'!$B113,List!$E$2:$E$173,0),MATCH('Selection Pane Data'!Z$3,List!$E$2:$CD$2,0)),"")</f>
        <v/>
      </c>
      <c r="AA113" s="13" t="str">
        <f>IF(AA$4="Yes",INDEX(List!$E$2:$CD$173,MATCH('Selection Pane Data'!$B113,List!$E$2:$E$173,0),MATCH('Selection Pane Data'!AA$3,List!$E$2:$CD$2,0)),"")</f>
        <v>N</v>
      </c>
      <c r="AB113" s="13" t="str">
        <f>IF(AB$4="Yes",INDEX(List!$E$2:$CD$173,MATCH('Selection Pane Data'!$B113,List!$E$2:$E$173,0),MATCH('Selection Pane Data'!AB$3,List!$E$2:$CD$2,0)),"")</f>
        <v/>
      </c>
      <c r="AC113" s="13" t="str">
        <f>IF(AC$4="Yes",INDEX(List!$E$2:$CD$173,MATCH('Selection Pane Data'!$B113,List!$E$2:$E$173,0),MATCH('Selection Pane Data'!AC$3,List!$E$2:$CD$2,0)),"")</f>
        <v/>
      </c>
      <c r="AD113" s="13" t="str">
        <f>IF(AD$4="Yes",INDEX(List!$E$2:$CD$173,MATCH('Selection Pane Data'!$B113,List!$E$2:$E$173,0),MATCH('Selection Pane Data'!AD$3,List!$E$2:$CD$2,0)),"")</f>
        <v/>
      </c>
      <c r="AE113" s="13" t="str">
        <f>IF(AE$4="Yes",INDEX(List!$E$2:$CD$173,MATCH('Selection Pane Data'!$B113,List!$E$2:$E$173,0),MATCH('Selection Pane Data'!AE$3,List!$E$2:$CD$2,0)),"")</f>
        <v/>
      </c>
      <c r="AF113" s="13" t="str">
        <f>IF(AF$4="Yes",INDEX(List!$E$2:$CD$173,MATCH('Selection Pane Data'!$B113,List!$E$2:$E$173,0),MATCH('Selection Pane Data'!AF$3,List!$E$2:$CD$2,0)),"")</f>
        <v/>
      </c>
      <c r="AG113" s="13" t="str">
        <f>IF(AG$4="Yes",INDEX(List!$E$2:$CD$173,MATCH('Selection Pane Data'!$B113,List!$E$2:$E$173,0),MATCH('Selection Pane Data'!AG$3,List!$E$2:$CD$2,0)),"")</f>
        <v/>
      </c>
      <c r="AH113" s="13" t="str">
        <f>IF(AH$4="Yes",INDEX(List!$E$2:$CD$173,MATCH('Selection Pane Data'!$B113,List!$E$2:$E$173,0),MATCH('Selection Pane Data'!AH$3,List!$E$2:$CD$2,0)),"")</f>
        <v/>
      </c>
      <c r="AI113" s="13" t="str">
        <f>IF(AI$4="Yes",INDEX(List!$E$2:$CD$173,MATCH('Selection Pane Data'!$B113,List!$E$2:$E$173,0),MATCH('Selection Pane Data'!AI$3,List!$E$2:$CD$2,0)),"")</f>
        <v/>
      </c>
      <c r="AJ113" s="13" t="str">
        <f>IF(AJ$4="Yes",INDEX(List!$E$2:$CD$173,MATCH('Selection Pane Data'!$B113,List!$E$2:$E$173,0),MATCH('Selection Pane Data'!AJ$3,List!$E$2:$CD$2,0)),"")</f>
        <v/>
      </c>
      <c r="AK113" s="13" t="str">
        <f>IF(AK$4="Yes",INDEX(List!$E$2:$CD$173,MATCH('Selection Pane Data'!$B113,List!$E$2:$E$173,0),MATCH('Selection Pane Data'!AK$3,List!$E$2:$CD$2,0)),"")</f>
        <v/>
      </c>
      <c r="AL113" s="13" t="str">
        <f>IF(AL$4="Yes",INDEX(List!$E$2:$CD$173,MATCH('Selection Pane Data'!$B113,List!$E$2:$E$173,0),MATCH('Selection Pane Data'!AL$3,List!$E$2:$CD$2,0)),"")</f>
        <v/>
      </c>
      <c r="AM113" s="13" t="str">
        <f>IF(AM$4="Yes",INDEX(List!$E$2:$CD$173,MATCH('Selection Pane Data'!$B113,List!$E$2:$E$173,0),MATCH('Selection Pane Data'!AM$3,List!$E$2:$CD$2,0)),"")</f>
        <v/>
      </c>
      <c r="AN113" s="13" t="str">
        <f>IF(AN$4="Yes",INDEX(List!$E$2:$CD$173,MATCH('Selection Pane Data'!$B113,List!$E$2:$E$173,0),MATCH('Selection Pane Data'!AN$3,List!$E$2:$CD$2,0)),"")</f>
        <v/>
      </c>
      <c r="AO113" s="13" t="str">
        <f>IF(AO$4="Yes",INDEX(List!$E$2:$CD$173,MATCH('Selection Pane Data'!$B113,List!$E$2:$E$173,0),MATCH('Selection Pane Data'!AO$3,List!$E$2:$CD$2,0)),"")</f>
        <v/>
      </c>
      <c r="AP113" s="13" t="str">
        <f>IF(AP$4="Yes",INDEX(List!$E$2:$CD$173,MATCH('Selection Pane Data'!$B113,List!$E$2:$E$173,0),MATCH('Selection Pane Data'!AP$3,List!$E$2:$CD$2,0)),"")</f>
        <v/>
      </c>
      <c r="AQ113" s="13" t="str">
        <f>IF(AQ$4="Yes",INDEX(List!$E$2:$CD$173,MATCH('Selection Pane Data'!$B113,List!$E$2:$E$173,0),MATCH('Selection Pane Data'!AQ$3,List!$E$2:$CD$2,0)),"")</f>
        <v/>
      </c>
      <c r="AR113" s="13" t="str">
        <f>IF(AR$4="Yes",INDEX(List!$E$2:$CD$173,MATCH('Selection Pane Data'!$B113,List!$E$2:$E$173,0),MATCH('Selection Pane Data'!AR$3,List!$E$2:$CD$2,0)),"")</f>
        <v/>
      </c>
      <c r="AS113" s="13" t="str">
        <f>IF(AS$4="Yes",INDEX(List!$E$2:$CD$173,MATCH('Selection Pane Data'!$B113,List!$E$2:$E$173,0),MATCH('Selection Pane Data'!AS$3,List!$E$2:$CD$2,0)),"")</f>
        <v/>
      </c>
      <c r="AT113" s="13" t="str">
        <f>IF(AT$4="Yes",INDEX(List!$E$2:$CD$173,MATCH('Selection Pane Data'!$B113,List!$E$2:$E$173,0),MATCH('Selection Pane Data'!AT$3,List!$E$2:$CD$2,0)),"")</f>
        <v/>
      </c>
      <c r="AU113" s="13" t="str">
        <f>IF(AU$4="Yes",INDEX(List!$E$2:$CD$173,MATCH('Selection Pane Data'!$B113,List!$E$2:$E$173,0),MATCH('Selection Pane Data'!AU$3,List!$E$2:$CD$2,0)),"")</f>
        <v/>
      </c>
      <c r="AV113" s="13" t="str">
        <f>IF(AV$4="Yes",INDEX(List!$E$2:$CD$173,MATCH('Selection Pane Data'!$B113,List!$E$2:$E$173,0),MATCH('Selection Pane Data'!AV$3,List!$E$2:$CD$2,0)),"")</f>
        <v/>
      </c>
      <c r="AW113" s="13" t="str">
        <f>IF(AW$4="Yes",INDEX(List!$E$2:$CD$173,MATCH('Selection Pane Data'!$B113,List!$E$2:$E$173,0),MATCH('Selection Pane Data'!AW$3,List!$E$2:$CD$2,0)),"")</f>
        <v/>
      </c>
      <c r="AX113" s="13" t="str">
        <f>IF(AX$4="Yes",INDEX(List!$E$2:$CD$173,MATCH('Selection Pane Data'!$B113,List!$E$2:$E$173,0),MATCH('Selection Pane Data'!AX$3,List!$E$2:$CD$2,0)),"")</f>
        <v/>
      </c>
      <c r="AY113" s="13" t="str">
        <f>IF(AY$4="Yes",INDEX(List!$E$2:$CD$173,MATCH('Selection Pane Data'!$B113,List!$E$2:$E$173,0),MATCH('Selection Pane Data'!AY$3,List!$E$2:$CD$2,0)),"")</f>
        <v/>
      </c>
      <c r="AZ113" s="13" t="str">
        <f>IF(AZ$4="Yes",INDEX(List!$E$2:$CD$173,MATCH('Selection Pane Data'!$B113,List!$E$2:$E$173,0),MATCH('Selection Pane Data'!AZ$3,List!$E$2:$CD$2,0)),"")</f>
        <v/>
      </c>
      <c r="BA113" s="13" t="str">
        <f>IF(BA$4="Yes",INDEX(List!$E$2:$CD$173,MATCH('Selection Pane Data'!$B113,List!$E$2:$E$173,0),MATCH('Selection Pane Data'!BA$3,List!$E$2:$CD$2,0)),"")</f>
        <v/>
      </c>
      <c r="BB113" s="13" t="str">
        <f>IF(BB$4="Yes",INDEX(List!$E$2:$CD$173,MATCH('Selection Pane Data'!$B113,List!$E$2:$E$173,0),MATCH('Selection Pane Data'!BB$3,List!$E$2:$CD$2,0)),"")</f>
        <v/>
      </c>
      <c r="BC113" s="13" t="str">
        <f>IF(BC$4="Yes",INDEX(List!$E$2:$CD$173,MATCH('Selection Pane Data'!$B113,List!$E$2:$E$173,0),MATCH('Selection Pane Data'!BC$3,List!$E$2:$CD$2,0)),"")</f>
        <v/>
      </c>
      <c r="BD113" s="13" t="str">
        <f>IF(BD$4="Yes",INDEX(List!$E$2:$CD$173,MATCH('Selection Pane Data'!$B113,List!$E$2:$E$173,0),MATCH('Selection Pane Data'!BD$3,List!$E$2:$CD$2,0)),"")</f>
        <v/>
      </c>
      <c r="BE113" s="13" t="str">
        <f>IF(BE$4="Yes",INDEX(List!$E$2:$CD$173,MATCH('Selection Pane Data'!$B113,List!$E$2:$E$173,0),MATCH('Selection Pane Data'!BE$3,List!$E$2:$CD$2,0)),"")</f>
        <v/>
      </c>
      <c r="BF113" s="13" t="str">
        <f>IF(BF$4="Yes",INDEX(List!$E$2:$CD$173,MATCH('Selection Pane Data'!$B113,List!$E$2:$E$173,0),MATCH('Selection Pane Data'!BF$3,List!$E$2:$CD$2,0)),"")</f>
        <v/>
      </c>
      <c r="BG113" s="13" t="str">
        <f>IF(BG$4="Yes",INDEX(List!$E$2:$CD$173,MATCH('Selection Pane Data'!$B113,List!$E$2:$E$173,0),MATCH('Selection Pane Data'!BG$3,List!$E$2:$CD$2,0)),"")</f>
        <v/>
      </c>
      <c r="BH113" s="13" t="str">
        <f>IF(BH$4="Yes",INDEX(List!$E$2:$CD$173,MATCH('Selection Pane Data'!$B113,List!$E$2:$E$173,0),MATCH('Selection Pane Data'!BH$3,List!$E$2:$CD$2,0)),"")</f>
        <v/>
      </c>
      <c r="BI113" s="13" t="str">
        <f>IF(BI$4="Yes",INDEX(List!$E$2:$CD$173,MATCH('Selection Pane Data'!$B113,List!$E$2:$E$173,0),MATCH('Selection Pane Data'!BI$3,List!$E$2:$CD$2,0)),"")</f>
        <v/>
      </c>
      <c r="BJ113" s="13" t="str">
        <f>IF(BJ$4="Yes",INDEX(List!$E$2:$CD$173,MATCH('Selection Pane Data'!$B113,List!$E$2:$E$173,0),MATCH('Selection Pane Data'!BJ$3,List!$E$2:$CD$2,0)),"")</f>
        <v/>
      </c>
      <c r="BK113" s="13" t="str">
        <f>IF(BK$4="Yes",INDEX(List!$E$2:$CD$173,MATCH('Selection Pane Data'!$B113,List!$E$2:$E$173,0),MATCH('Selection Pane Data'!BK$3,List!$E$2:$CD$2,0)),"")</f>
        <v/>
      </c>
      <c r="BL113" s="13" t="str">
        <f>IF(BL$4="Yes",INDEX(List!$E$2:$CD$173,MATCH('Selection Pane Data'!$B113,List!$E$2:$E$173,0),MATCH('Selection Pane Data'!BL$3,List!$E$2:$CD$2,0)),"")</f>
        <v/>
      </c>
      <c r="BM113" s="13" t="str">
        <f>IF(BM$4="Yes",INDEX(List!$E$2:$CD$173,MATCH('Selection Pane Data'!$B113,List!$E$2:$E$173,0),MATCH('Selection Pane Data'!BM$3,List!$E$2:$CD$2,0)),"")</f>
        <v/>
      </c>
      <c r="BN113" s="13" t="str">
        <f>IF(BN$4="Yes",INDEX(List!$E$2:$CD$173,MATCH('Selection Pane Data'!$B113,List!$E$2:$E$173,0),MATCH('Selection Pane Data'!BN$3,List!$E$2:$CD$2,0)),"")</f>
        <v/>
      </c>
      <c r="BO113" s="13" t="str">
        <f>IF(BO$4="Yes",INDEX(List!$E$2:$CD$173,MATCH('Selection Pane Data'!$B113,List!$E$2:$E$173,0),MATCH('Selection Pane Data'!BO$3,List!$E$2:$CD$2,0)),"")</f>
        <v/>
      </c>
      <c r="BP113" s="13" t="str">
        <f>IF(BP$4="Yes",INDEX(List!$E$2:$CD$173,MATCH('Selection Pane Data'!$B113,List!$E$2:$E$173,0),MATCH('Selection Pane Data'!BP$3,List!$E$2:$CD$2,0)),"")</f>
        <v/>
      </c>
      <c r="BQ113" s="13" t="str">
        <f>IF(BQ$4="Yes",INDEX(List!$E$2:$CD$173,MATCH('Selection Pane Data'!$B113,List!$E$2:$E$173,0),MATCH('Selection Pane Data'!BQ$3,List!$E$2:$CD$2,0)),"")</f>
        <v/>
      </c>
      <c r="BR113" s="13" t="str">
        <f>IF(BR$4="Yes",INDEX(List!$E$2:$CD$173,MATCH('Selection Pane Data'!$B113,List!$E$2:$E$173,0),MATCH('Selection Pane Data'!BR$3,List!$E$2:$CD$2,0)),"")</f>
        <v/>
      </c>
      <c r="BS113" s="13" t="str">
        <f>IF(BS$4="Yes",INDEX(List!$E$2:$CD$173,MATCH('Selection Pane Data'!$B113,List!$E$2:$E$173,0),MATCH('Selection Pane Data'!BS$3,List!$E$2:$CD$2,0)),"")</f>
        <v/>
      </c>
      <c r="BT113" s="13" t="str">
        <f>IF(BT$4="Yes",INDEX(List!$E$2:$CD$173,MATCH('Selection Pane Data'!$B113,List!$E$2:$E$173,0),MATCH('Selection Pane Data'!BT$3,List!$E$2:$CD$2,0)),"")</f>
        <v/>
      </c>
      <c r="BU113" s="13" t="str">
        <f>IF(BU$4="Yes",INDEX(List!$E$2:$CD$173,MATCH('Selection Pane Data'!$B113,List!$E$2:$E$173,0),MATCH('Selection Pane Data'!BU$3,List!$E$2:$CD$2,0)),"")</f>
        <v/>
      </c>
      <c r="BV113" s="13" t="str">
        <f>IF(BV$4="Yes",INDEX(List!$E$2:$CD$173,MATCH('Selection Pane Data'!$B113,List!$E$2:$E$173,0),MATCH('Selection Pane Data'!BV$3,List!$E$2:$CD$2,0)),"")</f>
        <v/>
      </c>
      <c r="BW113" s="13" t="str">
        <f>IF(BW$4="Yes",INDEX(List!$E$2:$CD$173,MATCH('Selection Pane Data'!$B113,List!$E$2:$E$173,0),MATCH('Selection Pane Data'!BW$3,List!$E$2:$CD$2,0)),"")</f>
        <v/>
      </c>
      <c r="BX113" s="13" t="str">
        <f>IF(BX$4="Yes",INDEX(List!$E$2:$CD$173,MATCH('Selection Pane Data'!$B113,List!$E$2:$E$173,0),MATCH('Selection Pane Data'!BX$3,List!$E$2:$CD$2,0)),"")</f>
        <v/>
      </c>
      <c r="BY113" s="13" t="str">
        <f>IF(BY$4="Yes",INDEX(List!$E$2:$CD$173,MATCH('Selection Pane Data'!$B113,List!$E$2:$E$173,0),MATCH('Selection Pane Data'!BY$3,List!$E$2:$CD$2,0)),"")</f>
        <v/>
      </c>
      <c r="BZ113" s="13" t="str">
        <f>IF(BZ$4="Yes",INDEX(List!$E$2:$CD$173,MATCH('Selection Pane Data'!$B113,List!$E$2:$E$173,0),MATCH('Selection Pane Data'!BZ$3,List!$E$2:$CD$2,0)),"")</f>
        <v/>
      </c>
      <c r="CA113" s="13" t="str">
        <f>IF(CA$4="Yes",INDEX(List!$E$2:$CD$173,MATCH('Selection Pane Data'!$B113,List!$E$2:$E$173,0),MATCH('Selection Pane Data'!CA$3,List!$E$2:$CD$2,0)),"")</f>
        <v/>
      </c>
      <c r="CB113" s="13" t="str">
        <f>IF(CB$4="Yes",INDEX(List!$E$2:$CD$173,MATCH('Selection Pane Data'!$B113,List!$E$2:$E$173,0),MATCH('Selection Pane Data'!CB$3,List!$E$2:$CD$2,0)),"")</f>
        <v/>
      </c>
      <c r="CC113" s="13" t="str">
        <f>IF(CC$4="Yes",INDEX(List!$E$2:$CD$173,MATCH('Selection Pane Data'!$B113,List!$E$2:$E$173,0),MATCH('Selection Pane Data'!CC$3,List!$E$2:$CD$2,0)),"")</f>
        <v/>
      </c>
      <c r="CD113" s="13" t="str">
        <f>IF(CD$4="Yes",INDEX(List!$E$2:$CD$173,MATCH('Selection Pane Data'!$B113,List!$E$2:$E$173,0),MATCH('Selection Pane Data'!CD$3,List!$E$2:$CD$2,0)),"")</f>
        <v/>
      </c>
      <c r="CE113" s="13" t="str">
        <f>IF(CE$4="Yes",INDEX(List!$E$2:$CD$173,MATCH('Selection Pane Data'!$B113,List!$E$2:$E$173,0),MATCH('Selection Pane Data'!CE$3,List!$E$2:$CD$2,0)),"")</f>
        <v/>
      </c>
    </row>
    <row r="114" spans="2:83" x14ac:dyDescent="0.35">
      <c r="B114" s="21" t="s">
        <v>401</v>
      </c>
      <c r="C114" s="126" t="str">
        <f>VLOOKUP(B114,List!$E$2:$G$173,2,FALSE)</f>
        <v>PE.L2-3.10.6</v>
      </c>
      <c r="D114" s="31" t="str">
        <f>List!G112</f>
        <v>Shared Coverage</v>
      </c>
      <c r="E114" s="31" t="str">
        <f>IF(Placemat!$F$4="All Practices","All Practices",IF(VLOOKUP(B114,Table7[#All],6,FALSE)="No Mapping","New CMMC Practices","Practices with NIST 800-171 Mappings"))</f>
        <v>Practices with NIST 800-171 Mappings</v>
      </c>
      <c r="F114" t="str">
        <f>INDEX('CMMC Levels'!$A$1:$F$172,MATCH('Selection Pane Data'!$C114,'CMMC Levels'!$A$1:$A$172,0),MATCH(Placemat!$F$4,'CMMC Levels'!$A$1:$F$1,0))</f>
        <v>X</v>
      </c>
      <c r="G114" s="77" t="str">
        <f>IF((COUNTIF(List!H112:CE112,"P")+COUNTIF(List!H112:CE112,"S"))=0,"N",IF(COUNTIF(H114:CE114,"P"),"P",IF(COUNTIF(H114:CE114,"S"),"S","U")))</f>
        <v>U</v>
      </c>
      <c r="H114" s="13" t="str">
        <f>IF(H$4="Yes",INDEX(List!$E$2:$CD$173,MATCH('Selection Pane Data'!$B114,List!$E$2:$E$173,0),MATCH('Selection Pane Data'!H$3,List!$E$2:$CD$2,0)),"")</f>
        <v/>
      </c>
      <c r="I114" s="13" t="str">
        <f>IF(I$4="Yes",INDEX(List!$E$2:$CD$173,MATCH('Selection Pane Data'!$B114,List!$E$2:$E$173,0),MATCH('Selection Pane Data'!I$3,List!$E$2:$CD$2,0)),"")</f>
        <v/>
      </c>
      <c r="J114" s="13" t="str">
        <f>IF(J$4="Yes",INDEX(List!$E$2:$CD$173,MATCH('Selection Pane Data'!$B114,List!$E$2:$E$173,0),MATCH('Selection Pane Data'!J$3,List!$E$2:$CD$2,0)),"")</f>
        <v>N</v>
      </c>
      <c r="K114" s="13" t="str">
        <f>IF(K$4="Yes",INDEX(List!$E$2:$CD$173,MATCH('Selection Pane Data'!$B114,List!$E$2:$E$173,0),MATCH('Selection Pane Data'!K$3,List!$E$2:$CD$2,0)),"")</f>
        <v/>
      </c>
      <c r="L114" s="13" t="str">
        <f>IF(L$4="Yes",INDEX(List!$E$2:$CD$173,MATCH('Selection Pane Data'!$B114,List!$E$2:$E$173,0),MATCH('Selection Pane Data'!L$3,List!$E$2:$CD$2,0)),"")</f>
        <v/>
      </c>
      <c r="M114" s="13" t="str">
        <f>IF(M$4="Yes",INDEX(List!$E$2:$CD$173,MATCH('Selection Pane Data'!$B114,List!$E$2:$E$173,0),MATCH('Selection Pane Data'!M$3,List!$E$2:$CD$2,0)),"")</f>
        <v/>
      </c>
      <c r="N114" s="13" t="str">
        <f>IF(N$4="Yes",INDEX(List!$E$2:$CD$173,MATCH('Selection Pane Data'!$B114,List!$E$2:$E$173,0),MATCH('Selection Pane Data'!N$3,List!$E$2:$CD$2,0)),"")</f>
        <v/>
      </c>
      <c r="O114" s="13" t="str">
        <f>IF(O$4="Yes",INDEX(List!$E$2:$CD$173,MATCH('Selection Pane Data'!$B114,List!$E$2:$E$173,0),MATCH('Selection Pane Data'!O$3,List!$E$2:$CD$2,0)),"")</f>
        <v/>
      </c>
      <c r="P114" s="13" t="str">
        <f>IF(P$4="Yes",INDEX(List!$E$2:$CD$173,MATCH('Selection Pane Data'!$B114,List!$E$2:$E$173,0),MATCH('Selection Pane Data'!P$3,List!$E$2:$CD$2,0)),"")</f>
        <v/>
      </c>
      <c r="Q114" s="13" t="str">
        <f>IF(Q$4="Yes",INDEX(List!$E$2:$CD$173,MATCH('Selection Pane Data'!$B114,List!$E$2:$E$173,0),MATCH('Selection Pane Data'!Q$3,List!$E$2:$CD$2,0)),"")</f>
        <v/>
      </c>
      <c r="R114" s="13" t="str">
        <f>IF(R$4="Yes",INDEX(List!$E$2:$CD$173,MATCH('Selection Pane Data'!$B114,List!$E$2:$E$173,0),MATCH('Selection Pane Data'!R$3,List!$E$2:$CD$2,0)),"")</f>
        <v/>
      </c>
      <c r="S114" s="13" t="str">
        <f>IF(S$4="Yes",INDEX(List!$E$2:$CD$173,MATCH('Selection Pane Data'!$B114,List!$E$2:$E$173,0),MATCH('Selection Pane Data'!S$3,List!$E$2:$CD$2,0)),"")</f>
        <v/>
      </c>
      <c r="T114" s="13" t="str">
        <f>IF(T$4="Yes",INDEX(List!$E$2:$CD$173,MATCH('Selection Pane Data'!$B114,List!$E$2:$E$173,0),MATCH('Selection Pane Data'!T$3,List!$E$2:$CD$2,0)),"")</f>
        <v/>
      </c>
      <c r="U114" s="13" t="str">
        <f>IF(U$4="Yes",INDEX(List!$E$2:$CD$173,MATCH('Selection Pane Data'!$B114,List!$E$2:$E$173,0),MATCH('Selection Pane Data'!U$3,List!$E$2:$CD$2,0)),"")</f>
        <v/>
      </c>
      <c r="V114" s="13" t="str">
        <f>IF(V$4="Yes",INDEX(List!$E$2:$CD$173,MATCH('Selection Pane Data'!$B114,List!$E$2:$E$173,0),MATCH('Selection Pane Data'!V$3,List!$E$2:$CD$2,0)),"")</f>
        <v/>
      </c>
      <c r="W114" s="13" t="str">
        <f>IF(W$4="Yes",INDEX(List!$E$2:$CD$173,MATCH('Selection Pane Data'!$B114,List!$E$2:$E$173,0),MATCH('Selection Pane Data'!W$3,List!$E$2:$CD$2,0)),"")</f>
        <v/>
      </c>
      <c r="X114" s="13" t="str">
        <f>IF(X$4="Yes",INDEX(List!$E$2:$CD$173,MATCH('Selection Pane Data'!$B114,List!$E$2:$E$173,0),MATCH('Selection Pane Data'!X$3,List!$E$2:$CD$2,0)),"")</f>
        <v/>
      </c>
      <c r="Y114" s="13" t="str">
        <f>IF(Y$4="Yes",INDEX(List!$E$2:$CD$173,MATCH('Selection Pane Data'!$B114,List!$E$2:$E$173,0),MATCH('Selection Pane Data'!Y$3,List!$E$2:$CD$2,0)),"")</f>
        <v/>
      </c>
      <c r="Z114" s="13" t="str">
        <f>IF(Z$4="Yes",INDEX(List!$E$2:$CD$173,MATCH('Selection Pane Data'!$B114,List!$E$2:$E$173,0),MATCH('Selection Pane Data'!Z$3,List!$E$2:$CD$2,0)),"")</f>
        <v/>
      </c>
      <c r="AA114" s="13" t="str">
        <f>IF(AA$4="Yes",INDEX(List!$E$2:$CD$173,MATCH('Selection Pane Data'!$B114,List!$E$2:$E$173,0),MATCH('Selection Pane Data'!AA$3,List!$E$2:$CD$2,0)),"")</f>
        <v>N</v>
      </c>
      <c r="AB114" s="13" t="str">
        <f>IF(AB$4="Yes",INDEX(List!$E$2:$CD$173,MATCH('Selection Pane Data'!$B114,List!$E$2:$E$173,0),MATCH('Selection Pane Data'!AB$3,List!$E$2:$CD$2,0)),"")</f>
        <v/>
      </c>
      <c r="AC114" s="13" t="str">
        <f>IF(AC$4="Yes",INDEX(List!$E$2:$CD$173,MATCH('Selection Pane Data'!$B114,List!$E$2:$E$173,0),MATCH('Selection Pane Data'!AC$3,List!$E$2:$CD$2,0)),"")</f>
        <v/>
      </c>
      <c r="AD114" s="13" t="str">
        <f>IF(AD$4="Yes",INDEX(List!$E$2:$CD$173,MATCH('Selection Pane Data'!$B114,List!$E$2:$E$173,0),MATCH('Selection Pane Data'!AD$3,List!$E$2:$CD$2,0)),"")</f>
        <v/>
      </c>
      <c r="AE114" s="13" t="str">
        <f>IF(AE$4="Yes",INDEX(List!$E$2:$CD$173,MATCH('Selection Pane Data'!$B114,List!$E$2:$E$173,0),MATCH('Selection Pane Data'!AE$3,List!$E$2:$CD$2,0)),"")</f>
        <v/>
      </c>
      <c r="AF114" s="13" t="str">
        <f>IF(AF$4="Yes",INDEX(List!$E$2:$CD$173,MATCH('Selection Pane Data'!$B114,List!$E$2:$E$173,0),MATCH('Selection Pane Data'!AF$3,List!$E$2:$CD$2,0)),"")</f>
        <v/>
      </c>
      <c r="AG114" s="13" t="str">
        <f>IF(AG$4="Yes",INDEX(List!$E$2:$CD$173,MATCH('Selection Pane Data'!$B114,List!$E$2:$E$173,0),MATCH('Selection Pane Data'!AG$3,List!$E$2:$CD$2,0)),"")</f>
        <v/>
      </c>
      <c r="AH114" s="13" t="str">
        <f>IF(AH$4="Yes",INDEX(List!$E$2:$CD$173,MATCH('Selection Pane Data'!$B114,List!$E$2:$E$173,0),MATCH('Selection Pane Data'!AH$3,List!$E$2:$CD$2,0)),"")</f>
        <v/>
      </c>
      <c r="AI114" s="13" t="str">
        <f>IF(AI$4="Yes",INDEX(List!$E$2:$CD$173,MATCH('Selection Pane Data'!$B114,List!$E$2:$E$173,0),MATCH('Selection Pane Data'!AI$3,List!$E$2:$CD$2,0)),"")</f>
        <v/>
      </c>
      <c r="AJ114" s="13" t="str">
        <f>IF(AJ$4="Yes",INDEX(List!$E$2:$CD$173,MATCH('Selection Pane Data'!$B114,List!$E$2:$E$173,0),MATCH('Selection Pane Data'!AJ$3,List!$E$2:$CD$2,0)),"")</f>
        <v/>
      </c>
      <c r="AK114" s="13" t="str">
        <f>IF(AK$4="Yes",INDEX(List!$E$2:$CD$173,MATCH('Selection Pane Data'!$B114,List!$E$2:$E$173,0),MATCH('Selection Pane Data'!AK$3,List!$E$2:$CD$2,0)),"")</f>
        <v/>
      </c>
      <c r="AL114" s="13" t="str">
        <f>IF(AL$4="Yes",INDEX(List!$E$2:$CD$173,MATCH('Selection Pane Data'!$B114,List!$E$2:$E$173,0),MATCH('Selection Pane Data'!AL$3,List!$E$2:$CD$2,0)),"")</f>
        <v/>
      </c>
      <c r="AM114" s="13" t="str">
        <f>IF(AM$4="Yes",INDEX(List!$E$2:$CD$173,MATCH('Selection Pane Data'!$B114,List!$E$2:$E$173,0),MATCH('Selection Pane Data'!AM$3,List!$E$2:$CD$2,0)),"")</f>
        <v/>
      </c>
      <c r="AN114" s="13" t="str">
        <f>IF(AN$4="Yes",INDEX(List!$E$2:$CD$173,MATCH('Selection Pane Data'!$B114,List!$E$2:$E$173,0),MATCH('Selection Pane Data'!AN$3,List!$E$2:$CD$2,0)),"")</f>
        <v/>
      </c>
      <c r="AO114" s="13" t="str">
        <f>IF(AO$4="Yes",INDEX(List!$E$2:$CD$173,MATCH('Selection Pane Data'!$B114,List!$E$2:$E$173,0),MATCH('Selection Pane Data'!AO$3,List!$E$2:$CD$2,0)),"")</f>
        <v/>
      </c>
      <c r="AP114" s="13" t="str">
        <f>IF(AP$4="Yes",INDEX(List!$E$2:$CD$173,MATCH('Selection Pane Data'!$B114,List!$E$2:$E$173,0),MATCH('Selection Pane Data'!AP$3,List!$E$2:$CD$2,0)),"")</f>
        <v/>
      </c>
      <c r="AQ114" s="13" t="str">
        <f>IF(AQ$4="Yes",INDEX(List!$E$2:$CD$173,MATCH('Selection Pane Data'!$B114,List!$E$2:$E$173,0),MATCH('Selection Pane Data'!AQ$3,List!$E$2:$CD$2,0)),"")</f>
        <v/>
      </c>
      <c r="AR114" s="13" t="str">
        <f>IF(AR$4="Yes",INDEX(List!$E$2:$CD$173,MATCH('Selection Pane Data'!$B114,List!$E$2:$E$173,0),MATCH('Selection Pane Data'!AR$3,List!$E$2:$CD$2,0)),"")</f>
        <v/>
      </c>
      <c r="AS114" s="13" t="str">
        <f>IF(AS$4="Yes",INDEX(List!$E$2:$CD$173,MATCH('Selection Pane Data'!$B114,List!$E$2:$E$173,0),MATCH('Selection Pane Data'!AS$3,List!$E$2:$CD$2,0)),"")</f>
        <v/>
      </c>
      <c r="AT114" s="13" t="str">
        <f>IF(AT$4="Yes",INDEX(List!$E$2:$CD$173,MATCH('Selection Pane Data'!$B114,List!$E$2:$E$173,0),MATCH('Selection Pane Data'!AT$3,List!$E$2:$CD$2,0)),"")</f>
        <v/>
      </c>
      <c r="AU114" s="13" t="str">
        <f>IF(AU$4="Yes",INDEX(List!$E$2:$CD$173,MATCH('Selection Pane Data'!$B114,List!$E$2:$E$173,0),MATCH('Selection Pane Data'!AU$3,List!$E$2:$CD$2,0)),"")</f>
        <v/>
      </c>
      <c r="AV114" s="13" t="str">
        <f>IF(AV$4="Yes",INDEX(List!$E$2:$CD$173,MATCH('Selection Pane Data'!$B114,List!$E$2:$E$173,0),MATCH('Selection Pane Data'!AV$3,List!$E$2:$CD$2,0)),"")</f>
        <v/>
      </c>
      <c r="AW114" s="13" t="str">
        <f>IF(AW$4="Yes",INDEX(List!$E$2:$CD$173,MATCH('Selection Pane Data'!$B114,List!$E$2:$E$173,0),MATCH('Selection Pane Data'!AW$3,List!$E$2:$CD$2,0)),"")</f>
        <v/>
      </c>
      <c r="AX114" s="13" t="str">
        <f>IF(AX$4="Yes",INDEX(List!$E$2:$CD$173,MATCH('Selection Pane Data'!$B114,List!$E$2:$E$173,0),MATCH('Selection Pane Data'!AX$3,List!$E$2:$CD$2,0)),"")</f>
        <v/>
      </c>
      <c r="AY114" s="13" t="str">
        <f>IF(AY$4="Yes",INDEX(List!$E$2:$CD$173,MATCH('Selection Pane Data'!$B114,List!$E$2:$E$173,0),MATCH('Selection Pane Data'!AY$3,List!$E$2:$CD$2,0)),"")</f>
        <v/>
      </c>
      <c r="AZ114" s="13" t="str">
        <f>IF(AZ$4="Yes",INDEX(List!$E$2:$CD$173,MATCH('Selection Pane Data'!$B114,List!$E$2:$E$173,0),MATCH('Selection Pane Data'!AZ$3,List!$E$2:$CD$2,0)),"")</f>
        <v/>
      </c>
      <c r="BA114" s="13" t="str">
        <f>IF(BA$4="Yes",INDEX(List!$E$2:$CD$173,MATCH('Selection Pane Data'!$B114,List!$E$2:$E$173,0),MATCH('Selection Pane Data'!BA$3,List!$E$2:$CD$2,0)),"")</f>
        <v/>
      </c>
      <c r="BB114" s="13" t="str">
        <f>IF(BB$4="Yes",INDEX(List!$E$2:$CD$173,MATCH('Selection Pane Data'!$B114,List!$E$2:$E$173,0),MATCH('Selection Pane Data'!BB$3,List!$E$2:$CD$2,0)),"")</f>
        <v/>
      </c>
      <c r="BC114" s="13" t="str">
        <f>IF(BC$4="Yes",INDEX(List!$E$2:$CD$173,MATCH('Selection Pane Data'!$B114,List!$E$2:$E$173,0),MATCH('Selection Pane Data'!BC$3,List!$E$2:$CD$2,0)),"")</f>
        <v/>
      </c>
      <c r="BD114" s="13" t="str">
        <f>IF(BD$4="Yes",INDEX(List!$E$2:$CD$173,MATCH('Selection Pane Data'!$B114,List!$E$2:$E$173,0),MATCH('Selection Pane Data'!BD$3,List!$E$2:$CD$2,0)),"")</f>
        <v/>
      </c>
      <c r="BE114" s="13" t="str">
        <f>IF(BE$4="Yes",INDEX(List!$E$2:$CD$173,MATCH('Selection Pane Data'!$B114,List!$E$2:$E$173,0),MATCH('Selection Pane Data'!BE$3,List!$E$2:$CD$2,0)),"")</f>
        <v/>
      </c>
      <c r="BF114" s="13" t="str">
        <f>IF(BF$4="Yes",INDEX(List!$E$2:$CD$173,MATCH('Selection Pane Data'!$B114,List!$E$2:$E$173,0),MATCH('Selection Pane Data'!BF$3,List!$E$2:$CD$2,0)),"")</f>
        <v/>
      </c>
      <c r="BG114" s="13" t="str">
        <f>IF(BG$4="Yes",INDEX(List!$E$2:$CD$173,MATCH('Selection Pane Data'!$B114,List!$E$2:$E$173,0),MATCH('Selection Pane Data'!BG$3,List!$E$2:$CD$2,0)),"")</f>
        <v/>
      </c>
      <c r="BH114" s="13" t="str">
        <f>IF(BH$4="Yes",INDEX(List!$E$2:$CD$173,MATCH('Selection Pane Data'!$B114,List!$E$2:$E$173,0),MATCH('Selection Pane Data'!BH$3,List!$E$2:$CD$2,0)),"")</f>
        <v/>
      </c>
      <c r="BI114" s="13" t="str">
        <f>IF(BI$4="Yes",INDEX(List!$E$2:$CD$173,MATCH('Selection Pane Data'!$B114,List!$E$2:$E$173,0),MATCH('Selection Pane Data'!BI$3,List!$E$2:$CD$2,0)),"")</f>
        <v/>
      </c>
      <c r="BJ114" s="13" t="str">
        <f>IF(BJ$4="Yes",INDEX(List!$E$2:$CD$173,MATCH('Selection Pane Data'!$B114,List!$E$2:$E$173,0),MATCH('Selection Pane Data'!BJ$3,List!$E$2:$CD$2,0)),"")</f>
        <v/>
      </c>
      <c r="BK114" s="13" t="str">
        <f>IF(BK$4="Yes",INDEX(List!$E$2:$CD$173,MATCH('Selection Pane Data'!$B114,List!$E$2:$E$173,0),MATCH('Selection Pane Data'!BK$3,List!$E$2:$CD$2,0)),"")</f>
        <v/>
      </c>
      <c r="BL114" s="13" t="str">
        <f>IF(BL$4="Yes",INDEX(List!$E$2:$CD$173,MATCH('Selection Pane Data'!$B114,List!$E$2:$E$173,0),MATCH('Selection Pane Data'!BL$3,List!$E$2:$CD$2,0)),"")</f>
        <v/>
      </c>
      <c r="BM114" s="13" t="str">
        <f>IF(BM$4="Yes",INDEX(List!$E$2:$CD$173,MATCH('Selection Pane Data'!$B114,List!$E$2:$E$173,0),MATCH('Selection Pane Data'!BM$3,List!$E$2:$CD$2,0)),"")</f>
        <v/>
      </c>
      <c r="BN114" s="13" t="str">
        <f>IF(BN$4="Yes",INDEX(List!$E$2:$CD$173,MATCH('Selection Pane Data'!$B114,List!$E$2:$E$173,0),MATCH('Selection Pane Data'!BN$3,List!$E$2:$CD$2,0)),"")</f>
        <v/>
      </c>
      <c r="BO114" s="13" t="str">
        <f>IF(BO$4="Yes",INDEX(List!$E$2:$CD$173,MATCH('Selection Pane Data'!$B114,List!$E$2:$E$173,0),MATCH('Selection Pane Data'!BO$3,List!$E$2:$CD$2,0)),"")</f>
        <v/>
      </c>
      <c r="BP114" s="13" t="str">
        <f>IF(BP$4="Yes",INDEX(List!$E$2:$CD$173,MATCH('Selection Pane Data'!$B114,List!$E$2:$E$173,0),MATCH('Selection Pane Data'!BP$3,List!$E$2:$CD$2,0)),"")</f>
        <v/>
      </c>
      <c r="BQ114" s="13" t="str">
        <f>IF(BQ$4="Yes",INDEX(List!$E$2:$CD$173,MATCH('Selection Pane Data'!$B114,List!$E$2:$E$173,0),MATCH('Selection Pane Data'!BQ$3,List!$E$2:$CD$2,0)),"")</f>
        <v/>
      </c>
      <c r="BR114" s="13" t="str">
        <f>IF(BR$4="Yes",INDEX(List!$E$2:$CD$173,MATCH('Selection Pane Data'!$B114,List!$E$2:$E$173,0),MATCH('Selection Pane Data'!BR$3,List!$E$2:$CD$2,0)),"")</f>
        <v/>
      </c>
      <c r="BS114" s="13" t="str">
        <f>IF(BS$4="Yes",INDEX(List!$E$2:$CD$173,MATCH('Selection Pane Data'!$B114,List!$E$2:$E$173,0),MATCH('Selection Pane Data'!BS$3,List!$E$2:$CD$2,0)),"")</f>
        <v/>
      </c>
      <c r="BT114" s="13" t="str">
        <f>IF(BT$4="Yes",INDEX(List!$E$2:$CD$173,MATCH('Selection Pane Data'!$B114,List!$E$2:$E$173,0),MATCH('Selection Pane Data'!BT$3,List!$E$2:$CD$2,0)),"")</f>
        <v/>
      </c>
      <c r="BU114" s="13" t="str">
        <f>IF(BU$4="Yes",INDEX(List!$E$2:$CD$173,MATCH('Selection Pane Data'!$B114,List!$E$2:$E$173,0),MATCH('Selection Pane Data'!BU$3,List!$E$2:$CD$2,0)),"")</f>
        <v/>
      </c>
      <c r="BV114" s="13" t="str">
        <f>IF(BV$4="Yes",INDEX(List!$E$2:$CD$173,MATCH('Selection Pane Data'!$B114,List!$E$2:$E$173,0),MATCH('Selection Pane Data'!BV$3,List!$E$2:$CD$2,0)),"")</f>
        <v/>
      </c>
      <c r="BW114" s="13" t="str">
        <f>IF(BW$4="Yes",INDEX(List!$E$2:$CD$173,MATCH('Selection Pane Data'!$B114,List!$E$2:$E$173,0),MATCH('Selection Pane Data'!BW$3,List!$E$2:$CD$2,0)),"")</f>
        <v/>
      </c>
      <c r="BX114" s="13" t="str">
        <f>IF(BX$4="Yes",INDEX(List!$E$2:$CD$173,MATCH('Selection Pane Data'!$B114,List!$E$2:$E$173,0),MATCH('Selection Pane Data'!BX$3,List!$E$2:$CD$2,0)),"")</f>
        <v/>
      </c>
      <c r="BY114" s="13" t="str">
        <f>IF(BY$4="Yes",INDEX(List!$E$2:$CD$173,MATCH('Selection Pane Data'!$B114,List!$E$2:$E$173,0),MATCH('Selection Pane Data'!BY$3,List!$E$2:$CD$2,0)),"")</f>
        <v/>
      </c>
      <c r="BZ114" s="13" t="str">
        <f>IF(BZ$4="Yes",INDEX(List!$E$2:$CD$173,MATCH('Selection Pane Data'!$B114,List!$E$2:$E$173,0),MATCH('Selection Pane Data'!BZ$3,List!$E$2:$CD$2,0)),"")</f>
        <v/>
      </c>
      <c r="CA114" s="13" t="str">
        <f>IF(CA$4="Yes",INDEX(List!$E$2:$CD$173,MATCH('Selection Pane Data'!$B114,List!$E$2:$E$173,0),MATCH('Selection Pane Data'!CA$3,List!$E$2:$CD$2,0)),"")</f>
        <v/>
      </c>
      <c r="CB114" s="13" t="str">
        <f>IF(CB$4="Yes",INDEX(List!$E$2:$CD$173,MATCH('Selection Pane Data'!$B114,List!$E$2:$E$173,0),MATCH('Selection Pane Data'!CB$3,List!$E$2:$CD$2,0)),"")</f>
        <v/>
      </c>
      <c r="CC114" s="13" t="str">
        <f>IF(CC$4="Yes",INDEX(List!$E$2:$CD$173,MATCH('Selection Pane Data'!$B114,List!$E$2:$E$173,0),MATCH('Selection Pane Data'!CC$3,List!$E$2:$CD$2,0)),"")</f>
        <v/>
      </c>
      <c r="CD114" s="13" t="str">
        <f>IF(CD$4="Yes",INDEX(List!$E$2:$CD$173,MATCH('Selection Pane Data'!$B114,List!$E$2:$E$173,0),MATCH('Selection Pane Data'!CD$3,List!$E$2:$CD$2,0)),"")</f>
        <v/>
      </c>
      <c r="CE114" s="13" t="str">
        <f>IF(CE$4="Yes",INDEX(List!$E$2:$CD$173,MATCH('Selection Pane Data'!$B114,List!$E$2:$E$173,0),MATCH('Selection Pane Data'!CE$3,List!$E$2:$CD$2,0)),"")</f>
        <v/>
      </c>
    </row>
    <row r="115" spans="2:83" x14ac:dyDescent="0.35">
      <c r="B115" s="21" t="s">
        <v>402</v>
      </c>
      <c r="C115" s="126" t="str">
        <f>VLOOKUP(B115,List!$E$2:$G$173,2,FALSE)</f>
        <v>PS.L2-3.9.1</v>
      </c>
      <c r="D115" s="31" t="str">
        <f>List!G113</f>
        <v>Customer Responsibility</v>
      </c>
      <c r="E115" s="31" t="str">
        <f>IF(Placemat!$F$4="All Practices","All Practices",IF(VLOOKUP(B115,Table7[#All],6,FALSE)="No Mapping","New CMMC Practices","Practices with NIST 800-171 Mappings"))</f>
        <v>Practices with NIST 800-171 Mappings</v>
      </c>
      <c r="F115" t="str">
        <f>INDEX('CMMC Levels'!$A$1:$F$172,MATCH('Selection Pane Data'!$C115,'CMMC Levels'!$A$1:$A$172,0),MATCH(Placemat!$F$4,'CMMC Levels'!$A$1:$F$1,0))</f>
        <v>X</v>
      </c>
      <c r="G115" s="77" t="str">
        <f>IF((COUNTIF(List!H113:CE113,"P")+COUNTIF(List!H113:CE113,"S"))=0,"N",IF(COUNTIF(H115:CE115,"P"),"P",IF(COUNTIF(H115:CE115,"S"),"S","U")))</f>
        <v>N</v>
      </c>
      <c r="H115" s="13" t="str">
        <f>IF(H$4="Yes",INDEX(List!$E$2:$CD$173,MATCH('Selection Pane Data'!$B115,List!$E$2:$E$173,0),MATCH('Selection Pane Data'!H$3,List!$E$2:$CD$2,0)),"")</f>
        <v/>
      </c>
      <c r="I115" s="13" t="str">
        <f>IF(I$4="Yes",INDEX(List!$E$2:$CD$173,MATCH('Selection Pane Data'!$B115,List!$E$2:$E$173,0),MATCH('Selection Pane Data'!I$3,List!$E$2:$CD$2,0)),"")</f>
        <v/>
      </c>
      <c r="J115" s="13" t="str">
        <f>IF(J$4="Yes",INDEX(List!$E$2:$CD$173,MATCH('Selection Pane Data'!$B115,List!$E$2:$E$173,0),MATCH('Selection Pane Data'!J$3,List!$E$2:$CD$2,0)),"")</f>
        <v>N</v>
      </c>
      <c r="K115" s="13" t="str">
        <f>IF(K$4="Yes",INDEX(List!$E$2:$CD$173,MATCH('Selection Pane Data'!$B115,List!$E$2:$E$173,0),MATCH('Selection Pane Data'!K$3,List!$E$2:$CD$2,0)),"")</f>
        <v/>
      </c>
      <c r="L115" s="13" t="str">
        <f>IF(L$4="Yes",INDEX(List!$E$2:$CD$173,MATCH('Selection Pane Data'!$B115,List!$E$2:$E$173,0),MATCH('Selection Pane Data'!L$3,List!$E$2:$CD$2,0)),"")</f>
        <v/>
      </c>
      <c r="M115" s="13" t="str">
        <f>IF(M$4="Yes",INDEX(List!$E$2:$CD$173,MATCH('Selection Pane Data'!$B115,List!$E$2:$E$173,0),MATCH('Selection Pane Data'!M$3,List!$E$2:$CD$2,0)),"")</f>
        <v/>
      </c>
      <c r="N115" s="13" t="str">
        <f>IF(N$4="Yes",INDEX(List!$E$2:$CD$173,MATCH('Selection Pane Data'!$B115,List!$E$2:$E$173,0),MATCH('Selection Pane Data'!N$3,List!$E$2:$CD$2,0)),"")</f>
        <v/>
      </c>
      <c r="O115" s="13" t="str">
        <f>IF(O$4="Yes",INDEX(List!$E$2:$CD$173,MATCH('Selection Pane Data'!$B115,List!$E$2:$E$173,0),MATCH('Selection Pane Data'!O$3,List!$E$2:$CD$2,0)),"")</f>
        <v/>
      </c>
      <c r="P115" s="13" t="str">
        <f>IF(P$4="Yes",INDEX(List!$E$2:$CD$173,MATCH('Selection Pane Data'!$B115,List!$E$2:$E$173,0),MATCH('Selection Pane Data'!P$3,List!$E$2:$CD$2,0)),"")</f>
        <v/>
      </c>
      <c r="Q115" s="13" t="str">
        <f>IF(Q$4="Yes",INDEX(List!$E$2:$CD$173,MATCH('Selection Pane Data'!$B115,List!$E$2:$E$173,0),MATCH('Selection Pane Data'!Q$3,List!$E$2:$CD$2,0)),"")</f>
        <v/>
      </c>
      <c r="R115" s="13" t="str">
        <f>IF(R$4="Yes",INDEX(List!$E$2:$CD$173,MATCH('Selection Pane Data'!$B115,List!$E$2:$E$173,0),MATCH('Selection Pane Data'!R$3,List!$E$2:$CD$2,0)),"")</f>
        <v/>
      </c>
      <c r="S115" s="13" t="str">
        <f>IF(S$4="Yes",INDEX(List!$E$2:$CD$173,MATCH('Selection Pane Data'!$B115,List!$E$2:$E$173,0),MATCH('Selection Pane Data'!S$3,List!$E$2:$CD$2,0)),"")</f>
        <v/>
      </c>
      <c r="T115" s="13" t="str">
        <f>IF(T$4="Yes",INDEX(List!$E$2:$CD$173,MATCH('Selection Pane Data'!$B115,List!$E$2:$E$173,0),MATCH('Selection Pane Data'!T$3,List!$E$2:$CD$2,0)),"")</f>
        <v/>
      </c>
      <c r="U115" s="13" t="str">
        <f>IF(U$4="Yes",INDEX(List!$E$2:$CD$173,MATCH('Selection Pane Data'!$B115,List!$E$2:$E$173,0),MATCH('Selection Pane Data'!U$3,List!$E$2:$CD$2,0)),"")</f>
        <v/>
      </c>
      <c r="V115" s="13" t="str">
        <f>IF(V$4="Yes",INDEX(List!$E$2:$CD$173,MATCH('Selection Pane Data'!$B115,List!$E$2:$E$173,0),MATCH('Selection Pane Data'!V$3,List!$E$2:$CD$2,0)),"")</f>
        <v/>
      </c>
      <c r="W115" s="13" t="str">
        <f>IF(W$4="Yes",INDEX(List!$E$2:$CD$173,MATCH('Selection Pane Data'!$B115,List!$E$2:$E$173,0),MATCH('Selection Pane Data'!W$3,List!$E$2:$CD$2,0)),"")</f>
        <v/>
      </c>
      <c r="X115" s="13" t="str">
        <f>IF(X$4="Yes",INDEX(List!$E$2:$CD$173,MATCH('Selection Pane Data'!$B115,List!$E$2:$E$173,0),MATCH('Selection Pane Data'!X$3,List!$E$2:$CD$2,0)),"")</f>
        <v/>
      </c>
      <c r="Y115" s="13" t="str">
        <f>IF(Y$4="Yes",INDEX(List!$E$2:$CD$173,MATCH('Selection Pane Data'!$B115,List!$E$2:$E$173,0),MATCH('Selection Pane Data'!Y$3,List!$E$2:$CD$2,0)),"")</f>
        <v/>
      </c>
      <c r="Z115" s="13" t="str">
        <f>IF(Z$4="Yes",INDEX(List!$E$2:$CD$173,MATCH('Selection Pane Data'!$B115,List!$E$2:$E$173,0),MATCH('Selection Pane Data'!Z$3,List!$E$2:$CD$2,0)),"")</f>
        <v/>
      </c>
      <c r="AA115" s="13" t="str">
        <f>IF(AA$4="Yes",INDEX(List!$E$2:$CD$173,MATCH('Selection Pane Data'!$B115,List!$E$2:$E$173,0),MATCH('Selection Pane Data'!AA$3,List!$E$2:$CD$2,0)),"")</f>
        <v>N</v>
      </c>
      <c r="AB115" s="13" t="str">
        <f>IF(AB$4="Yes",INDEX(List!$E$2:$CD$173,MATCH('Selection Pane Data'!$B115,List!$E$2:$E$173,0),MATCH('Selection Pane Data'!AB$3,List!$E$2:$CD$2,0)),"")</f>
        <v/>
      </c>
      <c r="AC115" s="13" t="str">
        <f>IF(AC$4="Yes",INDEX(List!$E$2:$CD$173,MATCH('Selection Pane Data'!$B115,List!$E$2:$E$173,0),MATCH('Selection Pane Data'!AC$3,List!$E$2:$CD$2,0)),"")</f>
        <v/>
      </c>
      <c r="AD115" s="13" t="str">
        <f>IF(AD$4="Yes",INDEX(List!$E$2:$CD$173,MATCH('Selection Pane Data'!$B115,List!$E$2:$E$173,0),MATCH('Selection Pane Data'!AD$3,List!$E$2:$CD$2,0)),"")</f>
        <v/>
      </c>
      <c r="AE115" s="13" t="str">
        <f>IF(AE$4="Yes",INDEX(List!$E$2:$CD$173,MATCH('Selection Pane Data'!$B115,List!$E$2:$E$173,0),MATCH('Selection Pane Data'!AE$3,List!$E$2:$CD$2,0)),"")</f>
        <v/>
      </c>
      <c r="AF115" s="13" t="str">
        <f>IF(AF$4="Yes",INDEX(List!$E$2:$CD$173,MATCH('Selection Pane Data'!$B115,List!$E$2:$E$173,0),MATCH('Selection Pane Data'!AF$3,List!$E$2:$CD$2,0)),"")</f>
        <v/>
      </c>
      <c r="AG115" s="13" t="str">
        <f>IF(AG$4="Yes",INDEX(List!$E$2:$CD$173,MATCH('Selection Pane Data'!$B115,List!$E$2:$E$173,0),MATCH('Selection Pane Data'!AG$3,List!$E$2:$CD$2,0)),"")</f>
        <v/>
      </c>
      <c r="AH115" s="13" t="str">
        <f>IF(AH$4="Yes",INDEX(List!$E$2:$CD$173,MATCH('Selection Pane Data'!$B115,List!$E$2:$E$173,0),MATCH('Selection Pane Data'!AH$3,List!$E$2:$CD$2,0)),"")</f>
        <v/>
      </c>
      <c r="AI115" s="13" t="str">
        <f>IF(AI$4="Yes",INDEX(List!$E$2:$CD$173,MATCH('Selection Pane Data'!$B115,List!$E$2:$E$173,0),MATCH('Selection Pane Data'!AI$3,List!$E$2:$CD$2,0)),"")</f>
        <v/>
      </c>
      <c r="AJ115" s="13" t="str">
        <f>IF(AJ$4="Yes",INDEX(List!$E$2:$CD$173,MATCH('Selection Pane Data'!$B115,List!$E$2:$E$173,0),MATCH('Selection Pane Data'!AJ$3,List!$E$2:$CD$2,0)),"")</f>
        <v/>
      </c>
      <c r="AK115" s="13" t="str">
        <f>IF(AK$4="Yes",INDEX(List!$E$2:$CD$173,MATCH('Selection Pane Data'!$B115,List!$E$2:$E$173,0),MATCH('Selection Pane Data'!AK$3,List!$E$2:$CD$2,0)),"")</f>
        <v/>
      </c>
      <c r="AL115" s="13" t="str">
        <f>IF(AL$4="Yes",INDEX(List!$E$2:$CD$173,MATCH('Selection Pane Data'!$B115,List!$E$2:$E$173,0),MATCH('Selection Pane Data'!AL$3,List!$E$2:$CD$2,0)),"")</f>
        <v/>
      </c>
      <c r="AM115" s="13" t="str">
        <f>IF(AM$4="Yes",INDEX(List!$E$2:$CD$173,MATCH('Selection Pane Data'!$B115,List!$E$2:$E$173,0),MATCH('Selection Pane Data'!AM$3,List!$E$2:$CD$2,0)),"")</f>
        <v/>
      </c>
      <c r="AN115" s="13" t="str">
        <f>IF(AN$4="Yes",INDEX(List!$E$2:$CD$173,MATCH('Selection Pane Data'!$B115,List!$E$2:$E$173,0),MATCH('Selection Pane Data'!AN$3,List!$E$2:$CD$2,0)),"")</f>
        <v/>
      </c>
      <c r="AO115" s="13" t="str">
        <f>IF(AO$4="Yes",INDEX(List!$E$2:$CD$173,MATCH('Selection Pane Data'!$B115,List!$E$2:$E$173,0),MATCH('Selection Pane Data'!AO$3,List!$E$2:$CD$2,0)),"")</f>
        <v/>
      </c>
      <c r="AP115" s="13" t="str">
        <f>IF(AP$4="Yes",INDEX(List!$E$2:$CD$173,MATCH('Selection Pane Data'!$B115,List!$E$2:$E$173,0),MATCH('Selection Pane Data'!AP$3,List!$E$2:$CD$2,0)),"")</f>
        <v/>
      </c>
      <c r="AQ115" s="13" t="str">
        <f>IF(AQ$4="Yes",INDEX(List!$E$2:$CD$173,MATCH('Selection Pane Data'!$B115,List!$E$2:$E$173,0),MATCH('Selection Pane Data'!AQ$3,List!$E$2:$CD$2,0)),"")</f>
        <v/>
      </c>
      <c r="AR115" s="13" t="str">
        <f>IF(AR$4="Yes",INDEX(List!$E$2:$CD$173,MATCH('Selection Pane Data'!$B115,List!$E$2:$E$173,0),MATCH('Selection Pane Data'!AR$3,List!$E$2:$CD$2,0)),"")</f>
        <v/>
      </c>
      <c r="AS115" s="13" t="str">
        <f>IF(AS$4="Yes",INDEX(List!$E$2:$CD$173,MATCH('Selection Pane Data'!$B115,List!$E$2:$E$173,0),MATCH('Selection Pane Data'!AS$3,List!$E$2:$CD$2,0)),"")</f>
        <v/>
      </c>
      <c r="AT115" s="13" t="str">
        <f>IF(AT$4="Yes",INDEX(List!$E$2:$CD$173,MATCH('Selection Pane Data'!$B115,List!$E$2:$E$173,0),MATCH('Selection Pane Data'!AT$3,List!$E$2:$CD$2,0)),"")</f>
        <v/>
      </c>
      <c r="AU115" s="13" t="str">
        <f>IF(AU$4="Yes",INDEX(List!$E$2:$CD$173,MATCH('Selection Pane Data'!$B115,List!$E$2:$E$173,0),MATCH('Selection Pane Data'!AU$3,List!$E$2:$CD$2,0)),"")</f>
        <v/>
      </c>
      <c r="AV115" s="13" t="str">
        <f>IF(AV$4="Yes",INDEX(List!$E$2:$CD$173,MATCH('Selection Pane Data'!$B115,List!$E$2:$E$173,0),MATCH('Selection Pane Data'!AV$3,List!$E$2:$CD$2,0)),"")</f>
        <v/>
      </c>
      <c r="AW115" s="13" t="str">
        <f>IF(AW$4="Yes",INDEX(List!$E$2:$CD$173,MATCH('Selection Pane Data'!$B115,List!$E$2:$E$173,0),MATCH('Selection Pane Data'!AW$3,List!$E$2:$CD$2,0)),"")</f>
        <v/>
      </c>
      <c r="AX115" s="13" t="str">
        <f>IF(AX$4="Yes",INDEX(List!$E$2:$CD$173,MATCH('Selection Pane Data'!$B115,List!$E$2:$E$173,0),MATCH('Selection Pane Data'!AX$3,List!$E$2:$CD$2,0)),"")</f>
        <v/>
      </c>
      <c r="AY115" s="13" t="str">
        <f>IF(AY$4="Yes",INDEX(List!$E$2:$CD$173,MATCH('Selection Pane Data'!$B115,List!$E$2:$E$173,0),MATCH('Selection Pane Data'!AY$3,List!$E$2:$CD$2,0)),"")</f>
        <v/>
      </c>
      <c r="AZ115" s="13" t="str">
        <f>IF(AZ$4="Yes",INDEX(List!$E$2:$CD$173,MATCH('Selection Pane Data'!$B115,List!$E$2:$E$173,0),MATCH('Selection Pane Data'!AZ$3,List!$E$2:$CD$2,0)),"")</f>
        <v/>
      </c>
      <c r="BA115" s="13" t="str">
        <f>IF(BA$4="Yes",INDEX(List!$E$2:$CD$173,MATCH('Selection Pane Data'!$B115,List!$E$2:$E$173,0),MATCH('Selection Pane Data'!BA$3,List!$E$2:$CD$2,0)),"")</f>
        <v/>
      </c>
      <c r="BB115" s="13" t="str">
        <f>IF(BB$4="Yes",INDEX(List!$E$2:$CD$173,MATCH('Selection Pane Data'!$B115,List!$E$2:$E$173,0),MATCH('Selection Pane Data'!BB$3,List!$E$2:$CD$2,0)),"")</f>
        <v/>
      </c>
      <c r="BC115" s="13" t="str">
        <f>IF(BC$4="Yes",INDEX(List!$E$2:$CD$173,MATCH('Selection Pane Data'!$B115,List!$E$2:$E$173,0),MATCH('Selection Pane Data'!BC$3,List!$E$2:$CD$2,0)),"")</f>
        <v/>
      </c>
      <c r="BD115" s="13" t="str">
        <f>IF(BD$4="Yes",INDEX(List!$E$2:$CD$173,MATCH('Selection Pane Data'!$B115,List!$E$2:$E$173,0),MATCH('Selection Pane Data'!BD$3,List!$E$2:$CD$2,0)),"")</f>
        <v/>
      </c>
      <c r="BE115" s="13" t="str">
        <f>IF(BE$4="Yes",INDEX(List!$E$2:$CD$173,MATCH('Selection Pane Data'!$B115,List!$E$2:$E$173,0),MATCH('Selection Pane Data'!BE$3,List!$E$2:$CD$2,0)),"")</f>
        <v/>
      </c>
      <c r="BF115" s="13" t="str">
        <f>IF(BF$4="Yes",INDEX(List!$E$2:$CD$173,MATCH('Selection Pane Data'!$B115,List!$E$2:$E$173,0),MATCH('Selection Pane Data'!BF$3,List!$E$2:$CD$2,0)),"")</f>
        <v/>
      </c>
      <c r="BG115" s="13" t="str">
        <f>IF(BG$4="Yes",INDEX(List!$E$2:$CD$173,MATCH('Selection Pane Data'!$B115,List!$E$2:$E$173,0),MATCH('Selection Pane Data'!BG$3,List!$E$2:$CD$2,0)),"")</f>
        <v/>
      </c>
      <c r="BH115" s="13" t="str">
        <f>IF(BH$4="Yes",INDEX(List!$E$2:$CD$173,MATCH('Selection Pane Data'!$B115,List!$E$2:$E$173,0),MATCH('Selection Pane Data'!BH$3,List!$E$2:$CD$2,0)),"")</f>
        <v/>
      </c>
      <c r="BI115" s="13" t="str">
        <f>IF(BI$4="Yes",INDEX(List!$E$2:$CD$173,MATCH('Selection Pane Data'!$B115,List!$E$2:$E$173,0),MATCH('Selection Pane Data'!BI$3,List!$E$2:$CD$2,0)),"")</f>
        <v/>
      </c>
      <c r="BJ115" s="13" t="str">
        <f>IF(BJ$4="Yes",INDEX(List!$E$2:$CD$173,MATCH('Selection Pane Data'!$B115,List!$E$2:$E$173,0),MATCH('Selection Pane Data'!BJ$3,List!$E$2:$CD$2,0)),"")</f>
        <v/>
      </c>
      <c r="BK115" s="13" t="str">
        <f>IF(BK$4="Yes",INDEX(List!$E$2:$CD$173,MATCH('Selection Pane Data'!$B115,List!$E$2:$E$173,0),MATCH('Selection Pane Data'!BK$3,List!$E$2:$CD$2,0)),"")</f>
        <v/>
      </c>
      <c r="BL115" s="13" t="str">
        <f>IF(BL$4="Yes",INDEX(List!$E$2:$CD$173,MATCH('Selection Pane Data'!$B115,List!$E$2:$E$173,0),MATCH('Selection Pane Data'!BL$3,List!$E$2:$CD$2,0)),"")</f>
        <v/>
      </c>
      <c r="BM115" s="13" t="str">
        <f>IF(BM$4="Yes",INDEX(List!$E$2:$CD$173,MATCH('Selection Pane Data'!$B115,List!$E$2:$E$173,0),MATCH('Selection Pane Data'!BM$3,List!$E$2:$CD$2,0)),"")</f>
        <v/>
      </c>
      <c r="BN115" s="13" t="str">
        <f>IF(BN$4="Yes",INDEX(List!$E$2:$CD$173,MATCH('Selection Pane Data'!$B115,List!$E$2:$E$173,0),MATCH('Selection Pane Data'!BN$3,List!$E$2:$CD$2,0)),"")</f>
        <v/>
      </c>
      <c r="BO115" s="13" t="str">
        <f>IF(BO$4="Yes",INDEX(List!$E$2:$CD$173,MATCH('Selection Pane Data'!$B115,List!$E$2:$E$173,0),MATCH('Selection Pane Data'!BO$3,List!$E$2:$CD$2,0)),"")</f>
        <v/>
      </c>
      <c r="BP115" s="13" t="str">
        <f>IF(BP$4="Yes",INDEX(List!$E$2:$CD$173,MATCH('Selection Pane Data'!$B115,List!$E$2:$E$173,0),MATCH('Selection Pane Data'!BP$3,List!$E$2:$CD$2,0)),"")</f>
        <v/>
      </c>
      <c r="BQ115" s="13" t="str">
        <f>IF(BQ$4="Yes",INDEX(List!$E$2:$CD$173,MATCH('Selection Pane Data'!$B115,List!$E$2:$E$173,0),MATCH('Selection Pane Data'!BQ$3,List!$E$2:$CD$2,0)),"")</f>
        <v/>
      </c>
      <c r="BR115" s="13" t="str">
        <f>IF(BR$4="Yes",INDEX(List!$E$2:$CD$173,MATCH('Selection Pane Data'!$B115,List!$E$2:$E$173,0),MATCH('Selection Pane Data'!BR$3,List!$E$2:$CD$2,0)),"")</f>
        <v/>
      </c>
      <c r="BS115" s="13" t="str">
        <f>IF(BS$4="Yes",INDEX(List!$E$2:$CD$173,MATCH('Selection Pane Data'!$B115,List!$E$2:$E$173,0),MATCH('Selection Pane Data'!BS$3,List!$E$2:$CD$2,0)),"")</f>
        <v/>
      </c>
      <c r="BT115" s="13" t="str">
        <f>IF(BT$4="Yes",INDEX(List!$E$2:$CD$173,MATCH('Selection Pane Data'!$B115,List!$E$2:$E$173,0),MATCH('Selection Pane Data'!BT$3,List!$E$2:$CD$2,0)),"")</f>
        <v/>
      </c>
      <c r="BU115" s="13" t="str">
        <f>IF(BU$4="Yes",INDEX(List!$E$2:$CD$173,MATCH('Selection Pane Data'!$B115,List!$E$2:$E$173,0),MATCH('Selection Pane Data'!BU$3,List!$E$2:$CD$2,0)),"")</f>
        <v/>
      </c>
      <c r="BV115" s="13" t="str">
        <f>IF(BV$4="Yes",INDEX(List!$E$2:$CD$173,MATCH('Selection Pane Data'!$B115,List!$E$2:$E$173,0),MATCH('Selection Pane Data'!BV$3,List!$E$2:$CD$2,0)),"")</f>
        <v/>
      </c>
      <c r="BW115" s="13" t="str">
        <f>IF(BW$4="Yes",INDEX(List!$E$2:$CD$173,MATCH('Selection Pane Data'!$B115,List!$E$2:$E$173,0),MATCH('Selection Pane Data'!BW$3,List!$E$2:$CD$2,0)),"")</f>
        <v/>
      </c>
      <c r="BX115" s="13" t="str">
        <f>IF(BX$4="Yes",INDEX(List!$E$2:$CD$173,MATCH('Selection Pane Data'!$B115,List!$E$2:$E$173,0),MATCH('Selection Pane Data'!BX$3,List!$E$2:$CD$2,0)),"")</f>
        <v/>
      </c>
      <c r="BY115" s="13" t="str">
        <f>IF(BY$4="Yes",INDEX(List!$E$2:$CD$173,MATCH('Selection Pane Data'!$B115,List!$E$2:$E$173,0),MATCH('Selection Pane Data'!BY$3,List!$E$2:$CD$2,0)),"")</f>
        <v/>
      </c>
      <c r="BZ115" s="13" t="str">
        <f>IF(BZ$4="Yes",INDEX(List!$E$2:$CD$173,MATCH('Selection Pane Data'!$B115,List!$E$2:$E$173,0),MATCH('Selection Pane Data'!BZ$3,List!$E$2:$CD$2,0)),"")</f>
        <v/>
      </c>
      <c r="CA115" s="13" t="str">
        <f>IF(CA$4="Yes",INDEX(List!$E$2:$CD$173,MATCH('Selection Pane Data'!$B115,List!$E$2:$E$173,0),MATCH('Selection Pane Data'!CA$3,List!$E$2:$CD$2,0)),"")</f>
        <v/>
      </c>
      <c r="CB115" s="13" t="str">
        <f>IF(CB$4="Yes",INDEX(List!$E$2:$CD$173,MATCH('Selection Pane Data'!$B115,List!$E$2:$E$173,0),MATCH('Selection Pane Data'!CB$3,List!$E$2:$CD$2,0)),"")</f>
        <v/>
      </c>
      <c r="CC115" s="13" t="str">
        <f>IF(CC$4="Yes",INDEX(List!$E$2:$CD$173,MATCH('Selection Pane Data'!$B115,List!$E$2:$E$173,0),MATCH('Selection Pane Data'!CC$3,List!$E$2:$CD$2,0)),"")</f>
        <v/>
      </c>
      <c r="CD115" s="13" t="str">
        <f>IF(CD$4="Yes",INDEX(List!$E$2:$CD$173,MATCH('Selection Pane Data'!$B115,List!$E$2:$E$173,0),MATCH('Selection Pane Data'!CD$3,List!$E$2:$CD$2,0)),"")</f>
        <v/>
      </c>
      <c r="CE115" s="13" t="str">
        <f>IF(CE$4="Yes",INDEX(List!$E$2:$CD$173,MATCH('Selection Pane Data'!$B115,List!$E$2:$E$173,0),MATCH('Selection Pane Data'!CE$3,List!$E$2:$CD$2,0)),"")</f>
        <v/>
      </c>
    </row>
    <row r="116" spans="2:83" x14ac:dyDescent="0.35">
      <c r="B116" s="21" t="s">
        <v>403</v>
      </c>
      <c r="C116" s="126" t="str">
        <f>VLOOKUP(B116,List!$E$2:$G$173,2,FALSE)</f>
        <v>PS.L2-3.9.2</v>
      </c>
      <c r="D116" s="31" t="str">
        <f>List!G114</f>
        <v>Shared Coverage</v>
      </c>
      <c r="E116" s="31" t="str">
        <f>IF(Placemat!$F$4="All Practices","All Practices",IF(VLOOKUP(B116,Table7[#All],6,FALSE)="No Mapping","New CMMC Practices","Practices with NIST 800-171 Mappings"))</f>
        <v>Practices with NIST 800-171 Mappings</v>
      </c>
      <c r="F116" t="str">
        <f>INDEX('CMMC Levels'!$A$1:$F$172,MATCH('Selection Pane Data'!$C116,'CMMC Levels'!$A$1:$A$172,0),MATCH(Placemat!$F$4,'CMMC Levels'!$A$1:$F$1,0))</f>
        <v>X</v>
      </c>
      <c r="G116" s="77" t="str">
        <f>IF((COUNTIF(List!H114:CE114,"P")+COUNTIF(List!H114:CE114,"S"))=0,"N",IF(COUNTIF(H116:CE116,"P"),"P",IF(COUNTIF(H116:CE116,"S"),"S","U")))</f>
        <v>U</v>
      </c>
      <c r="H116" s="13" t="str">
        <f>IF(H$4="Yes",INDEX(List!$E$2:$CD$173,MATCH('Selection Pane Data'!$B116,List!$E$2:$E$173,0),MATCH('Selection Pane Data'!H$3,List!$E$2:$CD$2,0)),"")</f>
        <v/>
      </c>
      <c r="I116" s="13" t="str">
        <f>IF(I$4="Yes",INDEX(List!$E$2:$CD$173,MATCH('Selection Pane Data'!$B116,List!$E$2:$E$173,0),MATCH('Selection Pane Data'!I$3,List!$E$2:$CD$2,0)),"")</f>
        <v/>
      </c>
      <c r="J116" s="13" t="str">
        <f>IF(J$4="Yes",INDEX(List!$E$2:$CD$173,MATCH('Selection Pane Data'!$B116,List!$E$2:$E$173,0),MATCH('Selection Pane Data'!J$3,List!$E$2:$CD$2,0)),"")</f>
        <v>N</v>
      </c>
      <c r="K116" s="13" t="str">
        <f>IF(K$4="Yes",INDEX(List!$E$2:$CD$173,MATCH('Selection Pane Data'!$B116,List!$E$2:$E$173,0),MATCH('Selection Pane Data'!K$3,List!$E$2:$CD$2,0)),"")</f>
        <v/>
      </c>
      <c r="L116" s="13" t="str">
        <f>IF(L$4="Yes",INDEX(List!$E$2:$CD$173,MATCH('Selection Pane Data'!$B116,List!$E$2:$E$173,0),MATCH('Selection Pane Data'!L$3,List!$E$2:$CD$2,0)),"")</f>
        <v/>
      </c>
      <c r="M116" s="13" t="str">
        <f>IF(M$4="Yes",INDEX(List!$E$2:$CD$173,MATCH('Selection Pane Data'!$B116,List!$E$2:$E$173,0),MATCH('Selection Pane Data'!M$3,List!$E$2:$CD$2,0)),"")</f>
        <v/>
      </c>
      <c r="N116" s="13" t="str">
        <f>IF(N$4="Yes",INDEX(List!$E$2:$CD$173,MATCH('Selection Pane Data'!$B116,List!$E$2:$E$173,0),MATCH('Selection Pane Data'!N$3,List!$E$2:$CD$2,0)),"")</f>
        <v/>
      </c>
      <c r="O116" s="13" t="str">
        <f>IF(O$4="Yes",INDEX(List!$E$2:$CD$173,MATCH('Selection Pane Data'!$B116,List!$E$2:$E$173,0),MATCH('Selection Pane Data'!O$3,List!$E$2:$CD$2,0)),"")</f>
        <v/>
      </c>
      <c r="P116" s="13" t="str">
        <f>IF(P$4="Yes",INDEX(List!$E$2:$CD$173,MATCH('Selection Pane Data'!$B116,List!$E$2:$E$173,0),MATCH('Selection Pane Data'!P$3,List!$E$2:$CD$2,0)),"")</f>
        <v/>
      </c>
      <c r="Q116" s="13" t="str">
        <f>IF(Q$4="Yes",INDEX(List!$E$2:$CD$173,MATCH('Selection Pane Data'!$B116,List!$E$2:$E$173,0),MATCH('Selection Pane Data'!Q$3,List!$E$2:$CD$2,0)),"")</f>
        <v/>
      </c>
      <c r="R116" s="13" t="str">
        <f>IF(R$4="Yes",INDEX(List!$E$2:$CD$173,MATCH('Selection Pane Data'!$B116,List!$E$2:$E$173,0),MATCH('Selection Pane Data'!R$3,List!$E$2:$CD$2,0)),"")</f>
        <v/>
      </c>
      <c r="S116" s="13" t="str">
        <f>IF(S$4="Yes",INDEX(List!$E$2:$CD$173,MATCH('Selection Pane Data'!$B116,List!$E$2:$E$173,0),MATCH('Selection Pane Data'!S$3,List!$E$2:$CD$2,0)),"")</f>
        <v/>
      </c>
      <c r="T116" s="13" t="str">
        <f>IF(T$4="Yes",INDEX(List!$E$2:$CD$173,MATCH('Selection Pane Data'!$B116,List!$E$2:$E$173,0),MATCH('Selection Pane Data'!T$3,List!$E$2:$CD$2,0)),"")</f>
        <v/>
      </c>
      <c r="U116" s="13" t="str">
        <f>IF(U$4="Yes",INDEX(List!$E$2:$CD$173,MATCH('Selection Pane Data'!$B116,List!$E$2:$E$173,0),MATCH('Selection Pane Data'!U$3,List!$E$2:$CD$2,0)),"")</f>
        <v/>
      </c>
      <c r="V116" s="13" t="str">
        <f>IF(V$4="Yes",INDEX(List!$E$2:$CD$173,MATCH('Selection Pane Data'!$B116,List!$E$2:$E$173,0),MATCH('Selection Pane Data'!V$3,List!$E$2:$CD$2,0)),"")</f>
        <v/>
      </c>
      <c r="W116" s="13" t="str">
        <f>IF(W$4="Yes",INDEX(List!$E$2:$CD$173,MATCH('Selection Pane Data'!$B116,List!$E$2:$E$173,0),MATCH('Selection Pane Data'!W$3,List!$E$2:$CD$2,0)),"")</f>
        <v/>
      </c>
      <c r="X116" s="13" t="str">
        <f>IF(X$4="Yes",INDEX(List!$E$2:$CD$173,MATCH('Selection Pane Data'!$B116,List!$E$2:$E$173,0),MATCH('Selection Pane Data'!X$3,List!$E$2:$CD$2,0)),"")</f>
        <v/>
      </c>
      <c r="Y116" s="13" t="str">
        <f>IF(Y$4="Yes",INDEX(List!$E$2:$CD$173,MATCH('Selection Pane Data'!$B116,List!$E$2:$E$173,0),MATCH('Selection Pane Data'!Y$3,List!$E$2:$CD$2,0)),"")</f>
        <v/>
      </c>
      <c r="Z116" s="13" t="str">
        <f>IF(Z$4="Yes",INDEX(List!$E$2:$CD$173,MATCH('Selection Pane Data'!$B116,List!$E$2:$E$173,0),MATCH('Selection Pane Data'!Z$3,List!$E$2:$CD$2,0)),"")</f>
        <v/>
      </c>
      <c r="AA116" s="13" t="str">
        <f>IF(AA$4="Yes",INDEX(List!$E$2:$CD$173,MATCH('Selection Pane Data'!$B116,List!$E$2:$E$173,0),MATCH('Selection Pane Data'!AA$3,List!$E$2:$CD$2,0)),"")</f>
        <v>N</v>
      </c>
      <c r="AB116" s="13" t="str">
        <f>IF(AB$4="Yes",INDEX(List!$E$2:$CD$173,MATCH('Selection Pane Data'!$B116,List!$E$2:$E$173,0),MATCH('Selection Pane Data'!AB$3,List!$E$2:$CD$2,0)),"")</f>
        <v/>
      </c>
      <c r="AC116" s="13" t="str">
        <f>IF(AC$4="Yes",INDEX(List!$E$2:$CD$173,MATCH('Selection Pane Data'!$B116,List!$E$2:$E$173,0),MATCH('Selection Pane Data'!AC$3,List!$E$2:$CD$2,0)),"")</f>
        <v/>
      </c>
      <c r="AD116" s="13" t="str">
        <f>IF(AD$4="Yes",INDEX(List!$E$2:$CD$173,MATCH('Selection Pane Data'!$B116,List!$E$2:$E$173,0),MATCH('Selection Pane Data'!AD$3,List!$E$2:$CD$2,0)),"")</f>
        <v/>
      </c>
      <c r="AE116" s="13" t="str">
        <f>IF(AE$4="Yes",INDEX(List!$E$2:$CD$173,MATCH('Selection Pane Data'!$B116,List!$E$2:$E$173,0),MATCH('Selection Pane Data'!AE$3,List!$E$2:$CD$2,0)),"")</f>
        <v/>
      </c>
      <c r="AF116" s="13" t="str">
        <f>IF(AF$4="Yes",INDEX(List!$E$2:$CD$173,MATCH('Selection Pane Data'!$B116,List!$E$2:$E$173,0),MATCH('Selection Pane Data'!AF$3,List!$E$2:$CD$2,0)),"")</f>
        <v/>
      </c>
      <c r="AG116" s="13" t="str">
        <f>IF(AG$4="Yes",INDEX(List!$E$2:$CD$173,MATCH('Selection Pane Data'!$B116,List!$E$2:$E$173,0),MATCH('Selection Pane Data'!AG$3,List!$E$2:$CD$2,0)),"")</f>
        <v/>
      </c>
      <c r="AH116" s="13" t="str">
        <f>IF(AH$4="Yes",INDEX(List!$E$2:$CD$173,MATCH('Selection Pane Data'!$B116,List!$E$2:$E$173,0),MATCH('Selection Pane Data'!AH$3,List!$E$2:$CD$2,0)),"")</f>
        <v/>
      </c>
      <c r="AI116" s="13" t="str">
        <f>IF(AI$4="Yes",INDEX(List!$E$2:$CD$173,MATCH('Selection Pane Data'!$B116,List!$E$2:$E$173,0),MATCH('Selection Pane Data'!AI$3,List!$E$2:$CD$2,0)),"")</f>
        <v/>
      </c>
      <c r="AJ116" s="13" t="str">
        <f>IF(AJ$4="Yes",INDEX(List!$E$2:$CD$173,MATCH('Selection Pane Data'!$B116,List!$E$2:$E$173,0),MATCH('Selection Pane Data'!AJ$3,List!$E$2:$CD$2,0)),"")</f>
        <v/>
      </c>
      <c r="AK116" s="13" t="str">
        <f>IF(AK$4="Yes",INDEX(List!$E$2:$CD$173,MATCH('Selection Pane Data'!$B116,List!$E$2:$E$173,0),MATCH('Selection Pane Data'!AK$3,List!$E$2:$CD$2,0)),"")</f>
        <v/>
      </c>
      <c r="AL116" s="13" t="str">
        <f>IF(AL$4="Yes",INDEX(List!$E$2:$CD$173,MATCH('Selection Pane Data'!$B116,List!$E$2:$E$173,0),MATCH('Selection Pane Data'!AL$3,List!$E$2:$CD$2,0)),"")</f>
        <v/>
      </c>
      <c r="AM116" s="13" t="str">
        <f>IF(AM$4="Yes",INDEX(List!$E$2:$CD$173,MATCH('Selection Pane Data'!$B116,List!$E$2:$E$173,0),MATCH('Selection Pane Data'!AM$3,List!$E$2:$CD$2,0)),"")</f>
        <v/>
      </c>
      <c r="AN116" s="13" t="str">
        <f>IF(AN$4="Yes",INDEX(List!$E$2:$CD$173,MATCH('Selection Pane Data'!$B116,List!$E$2:$E$173,0),MATCH('Selection Pane Data'!AN$3,List!$E$2:$CD$2,0)),"")</f>
        <v/>
      </c>
      <c r="AO116" s="13" t="str">
        <f>IF(AO$4="Yes",INDEX(List!$E$2:$CD$173,MATCH('Selection Pane Data'!$B116,List!$E$2:$E$173,0),MATCH('Selection Pane Data'!AO$3,List!$E$2:$CD$2,0)),"")</f>
        <v/>
      </c>
      <c r="AP116" s="13" t="str">
        <f>IF(AP$4="Yes",INDEX(List!$E$2:$CD$173,MATCH('Selection Pane Data'!$B116,List!$E$2:$E$173,0),MATCH('Selection Pane Data'!AP$3,List!$E$2:$CD$2,0)),"")</f>
        <v/>
      </c>
      <c r="AQ116" s="13" t="str">
        <f>IF(AQ$4="Yes",INDEX(List!$E$2:$CD$173,MATCH('Selection Pane Data'!$B116,List!$E$2:$E$173,0),MATCH('Selection Pane Data'!AQ$3,List!$E$2:$CD$2,0)),"")</f>
        <v/>
      </c>
      <c r="AR116" s="13" t="str">
        <f>IF(AR$4="Yes",INDEX(List!$E$2:$CD$173,MATCH('Selection Pane Data'!$B116,List!$E$2:$E$173,0),MATCH('Selection Pane Data'!AR$3,List!$E$2:$CD$2,0)),"")</f>
        <v/>
      </c>
      <c r="AS116" s="13" t="str">
        <f>IF(AS$4="Yes",INDEX(List!$E$2:$CD$173,MATCH('Selection Pane Data'!$B116,List!$E$2:$E$173,0),MATCH('Selection Pane Data'!AS$3,List!$E$2:$CD$2,0)),"")</f>
        <v/>
      </c>
      <c r="AT116" s="13" t="str">
        <f>IF(AT$4="Yes",INDEX(List!$E$2:$CD$173,MATCH('Selection Pane Data'!$B116,List!$E$2:$E$173,0),MATCH('Selection Pane Data'!AT$3,List!$E$2:$CD$2,0)),"")</f>
        <v/>
      </c>
      <c r="AU116" s="13" t="str">
        <f>IF(AU$4="Yes",INDEX(List!$E$2:$CD$173,MATCH('Selection Pane Data'!$B116,List!$E$2:$E$173,0),MATCH('Selection Pane Data'!AU$3,List!$E$2:$CD$2,0)),"")</f>
        <v/>
      </c>
      <c r="AV116" s="13" t="str">
        <f>IF(AV$4="Yes",INDEX(List!$E$2:$CD$173,MATCH('Selection Pane Data'!$B116,List!$E$2:$E$173,0),MATCH('Selection Pane Data'!AV$3,List!$E$2:$CD$2,0)),"")</f>
        <v/>
      </c>
      <c r="AW116" s="13" t="str">
        <f>IF(AW$4="Yes",INDEX(List!$E$2:$CD$173,MATCH('Selection Pane Data'!$B116,List!$E$2:$E$173,0),MATCH('Selection Pane Data'!AW$3,List!$E$2:$CD$2,0)),"")</f>
        <v/>
      </c>
      <c r="AX116" s="13" t="str">
        <f>IF(AX$4="Yes",INDEX(List!$E$2:$CD$173,MATCH('Selection Pane Data'!$B116,List!$E$2:$E$173,0),MATCH('Selection Pane Data'!AX$3,List!$E$2:$CD$2,0)),"")</f>
        <v/>
      </c>
      <c r="AY116" s="13" t="str">
        <f>IF(AY$4="Yes",INDEX(List!$E$2:$CD$173,MATCH('Selection Pane Data'!$B116,List!$E$2:$E$173,0),MATCH('Selection Pane Data'!AY$3,List!$E$2:$CD$2,0)),"")</f>
        <v/>
      </c>
      <c r="AZ116" s="13" t="str">
        <f>IF(AZ$4="Yes",INDEX(List!$E$2:$CD$173,MATCH('Selection Pane Data'!$B116,List!$E$2:$E$173,0),MATCH('Selection Pane Data'!AZ$3,List!$E$2:$CD$2,0)),"")</f>
        <v/>
      </c>
      <c r="BA116" s="13" t="str">
        <f>IF(BA$4="Yes",INDEX(List!$E$2:$CD$173,MATCH('Selection Pane Data'!$B116,List!$E$2:$E$173,0),MATCH('Selection Pane Data'!BA$3,List!$E$2:$CD$2,0)),"")</f>
        <v/>
      </c>
      <c r="BB116" s="13" t="str">
        <f>IF(BB$4="Yes",INDEX(List!$E$2:$CD$173,MATCH('Selection Pane Data'!$B116,List!$E$2:$E$173,0),MATCH('Selection Pane Data'!BB$3,List!$E$2:$CD$2,0)),"")</f>
        <v/>
      </c>
      <c r="BC116" s="13" t="str">
        <f>IF(BC$4="Yes",INDEX(List!$E$2:$CD$173,MATCH('Selection Pane Data'!$B116,List!$E$2:$E$173,0),MATCH('Selection Pane Data'!BC$3,List!$E$2:$CD$2,0)),"")</f>
        <v/>
      </c>
      <c r="BD116" s="13" t="str">
        <f>IF(BD$4="Yes",INDEX(List!$E$2:$CD$173,MATCH('Selection Pane Data'!$B116,List!$E$2:$E$173,0),MATCH('Selection Pane Data'!BD$3,List!$E$2:$CD$2,0)),"")</f>
        <v/>
      </c>
      <c r="BE116" s="13" t="str">
        <f>IF(BE$4="Yes",INDEX(List!$E$2:$CD$173,MATCH('Selection Pane Data'!$B116,List!$E$2:$E$173,0),MATCH('Selection Pane Data'!BE$3,List!$E$2:$CD$2,0)),"")</f>
        <v/>
      </c>
      <c r="BF116" s="13" t="str">
        <f>IF(BF$4="Yes",INDEX(List!$E$2:$CD$173,MATCH('Selection Pane Data'!$B116,List!$E$2:$E$173,0),MATCH('Selection Pane Data'!BF$3,List!$E$2:$CD$2,0)),"")</f>
        <v/>
      </c>
      <c r="BG116" s="13" t="str">
        <f>IF(BG$4="Yes",INDEX(List!$E$2:$CD$173,MATCH('Selection Pane Data'!$B116,List!$E$2:$E$173,0),MATCH('Selection Pane Data'!BG$3,List!$E$2:$CD$2,0)),"")</f>
        <v/>
      </c>
      <c r="BH116" s="13" t="str">
        <f>IF(BH$4="Yes",INDEX(List!$E$2:$CD$173,MATCH('Selection Pane Data'!$B116,List!$E$2:$E$173,0),MATCH('Selection Pane Data'!BH$3,List!$E$2:$CD$2,0)),"")</f>
        <v/>
      </c>
      <c r="BI116" s="13" t="str">
        <f>IF(BI$4="Yes",INDEX(List!$E$2:$CD$173,MATCH('Selection Pane Data'!$B116,List!$E$2:$E$173,0),MATCH('Selection Pane Data'!BI$3,List!$E$2:$CD$2,0)),"")</f>
        <v/>
      </c>
      <c r="BJ116" s="13" t="str">
        <f>IF(BJ$4="Yes",INDEX(List!$E$2:$CD$173,MATCH('Selection Pane Data'!$B116,List!$E$2:$E$173,0),MATCH('Selection Pane Data'!BJ$3,List!$E$2:$CD$2,0)),"")</f>
        <v/>
      </c>
      <c r="BK116" s="13" t="str">
        <f>IF(BK$4="Yes",INDEX(List!$E$2:$CD$173,MATCH('Selection Pane Data'!$B116,List!$E$2:$E$173,0),MATCH('Selection Pane Data'!BK$3,List!$E$2:$CD$2,0)),"")</f>
        <v/>
      </c>
      <c r="BL116" s="13" t="str">
        <f>IF(BL$4="Yes",INDEX(List!$E$2:$CD$173,MATCH('Selection Pane Data'!$B116,List!$E$2:$E$173,0),MATCH('Selection Pane Data'!BL$3,List!$E$2:$CD$2,0)),"")</f>
        <v/>
      </c>
      <c r="BM116" s="13" t="str">
        <f>IF(BM$4="Yes",INDEX(List!$E$2:$CD$173,MATCH('Selection Pane Data'!$B116,List!$E$2:$E$173,0),MATCH('Selection Pane Data'!BM$3,List!$E$2:$CD$2,0)),"")</f>
        <v/>
      </c>
      <c r="BN116" s="13" t="str">
        <f>IF(BN$4="Yes",INDEX(List!$E$2:$CD$173,MATCH('Selection Pane Data'!$B116,List!$E$2:$E$173,0),MATCH('Selection Pane Data'!BN$3,List!$E$2:$CD$2,0)),"")</f>
        <v/>
      </c>
      <c r="BO116" s="13" t="str">
        <f>IF(BO$4="Yes",INDEX(List!$E$2:$CD$173,MATCH('Selection Pane Data'!$B116,List!$E$2:$E$173,0),MATCH('Selection Pane Data'!BO$3,List!$E$2:$CD$2,0)),"")</f>
        <v/>
      </c>
      <c r="BP116" s="13" t="str">
        <f>IF(BP$4="Yes",INDEX(List!$E$2:$CD$173,MATCH('Selection Pane Data'!$B116,List!$E$2:$E$173,0),MATCH('Selection Pane Data'!BP$3,List!$E$2:$CD$2,0)),"")</f>
        <v/>
      </c>
      <c r="BQ116" s="13" t="str">
        <f>IF(BQ$4="Yes",INDEX(List!$E$2:$CD$173,MATCH('Selection Pane Data'!$B116,List!$E$2:$E$173,0),MATCH('Selection Pane Data'!BQ$3,List!$E$2:$CD$2,0)),"")</f>
        <v/>
      </c>
      <c r="BR116" s="13" t="str">
        <f>IF(BR$4="Yes",INDEX(List!$E$2:$CD$173,MATCH('Selection Pane Data'!$B116,List!$E$2:$E$173,0),MATCH('Selection Pane Data'!BR$3,List!$E$2:$CD$2,0)),"")</f>
        <v/>
      </c>
      <c r="BS116" s="13" t="str">
        <f>IF(BS$4="Yes",INDEX(List!$E$2:$CD$173,MATCH('Selection Pane Data'!$B116,List!$E$2:$E$173,0),MATCH('Selection Pane Data'!BS$3,List!$E$2:$CD$2,0)),"")</f>
        <v/>
      </c>
      <c r="BT116" s="13" t="str">
        <f>IF(BT$4="Yes",INDEX(List!$E$2:$CD$173,MATCH('Selection Pane Data'!$B116,List!$E$2:$E$173,0),MATCH('Selection Pane Data'!BT$3,List!$E$2:$CD$2,0)),"")</f>
        <v/>
      </c>
      <c r="BU116" s="13" t="str">
        <f>IF(BU$4="Yes",INDEX(List!$E$2:$CD$173,MATCH('Selection Pane Data'!$B116,List!$E$2:$E$173,0),MATCH('Selection Pane Data'!BU$3,List!$E$2:$CD$2,0)),"")</f>
        <v/>
      </c>
      <c r="BV116" s="13" t="str">
        <f>IF(BV$4="Yes",INDEX(List!$E$2:$CD$173,MATCH('Selection Pane Data'!$B116,List!$E$2:$E$173,0),MATCH('Selection Pane Data'!BV$3,List!$E$2:$CD$2,0)),"")</f>
        <v/>
      </c>
      <c r="BW116" s="13" t="str">
        <f>IF(BW$4="Yes",INDEX(List!$E$2:$CD$173,MATCH('Selection Pane Data'!$B116,List!$E$2:$E$173,0),MATCH('Selection Pane Data'!BW$3,List!$E$2:$CD$2,0)),"")</f>
        <v/>
      </c>
      <c r="BX116" s="13" t="str">
        <f>IF(BX$4="Yes",INDEX(List!$E$2:$CD$173,MATCH('Selection Pane Data'!$B116,List!$E$2:$E$173,0),MATCH('Selection Pane Data'!BX$3,List!$E$2:$CD$2,0)),"")</f>
        <v/>
      </c>
      <c r="BY116" s="13" t="str">
        <f>IF(BY$4="Yes",INDEX(List!$E$2:$CD$173,MATCH('Selection Pane Data'!$B116,List!$E$2:$E$173,0),MATCH('Selection Pane Data'!BY$3,List!$E$2:$CD$2,0)),"")</f>
        <v/>
      </c>
      <c r="BZ116" s="13" t="str">
        <f>IF(BZ$4="Yes",INDEX(List!$E$2:$CD$173,MATCH('Selection Pane Data'!$B116,List!$E$2:$E$173,0),MATCH('Selection Pane Data'!BZ$3,List!$E$2:$CD$2,0)),"")</f>
        <v/>
      </c>
      <c r="CA116" s="13" t="str">
        <f>IF(CA$4="Yes",INDEX(List!$E$2:$CD$173,MATCH('Selection Pane Data'!$B116,List!$E$2:$E$173,0),MATCH('Selection Pane Data'!CA$3,List!$E$2:$CD$2,0)),"")</f>
        <v/>
      </c>
      <c r="CB116" s="13" t="str">
        <f>IF(CB$4="Yes",INDEX(List!$E$2:$CD$173,MATCH('Selection Pane Data'!$B116,List!$E$2:$E$173,0),MATCH('Selection Pane Data'!CB$3,List!$E$2:$CD$2,0)),"")</f>
        <v/>
      </c>
      <c r="CC116" s="13" t="str">
        <f>IF(CC$4="Yes",INDEX(List!$E$2:$CD$173,MATCH('Selection Pane Data'!$B116,List!$E$2:$E$173,0),MATCH('Selection Pane Data'!CC$3,List!$E$2:$CD$2,0)),"")</f>
        <v/>
      </c>
      <c r="CD116" s="13" t="str">
        <f>IF(CD$4="Yes",INDEX(List!$E$2:$CD$173,MATCH('Selection Pane Data'!$B116,List!$E$2:$E$173,0),MATCH('Selection Pane Data'!CD$3,List!$E$2:$CD$2,0)),"")</f>
        <v/>
      </c>
      <c r="CE116" s="13" t="str">
        <f>IF(CE$4="Yes",INDEX(List!$E$2:$CD$173,MATCH('Selection Pane Data'!$B116,List!$E$2:$E$173,0),MATCH('Selection Pane Data'!CE$3,List!$E$2:$CD$2,0)),"")</f>
        <v/>
      </c>
    </row>
    <row r="117" spans="2:83" x14ac:dyDescent="0.35">
      <c r="B117" s="21" t="s">
        <v>404</v>
      </c>
      <c r="C117" s="126" t="str">
        <f>VLOOKUP(B117,List!$E$2:$G$173,2,FALSE)</f>
        <v>N/A</v>
      </c>
      <c r="D117" s="31" t="str">
        <f>List!G115</f>
        <v>Shared Coverage</v>
      </c>
      <c r="E117" s="31" t="str">
        <f>IF(Placemat!$F$4="All Practices","All Practices",IF(VLOOKUP(B117,Table7[#All],6,FALSE)="No Mapping","New CMMC Practices","Practices with NIST 800-171 Mappings"))</f>
        <v>Practices with NIST 800-171 Mappings</v>
      </c>
      <c r="F117" t="str">
        <f>INDEX('CMMC Levels'!$A$1:$F$172,MATCH('Selection Pane Data'!$C117,'CMMC Levels'!$A$1:$A$172,0),MATCH(Placemat!$F$4,'CMMC Levels'!$A$1:$F$1,0))</f>
        <v>N/A</v>
      </c>
      <c r="G117" s="77" t="str">
        <f>IF((COUNTIF(List!H115:CE115,"P")+COUNTIF(List!H115:CE115,"S"))=0,"N",IF(COUNTIF(H117:CE117,"P"),"P",IF(COUNTIF(H117:CE117,"S"),"S","U")))</f>
        <v>N</v>
      </c>
      <c r="H117" s="13" t="str">
        <f>IF(H$4="Yes",INDEX(List!$E$2:$CD$173,MATCH('Selection Pane Data'!$B117,List!$E$2:$E$173,0),MATCH('Selection Pane Data'!H$3,List!$E$2:$CD$2,0)),"")</f>
        <v/>
      </c>
      <c r="I117" s="13" t="str">
        <f>IF(I$4="Yes",INDEX(List!$E$2:$CD$173,MATCH('Selection Pane Data'!$B117,List!$E$2:$E$173,0),MATCH('Selection Pane Data'!I$3,List!$E$2:$CD$2,0)),"")</f>
        <v/>
      </c>
      <c r="J117" s="13" t="e">
        <f>IF(J$4="Yes",INDEX(List!$E$2:$CD$173,MATCH('Selection Pane Data'!$B117,List!$E$2:$E$173,0),MATCH('Selection Pane Data'!J$3,List!$E$2:$CD$2,0)),"")</f>
        <v>#N/A</v>
      </c>
      <c r="K117" s="13" t="str">
        <f>IF(K$4="Yes",INDEX(List!$E$2:$CD$173,MATCH('Selection Pane Data'!$B117,List!$E$2:$E$173,0),MATCH('Selection Pane Data'!K$3,List!$E$2:$CD$2,0)),"")</f>
        <v/>
      </c>
      <c r="L117" s="13" t="str">
        <f>IF(L$4="Yes",INDEX(List!$E$2:$CD$173,MATCH('Selection Pane Data'!$B117,List!$E$2:$E$173,0),MATCH('Selection Pane Data'!L$3,List!$E$2:$CD$2,0)),"")</f>
        <v/>
      </c>
      <c r="M117" s="13" t="str">
        <f>IF(M$4="Yes",INDEX(List!$E$2:$CD$173,MATCH('Selection Pane Data'!$B117,List!$E$2:$E$173,0),MATCH('Selection Pane Data'!M$3,List!$E$2:$CD$2,0)),"")</f>
        <v/>
      </c>
      <c r="N117" s="13" t="str">
        <f>IF(N$4="Yes",INDEX(List!$E$2:$CD$173,MATCH('Selection Pane Data'!$B117,List!$E$2:$E$173,0),MATCH('Selection Pane Data'!N$3,List!$E$2:$CD$2,0)),"")</f>
        <v/>
      </c>
      <c r="O117" s="13" t="str">
        <f>IF(O$4="Yes",INDEX(List!$E$2:$CD$173,MATCH('Selection Pane Data'!$B117,List!$E$2:$E$173,0),MATCH('Selection Pane Data'!O$3,List!$E$2:$CD$2,0)),"")</f>
        <v/>
      </c>
      <c r="P117" s="13" t="str">
        <f>IF(P$4="Yes",INDEX(List!$E$2:$CD$173,MATCH('Selection Pane Data'!$B117,List!$E$2:$E$173,0),MATCH('Selection Pane Data'!P$3,List!$E$2:$CD$2,0)),"")</f>
        <v/>
      </c>
      <c r="Q117" s="13" t="str">
        <f>IF(Q$4="Yes",INDEX(List!$E$2:$CD$173,MATCH('Selection Pane Data'!$B117,List!$E$2:$E$173,0),MATCH('Selection Pane Data'!Q$3,List!$E$2:$CD$2,0)),"")</f>
        <v/>
      </c>
      <c r="R117" s="13" t="str">
        <f>IF(R$4="Yes",INDEX(List!$E$2:$CD$173,MATCH('Selection Pane Data'!$B117,List!$E$2:$E$173,0),MATCH('Selection Pane Data'!R$3,List!$E$2:$CD$2,0)),"")</f>
        <v/>
      </c>
      <c r="S117" s="13" t="str">
        <f>IF(S$4="Yes",INDEX(List!$E$2:$CD$173,MATCH('Selection Pane Data'!$B117,List!$E$2:$E$173,0),MATCH('Selection Pane Data'!S$3,List!$E$2:$CD$2,0)),"")</f>
        <v/>
      </c>
      <c r="T117" s="13" t="str">
        <f>IF(T$4="Yes",INDEX(List!$E$2:$CD$173,MATCH('Selection Pane Data'!$B117,List!$E$2:$E$173,0),MATCH('Selection Pane Data'!T$3,List!$E$2:$CD$2,0)),"")</f>
        <v/>
      </c>
      <c r="U117" s="13" t="str">
        <f>IF(U$4="Yes",INDEX(List!$E$2:$CD$173,MATCH('Selection Pane Data'!$B117,List!$E$2:$E$173,0),MATCH('Selection Pane Data'!U$3,List!$E$2:$CD$2,0)),"")</f>
        <v/>
      </c>
      <c r="V117" s="13" t="str">
        <f>IF(V$4="Yes",INDEX(List!$E$2:$CD$173,MATCH('Selection Pane Data'!$B117,List!$E$2:$E$173,0),MATCH('Selection Pane Data'!V$3,List!$E$2:$CD$2,0)),"")</f>
        <v/>
      </c>
      <c r="W117" s="13" t="str">
        <f>IF(W$4="Yes",INDEX(List!$E$2:$CD$173,MATCH('Selection Pane Data'!$B117,List!$E$2:$E$173,0),MATCH('Selection Pane Data'!W$3,List!$E$2:$CD$2,0)),"")</f>
        <v/>
      </c>
      <c r="X117" s="13" t="str">
        <f>IF(X$4="Yes",INDEX(List!$E$2:$CD$173,MATCH('Selection Pane Data'!$B117,List!$E$2:$E$173,0),MATCH('Selection Pane Data'!X$3,List!$E$2:$CD$2,0)),"")</f>
        <v/>
      </c>
      <c r="Y117" s="13" t="str">
        <f>IF(Y$4="Yes",INDEX(List!$E$2:$CD$173,MATCH('Selection Pane Data'!$B117,List!$E$2:$E$173,0),MATCH('Selection Pane Data'!Y$3,List!$E$2:$CD$2,0)),"")</f>
        <v/>
      </c>
      <c r="Z117" s="13" t="str">
        <f>IF(Z$4="Yes",INDEX(List!$E$2:$CD$173,MATCH('Selection Pane Data'!$B117,List!$E$2:$E$173,0),MATCH('Selection Pane Data'!Z$3,List!$E$2:$CD$2,0)),"")</f>
        <v/>
      </c>
      <c r="AA117" s="13" t="e">
        <f>IF(AA$4="Yes",INDEX(List!$E$2:$CD$173,MATCH('Selection Pane Data'!$B117,List!$E$2:$E$173,0),MATCH('Selection Pane Data'!AA$3,List!$E$2:$CD$2,0)),"")</f>
        <v>#N/A</v>
      </c>
      <c r="AB117" s="13" t="str">
        <f>IF(AB$4="Yes",INDEX(List!$E$2:$CD$173,MATCH('Selection Pane Data'!$B117,List!$E$2:$E$173,0),MATCH('Selection Pane Data'!AB$3,List!$E$2:$CD$2,0)),"")</f>
        <v/>
      </c>
      <c r="AC117" s="13" t="str">
        <f>IF(AC$4="Yes",INDEX(List!$E$2:$CD$173,MATCH('Selection Pane Data'!$B117,List!$E$2:$E$173,0),MATCH('Selection Pane Data'!AC$3,List!$E$2:$CD$2,0)),"")</f>
        <v/>
      </c>
      <c r="AD117" s="13" t="str">
        <f>IF(AD$4="Yes",INDEX(List!$E$2:$CD$173,MATCH('Selection Pane Data'!$B117,List!$E$2:$E$173,0),MATCH('Selection Pane Data'!AD$3,List!$E$2:$CD$2,0)),"")</f>
        <v/>
      </c>
      <c r="AE117" s="13" t="str">
        <f>IF(AE$4="Yes",INDEX(List!$E$2:$CD$173,MATCH('Selection Pane Data'!$B117,List!$E$2:$E$173,0),MATCH('Selection Pane Data'!AE$3,List!$E$2:$CD$2,0)),"")</f>
        <v/>
      </c>
      <c r="AF117" s="13" t="str">
        <f>IF(AF$4="Yes",INDEX(List!$E$2:$CD$173,MATCH('Selection Pane Data'!$B117,List!$E$2:$E$173,0),MATCH('Selection Pane Data'!AF$3,List!$E$2:$CD$2,0)),"")</f>
        <v/>
      </c>
      <c r="AG117" s="13" t="str">
        <f>IF(AG$4="Yes",INDEX(List!$E$2:$CD$173,MATCH('Selection Pane Data'!$B117,List!$E$2:$E$173,0),MATCH('Selection Pane Data'!AG$3,List!$E$2:$CD$2,0)),"")</f>
        <v/>
      </c>
      <c r="AH117" s="13" t="str">
        <f>IF(AH$4="Yes",INDEX(List!$E$2:$CD$173,MATCH('Selection Pane Data'!$B117,List!$E$2:$E$173,0),MATCH('Selection Pane Data'!AH$3,List!$E$2:$CD$2,0)),"")</f>
        <v/>
      </c>
      <c r="AI117" s="13" t="str">
        <f>IF(AI$4="Yes",INDEX(List!$E$2:$CD$173,MATCH('Selection Pane Data'!$B117,List!$E$2:$E$173,0),MATCH('Selection Pane Data'!AI$3,List!$E$2:$CD$2,0)),"")</f>
        <v/>
      </c>
      <c r="AJ117" s="13" t="str">
        <f>IF(AJ$4="Yes",INDEX(List!$E$2:$CD$173,MATCH('Selection Pane Data'!$B117,List!$E$2:$E$173,0),MATCH('Selection Pane Data'!AJ$3,List!$E$2:$CD$2,0)),"")</f>
        <v/>
      </c>
      <c r="AK117" s="13" t="str">
        <f>IF(AK$4="Yes",INDEX(List!$E$2:$CD$173,MATCH('Selection Pane Data'!$B117,List!$E$2:$E$173,0),MATCH('Selection Pane Data'!AK$3,List!$E$2:$CD$2,0)),"")</f>
        <v/>
      </c>
      <c r="AL117" s="13" t="str">
        <f>IF(AL$4="Yes",INDEX(List!$E$2:$CD$173,MATCH('Selection Pane Data'!$B117,List!$E$2:$E$173,0),MATCH('Selection Pane Data'!AL$3,List!$E$2:$CD$2,0)),"")</f>
        <v/>
      </c>
      <c r="AM117" s="13" t="str">
        <f>IF(AM$4="Yes",INDEX(List!$E$2:$CD$173,MATCH('Selection Pane Data'!$B117,List!$E$2:$E$173,0),MATCH('Selection Pane Data'!AM$3,List!$E$2:$CD$2,0)),"")</f>
        <v/>
      </c>
      <c r="AN117" s="13" t="str">
        <f>IF(AN$4="Yes",INDEX(List!$E$2:$CD$173,MATCH('Selection Pane Data'!$B117,List!$E$2:$E$173,0),MATCH('Selection Pane Data'!AN$3,List!$E$2:$CD$2,0)),"")</f>
        <v/>
      </c>
      <c r="AO117" s="13" t="str">
        <f>IF(AO$4="Yes",INDEX(List!$E$2:$CD$173,MATCH('Selection Pane Data'!$B117,List!$E$2:$E$173,0),MATCH('Selection Pane Data'!AO$3,List!$E$2:$CD$2,0)),"")</f>
        <v/>
      </c>
      <c r="AP117" s="13" t="str">
        <f>IF(AP$4="Yes",INDEX(List!$E$2:$CD$173,MATCH('Selection Pane Data'!$B117,List!$E$2:$E$173,0),MATCH('Selection Pane Data'!AP$3,List!$E$2:$CD$2,0)),"")</f>
        <v/>
      </c>
      <c r="AQ117" s="13" t="str">
        <f>IF(AQ$4="Yes",INDEX(List!$E$2:$CD$173,MATCH('Selection Pane Data'!$B117,List!$E$2:$E$173,0),MATCH('Selection Pane Data'!AQ$3,List!$E$2:$CD$2,0)),"")</f>
        <v/>
      </c>
      <c r="AR117" s="13" t="str">
        <f>IF(AR$4="Yes",INDEX(List!$E$2:$CD$173,MATCH('Selection Pane Data'!$B117,List!$E$2:$E$173,0),MATCH('Selection Pane Data'!AR$3,List!$E$2:$CD$2,0)),"")</f>
        <v/>
      </c>
      <c r="AS117" s="13" t="str">
        <f>IF(AS$4="Yes",INDEX(List!$E$2:$CD$173,MATCH('Selection Pane Data'!$B117,List!$E$2:$E$173,0),MATCH('Selection Pane Data'!AS$3,List!$E$2:$CD$2,0)),"")</f>
        <v/>
      </c>
      <c r="AT117" s="13" t="str">
        <f>IF(AT$4="Yes",INDEX(List!$E$2:$CD$173,MATCH('Selection Pane Data'!$B117,List!$E$2:$E$173,0),MATCH('Selection Pane Data'!AT$3,List!$E$2:$CD$2,0)),"")</f>
        <v/>
      </c>
      <c r="AU117" s="13" t="str">
        <f>IF(AU$4="Yes",INDEX(List!$E$2:$CD$173,MATCH('Selection Pane Data'!$B117,List!$E$2:$E$173,0),MATCH('Selection Pane Data'!AU$3,List!$E$2:$CD$2,0)),"")</f>
        <v/>
      </c>
      <c r="AV117" s="13" t="str">
        <f>IF(AV$4="Yes",INDEX(List!$E$2:$CD$173,MATCH('Selection Pane Data'!$B117,List!$E$2:$E$173,0),MATCH('Selection Pane Data'!AV$3,List!$E$2:$CD$2,0)),"")</f>
        <v/>
      </c>
      <c r="AW117" s="13" t="str">
        <f>IF(AW$4="Yes",INDEX(List!$E$2:$CD$173,MATCH('Selection Pane Data'!$B117,List!$E$2:$E$173,0),MATCH('Selection Pane Data'!AW$3,List!$E$2:$CD$2,0)),"")</f>
        <v/>
      </c>
      <c r="AX117" s="13" t="str">
        <f>IF(AX$4="Yes",INDEX(List!$E$2:$CD$173,MATCH('Selection Pane Data'!$B117,List!$E$2:$E$173,0),MATCH('Selection Pane Data'!AX$3,List!$E$2:$CD$2,0)),"")</f>
        <v/>
      </c>
      <c r="AY117" s="13" t="str">
        <f>IF(AY$4="Yes",INDEX(List!$E$2:$CD$173,MATCH('Selection Pane Data'!$B117,List!$E$2:$E$173,0),MATCH('Selection Pane Data'!AY$3,List!$E$2:$CD$2,0)),"")</f>
        <v/>
      </c>
      <c r="AZ117" s="13" t="str">
        <f>IF(AZ$4="Yes",INDEX(List!$E$2:$CD$173,MATCH('Selection Pane Data'!$B117,List!$E$2:$E$173,0),MATCH('Selection Pane Data'!AZ$3,List!$E$2:$CD$2,0)),"")</f>
        <v/>
      </c>
      <c r="BA117" s="13" t="str">
        <f>IF(BA$4="Yes",INDEX(List!$E$2:$CD$173,MATCH('Selection Pane Data'!$B117,List!$E$2:$E$173,0),MATCH('Selection Pane Data'!BA$3,List!$E$2:$CD$2,0)),"")</f>
        <v/>
      </c>
      <c r="BB117" s="13" t="str">
        <f>IF(BB$4="Yes",INDEX(List!$E$2:$CD$173,MATCH('Selection Pane Data'!$B117,List!$E$2:$E$173,0),MATCH('Selection Pane Data'!BB$3,List!$E$2:$CD$2,0)),"")</f>
        <v/>
      </c>
      <c r="BC117" s="13" t="str">
        <f>IF(BC$4="Yes",INDEX(List!$E$2:$CD$173,MATCH('Selection Pane Data'!$B117,List!$E$2:$E$173,0),MATCH('Selection Pane Data'!BC$3,List!$E$2:$CD$2,0)),"")</f>
        <v/>
      </c>
      <c r="BD117" s="13" t="str">
        <f>IF(BD$4="Yes",INDEX(List!$E$2:$CD$173,MATCH('Selection Pane Data'!$B117,List!$E$2:$E$173,0),MATCH('Selection Pane Data'!BD$3,List!$E$2:$CD$2,0)),"")</f>
        <v/>
      </c>
      <c r="BE117" s="13" t="str">
        <f>IF(BE$4="Yes",INDEX(List!$E$2:$CD$173,MATCH('Selection Pane Data'!$B117,List!$E$2:$E$173,0),MATCH('Selection Pane Data'!BE$3,List!$E$2:$CD$2,0)),"")</f>
        <v/>
      </c>
      <c r="BF117" s="13" t="str">
        <f>IF(BF$4="Yes",INDEX(List!$E$2:$CD$173,MATCH('Selection Pane Data'!$B117,List!$E$2:$E$173,0),MATCH('Selection Pane Data'!BF$3,List!$E$2:$CD$2,0)),"")</f>
        <v/>
      </c>
      <c r="BG117" s="13" t="str">
        <f>IF(BG$4="Yes",INDEX(List!$E$2:$CD$173,MATCH('Selection Pane Data'!$B117,List!$E$2:$E$173,0),MATCH('Selection Pane Data'!BG$3,List!$E$2:$CD$2,0)),"")</f>
        <v/>
      </c>
      <c r="BH117" s="13" t="str">
        <f>IF(BH$4="Yes",INDEX(List!$E$2:$CD$173,MATCH('Selection Pane Data'!$B117,List!$E$2:$E$173,0),MATCH('Selection Pane Data'!BH$3,List!$E$2:$CD$2,0)),"")</f>
        <v/>
      </c>
      <c r="BI117" s="13" t="str">
        <f>IF(BI$4="Yes",INDEX(List!$E$2:$CD$173,MATCH('Selection Pane Data'!$B117,List!$E$2:$E$173,0),MATCH('Selection Pane Data'!BI$3,List!$E$2:$CD$2,0)),"")</f>
        <v/>
      </c>
      <c r="BJ117" s="13" t="str">
        <f>IF(BJ$4="Yes",INDEX(List!$E$2:$CD$173,MATCH('Selection Pane Data'!$B117,List!$E$2:$E$173,0),MATCH('Selection Pane Data'!BJ$3,List!$E$2:$CD$2,0)),"")</f>
        <v/>
      </c>
      <c r="BK117" s="13" t="str">
        <f>IF(BK$4="Yes",INDEX(List!$E$2:$CD$173,MATCH('Selection Pane Data'!$B117,List!$E$2:$E$173,0),MATCH('Selection Pane Data'!BK$3,List!$E$2:$CD$2,0)),"")</f>
        <v/>
      </c>
      <c r="BL117" s="13" t="str">
        <f>IF(BL$4="Yes",INDEX(List!$E$2:$CD$173,MATCH('Selection Pane Data'!$B117,List!$E$2:$E$173,0),MATCH('Selection Pane Data'!BL$3,List!$E$2:$CD$2,0)),"")</f>
        <v/>
      </c>
      <c r="BM117" s="13" t="str">
        <f>IF(BM$4="Yes",INDEX(List!$E$2:$CD$173,MATCH('Selection Pane Data'!$B117,List!$E$2:$E$173,0),MATCH('Selection Pane Data'!BM$3,List!$E$2:$CD$2,0)),"")</f>
        <v/>
      </c>
      <c r="BN117" s="13" t="str">
        <f>IF(BN$4="Yes",INDEX(List!$E$2:$CD$173,MATCH('Selection Pane Data'!$B117,List!$E$2:$E$173,0),MATCH('Selection Pane Data'!BN$3,List!$E$2:$CD$2,0)),"")</f>
        <v/>
      </c>
      <c r="BO117" s="13" t="str">
        <f>IF(BO$4="Yes",INDEX(List!$E$2:$CD$173,MATCH('Selection Pane Data'!$B117,List!$E$2:$E$173,0),MATCH('Selection Pane Data'!BO$3,List!$E$2:$CD$2,0)),"")</f>
        <v/>
      </c>
      <c r="BP117" s="13" t="str">
        <f>IF(BP$4="Yes",INDEX(List!$E$2:$CD$173,MATCH('Selection Pane Data'!$B117,List!$E$2:$E$173,0),MATCH('Selection Pane Data'!BP$3,List!$E$2:$CD$2,0)),"")</f>
        <v/>
      </c>
      <c r="BQ117" s="13" t="str">
        <f>IF(BQ$4="Yes",INDEX(List!$E$2:$CD$173,MATCH('Selection Pane Data'!$B117,List!$E$2:$E$173,0),MATCH('Selection Pane Data'!BQ$3,List!$E$2:$CD$2,0)),"")</f>
        <v/>
      </c>
      <c r="BR117" s="13" t="str">
        <f>IF(BR$4="Yes",INDEX(List!$E$2:$CD$173,MATCH('Selection Pane Data'!$B117,List!$E$2:$E$173,0),MATCH('Selection Pane Data'!BR$3,List!$E$2:$CD$2,0)),"")</f>
        <v/>
      </c>
      <c r="BS117" s="13" t="str">
        <f>IF(BS$4="Yes",INDEX(List!$E$2:$CD$173,MATCH('Selection Pane Data'!$B117,List!$E$2:$E$173,0),MATCH('Selection Pane Data'!BS$3,List!$E$2:$CD$2,0)),"")</f>
        <v/>
      </c>
      <c r="BT117" s="13" t="str">
        <f>IF(BT$4="Yes",INDEX(List!$E$2:$CD$173,MATCH('Selection Pane Data'!$B117,List!$E$2:$E$173,0),MATCH('Selection Pane Data'!BT$3,List!$E$2:$CD$2,0)),"")</f>
        <v/>
      </c>
      <c r="BU117" s="13" t="str">
        <f>IF(BU$4="Yes",INDEX(List!$E$2:$CD$173,MATCH('Selection Pane Data'!$B117,List!$E$2:$E$173,0),MATCH('Selection Pane Data'!BU$3,List!$E$2:$CD$2,0)),"")</f>
        <v/>
      </c>
      <c r="BV117" s="13" t="str">
        <f>IF(BV$4="Yes",INDEX(List!$E$2:$CD$173,MATCH('Selection Pane Data'!$B117,List!$E$2:$E$173,0),MATCH('Selection Pane Data'!BV$3,List!$E$2:$CD$2,0)),"")</f>
        <v/>
      </c>
      <c r="BW117" s="13" t="str">
        <f>IF(BW$4="Yes",INDEX(List!$E$2:$CD$173,MATCH('Selection Pane Data'!$B117,List!$E$2:$E$173,0),MATCH('Selection Pane Data'!BW$3,List!$E$2:$CD$2,0)),"")</f>
        <v/>
      </c>
      <c r="BX117" s="13" t="str">
        <f>IF(BX$4="Yes",INDEX(List!$E$2:$CD$173,MATCH('Selection Pane Data'!$B117,List!$E$2:$E$173,0),MATCH('Selection Pane Data'!BX$3,List!$E$2:$CD$2,0)),"")</f>
        <v/>
      </c>
      <c r="BY117" s="13" t="str">
        <f>IF(BY$4="Yes",INDEX(List!$E$2:$CD$173,MATCH('Selection Pane Data'!$B117,List!$E$2:$E$173,0),MATCH('Selection Pane Data'!BY$3,List!$E$2:$CD$2,0)),"")</f>
        <v/>
      </c>
      <c r="BZ117" s="13" t="str">
        <f>IF(BZ$4="Yes",INDEX(List!$E$2:$CD$173,MATCH('Selection Pane Data'!$B117,List!$E$2:$E$173,0),MATCH('Selection Pane Data'!BZ$3,List!$E$2:$CD$2,0)),"")</f>
        <v/>
      </c>
      <c r="CA117" s="13" t="str">
        <f>IF(CA$4="Yes",INDEX(List!$E$2:$CD$173,MATCH('Selection Pane Data'!$B117,List!$E$2:$E$173,0),MATCH('Selection Pane Data'!CA$3,List!$E$2:$CD$2,0)),"")</f>
        <v/>
      </c>
      <c r="CB117" s="13" t="str">
        <f>IF(CB$4="Yes",INDEX(List!$E$2:$CD$173,MATCH('Selection Pane Data'!$B117,List!$E$2:$E$173,0),MATCH('Selection Pane Data'!CB$3,List!$E$2:$CD$2,0)),"")</f>
        <v/>
      </c>
      <c r="CC117" s="13" t="str">
        <f>IF(CC$4="Yes",INDEX(List!$E$2:$CD$173,MATCH('Selection Pane Data'!$B117,List!$E$2:$E$173,0),MATCH('Selection Pane Data'!CC$3,List!$E$2:$CD$2,0)),"")</f>
        <v/>
      </c>
      <c r="CD117" s="13" t="str">
        <f>IF(CD$4="Yes",INDEX(List!$E$2:$CD$173,MATCH('Selection Pane Data'!$B117,List!$E$2:$E$173,0),MATCH('Selection Pane Data'!CD$3,List!$E$2:$CD$2,0)),"")</f>
        <v/>
      </c>
      <c r="CE117" s="13" t="str">
        <f>IF(CE$4="Yes",INDEX(List!$E$2:$CD$173,MATCH('Selection Pane Data'!$B117,List!$E$2:$E$173,0),MATCH('Selection Pane Data'!CE$3,List!$E$2:$CD$2,0)),"")</f>
        <v/>
      </c>
    </row>
    <row r="118" spans="2:83" x14ac:dyDescent="0.35">
      <c r="B118" s="21" t="s">
        <v>405</v>
      </c>
      <c r="C118" s="126" t="str">
        <f>VLOOKUP(B118,List!$E$2:$G$173,2,FALSE)</f>
        <v>MP.L2-3.8.9</v>
      </c>
      <c r="D118" s="31" t="str">
        <f>List!G116</f>
        <v>Shared Coverage</v>
      </c>
      <c r="E118" s="31" t="str">
        <f>IF(Placemat!$F$4="All Practices","All Practices",IF(VLOOKUP(B118,Table7[#All],6,FALSE)="No Mapping","New CMMC Practices","Practices with NIST 800-171 Mappings"))</f>
        <v>Practices with NIST 800-171 Mappings</v>
      </c>
      <c r="F118" t="str">
        <f>INDEX('CMMC Levels'!$A$1:$F$172,MATCH('Selection Pane Data'!$C118,'CMMC Levels'!$A$1:$A$172,0),MATCH(Placemat!$F$4,'CMMC Levels'!$A$1:$F$1,0))</f>
        <v>X</v>
      </c>
      <c r="G118" s="77" t="str">
        <f>IF((COUNTIF(List!H116:CE116,"P")+COUNTIF(List!H116:CE116,"S"))=0,"N",IF(COUNTIF(H118:CE118,"P"),"P",IF(COUNTIF(H118:CE118,"S"),"S","U")))</f>
        <v>U</v>
      </c>
      <c r="H118" s="13" t="str">
        <f>IF(H$4="Yes",INDEX(List!$E$2:$CD$173,MATCH('Selection Pane Data'!$B118,List!$E$2:$E$173,0),MATCH('Selection Pane Data'!H$3,List!$E$2:$CD$2,0)),"")</f>
        <v/>
      </c>
      <c r="I118" s="13" t="str">
        <f>IF(I$4="Yes",INDEX(List!$E$2:$CD$173,MATCH('Selection Pane Data'!$B118,List!$E$2:$E$173,0),MATCH('Selection Pane Data'!I$3,List!$E$2:$CD$2,0)),"")</f>
        <v/>
      </c>
      <c r="J118" s="13" t="str">
        <f>IF(J$4="Yes",INDEX(List!$E$2:$CD$173,MATCH('Selection Pane Data'!$B118,List!$E$2:$E$173,0),MATCH('Selection Pane Data'!J$3,List!$E$2:$CD$2,0)),"")</f>
        <v>N</v>
      </c>
      <c r="K118" s="13" t="str">
        <f>IF(K$4="Yes",INDEX(List!$E$2:$CD$173,MATCH('Selection Pane Data'!$B118,List!$E$2:$E$173,0),MATCH('Selection Pane Data'!K$3,List!$E$2:$CD$2,0)),"")</f>
        <v/>
      </c>
      <c r="L118" s="13" t="str">
        <f>IF(L$4="Yes",INDEX(List!$E$2:$CD$173,MATCH('Selection Pane Data'!$B118,List!$E$2:$E$173,0),MATCH('Selection Pane Data'!L$3,List!$E$2:$CD$2,0)),"")</f>
        <v/>
      </c>
      <c r="M118" s="13" t="str">
        <f>IF(M$4="Yes",INDEX(List!$E$2:$CD$173,MATCH('Selection Pane Data'!$B118,List!$E$2:$E$173,0),MATCH('Selection Pane Data'!M$3,List!$E$2:$CD$2,0)),"")</f>
        <v/>
      </c>
      <c r="N118" s="13" t="str">
        <f>IF(N$4="Yes",INDEX(List!$E$2:$CD$173,MATCH('Selection Pane Data'!$B118,List!$E$2:$E$173,0),MATCH('Selection Pane Data'!N$3,List!$E$2:$CD$2,0)),"")</f>
        <v/>
      </c>
      <c r="O118" s="13" t="str">
        <f>IF(O$4="Yes",INDEX(List!$E$2:$CD$173,MATCH('Selection Pane Data'!$B118,List!$E$2:$E$173,0),MATCH('Selection Pane Data'!O$3,List!$E$2:$CD$2,0)),"")</f>
        <v/>
      </c>
      <c r="P118" s="13" t="str">
        <f>IF(P$4="Yes",INDEX(List!$E$2:$CD$173,MATCH('Selection Pane Data'!$B118,List!$E$2:$E$173,0),MATCH('Selection Pane Data'!P$3,List!$E$2:$CD$2,0)),"")</f>
        <v/>
      </c>
      <c r="Q118" s="13" t="str">
        <f>IF(Q$4="Yes",INDEX(List!$E$2:$CD$173,MATCH('Selection Pane Data'!$B118,List!$E$2:$E$173,0),MATCH('Selection Pane Data'!Q$3,List!$E$2:$CD$2,0)),"")</f>
        <v/>
      </c>
      <c r="R118" s="13" t="str">
        <f>IF(R$4="Yes",INDEX(List!$E$2:$CD$173,MATCH('Selection Pane Data'!$B118,List!$E$2:$E$173,0),MATCH('Selection Pane Data'!R$3,List!$E$2:$CD$2,0)),"")</f>
        <v/>
      </c>
      <c r="S118" s="13" t="str">
        <f>IF(S$4="Yes",INDEX(List!$E$2:$CD$173,MATCH('Selection Pane Data'!$B118,List!$E$2:$E$173,0),MATCH('Selection Pane Data'!S$3,List!$E$2:$CD$2,0)),"")</f>
        <v/>
      </c>
      <c r="T118" s="13" t="str">
        <f>IF(T$4="Yes",INDEX(List!$E$2:$CD$173,MATCH('Selection Pane Data'!$B118,List!$E$2:$E$173,0),MATCH('Selection Pane Data'!T$3,List!$E$2:$CD$2,0)),"")</f>
        <v/>
      </c>
      <c r="U118" s="13" t="str">
        <f>IF(U$4="Yes",INDEX(List!$E$2:$CD$173,MATCH('Selection Pane Data'!$B118,List!$E$2:$E$173,0),MATCH('Selection Pane Data'!U$3,List!$E$2:$CD$2,0)),"")</f>
        <v/>
      </c>
      <c r="V118" s="13" t="str">
        <f>IF(V$4="Yes",INDEX(List!$E$2:$CD$173,MATCH('Selection Pane Data'!$B118,List!$E$2:$E$173,0),MATCH('Selection Pane Data'!V$3,List!$E$2:$CD$2,0)),"")</f>
        <v/>
      </c>
      <c r="W118" s="13" t="str">
        <f>IF(W$4="Yes",INDEX(List!$E$2:$CD$173,MATCH('Selection Pane Data'!$B118,List!$E$2:$E$173,0),MATCH('Selection Pane Data'!W$3,List!$E$2:$CD$2,0)),"")</f>
        <v/>
      </c>
      <c r="X118" s="13" t="str">
        <f>IF(X$4="Yes",INDEX(List!$E$2:$CD$173,MATCH('Selection Pane Data'!$B118,List!$E$2:$E$173,0),MATCH('Selection Pane Data'!X$3,List!$E$2:$CD$2,0)),"")</f>
        <v/>
      </c>
      <c r="Y118" s="13" t="str">
        <f>IF(Y$4="Yes",INDEX(List!$E$2:$CD$173,MATCH('Selection Pane Data'!$B118,List!$E$2:$E$173,0),MATCH('Selection Pane Data'!Y$3,List!$E$2:$CD$2,0)),"")</f>
        <v/>
      </c>
      <c r="Z118" s="13" t="str">
        <f>IF(Z$4="Yes",INDEX(List!$E$2:$CD$173,MATCH('Selection Pane Data'!$B118,List!$E$2:$E$173,0),MATCH('Selection Pane Data'!Z$3,List!$E$2:$CD$2,0)),"")</f>
        <v/>
      </c>
      <c r="AA118" s="13" t="str">
        <f>IF(AA$4="Yes",INDEX(List!$E$2:$CD$173,MATCH('Selection Pane Data'!$B118,List!$E$2:$E$173,0),MATCH('Selection Pane Data'!AA$3,List!$E$2:$CD$2,0)),"")</f>
        <v>N</v>
      </c>
      <c r="AB118" s="13" t="str">
        <f>IF(AB$4="Yes",INDEX(List!$E$2:$CD$173,MATCH('Selection Pane Data'!$B118,List!$E$2:$E$173,0),MATCH('Selection Pane Data'!AB$3,List!$E$2:$CD$2,0)),"")</f>
        <v/>
      </c>
      <c r="AC118" s="13" t="str">
        <f>IF(AC$4="Yes",INDEX(List!$E$2:$CD$173,MATCH('Selection Pane Data'!$B118,List!$E$2:$E$173,0),MATCH('Selection Pane Data'!AC$3,List!$E$2:$CD$2,0)),"")</f>
        <v/>
      </c>
      <c r="AD118" s="13" t="str">
        <f>IF(AD$4="Yes",INDEX(List!$E$2:$CD$173,MATCH('Selection Pane Data'!$B118,List!$E$2:$E$173,0),MATCH('Selection Pane Data'!AD$3,List!$E$2:$CD$2,0)),"")</f>
        <v/>
      </c>
      <c r="AE118" s="13" t="str">
        <f>IF(AE$4="Yes",INDEX(List!$E$2:$CD$173,MATCH('Selection Pane Data'!$B118,List!$E$2:$E$173,0),MATCH('Selection Pane Data'!AE$3,List!$E$2:$CD$2,0)),"")</f>
        <v/>
      </c>
      <c r="AF118" s="13" t="str">
        <f>IF(AF$4="Yes",INDEX(List!$E$2:$CD$173,MATCH('Selection Pane Data'!$B118,List!$E$2:$E$173,0),MATCH('Selection Pane Data'!AF$3,List!$E$2:$CD$2,0)),"")</f>
        <v/>
      </c>
      <c r="AG118" s="13" t="str">
        <f>IF(AG$4="Yes",INDEX(List!$E$2:$CD$173,MATCH('Selection Pane Data'!$B118,List!$E$2:$E$173,0),MATCH('Selection Pane Data'!AG$3,List!$E$2:$CD$2,0)),"")</f>
        <v/>
      </c>
      <c r="AH118" s="13" t="str">
        <f>IF(AH$4="Yes",INDEX(List!$E$2:$CD$173,MATCH('Selection Pane Data'!$B118,List!$E$2:$E$173,0),MATCH('Selection Pane Data'!AH$3,List!$E$2:$CD$2,0)),"")</f>
        <v/>
      </c>
      <c r="AI118" s="13" t="str">
        <f>IF(AI$4="Yes",INDEX(List!$E$2:$CD$173,MATCH('Selection Pane Data'!$B118,List!$E$2:$E$173,0),MATCH('Selection Pane Data'!AI$3,List!$E$2:$CD$2,0)),"")</f>
        <v/>
      </c>
      <c r="AJ118" s="13" t="str">
        <f>IF(AJ$4="Yes",INDEX(List!$E$2:$CD$173,MATCH('Selection Pane Data'!$B118,List!$E$2:$E$173,0),MATCH('Selection Pane Data'!AJ$3,List!$E$2:$CD$2,0)),"")</f>
        <v/>
      </c>
      <c r="AK118" s="13" t="str">
        <f>IF(AK$4="Yes",INDEX(List!$E$2:$CD$173,MATCH('Selection Pane Data'!$B118,List!$E$2:$E$173,0),MATCH('Selection Pane Data'!AK$3,List!$E$2:$CD$2,0)),"")</f>
        <v/>
      </c>
      <c r="AL118" s="13" t="str">
        <f>IF(AL$4="Yes",INDEX(List!$E$2:$CD$173,MATCH('Selection Pane Data'!$B118,List!$E$2:$E$173,0),MATCH('Selection Pane Data'!AL$3,List!$E$2:$CD$2,0)),"")</f>
        <v/>
      </c>
      <c r="AM118" s="13" t="str">
        <f>IF(AM$4="Yes",INDEX(List!$E$2:$CD$173,MATCH('Selection Pane Data'!$B118,List!$E$2:$E$173,0),MATCH('Selection Pane Data'!AM$3,List!$E$2:$CD$2,0)),"")</f>
        <v/>
      </c>
      <c r="AN118" s="13" t="str">
        <f>IF(AN$4="Yes",INDEX(List!$E$2:$CD$173,MATCH('Selection Pane Data'!$B118,List!$E$2:$E$173,0),MATCH('Selection Pane Data'!AN$3,List!$E$2:$CD$2,0)),"")</f>
        <v/>
      </c>
      <c r="AO118" s="13" t="str">
        <f>IF(AO$4="Yes",INDEX(List!$E$2:$CD$173,MATCH('Selection Pane Data'!$B118,List!$E$2:$E$173,0),MATCH('Selection Pane Data'!AO$3,List!$E$2:$CD$2,0)),"")</f>
        <v/>
      </c>
      <c r="AP118" s="13" t="str">
        <f>IF(AP$4="Yes",INDEX(List!$E$2:$CD$173,MATCH('Selection Pane Data'!$B118,List!$E$2:$E$173,0),MATCH('Selection Pane Data'!AP$3,List!$E$2:$CD$2,0)),"")</f>
        <v/>
      </c>
      <c r="AQ118" s="13" t="str">
        <f>IF(AQ$4="Yes",INDEX(List!$E$2:$CD$173,MATCH('Selection Pane Data'!$B118,List!$E$2:$E$173,0),MATCH('Selection Pane Data'!AQ$3,List!$E$2:$CD$2,0)),"")</f>
        <v/>
      </c>
      <c r="AR118" s="13" t="str">
        <f>IF(AR$4="Yes",INDEX(List!$E$2:$CD$173,MATCH('Selection Pane Data'!$B118,List!$E$2:$E$173,0),MATCH('Selection Pane Data'!AR$3,List!$E$2:$CD$2,0)),"")</f>
        <v/>
      </c>
      <c r="AS118" s="13" t="str">
        <f>IF(AS$4="Yes",INDEX(List!$E$2:$CD$173,MATCH('Selection Pane Data'!$B118,List!$E$2:$E$173,0),MATCH('Selection Pane Data'!AS$3,List!$E$2:$CD$2,0)),"")</f>
        <v/>
      </c>
      <c r="AT118" s="13" t="str">
        <f>IF(AT$4="Yes",INDEX(List!$E$2:$CD$173,MATCH('Selection Pane Data'!$B118,List!$E$2:$E$173,0),MATCH('Selection Pane Data'!AT$3,List!$E$2:$CD$2,0)),"")</f>
        <v/>
      </c>
      <c r="AU118" s="13" t="str">
        <f>IF(AU$4="Yes",INDEX(List!$E$2:$CD$173,MATCH('Selection Pane Data'!$B118,List!$E$2:$E$173,0),MATCH('Selection Pane Data'!AU$3,List!$E$2:$CD$2,0)),"")</f>
        <v/>
      </c>
      <c r="AV118" s="13" t="str">
        <f>IF(AV$4="Yes",INDEX(List!$E$2:$CD$173,MATCH('Selection Pane Data'!$B118,List!$E$2:$E$173,0),MATCH('Selection Pane Data'!AV$3,List!$E$2:$CD$2,0)),"")</f>
        <v/>
      </c>
      <c r="AW118" s="13" t="str">
        <f>IF(AW$4="Yes",INDEX(List!$E$2:$CD$173,MATCH('Selection Pane Data'!$B118,List!$E$2:$E$173,0),MATCH('Selection Pane Data'!AW$3,List!$E$2:$CD$2,0)),"")</f>
        <v/>
      </c>
      <c r="AX118" s="13" t="str">
        <f>IF(AX$4="Yes",INDEX(List!$E$2:$CD$173,MATCH('Selection Pane Data'!$B118,List!$E$2:$E$173,0),MATCH('Selection Pane Data'!AX$3,List!$E$2:$CD$2,0)),"")</f>
        <v/>
      </c>
      <c r="AY118" s="13" t="str">
        <f>IF(AY$4="Yes",INDEX(List!$E$2:$CD$173,MATCH('Selection Pane Data'!$B118,List!$E$2:$E$173,0),MATCH('Selection Pane Data'!AY$3,List!$E$2:$CD$2,0)),"")</f>
        <v/>
      </c>
      <c r="AZ118" s="13" t="str">
        <f>IF(AZ$4="Yes",INDEX(List!$E$2:$CD$173,MATCH('Selection Pane Data'!$B118,List!$E$2:$E$173,0),MATCH('Selection Pane Data'!AZ$3,List!$E$2:$CD$2,0)),"")</f>
        <v/>
      </c>
      <c r="BA118" s="13" t="str">
        <f>IF(BA$4="Yes",INDEX(List!$E$2:$CD$173,MATCH('Selection Pane Data'!$B118,List!$E$2:$E$173,0),MATCH('Selection Pane Data'!BA$3,List!$E$2:$CD$2,0)),"")</f>
        <v/>
      </c>
      <c r="BB118" s="13" t="str">
        <f>IF(BB$4="Yes",INDEX(List!$E$2:$CD$173,MATCH('Selection Pane Data'!$B118,List!$E$2:$E$173,0),MATCH('Selection Pane Data'!BB$3,List!$E$2:$CD$2,0)),"")</f>
        <v/>
      </c>
      <c r="BC118" s="13" t="str">
        <f>IF(BC$4="Yes",INDEX(List!$E$2:$CD$173,MATCH('Selection Pane Data'!$B118,List!$E$2:$E$173,0),MATCH('Selection Pane Data'!BC$3,List!$E$2:$CD$2,0)),"")</f>
        <v/>
      </c>
      <c r="BD118" s="13" t="str">
        <f>IF(BD$4="Yes",INDEX(List!$E$2:$CD$173,MATCH('Selection Pane Data'!$B118,List!$E$2:$E$173,0),MATCH('Selection Pane Data'!BD$3,List!$E$2:$CD$2,0)),"")</f>
        <v/>
      </c>
      <c r="BE118" s="13" t="str">
        <f>IF(BE$4="Yes",INDEX(List!$E$2:$CD$173,MATCH('Selection Pane Data'!$B118,List!$E$2:$E$173,0),MATCH('Selection Pane Data'!BE$3,List!$E$2:$CD$2,0)),"")</f>
        <v/>
      </c>
      <c r="BF118" s="13" t="str">
        <f>IF(BF$4="Yes",INDEX(List!$E$2:$CD$173,MATCH('Selection Pane Data'!$B118,List!$E$2:$E$173,0),MATCH('Selection Pane Data'!BF$3,List!$E$2:$CD$2,0)),"")</f>
        <v/>
      </c>
      <c r="BG118" s="13" t="str">
        <f>IF(BG$4="Yes",INDEX(List!$E$2:$CD$173,MATCH('Selection Pane Data'!$B118,List!$E$2:$E$173,0),MATCH('Selection Pane Data'!BG$3,List!$E$2:$CD$2,0)),"")</f>
        <v/>
      </c>
      <c r="BH118" s="13" t="str">
        <f>IF(BH$4="Yes",INDEX(List!$E$2:$CD$173,MATCH('Selection Pane Data'!$B118,List!$E$2:$E$173,0),MATCH('Selection Pane Data'!BH$3,List!$E$2:$CD$2,0)),"")</f>
        <v/>
      </c>
      <c r="BI118" s="13" t="str">
        <f>IF(BI$4="Yes",INDEX(List!$E$2:$CD$173,MATCH('Selection Pane Data'!$B118,List!$E$2:$E$173,0),MATCH('Selection Pane Data'!BI$3,List!$E$2:$CD$2,0)),"")</f>
        <v/>
      </c>
      <c r="BJ118" s="13" t="str">
        <f>IF(BJ$4="Yes",INDEX(List!$E$2:$CD$173,MATCH('Selection Pane Data'!$B118,List!$E$2:$E$173,0),MATCH('Selection Pane Data'!BJ$3,List!$E$2:$CD$2,0)),"")</f>
        <v/>
      </c>
      <c r="BK118" s="13" t="str">
        <f>IF(BK$4="Yes",INDEX(List!$E$2:$CD$173,MATCH('Selection Pane Data'!$B118,List!$E$2:$E$173,0),MATCH('Selection Pane Data'!BK$3,List!$E$2:$CD$2,0)),"")</f>
        <v/>
      </c>
      <c r="BL118" s="13" t="str">
        <f>IF(BL$4="Yes",INDEX(List!$E$2:$CD$173,MATCH('Selection Pane Data'!$B118,List!$E$2:$E$173,0),MATCH('Selection Pane Data'!BL$3,List!$E$2:$CD$2,0)),"")</f>
        <v/>
      </c>
      <c r="BM118" s="13" t="str">
        <f>IF(BM$4="Yes",INDEX(List!$E$2:$CD$173,MATCH('Selection Pane Data'!$B118,List!$E$2:$E$173,0),MATCH('Selection Pane Data'!BM$3,List!$E$2:$CD$2,0)),"")</f>
        <v/>
      </c>
      <c r="BN118" s="13" t="str">
        <f>IF(BN$4="Yes",INDEX(List!$E$2:$CD$173,MATCH('Selection Pane Data'!$B118,List!$E$2:$E$173,0),MATCH('Selection Pane Data'!BN$3,List!$E$2:$CD$2,0)),"")</f>
        <v/>
      </c>
      <c r="BO118" s="13" t="str">
        <f>IF(BO$4="Yes",INDEX(List!$E$2:$CD$173,MATCH('Selection Pane Data'!$B118,List!$E$2:$E$173,0),MATCH('Selection Pane Data'!BO$3,List!$E$2:$CD$2,0)),"")</f>
        <v/>
      </c>
      <c r="BP118" s="13" t="str">
        <f>IF(BP$4="Yes",INDEX(List!$E$2:$CD$173,MATCH('Selection Pane Data'!$B118,List!$E$2:$E$173,0),MATCH('Selection Pane Data'!BP$3,List!$E$2:$CD$2,0)),"")</f>
        <v/>
      </c>
      <c r="BQ118" s="13" t="str">
        <f>IF(BQ$4="Yes",INDEX(List!$E$2:$CD$173,MATCH('Selection Pane Data'!$B118,List!$E$2:$E$173,0),MATCH('Selection Pane Data'!BQ$3,List!$E$2:$CD$2,0)),"")</f>
        <v/>
      </c>
      <c r="BR118" s="13" t="str">
        <f>IF(BR$4="Yes",INDEX(List!$E$2:$CD$173,MATCH('Selection Pane Data'!$B118,List!$E$2:$E$173,0),MATCH('Selection Pane Data'!BR$3,List!$E$2:$CD$2,0)),"")</f>
        <v/>
      </c>
      <c r="BS118" s="13" t="str">
        <f>IF(BS$4="Yes",INDEX(List!$E$2:$CD$173,MATCH('Selection Pane Data'!$B118,List!$E$2:$E$173,0),MATCH('Selection Pane Data'!BS$3,List!$E$2:$CD$2,0)),"")</f>
        <v/>
      </c>
      <c r="BT118" s="13" t="str">
        <f>IF(BT$4="Yes",INDEX(List!$E$2:$CD$173,MATCH('Selection Pane Data'!$B118,List!$E$2:$E$173,0),MATCH('Selection Pane Data'!BT$3,List!$E$2:$CD$2,0)),"")</f>
        <v/>
      </c>
      <c r="BU118" s="13" t="str">
        <f>IF(BU$4="Yes",INDEX(List!$E$2:$CD$173,MATCH('Selection Pane Data'!$B118,List!$E$2:$E$173,0),MATCH('Selection Pane Data'!BU$3,List!$E$2:$CD$2,0)),"")</f>
        <v/>
      </c>
      <c r="BV118" s="13" t="str">
        <f>IF(BV$4="Yes",INDEX(List!$E$2:$CD$173,MATCH('Selection Pane Data'!$B118,List!$E$2:$E$173,0),MATCH('Selection Pane Data'!BV$3,List!$E$2:$CD$2,0)),"")</f>
        <v/>
      </c>
      <c r="BW118" s="13" t="str">
        <f>IF(BW$4="Yes",INDEX(List!$E$2:$CD$173,MATCH('Selection Pane Data'!$B118,List!$E$2:$E$173,0),MATCH('Selection Pane Data'!BW$3,List!$E$2:$CD$2,0)),"")</f>
        <v/>
      </c>
      <c r="BX118" s="13" t="str">
        <f>IF(BX$4="Yes",INDEX(List!$E$2:$CD$173,MATCH('Selection Pane Data'!$B118,List!$E$2:$E$173,0),MATCH('Selection Pane Data'!BX$3,List!$E$2:$CD$2,0)),"")</f>
        <v/>
      </c>
      <c r="BY118" s="13" t="str">
        <f>IF(BY$4="Yes",INDEX(List!$E$2:$CD$173,MATCH('Selection Pane Data'!$B118,List!$E$2:$E$173,0),MATCH('Selection Pane Data'!BY$3,List!$E$2:$CD$2,0)),"")</f>
        <v/>
      </c>
      <c r="BZ118" s="13" t="str">
        <f>IF(BZ$4="Yes",INDEX(List!$E$2:$CD$173,MATCH('Selection Pane Data'!$B118,List!$E$2:$E$173,0),MATCH('Selection Pane Data'!BZ$3,List!$E$2:$CD$2,0)),"")</f>
        <v/>
      </c>
      <c r="CA118" s="13" t="str">
        <f>IF(CA$4="Yes",INDEX(List!$E$2:$CD$173,MATCH('Selection Pane Data'!$B118,List!$E$2:$E$173,0),MATCH('Selection Pane Data'!CA$3,List!$E$2:$CD$2,0)),"")</f>
        <v/>
      </c>
      <c r="CB118" s="13" t="str">
        <f>IF(CB$4="Yes",INDEX(List!$E$2:$CD$173,MATCH('Selection Pane Data'!$B118,List!$E$2:$E$173,0),MATCH('Selection Pane Data'!CB$3,List!$E$2:$CD$2,0)),"")</f>
        <v/>
      </c>
      <c r="CC118" s="13" t="str">
        <f>IF(CC$4="Yes",INDEX(List!$E$2:$CD$173,MATCH('Selection Pane Data'!$B118,List!$E$2:$E$173,0),MATCH('Selection Pane Data'!CC$3,List!$E$2:$CD$2,0)),"")</f>
        <v/>
      </c>
      <c r="CD118" s="13" t="str">
        <f>IF(CD$4="Yes",INDEX(List!$E$2:$CD$173,MATCH('Selection Pane Data'!$B118,List!$E$2:$E$173,0),MATCH('Selection Pane Data'!CD$3,List!$E$2:$CD$2,0)),"")</f>
        <v/>
      </c>
      <c r="CE118" s="13" t="str">
        <f>IF(CE$4="Yes",INDEX(List!$E$2:$CD$173,MATCH('Selection Pane Data'!$B118,List!$E$2:$E$173,0),MATCH('Selection Pane Data'!CE$3,List!$E$2:$CD$2,0)),"")</f>
        <v/>
      </c>
    </row>
    <row r="119" spans="2:83" x14ac:dyDescent="0.35">
      <c r="B119" s="21" t="s">
        <v>406</v>
      </c>
      <c r="C119" s="126" t="str">
        <f>VLOOKUP(B119,List!$E$2:$G$173,2,FALSE)</f>
        <v>N/A</v>
      </c>
      <c r="D119" s="31" t="str">
        <f>List!G117</f>
        <v>Shared Coverage</v>
      </c>
      <c r="E119" s="31" t="str">
        <f>IF(Placemat!$F$4="All Practices","All Practices",IF(VLOOKUP(B119,Table7[#All],6,FALSE)="No Mapping","New CMMC Practices","Practices with NIST 800-171 Mappings"))</f>
        <v>Practices with NIST 800-171 Mappings</v>
      </c>
      <c r="F119" t="str">
        <f>INDEX('CMMC Levels'!$A$1:$F$172,MATCH('Selection Pane Data'!$C119,'CMMC Levels'!$A$1:$A$172,0),MATCH(Placemat!$F$4,'CMMC Levels'!$A$1:$F$1,0))</f>
        <v>N/A</v>
      </c>
      <c r="G119" s="77" t="str">
        <f>IF((COUNTIF(List!H117:CE117,"P")+COUNTIF(List!H117:CE117,"S"))=0,"N",IF(COUNTIF(H119:CE119,"P"),"P",IF(COUNTIF(H119:CE119,"S"),"S","U")))</f>
        <v>N</v>
      </c>
      <c r="H119" s="13" t="str">
        <f>IF(H$4="Yes",INDEX(List!$E$2:$CD$173,MATCH('Selection Pane Data'!$B119,List!$E$2:$E$173,0),MATCH('Selection Pane Data'!H$3,List!$E$2:$CD$2,0)),"")</f>
        <v/>
      </c>
      <c r="I119" s="13" t="str">
        <f>IF(I$4="Yes",INDEX(List!$E$2:$CD$173,MATCH('Selection Pane Data'!$B119,List!$E$2:$E$173,0),MATCH('Selection Pane Data'!I$3,List!$E$2:$CD$2,0)),"")</f>
        <v/>
      </c>
      <c r="J119" s="13" t="e">
        <f>IF(J$4="Yes",INDEX(List!$E$2:$CD$173,MATCH('Selection Pane Data'!$B119,List!$E$2:$E$173,0),MATCH('Selection Pane Data'!J$3,List!$E$2:$CD$2,0)),"")</f>
        <v>#N/A</v>
      </c>
      <c r="K119" s="13" t="str">
        <f>IF(K$4="Yes",INDEX(List!$E$2:$CD$173,MATCH('Selection Pane Data'!$B119,List!$E$2:$E$173,0),MATCH('Selection Pane Data'!K$3,List!$E$2:$CD$2,0)),"")</f>
        <v/>
      </c>
      <c r="L119" s="13" t="str">
        <f>IF(L$4="Yes",INDEX(List!$E$2:$CD$173,MATCH('Selection Pane Data'!$B119,List!$E$2:$E$173,0),MATCH('Selection Pane Data'!L$3,List!$E$2:$CD$2,0)),"")</f>
        <v/>
      </c>
      <c r="M119" s="13" t="str">
        <f>IF(M$4="Yes",INDEX(List!$E$2:$CD$173,MATCH('Selection Pane Data'!$B119,List!$E$2:$E$173,0),MATCH('Selection Pane Data'!M$3,List!$E$2:$CD$2,0)),"")</f>
        <v/>
      </c>
      <c r="N119" s="13" t="str">
        <f>IF(N$4="Yes",INDEX(List!$E$2:$CD$173,MATCH('Selection Pane Data'!$B119,List!$E$2:$E$173,0),MATCH('Selection Pane Data'!N$3,List!$E$2:$CD$2,0)),"")</f>
        <v/>
      </c>
      <c r="O119" s="13" t="str">
        <f>IF(O$4="Yes",INDEX(List!$E$2:$CD$173,MATCH('Selection Pane Data'!$B119,List!$E$2:$E$173,0),MATCH('Selection Pane Data'!O$3,List!$E$2:$CD$2,0)),"")</f>
        <v/>
      </c>
      <c r="P119" s="13" t="str">
        <f>IF(P$4="Yes",INDEX(List!$E$2:$CD$173,MATCH('Selection Pane Data'!$B119,List!$E$2:$E$173,0),MATCH('Selection Pane Data'!P$3,List!$E$2:$CD$2,0)),"")</f>
        <v/>
      </c>
      <c r="Q119" s="13" t="str">
        <f>IF(Q$4="Yes",INDEX(List!$E$2:$CD$173,MATCH('Selection Pane Data'!$B119,List!$E$2:$E$173,0),MATCH('Selection Pane Data'!Q$3,List!$E$2:$CD$2,0)),"")</f>
        <v/>
      </c>
      <c r="R119" s="13" t="str">
        <f>IF(R$4="Yes",INDEX(List!$E$2:$CD$173,MATCH('Selection Pane Data'!$B119,List!$E$2:$E$173,0),MATCH('Selection Pane Data'!R$3,List!$E$2:$CD$2,0)),"")</f>
        <v/>
      </c>
      <c r="S119" s="13" t="str">
        <f>IF(S$4="Yes",INDEX(List!$E$2:$CD$173,MATCH('Selection Pane Data'!$B119,List!$E$2:$E$173,0),MATCH('Selection Pane Data'!S$3,List!$E$2:$CD$2,0)),"")</f>
        <v/>
      </c>
      <c r="T119" s="13" t="str">
        <f>IF(T$4="Yes",INDEX(List!$E$2:$CD$173,MATCH('Selection Pane Data'!$B119,List!$E$2:$E$173,0),MATCH('Selection Pane Data'!T$3,List!$E$2:$CD$2,0)),"")</f>
        <v/>
      </c>
      <c r="U119" s="13" t="str">
        <f>IF(U$4="Yes",INDEX(List!$E$2:$CD$173,MATCH('Selection Pane Data'!$B119,List!$E$2:$E$173,0),MATCH('Selection Pane Data'!U$3,List!$E$2:$CD$2,0)),"")</f>
        <v/>
      </c>
      <c r="V119" s="13" t="str">
        <f>IF(V$4="Yes",INDEX(List!$E$2:$CD$173,MATCH('Selection Pane Data'!$B119,List!$E$2:$E$173,0),MATCH('Selection Pane Data'!V$3,List!$E$2:$CD$2,0)),"")</f>
        <v/>
      </c>
      <c r="W119" s="13" t="str">
        <f>IF(W$4="Yes",INDEX(List!$E$2:$CD$173,MATCH('Selection Pane Data'!$B119,List!$E$2:$E$173,0),MATCH('Selection Pane Data'!W$3,List!$E$2:$CD$2,0)),"")</f>
        <v/>
      </c>
      <c r="X119" s="13" t="str">
        <f>IF(X$4="Yes",INDEX(List!$E$2:$CD$173,MATCH('Selection Pane Data'!$B119,List!$E$2:$E$173,0),MATCH('Selection Pane Data'!X$3,List!$E$2:$CD$2,0)),"")</f>
        <v/>
      </c>
      <c r="Y119" s="13" t="str">
        <f>IF(Y$4="Yes",INDEX(List!$E$2:$CD$173,MATCH('Selection Pane Data'!$B119,List!$E$2:$E$173,0),MATCH('Selection Pane Data'!Y$3,List!$E$2:$CD$2,0)),"")</f>
        <v/>
      </c>
      <c r="Z119" s="13" t="str">
        <f>IF(Z$4="Yes",INDEX(List!$E$2:$CD$173,MATCH('Selection Pane Data'!$B119,List!$E$2:$E$173,0),MATCH('Selection Pane Data'!Z$3,List!$E$2:$CD$2,0)),"")</f>
        <v/>
      </c>
      <c r="AA119" s="13" t="e">
        <f>IF(AA$4="Yes",INDEX(List!$E$2:$CD$173,MATCH('Selection Pane Data'!$B119,List!$E$2:$E$173,0),MATCH('Selection Pane Data'!AA$3,List!$E$2:$CD$2,0)),"")</f>
        <v>#N/A</v>
      </c>
      <c r="AB119" s="13" t="str">
        <f>IF(AB$4="Yes",INDEX(List!$E$2:$CD$173,MATCH('Selection Pane Data'!$B119,List!$E$2:$E$173,0),MATCH('Selection Pane Data'!AB$3,List!$E$2:$CD$2,0)),"")</f>
        <v/>
      </c>
      <c r="AC119" s="13" t="str">
        <f>IF(AC$4="Yes",INDEX(List!$E$2:$CD$173,MATCH('Selection Pane Data'!$B119,List!$E$2:$E$173,0),MATCH('Selection Pane Data'!AC$3,List!$E$2:$CD$2,0)),"")</f>
        <v/>
      </c>
      <c r="AD119" s="13" t="str">
        <f>IF(AD$4="Yes",INDEX(List!$E$2:$CD$173,MATCH('Selection Pane Data'!$B119,List!$E$2:$E$173,0),MATCH('Selection Pane Data'!AD$3,List!$E$2:$CD$2,0)),"")</f>
        <v/>
      </c>
      <c r="AE119" s="13" t="str">
        <f>IF(AE$4="Yes",INDEX(List!$E$2:$CD$173,MATCH('Selection Pane Data'!$B119,List!$E$2:$E$173,0),MATCH('Selection Pane Data'!AE$3,List!$E$2:$CD$2,0)),"")</f>
        <v/>
      </c>
      <c r="AF119" s="13" t="str">
        <f>IF(AF$4="Yes",INDEX(List!$E$2:$CD$173,MATCH('Selection Pane Data'!$B119,List!$E$2:$E$173,0),MATCH('Selection Pane Data'!AF$3,List!$E$2:$CD$2,0)),"")</f>
        <v/>
      </c>
      <c r="AG119" s="13" t="str">
        <f>IF(AG$4="Yes",INDEX(List!$E$2:$CD$173,MATCH('Selection Pane Data'!$B119,List!$E$2:$E$173,0),MATCH('Selection Pane Data'!AG$3,List!$E$2:$CD$2,0)),"")</f>
        <v/>
      </c>
      <c r="AH119" s="13" t="str">
        <f>IF(AH$4="Yes",INDEX(List!$E$2:$CD$173,MATCH('Selection Pane Data'!$B119,List!$E$2:$E$173,0),MATCH('Selection Pane Data'!AH$3,List!$E$2:$CD$2,0)),"")</f>
        <v/>
      </c>
      <c r="AI119" s="13" t="str">
        <f>IF(AI$4="Yes",INDEX(List!$E$2:$CD$173,MATCH('Selection Pane Data'!$B119,List!$E$2:$E$173,0),MATCH('Selection Pane Data'!AI$3,List!$E$2:$CD$2,0)),"")</f>
        <v/>
      </c>
      <c r="AJ119" s="13" t="str">
        <f>IF(AJ$4="Yes",INDEX(List!$E$2:$CD$173,MATCH('Selection Pane Data'!$B119,List!$E$2:$E$173,0),MATCH('Selection Pane Data'!AJ$3,List!$E$2:$CD$2,0)),"")</f>
        <v/>
      </c>
      <c r="AK119" s="13" t="str">
        <f>IF(AK$4="Yes",INDEX(List!$E$2:$CD$173,MATCH('Selection Pane Data'!$B119,List!$E$2:$E$173,0),MATCH('Selection Pane Data'!AK$3,List!$E$2:$CD$2,0)),"")</f>
        <v/>
      </c>
      <c r="AL119" s="13" t="str">
        <f>IF(AL$4="Yes",INDEX(List!$E$2:$CD$173,MATCH('Selection Pane Data'!$B119,List!$E$2:$E$173,0),MATCH('Selection Pane Data'!AL$3,List!$E$2:$CD$2,0)),"")</f>
        <v/>
      </c>
      <c r="AM119" s="13" t="str">
        <f>IF(AM$4="Yes",INDEX(List!$E$2:$CD$173,MATCH('Selection Pane Data'!$B119,List!$E$2:$E$173,0),MATCH('Selection Pane Data'!AM$3,List!$E$2:$CD$2,0)),"")</f>
        <v/>
      </c>
      <c r="AN119" s="13" t="str">
        <f>IF(AN$4="Yes",INDEX(List!$E$2:$CD$173,MATCH('Selection Pane Data'!$B119,List!$E$2:$E$173,0),MATCH('Selection Pane Data'!AN$3,List!$E$2:$CD$2,0)),"")</f>
        <v/>
      </c>
      <c r="AO119" s="13" t="str">
        <f>IF(AO$4="Yes",INDEX(List!$E$2:$CD$173,MATCH('Selection Pane Data'!$B119,List!$E$2:$E$173,0),MATCH('Selection Pane Data'!AO$3,List!$E$2:$CD$2,0)),"")</f>
        <v/>
      </c>
      <c r="AP119" s="13" t="str">
        <f>IF(AP$4="Yes",INDEX(List!$E$2:$CD$173,MATCH('Selection Pane Data'!$B119,List!$E$2:$E$173,0),MATCH('Selection Pane Data'!AP$3,List!$E$2:$CD$2,0)),"")</f>
        <v/>
      </c>
      <c r="AQ119" s="13" t="str">
        <f>IF(AQ$4="Yes",INDEX(List!$E$2:$CD$173,MATCH('Selection Pane Data'!$B119,List!$E$2:$E$173,0),MATCH('Selection Pane Data'!AQ$3,List!$E$2:$CD$2,0)),"")</f>
        <v/>
      </c>
      <c r="AR119" s="13" t="str">
        <f>IF(AR$4="Yes",INDEX(List!$E$2:$CD$173,MATCH('Selection Pane Data'!$B119,List!$E$2:$E$173,0),MATCH('Selection Pane Data'!AR$3,List!$E$2:$CD$2,0)),"")</f>
        <v/>
      </c>
      <c r="AS119" s="13" t="str">
        <f>IF(AS$4="Yes",INDEX(List!$E$2:$CD$173,MATCH('Selection Pane Data'!$B119,List!$E$2:$E$173,0),MATCH('Selection Pane Data'!AS$3,List!$E$2:$CD$2,0)),"")</f>
        <v/>
      </c>
      <c r="AT119" s="13" t="str">
        <f>IF(AT$4="Yes",INDEX(List!$E$2:$CD$173,MATCH('Selection Pane Data'!$B119,List!$E$2:$E$173,0),MATCH('Selection Pane Data'!AT$3,List!$E$2:$CD$2,0)),"")</f>
        <v/>
      </c>
      <c r="AU119" s="13" t="str">
        <f>IF(AU$4="Yes",INDEX(List!$E$2:$CD$173,MATCH('Selection Pane Data'!$B119,List!$E$2:$E$173,0),MATCH('Selection Pane Data'!AU$3,List!$E$2:$CD$2,0)),"")</f>
        <v/>
      </c>
      <c r="AV119" s="13" t="str">
        <f>IF(AV$4="Yes",INDEX(List!$E$2:$CD$173,MATCH('Selection Pane Data'!$B119,List!$E$2:$E$173,0),MATCH('Selection Pane Data'!AV$3,List!$E$2:$CD$2,0)),"")</f>
        <v/>
      </c>
      <c r="AW119" s="13" t="str">
        <f>IF(AW$4="Yes",INDEX(List!$E$2:$CD$173,MATCH('Selection Pane Data'!$B119,List!$E$2:$E$173,0),MATCH('Selection Pane Data'!AW$3,List!$E$2:$CD$2,0)),"")</f>
        <v/>
      </c>
      <c r="AX119" s="13" t="str">
        <f>IF(AX$4="Yes",INDEX(List!$E$2:$CD$173,MATCH('Selection Pane Data'!$B119,List!$E$2:$E$173,0),MATCH('Selection Pane Data'!AX$3,List!$E$2:$CD$2,0)),"")</f>
        <v/>
      </c>
      <c r="AY119" s="13" t="str">
        <f>IF(AY$4="Yes",INDEX(List!$E$2:$CD$173,MATCH('Selection Pane Data'!$B119,List!$E$2:$E$173,0),MATCH('Selection Pane Data'!AY$3,List!$E$2:$CD$2,0)),"")</f>
        <v/>
      </c>
      <c r="AZ119" s="13" t="str">
        <f>IF(AZ$4="Yes",INDEX(List!$E$2:$CD$173,MATCH('Selection Pane Data'!$B119,List!$E$2:$E$173,0),MATCH('Selection Pane Data'!AZ$3,List!$E$2:$CD$2,0)),"")</f>
        <v/>
      </c>
      <c r="BA119" s="13" t="str">
        <f>IF(BA$4="Yes",INDEX(List!$E$2:$CD$173,MATCH('Selection Pane Data'!$B119,List!$E$2:$E$173,0),MATCH('Selection Pane Data'!BA$3,List!$E$2:$CD$2,0)),"")</f>
        <v/>
      </c>
      <c r="BB119" s="13" t="str">
        <f>IF(BB$4="Yes",INDEX(List!$E$2:$CD$173,MATCH('Selection Pane Data'!$B119,List!$E$2:$E$173,0),MATCH('Selection Pane Data'!BB$3,List!$E$2:$CD$2,0)),"")</f>
        <v/>
      </c>
      <c r="BC119" s="13" t="str">
        <f>IF(BC$4="Yes",INDEX(List!$E$2:$CD$173,MATCH('Selection Pane Data'!$B119,List!$E$2:$E$173,0),MATCH('Selection Pane Data'!BC$3,List!$E$2:$CD$2,0)),"")</f>
        <v/>
      </c>
      <c r="BD119" s="13" t="str">
        <f>IF(BD$4="Yes",INDEX(List!$E$2:$CD$173,MATCH('Selection Pane Data'!$B119,List!$E$2:$E$173,0),MATCH('Selection Pane Data'!BD$3,List!$E$2:$CD$2,0)),"")</f>
        <v/>
      </c>
      <c r="BE119" s="13" t="str">
        <f>IF(BE$4="Yes",INDEX(List!$E$2:$CD$173,MATCH('Selection Pane Data'!$B119,List!$E$2:$E$173,0),MATCH('Selection Pane Data'!BE$3,List!$E$2:$CD$2,0)),"")</f>
        <v/>
      </c>
      <c r="BF119" s="13" t="str">
        <f>IF(BF$4="Yes",INDEX(List!$E$2:$CD$173,MATCH('Selection Pane Data'!$B119,List!$E$2:$E$173,0),MATCH('Selection Pane Data'!BF$3,List!$E$2:$CD$2,0)),"")</f>
        <v/>
      </c>
      <c r="BG119" s="13" t="str">
        <f>IF(BG$4="Yes",INDEX(List!$E$2:$CD$173,MATCH('Selection Pane Data'!$B119,List!$E$2:$E$173,0),MATCH('Selection Pane Data'!BG$3,List!$E$2:$CD$2,0)),"")</f>
        <v/>
      </c>
      <c r="BH119" s="13" t="str">
        <f>IF(BH$4="Yes",INDEX(List!$E$2:$CD$173,MATCH('Selection Pane Data'!$B119,List!$E$2:$E$173,0),MATCH('Selection Pane Data'!BH$3,List!$E$2:$CD$2,0)),"")</f>
        <v/>
      </c>
      <c r="BI119" s="13" t="str">
        <f>IF(BI$4="Yes",INDEX(List!$E$2:$CD$173,MATCH('Selection Pane Data'!$B119,List!$E$2:$E$173,0),MATCH('Selection Pane Data'!BI$3,List!$E$2:$CD$2,0)),"")</f>
        <v/>
      </c>
      <c r="BJ119" s="13" t="str">
        <f>IF(BJ$4="Yes",INDEX(List!$E$2:$CD$173,MATCH('Selection Pane Data'!$B119,List!$E$2:$E$173,0),MATCH('Selection Pane Data'!BJ$3,List!$E$2:$CD$2,0)),"")</f>
        <v/>
      </c>
      <c r="BK119" s="13" t="str">
        <f>IF(BK$4="Yes",INDEX(List!$E$2:$CD$173,MATCH('Selection Pane Data'!$B119,List!$E$2:$E$173,0),MATCH('Selection Pane Data'!BK$3,List!$E$2:$CD$2,0)),"")</f>
        <v/>
      </c>
      <c r="BL119" s="13" t="str">
        <f>IF(BL$4="Yes",INDEX(List!$E$2:$CD$173,MATCH('Selection Pane Data'!$B119,List!$E$2:$E$173,0),MATCH('Selection Pane Data'!BL$3,List!$E$2:$CD$2,0)),"")</f>
        <v/>
      </c>
      <c r="BM119" s="13" t="str">
        <f>IF(BM$4="Yes",INDEX(List!$E$2:$CD$173,MATCH('Selection Pane Data'!$B119,List!$E$2:$E$173,0),MATCH('Selection Pane Data'!BM$3,List!$E$2:$CD$2,0)),"")</f>
        <v/>
      </c>
      <c r="BN119" s="13" t="str">
        <f>IF(BN$4="Yes",INDEX(List!$E$2:$CD$173,MATCH('Selection Pane Data'!$B119,List!$E$2:$E$173,0),MATCH('Selection Pane Data'!BN$3,List!$E$2:$CD$2,0)),"")</f>
        <v/>
      </c>
      <c r="BO119" s="13" t="str">
        <f>IF(BO$4="Yes",INDEX(List!$E$2:$CD$173,MATCH('Selection Pane Data'!$B119,List!$E$2:$E$173,0),MATCH('Selection Pane Data'!BO$3,List!$E$2:$CD$2,0)),"")</f>
        <v/>
      </c>
      <c r="BP119" s="13" t="str">
        <f>IF(BP$4="Yes",INDEX(List!$E$2:$CD$173,MATCH('Selection Pane Data'!$B119,List!$E$2:$E$173,0),MATCH('Selection Pane Data'!BP$3,List!$E$2:$CD$2,0)),"")</f>
        <v/>
      </c>
      <c r="BQ119" s="13" t="str">
        <f>IF(BQ$4="Yes",INDEX(List!$E$2:$CD$173,MATCH('Selection Pane Data'!$B119,List!$E$2:$E$173,0),MATCH('Selection Pane Data'!BQ$3,List!$E$2:$CD$2,0)),"")</f>
        <v/>
      </c>
      <c r="BR119" s="13" t="str">
        <f>IF(BR$4="Yes",INDEX(List!$E$2:$CD$173,MATCH('Selection Pane Data'!$B119,List!$E$2:$E$173,0),MATCH('Selection Pane Data'!BR$3,List!$E$2:$CD$2,0)),"")</f>
        <v/>
      </c>
      <c r="BS119" s="13" t="str">
        <f>IF(BS$4="Yes",INDEX(List!$E$2:$CD$173,MATCH('Selection Pane Data'!$B119,List!$E$2:$E$173,0),MATCH('Selection Pane Data'!BS$3,List!$E$2:$CD$2,0)),"")</f>
        <v/>
      </c>
      <c r="BT119" s="13" t="str">
        <f>IF(BT$4="Yes",INDEX(List!$E$2:$CD$173,MATCH('Selection Pane Data'!$B119,List!$E$2:$E$173,0),MATCH('Selection Pane Data'!BT$3,List!$E$2:$CD$2,0)),"")</f>
        <v/>
      </c>
      <c r="BU119" s="13" t="str">
        <f>IF(BU$4="Yes",INDEX(List!$E$2:$CD$173,MATCH('Selection Pane Data'!$B119,List!$E$2:$E$173,0),MATCH('Selection Pane Data'!BU$3,List!$E$2:$CD$2,0)),"")</f>
        <v/>
      </c>
      <c r="BV119" s="13" t="str">
        <f>IF(BV$4="Yes",INDEX(List!$E$2:$CD$173,MATCH('Selection Pane Data'!$B119,List!$E$2:$E$173,0),MATCH('Selection Pane Data'!BV$3,List!$E$2:$CD$2,0)),"")</f>
        <v/>
      </c>
      <c r="BW119" s="13" t="str">
        <f>IF(BW$4="Yes",INDEX(List!$E$2:$CD$173,MATCH('Selection Pane Data'!$B119,List!$E$2:$E$173,0),MATCH('Selection Pane Data'!BW$3,List!$E$2:$CD$2,0)),"")</f>
        <v/>
      </c>
      <c r="BX119" s="13" t="str">
        <f>IF(BX$4="Yes",INDEX(List!$E$2:$CD$173,MATCH('Selection Pane Data'!$B119,List!$E$2:$E$173,0),MATCH('Selection Pane Data'!BX$3,List!$E$2:$CD$2,0)),"")</f>
        <v/>
      </c>
      <c r="BY119" s="13" t="str">
        <f>IF(BY$4="Yes",INDEX(List!$E$2:$CD$173,MATCH('Selection Pane Data'!$B119,List!$E$2:$E$173,0),MATCH('Selection Pane Data'!BY$3,List!$E$2:$CD$2,0)),"")</f>
        <v/>
      </c>
      <c r="BZ119" s="13" t="str">
        <f>IF(BZ$4="Yes",INDEX(List!$E$2:$CD$173,MATCH('Selection Pane Data'!$B119,List!$E$2:$E$173,0),MATCH('Selection Pane Data'!BZ$3,List!$E$2:$CD$2,0)),"")</f>
        <v/>
      </c>
      <c r="CA119" s="13" t="str">
        <f>IF(CA$4="Yes",INDEX(List!$E$2:$CD$173,MATCH('Selection Pane Data'!$B119,List!$E$2:$E$173,0),MATCH('Selection Pane Data'!CA$3,List!$E$2:$CD$2,0)),"")</f>
        <v/>
      </c>
      <c r="CB119" s="13" t="str">
        <f>IF(CB$4="Yes",INDEX(List!$E$2:$CD$173,MATCH('Selection Pane Data'!$B119,List!$E$2:$E$173,0),MATCH('Selection Pane Data'!CB$3,List!$E$2:$CD$2,0)),"")</f>
        <v/>
      </c>
      <c r="CC119" s="13" t="str">
        <f>IF(CC$4="Yes",INDEX(List!$E$2:$CD$173,MATCH('Selection Pane Data'!$B119,List!$E$2:$E$173,0),MATCH('Selection Pane Data'!CC$3,List!$E$2:$CD$2,0)),"")</f>
        <v/>
      </c>
      <c r="CD119" s="13" t="str">
        <f>IF(CD$4="Yes",INDEX(List!$E$2:$CD$173,MATCH('Selection Pane Data'!$B119,List!$E$2:$E$173,0),MATCH('Selection Pane Data'!CD$3,List!$E$2:$CD$2,0)),"")</f>
        <v/>
      </c>
      <c r="CE119" s="13" t="str">
        <f>IF(CE$4="Yes",INDEX(List!$E$2:$CD$173,MATCH('Selection Pane Data'!$B119,List!$E$2:$E$173,0),MATCH('Selection Pane Data'!CE$3,List!$E$2:$CD$2,0)),"")</f>
        <v/>
      </c>
    </row>
    <row r="120" spans="2:83" x14ac:dyDescent="0.35">
      <c r="B120" s="21" t="s">
        <v>407</v>
      </c>
      <c r="C120" s="126" t="str">
        <f>VLOOKUP(B120,List!$E$2:$G$173,2,FALSE)</f>
        <v>N/A</v>
      </c>
      <c r="D120" s="31" t="str">
        <f>List!G118</f>
        <v>Not Applicable</v>
      </c>
      <c r="E120" s="31" t="str">
        <f>IF(Placemat!$F$4="All Practices","All Practices",IF(VLOOKUP(B120,Table7[#All],6,FALSE)="No Mapping","New CMMC Practices","Practices with NIST 800-171 Mappings"))</f>
        <v>Practices with NIST 800-171 Mappings</v>
      </c>
      <c r="F120" t="str">
        <f>INDEX('CMMC Levels'!$A$1:$F$172,MATCH('Selection Pane Data'!$C120,'CMMC Levels'!$A$1:$A$172,0),MATCH(Placemat!$F$4,'CMMC Levels'!$A$1:$F$1,0))</f>
        <v>N/A</v>
      </c>
      <c r="G120" s="77" t="str">
        <f>IF((COUNTIF(List!H118:CE118,"P")+COUNTIF(List!H118:CE118,"S"))=0,"N",IF(COUNTIF(H120:CE120,"P"),"P",IF(COUNTIF(H120:CE120,"S"),"S","U")))</f>
        <v>N</v>
      </c>
      <c r="H120" s="13" t="str">
        <f>IF(H$4="Yes",INDEX(List!$E$2:$CD$173,MATCH('Selection Pane Data'!$B120,List!$E$2:$E$173,0),MATCH('Selection Pane Data'!H$3,List!$E$2:$CD$2,0)),"")</f>
        <v/>
      </c>
      <c r="I120" s="13" t="str">
        <f>IF(I$4="Yes",INDEX(List!$E$2:$CD$173,MATCH('Selection Pane Data'!$B120,List!$E$2:$E$173,0),MATCH('Selection Pane Data'!I$3,List!$E$2:$CD$2,0)),"")</f>
        <v/>
      </c>
      <c r="J120" s="13" t="e">
        <f>IF(J$4="Yes",INDEX(List!$E$2:$CD$173,MATCH('Selection Pane Data'!$B120,List!$E$2:$E$173,0),MATCH('Selection Pane Data'!J$3,List!$E$2:$CD$2,0)),"")</f>
        <v>#N/A</v>
      </c>
      <c r="K120" s="13" t="str">
        <f>IF(K$4="Yes",INDEX(List!$E$2:$CD$173,MATCH('Selection Pane Data'!$B120,List!$E$2:$E$173,0),MATCH('Selection Pane Data'!K$3,List!$E$2:$CD$2,0)),"")</f>
        <v/>
      </c>
      <c r="L120" s="13" t="str">
        <f>IF(L$4="Yes",INDEX(List!$E$2:$CD$173,MATCH('Selection Pane Data'!$B120,List!$E$2:$E$173,0),MATCH('Selection Pane Data'!L$3,List!$E$2:$CD$2,0)),"")</f>
        <v/>
      </c>
      <c r="M120" s="13" t="str">
        <f>IF(M$4="Yes",INDEX(List!$E$2:$CD$173,MATCH('Selection Pane Data'!$B120,List!$E$2:$E$173,0),MATCH('Selection Pane Data'!M$3,List!$E$2:$CD$2,0)),"")</f>
        <v/>
      </c>
      <c r="N120" s="13" t="str">
        <f>IF(N$4="Yes",INDEX(List!$E$2:$CD$173,MATCH('Selection Pane Data'!$B120,List!$E$2:$E$173,0),MATCH('Selection Pane Data'!N$3,List!$E$2:$CD$2,0)),"")</f>
        <v/>
      </c>
      <c r="O120" s="13" t="str">
        <f>IF(O$4="Yes",INDEX(List!$E$2:$CD$173,MATCH('Selection Pane Data'!$B120,List!$E$2:$E$173,0),MATCH('Selection Pane Data'!O$3,List!$E$2:$CD$2,0)),"")</f>
        <v/>
      </c>
      <c r="P120" s="13" t="str">
        <f>IF(P$4="Yes",INDEX(List!$E$2:$CD$173,MATCH('Selection Pane Data'!$B120,List!$E$2:$E$173,0),MATCH('Selection Pane Data'!P$3,List!$E$2:$CD$2,0)),"")</f>
        <v/>
      </c>
      <c r="Q120" s="13" t="str">
        <f>IF(Q$4="Yes",INDEX(List!$E$2:$CD$173,MATCH('Selection Pane Data'!$B120,List!$E$2:$E$173,0),MATCH('Selection Pane Data'!Q$3,List!$E$2:$CD$2,0)),"")</f>
        <v/>
      </c>
      <c r="R120" s="13" t="str">
        <f>IF(R$4="Yes",INDEX(List!$E$2:$CD$173,MATCH('Selection Pane Data'!$B120,List!$E$2:$E$173,0),MATCH('Selection Pane Data'!R$3,List!$E$2:$CD$2,0)),"")</f>
        <v/>
      </c>
      <c r="S120" s="13" t="str">
        <f>IF(S$4="Yes",INDEX(List!$E$2:$CD$173,MATCH('Selection Pane Data'!$B120,List!$E$2:$E$173,0),MATCH('Selection Pane Data'!S$3,List!$E$2:$CD$2,0)),"")</f>
        <v/>
      </c>
      <c r="T120" s="13" t="str">
        <f>IF(T$4="Yes",INDEX(List!$E$2:$CD$173,MATCH('Selection Pane Data'!$B120,List!$E$2:$E$173,0),MATCH('Selection Pane Data'!T$3,List!$E$2:$CD$2,0)),"")</f>
        <v/>
      </c>
      <c r="U120" s="13" t="str">
        <f>IF(U$4="Yes",INDEX(List!$E$2:$CD$173,MATCH('Selection Pane Data'!$B120,List!$E$2:$E$173,0),MATCH('Selection Pane Data'!U$3,List!$E$2:$CD$2,0)),"")</f>
        <v/>
      </c>
      <c r="V120" s="13" t="str">
        <f>IF(V$4="Yes",INDEX(List!$E$2:$CD$173,MATCH('Selection Pane Data'!$B120,List!$E$2:$E$173,0),MATCH('Selection Pane Data'!V$3,List!$E$2:$CD$2,0)),"")</f>
        <v/>
      </c>
      <c r="W120" s="13" t="str">
        <f>IF(W$4="Yes",INDEX(List!$E$2:$CD$173,MATCH('Selection Pane Data'!$B120,List!$E$2:$E$173,0),MATCH('Selection Pane Data'!W$3,List!$E$2:$CD$2,0)),"")</f>
        <v/>
      </c>
      <c r="X120" s="13" t="str">
        <f>IF(X$4="Yes",INDEX(List!$E$2:$CD$173,MATCH('Selection Pane Data'!$B120,List!$E$2:$E$173,0),MATCH('Selection Pane Data'!X$3,List!$E$2:$CD$2,0)),"")</f>
        <v/>
      </c>
      <c r="Y120" s="13" t="str">
        <f>IF(Y$4="Yes",INDEX(List!$E$2:$CD$173,MATCH('Selection Pane Data'!$B120,List!$E$2:$E$173,0),MATCH('Selection Pane Data'!Y$3,List!$E$2:$CD$2,0)),"")</f>
        <v/>
      </c>
      <c r="Z120" s="13" t="str">
        <f>IF(Z$4="Yes",INDEX(List!$E$2:$CD$173,MATCH('Selection Pane Data'!$B120,List!$E$2:$E$173,0),MATCH('Selection Pane Data'!Z$3,List!$E$2:$CD$2,0)),"")</f>
        <v/>
      </c>
      <c r="AA120" s="13" t="e">
        <f>IF(AA$4="Yes",INDEX(List!$E$2:$CD$173,MATCH('Selection Pane Data'!$B120,List!$E$2:$E$173,0),MATCH('Selection Pane Data'!AA$3,List!$E$2:$CD$2,0)),"")</f>
        <v>#N/A</v>
      </c>
      <c r="AB120" s="13" t="str">
        <f>IF(AB$4="Yes",INDEX(List!$E$2:$CD$173,MATCH('Selection Pane Data'!$B120,List!$E$2:$E$173,0),MATCH('Selection Pane Data'!AB$3,List!$E$2:$CD$2,0)),"")</f>
        <v/>
      </c>
      <c r="AC120" s="13" t="str">
        <f>IF(AC$4="Yes",INDEX(List!$E$2:$CD$173,MATCH('Selection Pane Data'!$B120,List!$E$2:$E$173,0),MATCH('Selection Pane Data'!AC$3,List!$E$2:$CD$2,0)),"")</f>
        <v/>
      </c>
      <c r="AD120" s="13" t="str">
        <f>IF(AD$4="Yes",INDEX(List!$E$2:$CD$173,MATCH('Selection Pane Data'!$B120,List!$E$2:$E$173,0),MATCH('Selection Pane Data'!AD$3,List!$E$2:$CD$2,0)),"")</f>
        <v/>
      </c>
      <c r="AE120" s="13" t="str">
        <f>IF(AE$4="Yes",INDEX(List!$E$2:$CD$173,MATCH('Selection Pane Data'!$B120,List!$E$2:$E$173,0),MATCH('Selection Pane Data'!AE$3,List!$E$2:$CD$2,0)),"")</f>
        <v/>
      </c>
      <c r="AF120" s="13" t="str">
        <f>IF(AF$4="Yes",INDEX(List!$E$2:$CD$173,MATCH('Selection Pane Data'!$B120,List!$E$2:$E$173,0),MATCH('Selection Pane Data'!AF$3,List!$E$2:$CD$2,0)),"")</f>
        <v/>
      </c>
      <c r="AG120" s="13" t="str">
        <f>IF(AG$4="Yes",INDEX(List!$E$2:$CD$173,MATCH('Selection Pane Data'!$B120,List!$E$2:$E$173,0),MATCH('Selection Pane Data'!AG$3,List!$E$2:$CD$2,0)),"")</f>
        <v/>
      </c>
      <c r="AH120" s="13" t="str">
        <f>IF(AH$4="Yes",INDEX(List!$E$2:$CD$173,MATCH('Selection Pane Data'!$B120,List!$E$2:$E$173,0),MATCH('Selection Pane Data'!AH$3,List!$E$2:$CD$2,0)),"")</f>
        <v/>
      </c>
      <c r="AI120" s="13" t="str">
        <f>IF(AI$4="Yes",INDEX(List!$E$2:$CD$173,MATCH('Selection Pane Data'!$B120,List!$E$2:$E$173,0),MATCH('Selection Pane Data'!AI$3,List!$E$2:$CD$2,0)),"")</f>
        <v/>
      </c>
      <c r="AJ120" s="13" t="str">
        <f>IF(AJ$4="Yes",INDEX(List!$E$2:$CD$173,MATCH('Selection Pane Data'!$B120,List!$E$2:$E$173,0),MATCH('Selection Pane Data'!AJ$3,List!$E$2:$CD$2,0)),"")</f>
        <v/>
      </c>
      <c r="AK120" s="13" t="str">
        <f>IF(AK$4="Yes",INDEX(List!$E$2:$CD$173,MATCH('Selection Pane Data'!$B120,List!$E$2:$E$173,0),MATCH('Selection Pane Data'!AK$3,List!$E$2:$CD$2,0)),"")</f>
        <v/>
      </c>
      <c r="AL120" s="13" t="str">
        <f>IF(AL$4="Yes",INDEX(List!$E$2:$CD$173,MATCH('Selection Pane Data'!$B120,List!$E$2:$E$173,0),MATCH('Selection Pane Data'!AL$3,List!$E$2:$CD$2,0)),"")</f>
        <v/>
      </c>
      <c r="AM120" s="13" t="str">
        <f>IF(AM$4="Yes",INDEX(List!$E$2:$CD$173,MATCH('Selection Pane Data'!$B120,List!$E$2:$E$173,0),MATCH('Selection Pane Data'!AM$3,List!$E$2:$CD$2,0)),"")</f>
        <v/>
      </c>
      <c r="AN120" s="13" t="str">
        <f>IF(AN$4="Yes",INDEX(List!$E$2:$CD$173,MATCH('Selection Pane Data'!$B120,List!$E$2:$E$173,0),MATCH('Selection Pane Data'!AN$3,List!$E$2:$CD$2,0)),"")</f>
        <v/>
      </c>
      <c r="AO120" s="13" t="str">
        <f>IF(AO$4="Yes",INDEX(List!$E$2:$CD$173,MATCH('Selection Pane Data'!$B120,List!$E$2:$E$173,0),MATCH('Selection Pane Data'!AO$3,List!$E$2:$CD$2,0)),"")</f>
        <v/>
      </c>
      <c r="AP120" s="13" t="str">
        <f>IF(AP$4="Yes",INDEX(List!$E$2:$CD$173,MATCH('Selection Pane Data'!$B120,List!$E$2:$E$173,0),MATCH('Selection Pane Data'!AP$3,List!$E$2:$CD$2,0)),"")</f>
        <v/>
      </c>
      <c r="AQ120" s="13" t="str">
        <f>IF(AQ$4="Yes",INDEX(List!$E$2:$CD$173,MATCH('Selection Pane Data'!$B120,List!$E$2:$E$173,0),MATCH('Selection Pane Data'!AQ$3,List!$E$2:$CD$2,0)),"")</f>
        <v/>
      </c>
      <c r="AR120" s="13" t="str">
        <f>IF(AR$4="Yes",INDEX(List!$E$2:$CD$173,MATCH('Selection Pane Data'!$B120,List!$E$2:$E$173,0),MATCH('Selection Pane Data'!AR$3,List!$E$2:$CD$2,0)),"")</f>
        <v/>
      </c>
      <c r="AS120" s="13" t="str">
        <f>IF(AS$4="Yes",INDEX(List!$E$2:$CD$173,MATCH('Selection Pane Data'!$B120,List!$E$2:$E$173,0),MATCH('Selection Pane Data'!AS$3,List!$E$2:$CD$2,0)),"")</f>
        <v/>
      </c>
      <c r="AT120" s="13" t="str">
        <f>IF(AT$4="Yes",INDEX(List!$E$2:$CD$173,MATCH('Selection Pane Data'!$B120,List!$E$2:$E$173,0),MATCH('Selection Pane Data'!AT$3,List!$E$2:$CD$2,0)),"")</f>
        <v/>
      </c>
      <c r="AU120" s="13" t="str">
        <f>IF(AU$4="Yes",INDEX(List!$E$2:$CD$173,MATCH('Selection Pane Data'!$B120,List!$E$2:$E$173,0),MATCH('Selection Pane Data'!AU$3,List!$E$2:$CD$2,0)),"")</f>
        <v/>
      </c>
      <c r="AV120" s="13" t="str">
        <f>IF(AV$4="Yes",INDEX(List!$E$2:$CD$173,MATCH('Selection Pane Data'!$B120,List!$E$2:$E$173,0),MATCH('Selection Pane Data'!AV$3,List!$E$2:$CD$2,0)),"")</f>
        <v/>
      </c>
      <c r="AW120" s="13" t="str">
        <f>IF(AW$4="Yes",INDEX(List!$E$2:$CD$173,MATCH('Selection Pane Data'!$B120,List!$E$2:$E$173,0),MATCH('Selection Pane Data'!AW$3,List!$E$2:$CD$2,0)),"")</f>
        <v/>
      </c>
      <c r="AX120" s="13" t="str">
        <f>IF(AX$4="Yes",INDEX(List!$E$2:$CD$173,MATCH('Selection Pane Data'!$B120,List!$E$2:$E$173,0),MATCH('Selection Pane Data'!AX$3,List!$E$2:$CD$2,0)),"")</f>
        <v/>
      </c>
      <c r="AY120" s="13" t="str">
        <f>IF(AY$4="Yes",INDEX(List!$E$2:$CD$173,MATCH('Selection Pane Data'!$B120,List!$E$2:$E$173,0),MATCH('Selection Pane Data'!AY$3,List!$E$2:$CD$2,0)),"")</f>
        <v/>
      </c>
      <c r="AZ120" s="13" t="str">
        <f>IF(AZ$4="Yes",INDEX(List!$E$2:$CD$173,MATCH('Selection Pane Data'!$B120,List!$E$2:$E$173,0),MATCH('Selection Pane Data'!AZ$3,List!$E$2:$CD$2,0)),"")</f>
        <v/>
      </c>
      <c r="BA120" s="13" t="str">
        <f>IF(BA$4="Yes",INDEX(List!$E$2:$CD$173,MATCH('Selection Pane Data'!$B120,List!$E$2:$E$173,0),MATCH('Selection Pane Data'!BA$3,List!$E$2:$CD$2,0)),"")</f>
        <v/>
      </c>
      <c r="BB120" s="13" t="str">
        <f>IF(BB$4="Yes",INDEX(List!$E$2:$CD$173,MATCH('Selection Pane Data'!$B120,List!$E$2:$E$173,0),MATCH('Selection Pane Data'!BB$3,List!$E$2:$CD$2,0)),"")</f>
        <v/>
      </c>
      <c r="BC120" s="13" t="str">
        <f>IF(BC$4="Yes",INDEX(List!$E$2:$CD$173,MATCH('Selection Pane Data'!$B120,List!$E$2:$E$173,0),MATCH('Selection Pane Data'!BC$3,List!$E$2:$CD$2,0)),"")</f>
        <v/>
      </c>
      <c r="BD120" s="13" t="str">
        <f>IF(BD$4="Yes",INDEX(List!$E$2:$CD$173,MATCH('Selection Pane Data'!$B120,List!$E$2:$E$173,0),MATCH('Selection Pane Data'!BD$3,List!$E$2:$CD$2,0)),"")</f>
        <v/>
      </c>
      <c r="BE120" s="13" t="str">
        <f>IF(BE$4="Yes",INDEX(List!$E$2:$CD$173,MATCH('Selection Pane Data'!$B120,List!$E$2:$E$173,0),MATCH('Selection Pane Data'!BE$3,List!$E$2:$CD$2,0)),"")</f>
        <v/>
      </c>
      <c r="BF120" s="13" t="str">
        <f>IF(BF$4="Yes",INDEX(List!$E$2:$CD$173,MATCH('Selection Pane Data'!$B120,List!$E$2:$E$173,0),MATCH('Selection Pane Data'!BF$3,List!$E$2:$CD$2,0)),"")</f>
        <v/>
      </c>
      <c r="BG120" s="13" t="str">
        <f>IF(BG$4="Yes",INDEX(List!$E$2:$CD$173,MATCH('Selection Pane Data'!$B120,List!$E$2:$E$173,0),MATCH('Selection Pane Data'!BG$3,List!$E$2:$CD$2,0)),"")</f>
        <v/>
      </c>
      <c r="BH120" s="13" t="str">
        <f>IF(BH$4="Yes",INDEX(List!$E$2:$CD$173,MATCH('Selection Pane Data'!$B120,List!$E$2:$E$173,0),MATCH('Selection Pane Data'!BH$3,List!$E$2:$CD$2,0)),"")</f>
        <v/>
      </c>
      <c r="BI120" s="13" t="str">
        <f>IF(BI$4="Yes",INDEX(List!$E$2:$CD$173,MATCH('Selection Pane Data'!$B120,List!$E$2:$E$173,0),MATCH('Selection Pane Data'!BI$3,List!$E$2:$CD$2,0)),"")</f>
        <v/>
      </c>
      <c r="BJ120" s="13" t="str">
        <f>IF(BJ$4="Yes",INDEX(List!$E$2:$CD$173,MATCH('Selection Pane Data'!$B120,List!$E$2:$E$173,0),MATCH('Selection Pane Data'!BJ$3,List!$E$2:$CD$2,0)),"")</f>
        <v/>
      </c>
      <c r="BK120" s="13" t="str">
        <f>IF(BK$4="Yes",INDEX(List!$E$2:$CD$173,MATCH('Selection Pane Data'!$B120,List!$E$2:$E$173,0),MATCH('Selection Pane Data'!BK$3,List!$E$2:$CD$2,0)),"")</f>
        <v/>
      </c>
      <c r="BL120" s="13" t="str">
        <f>IF(BL$4="Yes",INDEX(List!$E$2:$CD$173,MATCH('Selection Pane Data'!$B120,List!$E$2:$E$173,0),MATCH('Selection Pane Data'!BL$3,List!$E$2:$CD$2,0)),"")</f>
        <v/>
      </c>
      <c r="BM120" s="13" t="str">
        <f>IF(BM$4="Yes",INDEX(List!$E$2:$CD$173,MATCH('Selection Pane Data'!$B120,List!$E$2:$E$173,0),MATCH('Selection Pane Data'!BM$3,List!$E$2:$CD$2,0)),"")</f>
        <v/>
      </c>
      <c r="BN120" s="13" t="str">
        <f>IF(BN$4="Yes",INDEX(List!$E$2:$CD$173,MATCH('Selection Pane Data'!$B120,List!$E$2:$E$173,0),MATCH('Selection Pane Data'!BN$3,List!$E$2:$CD$2,0)),"")</f>
        <v/>
      </c>
      <c r="BO120" s="13" t="str">
        <f>IF(BO$4="Yes",INDEX(List!$E$2:$CD$173,MATCH('Selection Pane Data'!$B120,List!$E$2:$E$173,0),MATCH('Selection Pane Data'!BO$3,List!$E$2:$CD$2,0)),"")</f>
        <v/>
      </c>
      <c r="BP120" s="13" t="str">
        <f>IF(BP$4="Yes",INDEX(List!$E$2:$CD$173,MATCH('Selection Pane Data'!$B120,List!$E$2:$E$173,0),MATCH('Selection Pane Data'!BP$3,List!$E$2:$CD$2,0)),"")</f>
        <v/>
      </c>
      <c r="BQ120" s="13" t="str">
        <f>IF(BQ$4="Yes",INDEX(List!$E$2:$CD$173,MATCH('Selection Pane Data'!$B120,List!$E$2:$E$173,0),MATCH('Selection Pane Data'!BQ$3,List!$E$2:$CD$2,0)),"")</f>
        <v/>
      </c>
      <c r="BR120" s="13" t="str">
        <f>IF(BR$4="Yes",INDEX(List!$E$2:$CD$173,MATCH('Selection Pane Data'!$B120,List!$E$2:$E$173,0),MATCH('Selection Pane Data'!BR$3,List!$E$2:$CD$2,0)),"")</f>
        <v/>
      </c>
      <c r="BS120" s="13" t="str">
        <f>IF(BS$4="Yes",INDEX(List!$E$2:$CD$173,MATCH('Selection Pane Data'!$B120,List!$E$2:$E$173,0),MATCH('Selection Pane Data'!BS$3,List!$E$2:$CD$2,0)),"")</f>
        <v/>
      </c>
      <c r="BT120" s="13" t="str">
        <f>IF(BT$4="Yes",INDEX(List!$E$2:$CD$173,MATCH('Selection Pane Data'!$B120,List!$E$2:$E$173,0),MATCH('Selection Pane Data'!BT$3,List!$E$2:$CD$2,0)),"")</f>
        <v/>
      </c>
      <c r="BU120" s="13" t="str">
        <f>IF(BU$4="Yes",INDEX(List!$E$2:$CD$173,MATCH('Selection Pane Data'!$B120,List!$E$2:$E$173,0),MATCH('Selection Pane Data'!BU$3,List!$E$2:$CD$2,0)),"")</f>
        <v/>
      </c>
      <c r="BV120" s="13" t="str">
        <f>IF(BV$4="Yes",INDEX(List!$E$2:$CD$173,MATCH('Selection Pane Data'!$B120,List!$E$2:$E$173,0),MATCH('Selection Pane Data'!BV$3,List!$E$2:$CD$2,0)),"")</f>
        <v/>
      </c>
      <c r="BW120" s="13" t="str">
        <f>IF(BW$4="Yes",INDEX(List!$E$2:$CD$173,MATCH('Selection Pane Data'!$B120,List!$E$2:$E$173,0),MATCH('Selection Pane Data'!BW$3,List!$E$2:$CD$2,0)),"")</f>
        <v/>
      </c>
      <c r="BX120" s="13" t="str">
        <f>IF(BX$4="Yes",INDEX(List!$E$2:$CD$173,MATCH('Selection Pane Data'!$B120,List!$E$2:$E$173,0),MATCH('Selection Pane Data'!BX$3,List!$E$2:$CD$2,0)),"")</f>
        <v/>
      </c>
      <c r="BY120" s="13" t="str">
        <f>IF(BY$4="Yes",INDEX(List!$E$2:$CD$173,MATCH('Selection Pane Data'!$B120,List!$E$2:$E$173,0),MATCH('Selection Pane Data'!BY$3,List!$E$2:$CD$2,0)),"")</f>
        <v/>
      </c>
      <c r="BZ120" s="13" t="str">
        <f>IF(BZ$4="Yes",INDEX(List!$E$2:$CD$173,MATCH('Selection Pane Data'!$B120,List!$E$2:$E$173,0),MATCH('Selection Pane Data'!BZ$3,List!$E$2:$CD$2,0)),"")</f>
        <v/>
      </c>
      <c r="CA120" s="13" t="str">
        <f>IF(CA$4="Yes",INDEX(List!$E$2:$CD$173,MATCH('Selection Pane Data'!$B120,List!$E$2:$E$173,0),MATCH('Selection Pane Data'!CA$3,List!$E$2:$CD$2,0)),"")</f>
        <v/>
      </c>
      <c r="CB120" s="13" t="str">
        <f>IF(CB$4="Yes",INDEX(List!$E$2:$CD$173,MATCH('Selection Pane Data'!$B120,List!$E$2:$E$173,0),MATCH('Selection Pane Data'!CB$3,List!$E$2:$CD$2,0)),"")</f>
        <v/>
      </c>
      <c r="CC120" s="13" t="str">
        <f>IF(CC$4="Yes",INDEX(List!$E$2:$CD$173,MATCH('Selection Pane Data'!$B120,List!$E$2:$E$173,0),MATCH('Selection Pane Data'!CC$3,List!$E$2:$CD$2,0)),"")</f>
        <v/>
      </c>
      <c r="CD120" s="13" t="str">
        <f>IF(CD$4="Yes",INDEX(List!$E$2:$CD$173,MATCH('Selection Pane Data'!$B120,List!$E$2:$E$173,0),MATCH('Selection Pane Data'!CD$3,List!$E$2:$CD$2,0)),"")</f>
        <v/>
      </c>
      <c r="CE120" s="13" t="str">
        <f>IF(CE$4="Yes",INDEX(List!$E$2:$CD$173,MATCH('Selection Pane Data'!$B120,List!$E$2:$E$173,0),MATCH('Selection Pane Data'!CE$3,List!$E$2:$CD$2,0)),"")</f>
        <v/>
      </c>
    </row>
    <row r="121" spans="2:83" x14ac:dyDescent="0.35">
      <c r="B121" s="21" t="s">
        <v>408</v>
      </c>
      <c r="C121" s="126" t="str">
        <f>VLOOKUP(B121,List!$E$2:$G$173,2,FALSE)</f>
        <v>RA.L2-3.11.1</v>
      </c>
      <c r="D121" s="31" t="str">
        <f>List!G119</f>
        <v>Shared Coverage</v>
      </c>
      <c r="E121" s="31" t="str">
        <f>IF(Placemat!$F$4="All Practices","All Practices",IF(VLOOKUP(B121,Table7[#All],6,FALSE)="No Mapping","New CMMC Practices","Practices with NIST 800-171 Mappings"))</f>
        <v>Practices with NIST 800-171 Mappings</v>
      </c>
      <c r="F121" t="str">
        <f>INDEX('CMMC Levels'!$A$1:$F$172,MATCH('Selection Pane Data'!$C121,'CMMC Levels'!$A$1:$A$172,0),MATCH(Placemat!$F$4,'CMMC Levels'!$A$1:$F$1,0))</f>
        <v>X</v>
      </c>
      <c r="G121" s="77" t="str">
        <f>IF((COUNTIF(List!H119:CE119,"P")+COUNTIF(List!H119:CE119,"S"))=0,"N",IF(COUNTIF(H121:CE121,"P"),"P",IF(COUNTIF(H121:CE121,"S"),"S","U")))</f>
        <v>U</v>
      </c>
      <c r="H121" s="13" t="str">
        <f>IF(H$4="Yes",INDEX(List!$E$2:$CD$173,MATCH('Selection Pane Data'!$B121,List!$E$2:$E$173,0),MATCH('Selection Pane Data'!H$3,List!$E$2:$CD$2,0)),"")</f>
        <v/>
      </c>
      <c r="I121" s="13" t="str">
        <f>IF(I$4="Yes",INDEX(List!$E$2:$CD$173,MATCH('Selection Pane Data'!$B121,List!$E$2:$E$173,0),MATCH('Selection Pane Data'!I$3,List!$E$2:$CD$2,0)),"")</f>
        <v/>
      </c>
      <c r="J121" s="13" t="str">
        <f>IF(J$4="Yes",INDEX(List!$E$2:$CD$173,MATCH('Selection Pane Data'!$B121,List!$E$2:$E$173,0),MATCH('Selection Pane Data'!J$3,List!$E$2:$CD$2,0)),"")</f>
        <v>N</v>
      </c>
      <c r="K121" s="13" t="str">
        <f>IF(K$4="Yes",INDEX(List!$E$2:$CD$173,MATCH('Selection Pane Data'!$B121,List!$E$2:$E$173,0),MATCH('Selection Pane Data'!K$3,List!$E$2:$CD$2,0)),"")</f>
        <v/>
      </c>
      <c r="L121" s="13" t="str">
        <f>IF(L$4="Yes",INDEX(List!$E$2:$CD$173,MATCH('Selection Pane Data'!$B121,List!$E$2:$E$173,0),MATCH('Selection Pane Data'!L$3,List!$E$2:$CD$2,0)),"")</f>
        <v/>
      </c>
      <c r="M121" s="13" t="str">
        <f>IF(M$4="Yes",INDEX(List!$E$2:$CD$173,MATCH('Selection Pane Data'!$B121,List!$E$2:$E$173,0),MATCH('Selection Pane Data'!M$3,List!$E$2:$CD$2,0)),"")</f>
        <v/>
      </c>
      <c r="N121" s="13" t="str">
        <f>IF(N$4="Yes",INDEX(List!$E$2:$CD$173,MATCH('Selection Pane Data'!$B121,List!$E$2:$E$173,0),MATCH('Selection Pane Data'!N$3,List!$E$2:$CD$2,0)),"")</f>
        <v/>
      </c>
      <c r="O121" s="13" t="str">
        <f>IF(O$4="Yes",INDEX(List!$E$2:$CD$173,MATCH('Selection Pane Data'!$B121,List!$E$2:$E$173,0),MATCH('Selection Pane Data'!O$3,List!$E$2:$CD$2,0)),"")</f>
        <v/>
      </c>
      <c r="P121" s="13" t="str">
        <f>IF(P$4="Yes",INDEX(List!$E$2:$CD$173,MATCH('Selection Pane Data'!$B121,List!$E$2:$E$173,0),MATCH('Selection Pane Data'!P$3,List!$E$2:$CD$2,0)),"")</f>
        <v/>
      </c>
      <c r="Q121" s="13" t="str">
        <f>IF(Q$4="Yes",INDEX(List!$E$2:$CD$173,MATCH('Selection Pane Data'!$B121,List!$E$2:$E$173,0),MATCH('Selection Pane Data'!Q$3,List!$E$2:$CD$2,0)),"")</f>
        <v/>
      </c>
      <c r="R121" s="13" t="str">
        <f>IF(R$4="Yes",INDEX(List!$E$2:$CD$173,MATCH('Selection Pane Data'!$B121,List!$E$2:$E$173,0),MATCH('Selection Pane Data'!R$3,List!$E$2:$CD$2,0)),"")</f>
        <v/>
      </c>
      <c r="S121" s="13" t="str">
        <f>IF(S$4="Yes",INDEX(List!$E$2:$CD$173,MATCH('Selection Pane Data'!$B121,List!$E$2:$E$173,0),MATCH('Selection Pane Data'!S$3,List!$E$2:$CD$2,0)),"")</f>
        <v/>
      </c>
      <c r="T121" s="13" t="str">
        <f>IF(T$4="Yes",INDEX(List!$E$2:$CD$173,MATCH('Selection Pane Data'!$B121,List!$E$2:$E$173,0),MATCH('Selection Pane Data'!T$3,List!$E$2:$CD$2,0)),"")</f>
        <v/>
      </c>
      <c r="U121" s="13" t="str">
        <f>IF(U$4="Yes",INDEX(List!$E$2:$CD$173,MATCH('Selection Pane Data'!$B121,List!$E$2:$E$173,0),MATCH('Selection Pane Data'!U$3,List!$E$2:$CD$2,0)),"")</f>
        <v/>
      </c>
      <c r="V121" s="13" t="str">
        <f>IF(V$4="Yes",INDEX(List!$E$2:$CD$173,MATCH('Selection Pane Data'!$B121,List!$E$2:$E$173,0),MATCH('Selection Pane Data'!V$3,List!$E$2:$CD$2,0)),"")</f>
        <v/>
      </c>
      <c r="W121" s="13" t="str">
        <f>IF(W$4="Yes",INDEX(List!$E$2:$CD$173,MATCH('Selection Pane Data'!$B121,List!$E$2:$E$173,0),MATCH('Selection Pane Data'!W$3,List!$E$2:$CD$2,0)),"")</f>
        <v/>
      </c>
      <c r="X121" s="13" t="str">
        <f>IF(X$4="Yes",INDEX(List!$E$2:$CD$173,MATCH('Selection Pane Data'!$B121,List!$E$2:$E$173,0),MATCH('Selection Pane Data'!X$3,List!$E$2:$CD$2,0)),"")</f>
        <v/>
      </c>
      <c r="Y121" s="13" t="str">
        <f>IF(Y$4="Yes",INDEX(List!$E$2:$CD$173,MATCH('Selection Pane Data'!$B121,List!$E$2:$E$173,0),MATCH('Selection Pane Data'!Y$3,List!$E$2:$CD$2,0)),"")</f>
        <v/>
      </c>
      <c r="Z121" s="13" t="str">
        <f>IF(Z$4="Yes",INDEX(List!$E$2:$CD$173,MATCH('Selection Pane Data'!$B121,List!$E$2:$E$173,0),MATCH('Selection Pane Data'!Z$3,List!$E$2:$CD$2,0)),"")</f>
        <v/>
      </c>
      <c r="AA121" s="13" t="str">
        <f>IF(AA$4="Yes",INDEX(List!$E$2:$CD$173,MATCH('Selection Pane Data'!$B121,List!$E$2:$E$173,0),MATCH('Selection Pane Data'!AA$3,List!$E$2:$CD$2,0)),"")</f>
        <v>N</v>
      </c>
      <c r="AB121" s="13" t="str">
        <f>IF(AB$4="Yes",INDEX(List!$E$2:$CD$173,MATCH('Selection Pane Data'!$B121,List!$E$2:$E$173,0),MATCH('Selection Pane Data'!AB$3,List!$E$2:$CD$2,0)),"")</f>
        <v/>
      </c>
      <c r="AC121" s="13" t="str">
        <f>IF(AC$4="Yes",INDEX(List!$E$2:$CD$173,MATCH('Selection Pane Data'!$B121,List!$E$2:$E$173,0),MATCH('Selection Pane Data'!AC$3,List!$E$2:$CD$2,0)),"")</f>
        <v/>
      </c>
      <c r="AD121" s="13" t="str">
        <f>IF(AD$4="Yes",INDEX(List!$E$2:$CD$173,MATCH('Selection Pane Data'!$B121,List!$E$2:$E$173,0),MATCH('Selection Pane Data'!AD$3,List!$E$2:$CD$2,0)),"")</f>
        <v/>
      </c>
      <c r="AE121" s="13" t="str">
        <f>IF(AE$4="Yes",INDEX(List!$E$2:$CD$173,MATCH('Selection Pane Data'!$B121,List!$E$2:$E$173,0),MATCH('Selection Pane Data'!AE$3,List!$E$2:$CD$2,0)),"")</f>
        <v/>
      </c>
      <c r="AF121" s="13" t="str">
        <f>IF(AF$4="Yes",INDEX(List!$E$2:$CD$173,MATCH('Selection Pane Data'!$B121,List!$E$2:$E$173,0),MATCH('Selection Pane Data'!AF$3,List!$E$2:$CD$2,0)),"")</f>
        <v/>
      </c>
      <c r="AG121" s="13" t="str">
        <f>IF(AG$4="Yes",INDEX(List!$E$2:$CD$173,MATCH('Selection Pane Data'!$B121,List!$E$2:$E$173,0),MATCH('Selection Pane Data'!AG$3,List!$E$2:$CD$2,0)),"")</f>
        <v/>
      </c>
      <c r="AH121" s="13" t="str">
        <f>IF(AH$4="Yes",INDEX(List!$E$2:$CD$173,MATCH('Selection Pane Data'!$B121,List!$E$2:$E$173,0),MATCH('Selection Pane Data'!AH$3,List!$E$2:$CD$2,0)),"")</f>
        <v/>
      </c>
      <c r="AI121" s="13" t="str">
        <f>IF(AI$4="Yes",INDEX(List!$E$2:$CD$173,MATCH('Selection Pane Data'!$B121,List!$E$2:$E$173,0),MATCH('Selection Pane Data'!AI$3,List!$E$2:$CD$2,0)),"")</f>
        <v/>
      </c>
      <c r="AJ121" s="13" t="str">
        <f>IF(AJ$4="Yes",INDEX(List!$E$2:$CD$173,MATCH('Selection Pane Data'!$B121,List!$E$2:$E$173,0),MATCH('Selection Pane Data'!AJ$3,List!$E$2:$CD$2,0)),"")</f>
        <v/>
      </c>
      <c r="AK121" s="13" t="str">
        <f>IF(AK$4="Yes",INDEX(List!$E$2:$CD$173,MATCH('Selection Pane Data'!$B121,List!$E$2:$E$173,0),MATCH('Selection Pane Data'!AK$3,List!$E$2:$CD$2,0)),"")</f>
        <v/>
      </c>
      <c r="AL121" s="13" t="str">
        <f>IF(AL$4="Yes",INDEX(List!$E$2:$CD$173,MATCH('Selection Pane Data'!$B121,List!$E$2:$E$173,0),MATCH('Selection Pane Data'!AL$3,List!$E$2:$CD$2,0)),"")</f>
        <v/>
      </c>
      <c r="AM121" s="13" t="str">
        <f>IF(AM$4="Yes",INDEX(List!$E$2:$CD$173,MATCH('Selection Pane Data'!$B121,List!$E$2:$E$173,0),MATCH('Selection Pane Data'!AM$3,List!$E$2:$CD$2,0)),"")</f>
        <v/>
      </c>
      <c r="AN121" s="13" t="str">
        <f>IF(AN$4="Yes",INDEX(List!$E$2:$CD$173,MATCH('Selection Pane Data'!$B121,List!$E$2:$E$173,0),MATCH('Selection Pane Data'!AN$3,List!$E$2:$CD$2,0)),"")</f>
        <v/>
      </c>
      <c r="AO121" s="13" t="str">
        <f>IF(AO$4="Yes",INDEX(List!$E$2:$CD$173,MATCH('Selection Pane Data'!$B121,List!$E$2:$E$173,0),MATCH('Selection Pane Data'!AO$3,List!$E$2:$CD$2,0)),"")</f>
        <v/>
      </c>
      <c r="AP121" s="13" t="str">
        <f>IF(AP$4="Yes",INDEX(List!$E$2:$CD$173,MATCH('Selection Pane Data'!$B121,List!$E$2:$E$173,0),MATCH('Selection Pane Data'!AP$3,List!$E$2:$CD$2,0)),"")</f>
        <v/>
      </c>
      <c r="AQ121" s="13" t="str">
        <f>IF(AQ$4="Yes",INDEX(List!$E$2:$CD$173,MATCH('Selection Pane Data'!$B121,List!$E$2:$E$173,0),MATCH('Selection Pane Data'!AQ$3,List!$E$2:$CD$2,0)),"")</f>
        <v/>
      </c>
      <c r="AR121" s="13" t="str">
        <f>IF(AR$4="Yes",INDEX(List!$E$2:$CD$173,MATCH('Selection Pane Data'!$B121,List!$E$2:$E$173,0),MATCH('Selection Pane Data'!AR$3,List!$E$2:$CD$2,0)),"")</f>
        <v/>
      </c>
      <c r="AS121" s="13" t="str">
        <f>IF(AS$4="Yes",INDEX(List!$E$2:$CD$173,MATCH('Selection Pane Data'!$B121,List!$E$2:$E$173,0),MATCH('Selection Pane Data'!AS$3,List!$E$2:$CD$2,0)),"")</f>
        <v/>
      </c>
      <c r="AT121" s="13" t="str">
        <f>IF(AT$4="Yes",INDEX(List!$E$2:$CD$173,MATCH('Selection Pane Data'!$B121,List!$E$2:$E$173,0),MATCH('Selection Pane Data'!AT$3,List!$E$2:$CD$2,0)),"")</f>
        <v/>
      </c>
      <c r="AU121" s="13" t="str">
        <f>IF(AU$4="Yes",INDEX(List!$E$2:$CD$173,MATCH('Selection Pane Data'!$B121,List!$E$2:$E$173,0),MATCH('Selection Pane Data'!AU$3,List!$E$2:$CD$2,0)),"")</f>
        <v/>
      </c>
      <c r="AV121" s="13" t="str">
        <f>IF(AV$4="Yes",INDEX(List!$E$2:$CD$173,MATCH('Selection Pane Data'!$B121,List!$E$2:$E$173,0),MATCH('Selection Pane Data'!AV$3,List!$E$2:$CD$2,0)),"")</f>
        <v/>
      </c>
      <c r="AW121" s="13" t="str">
        <f>IF(AW$4="Yes",INDEX(List!$E$2:$CD$173,MATCH('Selection Pane Data'!$B121,List!$E$2:$E$173,0),MATCH('Selection Pane Data'!AW$3,List!$E$2:$CD$2,0)),"")</f>
        <v/>
      </c>
      <c r="AX121" s="13" t="str">
        <f>IF(AX$4="Yes",INDEX(List!$E$2:$CD$173,MATCH('Selection Pane Data'!$B121,List!$E$2:$E$173,0),MATCH('Selection Pane Data'!AX$3,List!$E$2:$CD$2,0)),"")</f>
        <v/>
      </c>
      <c r="AY121" s="13" t="str">
        <f>IF(AY$4="Yes",INDEX(List!$E$2:$CD$173,MATCH('Selection Pane Data'!$B121,List!$E$2:$E$173,0),MATCH('Selection Pane Data'!AY$3,List!$E$2:$CD$2,0)),"")</f>
        <v/>
      </c>
      <c r="AZ121" s="13" t="str">
        <f>IF(AZ$4="Yes",INDEX(List!$E$2:$CD$173,MATCH('Selection Pane Data'!$B121,List!$E$2:$E$173,0),MATCH('Selection Pane Data'!AZ$3,List!$E$2:$CD$2,0)),"")</f>
        <v/>
      </c>
      <c r="BA121" s="13" t="str">
        <f>IF(BA$4="Yes",INDEX(List!$E$2:$CD$173,MATCH('Selection Pane Data'!$B121,List!$E$2:$E$173,0),MATCH('Selection Pane Data'!BA$3,List!$E$2:$CD$2,0)),"")</f>
        <v/>
      </c>
      <c r="BB121" s="13" t="str">
        <f>IF(BB$4="Yes",INDEX(List!$E$2:$CD$173,MATCH('Selection Pane Data'!$B121,List!$E$2:$E$173,0),MATCH('Selection Pane Data'!BB$3,List!$E$2:$CD$2,0)),"")</f>
        <v/>
      </c>
      <c r="BC121" s="13" t="str">
        <f>IF(BC$4="Yes",INDEX(List!$E$2:$CD$173,MATCH('Selection Pane Data'!$B121,List!$E$2:$E$173,0),MATCH('Selection Pane Data'!BC$3,List!$E$2:$CD$2,0)),"")</f>
        <v/>
      </c>
      <c r="BD121" s="13" t="str">
        <f>IF(BD$4="Yes",INDEX(List!$E$2:$CD$173,MATCH('Selection Pane Data'!$B121,List!$E$2:$E$173,0),MATCH('Selection Pane Data'!BD$3,List!$E$2:$CD$2,0)),"")</f>
        <v/>
      </c>
      <c r="BE121" s="13" t="str">
        <f>IF(BE$4="Yes",INDEX(List!$E$2:$CD$173,MATCH('Selection Pane Data'!$B121,List!$E$2:$E$173,0),MATCH('Selection Pane Data'!BE$3,List!$E$2:$CD$2,0)),"")</f>
        <v/>
      </c>
      <c r="BF121" s="13" t="str">
        <f>IF(BF$4="Yes",INDEX(List!$E$2:$CD$173,MATCH('Selection Pane Data'!$B121,List!$E$2:$E$173,0),MATCH('Selection Pane Data'!BF$3,List!$E$2:$CD$2,0)),"")</f>
        <v/>
      </c>
      <c r="BG121" s="13" t="str">
        <f>IF(BG$4="Yes",INDEX(List!$E$2:$CD$173,MATCH('Selection Pane Data'!$B121,List!$E$2:$E$173,0),MATCH('Selection Pane Data'!BG$3,List!$E$2:$CD$2,0)),"")</f>
        <v/>
      </c>
      <c r="BH121" s="13" t="str">
        <f>IF(BH$4="Yes",INDEX(List!$E$2:$CD$173,MATCH('Selection Pane Data'!$B121,List!$E$2:$E$173,0),MATCH('Selection Pane Data'!BH$3,List!$E$2:$CD$2,0)),"")</f>
        <v/>
      </c>
      <c r="BI121" s="13" t="str">
        <f>IF(BI$4="Yes",INDEX(List!$E$2:$CD$173,MATCH('Selection Pane Data'!$B121,List!$E$2:$E$173,0),MATCH('Selection Pane Data'!BI$3,List!$E$2:$CD$2,0)),"")</f>
        <v/>
      </c>
      <c r="BJ121" s="13" t="str">
        <f>IF(BJ$4="Yes",INDEX(List!$E$2:$CD$173,MATCH('Selection Pane Data'!$B121,List!$E$2:$E$173,0),MATCH('Selection Pane Data'!BJ$3,List!$E$2:$CD$2,0)),"")</f>
        <v/>
      </c>
      <c r="BK121" s="13" t="str">
        <f>IF(BK$4="Yes",INDEX(List!$E$2:$CD$173,MATCH('Selection Pane Data'!$B121,List!$E$2:$E$173,0),MATCH('Selection Pane Data'!BK$3,List!$E$2:$CD$2,0)),"")</f>
        <v/>
      </c>
      <c r="BL121" s="13" t="str">
        <f>IF(BL$4="Yes",INDEX(List!$E$2:$CD$173,MATCH('Selection Pane Data'!$B121,List!$E$2:$E$173,0),MATCH('Selection Pane Data'!BL$3,List!$E$2:$CD$2,0)),"")</f>
        <v/>
      </c>
      <c r="BM121" s="13" t="str">
        <f>IF(BM$4="Yes",INDEX(List!$E$2:$CD$173,MATCH('Selection Pane Data'!$B121,List!$E$2:$E$173,0),MATCH('Selection Pane Data'!BM$3,List!$E$2:$CD$2,0)),"")</f>
        <v/>
      </c>
      <c r="BN121" s="13" t="str">
        <f>IF(BN$4="Yes",INDEX(List!$E$2:$CD$173,MATCH('Selection Pane Data'!$B121,List!$E$2:$E$173,0),MATCH('Selection Pane Data'!BN$3,List!$E$2:$CD$2,0)),"")</f>
        <v/>
      </c>
      <c r="BO121" s="13" t="str">
        <f>IF(BO$4="Yes",INDEX(List!$E$2:$CD$173,MATCH('Selection Pane Data'!$B121,List!$E$2:$E$173,0),MATCH('Selection Pane Data'!BO$3,List!$E$2:$CD$2,0)),"")</f>
        <v/>
      </c>
      <c r="BP121" s="13" t="str">
        <f>IF(BP$4="Yes",INDEX(List!$E$2:$CD$173,MATCH('Selection Pane Data'!$B121,List!$E$2:$E$173,0),MATCH('Selection Pane Data'!BP$3,List!$E$2:$CD$2,0)),"")</f>
        <v/>
      </c>
      <c r="BQ121" s="13" t="str">
        <f>IF(BQ$4="Yes",INDEX(List!$E$2:$CD$173,MATCH('Selection Pane Data'!$B121,List!$E$2:$E$173,0),MATCH('Selection Pane Data'!BQ$3,List!$E$2:$CD$2,0)),"")</f>
        <v/>
      </c>
      <c r="BR121" s="13" t="str">
        <f>IF(BR$4="Yes",INDEX(List!$E$2:$CD$173,MATCH('Selection Pane Data'!$B121,List!$E$2:$E$173,0),MATCH('Selection Pane Data'!BR$3,List!$E$2:$CD$2,0)),"")</f>
        <v/>
      </c>
      <c r="BS121" s="13" t="str">
        <f>IF(BS$4="Yes",INDEX(List!$E$2:$CD$173,MATCH('Selection Pane Data'!$B121,List!$E$2:$E$173,0),MATCH('Selection Pane Data'!BS$3,List!$E$2:$CD$2,0)),"")</f>
        <v/>
      </c>
      <c r="BT121" s="13" t="str">
        <f>IF(BT$4="Yes",INDEX(List!$E$2:$CD$173,MATCH('Selection Pane Data'!$B121,List!$E$2:$E$173,0),MATCH('Selection Pane Data'!BT$3,List!$E$2:$CD$2,0)),"")</f>
        <v/>
      </c>
      <c r="BU121" s="13" t="str">
        <f>IF(BU$4="Yes",INDEX(List!$E$2:$CD$173,MATCH('Selection Pane Data'!$B121,List!$E$2:$E$173,0),MATCH('Selection Pane Data'!BU$3,List!$E$2:$CD$2,0)),"")</f>
        <v/>
      </c>
      <c r="BV121" s="13" t="str">
        <f>IF(BV$4="Yes",INDEX(List!$E$2:$CD$173,MATCH('Selection Pane Data'!$B121,List!$E$2:$E$173,0),MATCH('Selection Pane Data'!BV$3,List!$E$2:$CD$2,0)),"")</f>
        <v/>
      </c>
      <c r="BW121" s="13" t="str">
        <f>IF(BW$4="Yes",INDEX(List!$E$2:$CD$173,MATCH('Selection Pane Data'!$B121,List!$E$2:$E$173,0),MATCH('Selection Pane Data'!BW$3,List!$E$2:$CD$2,0)),"")</f>
        <v/>
      </c>
      <c r="BX121" s="13" t="str">
        <f>IF(BX$4="Yes",INDEX(List!$E$2:$CD$173,MATCH('Selection Pane Data'!$B121,List!$E$2:$E$173,0),MATCH('Selection Pane Data'!BX$3,List!$E$2:$CD$2,0)),"")</f>
        <v/>
      </c>
      <c r="BY121" s="13" t="str">
        <f>IF(BY$4="Yes",INDEX(List!$E$2:$CD$173,MATCH('Selection Pane Data'!$B121,List!$E$2:$E$173,0),MATCH('Selection Pane Data'!BY$3,List!$E$2:$CD$2,0)),"")</f>
        <v/>
      </c>
      <c r="BZ121" s="13" t="str">
        <f>IF(BZ$4="Yes",INDEX(List!$E$2:$CD$173,MATCH('Selection Pane Data'!$B121,List!$E$2:$E$173,0),MATCH('Selection Pane Data'!BZ$3,List!$E$2:$CD$2,0)),"")</f>
        <v/>
      </c>
      <c r="CA121" s="13" t="str">
        <f>IF(CA$4="Yes",INDEX(List!$E$2:$CD$173,MATCH('Selection Pane Data'!$B121,List!$E$2:$E$173,0),MATCH('Selection Pane Data'!CA$3,List!$E$2:$CD$2,0)),"")</f>
        <v/>
      </c>
      <c r="CB121" s="13" t="str">
        <f>IF(CB$4="Yes",INDEX(List!$E$2:$CD$173,MATCH('Selection Pane Data'!$B121,List!$E$2:$E$173,0),MATCH('Selection Pane Data'!CB$3,List!$E$2:$CD$2,0)),"")</f>
        <v/>
      </c>
      <c r="CC121" s="13" t="str">
        <f>IF(CC$4="Yes",INDEX(List!$E$2:$CD$173,MATCH('Selection Pane Data'!$B121,List!$E$2:$E$173,0),MATCH('Selection Pane Data'!CC$3,List!$E$2:$CD$2,0)),"")</f>
        <v/>
      </c>
      <c r="CD121" s="13" t="str">
        <f>IF(CD$4="Yes",INDEX(List!$E$2:$CD$173,MATCH('Selection Pane Data'!$B121,List!$E$2:$E$173,0),MATCH('Selection Pane Data'!CD$3,List!$E$2:$CD$2,0)),"")</f>
        <v/>
      </c>
      <c r="CE121" s="13" t="str">
        <f>IF(CE$4="Yes",INDEX(List!$E$2:$CD$173,MATCH('Selection Pane Data'!$B121,List!$E$2:$E$173,0),MATCH('Selection Pane Data'!CE$3,List!$E$2:$CD$2,0)),"")</f>
        <v/>
      </c>
    </row>
    <row r="122" spans="2:83" x14ac:dyDescent="0.35">
      <c r="B122" s="21" t="s">
        <v>409</v>
      </c>
      <c r="C122" s="126" t="str">
        <f>VLOOKUP(B122,List!$E$2:$G$173,2,FALSE)</f>
        <v>RA.L2-3.11.2</v>
      </c>
      <c r="D122" s="31" t="str">
        <f>List!G120</f>
        <v>Shared Coverage</v>
      </c>
      <c r="E122" s="31" t="str">
        <f>IF(Placemat!$F$4="All Practices","All Practices",IF(VLOOKUP(B122,Table7[#All],6,FALSE)="No Mapping","New CMMC Practices","Practices with NIST 800-171 Mappings"))</f>
        <v>Practices with NIST 800-171 Mappings</v>
      </c>
      <c r="F122" t="str">
        <f>INDEX('CMMC Levels'!$A$1:$F$172,MATCH('Selection Pane Data'!$C122,'CMMC Levels'!$A$1:$A$172,0),MATCH(Placemat!$F$4,'CMMC Levels'!$A$1:$F$1,0))</f>
        <v>X</v>
      </c>
      <c r="G122" s="77" t="str">
        <f>IF((COUNTIF(List!H120:CE120,"P")+COUNTIF(List!H120:CE120,"S"))=0,"N",IF(COUNTIF(H122:CE122,"P"),"P",IF(COUNTIF(H122:CE122,"S"),"S","U")))</f>
        <v>U</v>
      </c>
      <c r="H122" s="13" t="str">
        <f>IF(H$4="Yes",INDEX(List!$E$2:$CD$173,MATCH('Selection Pane Data'!$B122,List!$E$2:$E$173,0),MATCH('Selection Pane Data'!H$3,List!$E$2:$CD$2,0)),"")</f>
        <v/>
      </c>
      <c r="I122" s="13" t="str">
        <f>IF(I$4="Yes",INDEX(List!$E$2:$CD$173,MATCH('Selection Pane Data'!$B122,List!$E$2:$E$173,0),MATCH('Selection Pane Data'!I$3,List!$E$2:$CD$2,0)),"")</f>
        <v/>
      </c>
      <c r="J122" s="13" t="str">
        <f>IF(J$4="Yes",INDEX(List!$E$2:$CD$173,MATCH('Selection Pane Data'!$B122,List!$E$2:$E$173,0),MATCH('Selection Pane Data'!J$3,List!$E$2:$CD$2,0)),"")</f>
        <v>N</v>
      </c>
      <c r="K122" s="13" t="str">
        <f>IF(K$4="Yes",INDEX(List!$E$2:$CD$173,MATCH('Selection Pane Data'!$B122,List!$E$2:$E$173,0),MATCH('Selection Pane Data'!K$3,List!$E$2:$CD$2,0)),"")</f>
        <v/>
      </c>
      <c r="L122" s="13" t="str">
        <f>IF(L$4="Yes",INDEX(List!$E$2:$CD$173,MATCH('Selection Pane Data'!$B122,List!$E$2:$E$173,0),MATCH('Selection Pane Data'!L$3,List!$E$2:$CD$2,0)),"")</f>
        <v/>
      </c>
      <c r="M122" s="13" t="str">
        <f>IF(M$4="Yes",INDEX(List!$E$2:$CD$173,MATCH('Selection Pane Data'!$B122,List!$E$2:$E$173,0),MATCH('Selection Pane Data'!M$3,List!$E$2:$CD$2,0)),"")</f>
        <v/>
      </c>
      <c r="N122" s="13" t="str">
        <f>IF(N$4="Yes",INDEX(List!$E$2:$CD$173,MATCH('Selection Pane Data'!$B122,List!$E$2:$E$173,0),MATCH('Selection Pane Data'!N$3,List!$E$2:$CD$2,0)),"")</f>
        <v/>
      </c>
      <c r="O122" s="13" t="str">
        <f>IF(O$4="Yes",INDEX(List!$E$2:$CD$173,MATCH('Selection Pane Data'!$B122,List!$E$2:$E$173,0),MATCH('Selection Pane Data'!O$3,List!$E$2:$CD$2,0)),"")</f>
        <v/>
      </c>
      <c r="P122" s="13" t="str">
        <f>IF(P$4="Yes",INDEX(List!$E$2:$CD$173,MATCH('Selection Pane Data'!$B122,List!$E$2:$E$173,0),MATCH('Selection Pane Data'!P$3,List!$E$2:$CD$2,0)),"")</f>
        <v/>
      </c>
      <c r="Q122" s="13" t="str">
        <f>IF(Q$4="Yes",INDEX(List!$E$2:$CD$173,MATCH('Selection Pane Data'!$B122,List!$E$2:$E$173,0),MATCH('Selection Pane Data'!Q$3,List!$E$2:$CD$2,0)),"")</f>
        <v/>
      </c>
      <c r="R122" s="13" t="str">
        <f>IF(R$4="Yes",INDEX(List!$E$2:$CD$173,MATCH('Selection Pane Data'!$B122,List!$E$2:$E$173,0),MATCH('Selection Pane Data'!R$3,List!$E$2:$CD$2,0)),"")</f>
        <v/>
      </c>
      <c r="S122" s="13" t="str">
        <f>IF(S$4="Yes",INDEX(List!$E$2:$CD$173,MATCH('Selection Pane Data'!$B122,List!$E$2:$E$173,0),MATCH('Selection Pane Data'!S$3,List!$E$2:$CD$2,0)),"")</f>
        <v/>
      </c>
      <c r="T122" s="13" t="str">
        <f>IF(T$4="Yes",INDEX(List!$E$2:$CD$173,MATCH('Selection Pane Data'!$B122,List!$E$2:$E$173,0),MATCH('Selection Pane Data'!T$3,List!$E$2:$CD$2,0)),"")</f>
        <v/>
      </c>
      <c r="U122" s="13" t="str">
        <f>IF(U$4="Yes",INDEX(List!$E$2:$CD$173,MATCH('Selection Pane Data'!$B122,List!$E$2:$E$173,0),MATCH('Selection Pane Data'!U$3,List!$E$2:$CD$2,0)),"")</f>
        <v/>
      </c>
      <c r="V122" s="13" t="str">
        <f>IF(V$4="Yes",INDEX(List!$E$2:$CD$173,MATCH('Selection Pane Data'!$B122,List!$E$2:$E$173,0),MATCH('Selection Pane Data'!V$3,List!$E$2:$CD$2,0)),"")</f>
        <v/>
      </c>
      <c r="W122" s="13" t="str">
        <f>IF(W$4="Yes",INDEX(List!$E$2:$CD$173,MATCH('Selection Pane Data'!$B122,List!$E$2:$E$173,0),MATCH('Selection Pane Data'!W$3,List!$E$2:$CD$2,0)),"")</f>
        <v/>
      </c>
      <c r="X122" s="13" t="str">
        <f>IF(X$4="Yes",INDEX(List!$E$2:$CD$173,MATCH('Selection Pane Data'!$B122,List!$E$2:$E$173,0),MATCH('Selection Pane Data'!X$3,List!$E$2:$CD$2,0)),"")</f>
        <v/>
      </c>
      <c r="Y122" s="13" t="str">
        <f>IF(Y$4="Yes",INDEX(List!$E$2:$CD$173,MATCH('Selection Pane Data'!$B122,List!$E$2:$E$173,0),MATCH('Selection Pane Data'!Y$3,List!$E$2:$CD$2,0)),"")</f>
        <v/>
      </c>
      <c r="Z122" s="13" t="str">
        <f>IF(Z$4="Yes",INDEX(List!$E$2:$CD$173,MATCH('Selection Pane Data'!$B122,List!$E$2:$E$173,0),MATCH('Selection Pane Data'!Z$3,List!$E$2:$CD$2,0)),"")</f>
        <v/>
      </c>
      <c r="AA122" s="13" t="str">
        <f>IF(AA$4="Yes",INDEX(List!$E$2:$CD$173,MATCH('Selection Pane Data'!$B122,List!$E$2:$E$173,0),MATCH('Selection Pane Data'!AA$3,List!$E$2:$CD$2,0)),"")</f>
        <v>N</v>
      </c>
      <c r="AB122" s="13" t="str">
        <f>IF(AB$4="Yes",INDEX(List!$E$2:$CD$173,MATCH('Selection Pane Data'!$B122,List!$E$2:$E$173,0),MATCH('Selection Pane Data'!AB$3,List!$E$2:$CD$2,0)),"")</f>
        <v/>
      </c>
      <c r="AC122" s="13" t="str">
        <f>IF(AC$4="Yes",INDEX(List!$E$2:$CD$173,MATCH('Selection Pane Data'!$B122,List!$E$2:$E$173,0),MATCH('Selection Pane Data'!AC$3,List!$E$2:$CD$2,0)),"")</f>
        <v/>
      </c>
      <c r="AD122" s="13" t="str">
        <f>IF(AD$4="Yes",INDEX(List!$E$2:$CD$173,MATCH('Selection Pane Data'!$B122,List!$E$2:$E$173,0),MATCH('Selection Pane Data'!AD$3,List!$E$2:$CD$2,0)),"")</f>
        <v/>
      </c>
      <c r="AE122" s="13" t="str">
        <f>IF(AE$4="Yes",INDEX(List!$E$2:$CD$173,MATCH('Selection Pane Data'!$B122,List!$E$2:$E$173,0),MATCH('Selection Pane Data'!AE$3,List!$E$2:$CD$2,0)),"")</f>
        <v/>
      </c>
      <c r="AF122" s="13" t="str">
        <f>IF(AF$4="Yes",INDEX(List!$E$2:$CD$173,MATCH('Selection Pane Data'!$B122,List!$E$2:$E$173,0),MATCH('Selection Pane Data'!AF$3,List!$E$2:$CD$2,0)),"")</f>
        <v/>
      </c>
      <c r="AG122" s="13" t="str">
        <f>IF(AG$4="Yes",INDEX(List!$E$2:$CD$173,MATCH('Selection Pane Data'!$B122,List!$E$2:$E$173,0),MATCH('Selection Pane Data'!AG$3,List!$E$2:$CD$2,0)),"")</f>
        <v/>
      </c>
      <c r="AH122" s="13" t="str">
        <f>IF(AH$4="Yes",INDEX(List!$E$2:$CD$173,MATCH('Selection Pane Data'!$B122,List!$E$2:$E$173,0),MATCH('Selection Pane Data'!AH$3,List!$E$2:$CD$2,0)),"")</f>
        <v/>
      </c>
      <c r="AI122" s="13" t="str">
        <f>IF(AI$4="Yes",INDEX(List!$E$2:$CD$173,MATCH('Selection Pane Data'!$B122,List!$E$2:$E$173,0),MATCH('Selection Pane Data'!AI$3,List!$E$2:$CD$2,0)),"")</f>
        <v/>
      </c>
      <c r="AJ122" s="13" t="str">
        <f>IF(AJ$4="Yes",INDEX(List!$E$2:$CD$173,MATCH('Selection Pane Data'!$B122,List!$E$2:$E$173,0),MATCH('Selection Pane Data'!AJ$3,List!$E$2:$CD$2,0)),"")</f>
        <v/>
      </c>
      <c r="AK122" s="13" t="str">
        <f>IF(AK$4="Yes",INDEX(List!$E$2:$CD$173,MATCH('Selection Pane Data'!$B122,List!$E$2:$E$173,0),MATCH('Selection Pane Data'!AK$3,List!$E$2:$CD$2,0)),"")</f>
        <v/>
      </c>
      <c r="AL122" s="13" t="str">
        <f>IF(AL$4="Yes",INDEX(List!$E$2:$CD$173,MATCH('Selection Pane Data'!$B122,List!$E$2:$E$173,0),MATCH('Selection Pane Data'!AL$3,List!$E$2:$CD$2,0)),"")</f>
        <v/>
      </c>
      <c r="AM122" s="13" t="str">
        <f>IF(AM$4="Yes",INDEX(List!$E$2:$CD$173,MATCH('Selection Pane Data'!$B122,List!$E$2:$E$173,0),MATCH('Selection Pane Data'!AM$3,List!$E$2:$CD$2,0)),"")</f>
        <v/>
      </c>
      <c r="AN122" s="13" t="str">
        <f>IF(AN$4="Yes",INDEX(List!$E$2:$CD$173,MATCH('Selection Pane Data'!$B122,List!$E$2:$E$173,0),MATCH('Selection Pane Data'!AN$3,List!$E$2:$CD$2,0)),"")</f>
        <v/>
      </c>
      <c r="AO122" s="13" t="str">
        <f>IF(AO$4="Yes",INDEX(List!$E$2:$CD$173,MATCH('Selection Pane Data'!$B122,List!$E$2:$E$173,0),MATCH('Selection Pane Data'!AO$3,List!$E$2:$CD$2,0)),"")</f>
        <v/>
      </c>
      <c r="AP122" s="13" t="str">
        <f>IF(AP$4="Yes",INDEX(List!$E$2:$CD$173,MATCH('Selection Pane Data'!$B122,List!$E$2:$E$173,0),MATCH('Selection Pane Data'!AP$3,List!$E$2:$CD$2,0)),"")</f>
        <v/>
      </c>
      <c r="AQ122" s="13" t="str">
        <f>IF(AQ$4="Yes",INDEX(List!$E$2:$CD$173,MATCH('Selection Pane Data'!$B122,List!$E$2:$E$173,0),MATCH('Selection Pane Data'!AQ$3,List!$E$2:$CD$2,0)),"")</f>
        <v/>
      </c>
      <c r="AR122" s="13" t="str">
        <f>IF(AR$4="Yes",INDEX(List!$E$2:$CD$173,MATCH('Selection Pane Data'!$B122,List!$E$2:$E$173,0),MATCH('Selection Pane Data'!AR$3,List!$E$2:$CD$2,0)),"")</f>
        <v/>
      </c>
      <c r="AS122" s="13" t="str">
        <f>IF(AS$4="Yes",INDEX(List!$E$2:$CD$173,MATCH('Selection Pane Data'!$B122,List!$E$2:$E$173,0),MATCH('Selection Pane Data'!AS$3,List!$E$2:$CD$2,0)),"")</f>
        <v/>
      </c>
      <c r="AT122" s="13" t="str">
        <f>IF(AT$4="Yes",INDEX(List!$E$2:$CD$173,MATCH('Selection Pane Data'!$B122,List!$E$2:$E$173,0),MATCH('Selection Pane Data'!AT$3,List!$E$2:$CD$2,0)),"")</f>
        <v/>
      </c>
      <c r="AU122" s="13" t="str">
        <f>IF(AU$4="Yes",INDEX(List!$E$2:$CD$173,MATCH('Selection Pane Data'!$B122,List!$E$2:$E$173,0),MATCH('Selection Pane Data'!AU$3,List!$E$2:$CD$2,0)),"")</f>
        <v/>
      </c>
      <c r="AV122" s="13" t="str">
        <f>IF(AV$4="Yes",INDEX(List!$E$2:$CD$173,MATCH('Selection Pane Data'!$B122,List!$E$2:$E$173,0),MATCH('Selection Pane Data'!AV$3,List!$E$2:$CD$2,0)),"")</f>
        <v/>
      </c>
      <c r="AW122" s="13" t="str">
        <f>IF(AW$4="Yes",INDEX(List!$E$2:$CD$173,MATCH('Selection Pane Data'!$B122,List!$E$2:$E$173,0),MATCH('Selection Pane Data'!AW$3,List!$E$2:$CD$2,0)),"")</f>
        <v/>
      </c>
      <c r="AX122" s="13" t="str">
        <f>IF(AX$4="Yes",INDEX(List!$E$2:$CD$173,MATCH('Selection Pane Data'!$B122,List!$E$2:$E$173,0),MATCH('Selection Pane Data'!AX$3,List!$E$2:$CD$2,0)),"")</f>
        <v/>
      </c>
      <c r="AY122" s="13" t="str">
        <f>IF(AY$4="Yes",INDEX(List!$E$2:$CD$173,MATCH('Selection Pane Data'!$B122,List!$E$2:$E$173,0),MATCH('Selection Pane Data'!AY$3,List!$E$2:$CD$2,0)),"")</f>
        <v/>
      </c>
      <c r="AZ122" s="13" t="str">
        <f>IF(AZ$4="Yes",INDEX(List!$E$2:$CD$173,MATCH('Selection Pane Data'!$B122,List!$E$2:$E$173,0),MATCH('Selection Pane Data'!AZ$3,List!$E$2:$CD$2,0)),"")</f>
        <v/>
      </c>
      <c r="BA122" s="13" t="str">
        <f>IF(BA$4="Yes",INDEX(List!$E$2:$CD$173,MATCH('Selection Pane Data'!$B122,List!$E$2:$E$173,0),MATCH('Selection Pane Data'!BA$3,List!$E$2:$CD$2,0)),"")</f>
        <v/>
      </c>
      <c r="BB122" s="13" t="str">
        <f>IF(BB$4="Yes",INDEX(List!$E$2:$CD$173,MATCH('Selection Pane Data'!$B122,List!$E$2:$E$173,0),MATCH('Selection Pane Data'!BB$3,List!$E$2:$CD$2,0)),"")</f>
        <v/>
      </c>
      <c r="BC122" s="13" t="str">
        <f>IF(BC$4="Yes",INDEX(List!$E$2:$CD$173,MATCH('Selection Pane Data'!$B122,List!$E$2:$E$173,0),MATCH('Selection Pane Data'!BC$3,List!$E$2:$CD$2,0)),"")</f>
        <v/>
      </c>
      <c r="BD122" s="13" t="str">
        <f>IF(BD$4="Yes",INDEX(List!$E$2:$CD$173,MATCH('Selection Pane Data'!$B122,List!$E$2:$E$173,0),MATCH('Selection Pane Data'!BD$3,List!$E$2:$CD$2,0)),"")</f>
        <v/>
      </c>
      <c r="BE122" s="13" t="str">
        <f>IF(BE$4="Yes",INDEX(List!$E$2:$CD$173,MATCH('Selection Pane Data'!$B122,List!$E$2:$E$173,0),MATCH('Selection Pane Data'!BE$3,List!$E$2:$CD$2,0)),"")</f>
        <v/>
      </c>
      <c r="BF122" s="13" t="str">
        <f>IF(BF$4="Yes",INDEX(List!$E$2:$CD$173,MATCH('Selection Pane Data'!$B122,List!$E$2:$E$173,0),MATCH('Selection Pane Data'!BF$3,List!$E$2:$CD$2,0)),"")</f>
        <v/>
      </c>
      <c r="BG122" s="13" t="str">
        <f>IF(BG$4="Yes",INDEX(List!$E$2:$CD$173,MATCH('Selection Pane Data'!$B122,List!$E$2:$E$173,0),MATCH('Selection Pane Data'!BG$3,List!$E$2:$CD$2,0)),"")</f>
        <v/>
      </c>
      <c r="BH122" s="13" t="str">
        <f>IF(BH$4="Yes",INDEX(List!$E$2:$CD$173,MATCH('Selection Pane Data'!$B122,List!$E$2:$E$173,0),MATCH('Selection Pane Data'!BH$3,List!$E$2:$CD$2,0)),"")</f>
        <v/>
      </c>
      <c r="BI122" s="13" t="str">
        <f>IF(BI$4="Yes",INDEX(List!$E$2:$CD$173,MATCH('Selection Pane Data'!$B122,List!$E$2:$E$173,0),MATCH('Selection Pane Data'!BI$3,List!$E$2:$CD$2,0)),"")</f>
        <v/>
      </c>
      <c r="BJ122" s="13" t="str">
        <f>IF(BJ$4="Yes",INDEX(List!$E$2:$CD$173,MATCH('Selection Pane Data'!$B122,List!$E$2:$E$173,0),MATCH('Selection Pane Data'!BJ$3,List!$E$2:$CD$2,0)),"")</f>
        <v/>
      </c>
      <c r="BK122" s="13" t="str">
        <f>IF(BK$4="Yes",INDEX(List!$E$2:$CD$173,MATCH('Selection Pane Data'!$B122,List!$E$2:$E$173,0),MATCH('Selection Pane Data'!BK$3,List!$E$2:$CD$2,0)),"")</f>
        <v/>
      </c>
      <c r="BL122" s="13" t="str">
        <f>IF(BL$4="Yes",INDEX(List!$E$2:$CD$173,MATCH('Selection Pane Data'!$B122,List!$E$2:$E$173,0),MATCH('Selection Pane Data'!BL$3,List!$E$2:$CD$2,0)),"")</f>
        <v/>
      </c>
      <c r="BM122" s="13" t="str">
        <f>IF(BM$4="Yes",INDEX(List!$E$2:$CD$173,MATCH('Selection Pane Data'!$B122,List!$E$2:$E$173,0),MATCH('Selection Pane Data'!BM$3,List!$E$2:$CD$2,0)),"")</f>
        <v/>
      </c>
      <c r="BN122" s="13" t="str">
        <f>IF(BN$4="Yes",INDEX(List!$E$2:$CD$173,MATCH('Selection Pane Data'!$B122,List!$E$2:$E$173,0),MATCH('Selection Pane Data'!BN$3,List!$E$2:$CD$2,0)),"")</f>
        <v/>
      </c>
      <c r="BO122" s="13" t="str">
        <f>IF(BO$4="Yes",INDEX(List!$E$2:$CD$173,MATCH('Selection Pane Data'!$B122,List!$E$2:$E$173,0),MATCH('Selection Pane Data'!BO$3,List!$E$2:$CD$2,0)),"")</f>
        <v/>
      </c>
      <c r="BP122" s="13" t="str">
        <f>IF(BP$4="Yes",INDEX(List!$E$2:$CD$173,MATCH('Selection Pane Data'!$B122,List!$E$2:$E$173,0),MATCH('Selection Pane Data'!BP$3,List!$E$2:$CD$2,0)),"")</f>
        <v/>
      </c>
      <c r="BQ122" s="13" t="str">
        <f>IF(BQ$4="Yes",INDEX(List!$E$2:$CD$173,MATCH('Selection Pane Data'!$B122,List!$E$2:$E$173,0),MATCH('Selection Pane Data'!BQ$3,List!$E$2:$CD$2,0)),"")</f>
        <v/>
      </c>
      <c r="BR122" s="13" t="str">
        <f>IF(BR$4="Yes",INDEX(List!$E$2:$CD$173,MATCH('Selection Pane Data'!$B122,List!$E$2:$E$173,0),MATCH('Selection Pane Data'!BR$3,List!$E$2:$CD$2,0)),"")</f>
        <v/>
      </c>
      <c r="BS122" s="13" t="str">
        <f>IF(BS$4="Yes",INDEX(List!$E$2:$CD$173,MATCH('Selection Pane Data'!$B122,List!$E$2:$E$173,0),MATCH('Selection Pane Data'!BS$3,List!$E$2:$CD$2,0)),"")</f>
        <v/>
      </c>
      <c r="BT122" s="13" t="str">
        <f>IF(BT$4="Yes",INDEX(List!$E$2:$CD$173,MATCH('Selection Pane Data'!$B122,List!$E$2:$E$173,0),MATCH('Selection Pane Data'!BT$3,List!$E$2:$CD$2,0)),"")</f>
        <v/>
      </c>
      <c r="BU122" s="13" t="str">
        <f>IF(BU$4="Yes",INDEX(List!$E$2:$CD$173,MATCH('Selection Pane Data'!$B122,List!$E$2:$E$173,0),MATCH('Selection Pane Data'!BU$3,List!$E$2:$CD$2,0)),"")</f>
        <v/>
      </c>
      <c r="BV122" s="13" t="str">
        <f>IF(BV$4="Yes",INDEX(List!$E$2:$CD$173,MATCH('Selection Pane Data'!$B122,List!$E$2:$E$173,0),MATCH('Selection Pane Data'!BV$3,List!$E$2:$CD$2,0)),"")</f>
        <v/>
      </c>
      <c r="BW122" s="13" t="str">
        <f>IF(BW$4="Yes",INDEX(List!$E$2:$CD$173,MATCH('Selection Pane Data'!$B122,List!$E$2:$E$173,0),MATCH('Selection Pane Data'!BW$3,List!$E$2:$CD$2,0)),"")</f>
        <v/>
      </c>
      <c r="BX122" s="13" t="str">
        <f>IF(BX$4="Yes",INDEX(List!$E$2:$CD$173,MATCH('Selection Pane Data'!$B122,List!$E$2:$E$173,0),MATCH('Selection Pane Data'!BX$3,List!$E$2:$CD$2,0)),"")</f>
        <v/>
      </c>
      <c r="BY122" s="13" t="str">
        <f>IF(BY$4="Yes",INDEX(List!$E$2:$CD$173,MATCH('Selection Pane Data'!$B122,List!$E$2:$E$173,0),MATCH('Selection Pane Data'!BY$3,List!$E$2:$CD$2,0)),"")</f>
        <v/>
      </c>
      <c r="BZ122" s="13" t="str">
        <f>IF(BZ$4="Yes",INDEX(List!$E$2:$CD$173,MATCH('Selection Pane Data'!$B122,List!$E$2:$E$173,0),MATCH('Selection Pane Data'!BZ$3,List!$E$2:$CD$2,0)),"")</f>
        <v/>
      </c>
      <c r="CA122" s="13" t="str">
        <f>IF(CA$4="Yes",INDEX(List!$E$2:$CD$173,MATCH('Selection Pane Data'!$B122,List!$E$2:$E$173,0),MATCH('Selection Pane Data'!CA$3,List!$E$2:$CD$2,0)),"")</f>
        <v/>
      </c>
      <c r="CB122" s="13" t="str">
        <f>IF(CB$4="Yes",INDEX(List!$E$2:$CD$173,MATCH('Selection Pane Data'!$B122,List!$E$2:$E$173,0),MATCH('Selection Pane Data'!CB$3,List!$E$2:$CD$2,0)),"")</f>
        <v/>
      </c>
      <c r="CC122" s="13" t="str">
        <f>IF(CC$4="Yes",INDEX(List!$E$2:$CD$173,MATCH('Selection Pane Data'!$B122,List!$E$2:$E$173,0),MATCH('Selection Pane Data'!CC$3,List!$E$2:$CD$2,0)),"")</f>
        <v/>
      </c>
      <c r="CD122" s="13" t="str">
        <f>IF(CD$4="Yes",INDEX(List!$E$2:$CD$173,MATCH('Selection Pane Data'!$B122,List!$E$2:$E$173,0),MATCH('Selection Pane Data'!CD$3,List!$E$2:$CD$2,0)),"")</f>
        <v/>
      </c>
      <c r="CE122" s="13" t="str">
        <f>IF(CE$4="Yes",INDEX(List!$E$2:$CD$173,MATCH('Selection Pane Data'!$B122,List!$E$2:$E$173,0),MATCH('Selection Pane Data'!CE$3,List!$E$2:$CD$2,0)),"")</f>
        <v/>
      </c>
    </row>
    <row r="123" spans="2:83" x14ac:dyDescent="0.35">
      <c r="B123" s="21" t="s">
        <v>410</v>
      </c>
      <c r="C123" s="126" t="str">
        <f>VLOOKUP(B123,List!$E$2:$G$173,2,FALSE)</f>
        <v>RA.L2-3.11.3</v>
      </c>
      <c r="D123" s="31" t="str">
        <f>List!G121</f>
        <v>Shared Coverage</v>
      </c>
      <c r="E123" s="31" t="str">
        <f>IF(Placemat!$F$4="All Practices","All Practices",IF(VLOOKUP(B123,Table7[#All],6,FALSE)="No Mapping","New CMMC Practices","Practices with NIST 800-171 Mappings"))</f>
        <v>Practices with NIST 800-171 Mappings</v>
      </c>
      <c r="F123" t="str">
        <f>INDEX('CMMC Levels'!$A$1:$F$172,MATCH('Selection Pane Data'!$C123,'CMMC Levels'!$A$1:$A$172,0),MATCH(Placemat!$F$4,'CMMC Levels'!$A$1:$F$1,0))</f>
        <v>X</v>
      </c>
      <c r="G123" s="77" t="str">
        <f>IF((COUNTIF(List!H121:CE121,"P")+COUNTIF(List!H121:CE121,"S"))=0,"N",IF(COUNTIF(H123:CE123,"P"),"P",IF(COUNTIF(H123:CE123,"S"),"S","U")))</f>
        <v>U</v>
      </c>
      <c r="H123" s="13" t="str">
        <f>IF(H$4="Yes",INDEX(List!$E$2:$CD$173,MATCH('Selection Pane Data'!$B123,List!$E$2:$E$173,0),MATCH('Selection Pane Data'!H$3,List!$E$2:$CD$2,0)),"")</f>
        <v/>
      </c>
      <c r="I123" s="13" t="str">
        <f>IF(I$4="Yes",INDEX(List!$E$2:$CD$173,MATCH('Selection Pane Data'!$B123,List!$E$2:$E$173,0),MATCH('Selection Pane Data'!I$3,List!$E$2:$CD$2,0)),"")</f>
        <v/>
      </c>
      <c r="J123" s="13" t="str">
        <f>IF(J$4="Yes",INDEX(List!$E$2:$CD$173,MATCH('Selection Pane Data'!$B123,List!$E$2:$E$173,0),MATCH('Selection Pane Data'!J$3,List!$E$2:$CD$2,0)),"")</f>
        <v>N</v>
      </c>
      <c r="K123" s="13" t="str">
        <f>IF(K$4="Yes",INDEX(List!$E$2:$CD$173,MATCH('Selection Pane Data'!$B123,List!$E$2:$E$173,0),MATCH('Selection Pane Data'!K$3,List!$E$2:$CD$2,0)),"")</f>
        <v/>
      </c>
      <c r="L123" s="13" t="str">
        <f>IF(L$4="Yes",INDEX(List!$E$2:$CD$173,MATCH('Selection Pane Data'!$B123,List!$E$2:$E$173,0),MATCH('Selection Pane Data'!L$3,List!$E$2:$CD$2,0)),"")</f>
        <v/>
      </c>
      <c r="M123" s="13" t="str">
        <f>IF(M$4="Yes",INDEX(List!$E$2:$CD$173,MATCH('Selection Pane Data'!$B123,List!$E$2:$E$173,0),MATCH('Selection Pane Data'!M$3,List!$E$2:$CD$2,0)),"")</f>
        <v/>
      </c>
      <c r="N123" s="13" t="str">
        <f>IF(N$4="Yes",INDEX(List!$E$2:$CD$173,MATCH('Selection Pane Data'!$B123,List!$E$2:$E$173,0),MATCH('Selection Pane Data'!N$3,List!$E$2:$CD$2,0)),"")</f>
        <v/>
      </c>
      <c r="O123" s="13" t="str">
        <f>IF(O$4="Yes",INDEX(List!$E$2:$CD$173,MATCH('Selection Pane Data'!$B123,List!$E$2:$E$173,0),MATCH('Selection Pane Data'!O$3,List!$E$2:$CD$2,0)),"")</f>
        <v/>
      </c>
      <c r="P123" s="13" t="str">
        <f>IF(P$4="Yes",INDEX(List!$E$2:$CD$173,MATCH('Selection Pane Data'!$B123,List!$E$2:$E$173,0),MATCH('Selection Pane Data'!P$3,List!$E$2:$CD$2,0)),"")</f>
        <v/>
      </c>
      <c r="Q123" s="13" t="str">
        <f>IF(Q$4="Yes",INDEX(List!$E$2:$CD$173,MATCH('Selection Pane Data'!$B123,List!$E$2:$E$173,0),MATCH('Selection Pane Data'!Q$3,List!$E$2:$CD$2,0)),"")</f>
        <v/>
      </c>
      <c r="R123" s="13" t="str">
        <f>IF(R$4="Yes",INDEX(List!$E$2:$CD$173,MATCH('Selection Pane Data'!$B123,List!$E$2:$E$173,0),MATCH('Selection Pane Data'!R$3,List!$E$2:$CD$2,0)),"")</f>
        <v/>
      </c>
      <c r="S123" s="13" t="str">
        <f>IF(S$4="Yes",INDEX(List!$E$2:$CD$173,MATCH('Selection Pane Data'!$B123,List!$E$2:$E$173,0),MATCH('Selection Pane Data'!S$3,List!$E$2:$CD$2,0)),"")</f>
        <v/>
      </c>
      <c r="T123" s="13" t="str">
        <f>IF(T$4="Yes",INDEX(List!$E$2:$CD$173,MATCH('Selection Pane Data'!$B123,List!$E$2:$E$173,0),MATCH('Selection Pane Data'!T$3,List!$E$2:$CD$2,0)),"")</f>
        <v/>
      </c>
      <c r="U123" s="13" t="str">
        <f>IF(U$4="Yes",INDEX(List!$E$2:$CD$173,MATCH('Selection Pane Data'!$B123,List!$E$2:$E$173,0),MATCH('Selection Pane Data'!U$3,List!$E$2:$CD$2,0)),"")</f>
        <v/>
      </c>
      <c r="V123" s="13" t="str">
        <f>IF(V$4="Yes",INDEX(List!$E$2:$CD$173,MATCH('Selection Pane Data'!$B123,List!$E$2:$E$173,0),MATCH('Selection Pane Data'!V$3,List!$E$2:$CD$2,0)),"")</f>
        <v/>
      </c>
      <c r="W123" s="13" t="str">
        <f>IF(W$4="Yes",INDEX(List!$E$2:$CD$173,MATCH('Selection Pane Data'!$B123,List!$E$2:$E$173,0),MATCH('Selection Pane Data'!W$3,List!$E$2:$CD$2,0)),"")</f>
        <v/>
      </c>
      <c r="X123" s="13" t="str">
        <f>IF(X$4="Yes",INDEX(List!$E$2:$CD$173,MATCH('Selection Pane Data'!$B123,List!$E$2:$E$173,0),MATCH('Selection Pane Data'!X$3,List!$E$2:$CD$2,0)),"")</f>
        <v/>
      </c>
      <c r="Y123" s="13" t="str">
        <f>IF(Y$4="Yes",INDEX(List!$E$2:$CD$173,MATCH('Selection Pane Data'!$B123,List!$E$2:$E$173,0),MATCH('Selection Pane Data'!Y$3,List!$E$2:$CD$2,0)),"")</f>
        <v/>
      </c>
      <c r="Z123" s="13" t="str">
        <f>IF(Z$4="Yes",INDEX(List!$E$2:$CD$173,MATCH('Selection Pane Data'!$B123,List!$E$2:$E$173,0),MATCH('Selection Pane Data'!Z$3,List!$E$2:$CD$2,0)),"")</f>
        <v/>
      </c>
      <c r="AA123" s="13" t="str">
        <f>IF(AA$4="Yes",INDEX(List!$E$2:$CD$173,MATCH('Selection Pane Data'!$B123,List!$E$2:$E$173,0),MATCH('Selection Pane Data'!AA$3,List!$E$2:$CD$2,0)),"")</f>
        <v>N</v>
      </c>
      <c r="AB123" s="13" t="str">
        <f>IF(AB$4="Yes",INDEX(List!$E$2:$CD$173,MATCH('Selection Pane Data'!$B123,List!$E$2:$E$173,0),MATCH('Selection Pane Data'!AB$3,List!$E$2:$CD$2,0)),"")</f>
        <v/>
      </c>
      <c r="AC123" s="13" t="str">
        <f>IF(AC$4="Yes",INDEX(List!$E$2:$CD$173,MATCH('Selection Pane Data'!$B123,List!$E$2:$E$173,0),MATCH('Selection Pane Data'!AC$3,List!$E$2:$CD$2,0)),"")</f>
        <v/>
      </c>
      <c r="AD123" s="13" t="str">
        <f>IF(AD$4="Yes",INDEX(List!$E$2:$CD$173,MATCH('Selection Pane Data'!$B123,List!$E$2:$E$173,0),MATCH('Selection Pane Data'!AD$3,List!$E$2:$CD$2,0)),"")</f>
        <v/>
      </c>
      <c r="AE123" s="13" t="str">
        <f>IF(AE$4="Yes",INDEX(List!$E$2:$CD$173,MATCH('Selection Pane Data'!$B123,List!$E$2:$E$173,0),MATCH('Selection Pane Data'!AE$3,List!$E$2:$CD$2,0)),"")</f>
        <v/>
      </c>
      <c r="AF123" s="13" t="str">
        <f>IF(AF$4="Yes",INDEX(List!$E$2:$CD$173,MATCH('Selection Pane Data'!$B123,List!$E$2:$E$173,0),MATCH('Selection Pane Data'!AF$3,List!$E$2:$CD$2,0)),"")</f>
        <v/>
      </c>
      <c r="AG123" s="13" t="str">
        <f>IF(AG$4="Yes",INDEX(List!$E$2:$CD$173,MATCH('Selection Pane Data'!$B123,List!$E$2:$E$173,0),MATCH('Selection Pane Data'!AG$3,List!$E$2:$CD$2,0)),"")</f>
        <v/>
      </c>
      <c r="AH123" s="13" t="str">
        <f>IF(AH$4="Yes",INDEX(List!$E$2:$CD$173,MATCH('Selection Pane Data'!$B123,List!$E$2:$E$173,0),MATCH('Selection Pane Data'!AH$3,List!$E$2:$CD$2,0)),"")</f>
        <v/>
      </c>
      <c r="AI123" s="13" t="str">
        <f>IF(AI$4="Yes",INDEX(List!$E$2:$CD$173,MATCH('Selection Pane Data'!$B123,List!$E$2:$E$173,0),MATCH('Selection Pane Data'!AI$3,List!$E$2:$CD$2,0)),"")</f>
        <v/>
      </c>
      <c r="AJ123" s="13" t="str">
        <f>IF(AJ$4="Yes",INDEX(List!$E$2:$CD$173,MATCH('Selection Pane Data'!$B123,List!$E$2:$E$173,0),MATCH('Selection Pane Data'!AJ$3,List!$E$2:$CD$2,0)),"")</f>
        <v/>
      </c>
      <c r="AK123" s="13" t="str">
        <f>IF(AK$4="Yes",INDEX(List!$E$2:$CD$173,MATCH('Selection Pane Data'!$B123,List!$E$2:$E$173,0),MATCH('Selection Pane Data'!AK$3,List!$E$2:$CD$2,0)),"")</f>
        <v/>
      </c>
      <c r="AL123" s="13" t="str">
        <f>IF(AL$4="Yes",INDEX(List!$E$2:$CD$173,MATCH('Selection Pane Data'!$B123,List!$E$2:$E$173,0),MATCH('Selection Pane Data'!AL$3,List!$E$2:$CD$2,0)),"")</f>
        <v/>
      </c>
      <c r="AM123" s="13" t="str">
        <f>IF(AM$4="Yes",INDEX(List!$E$2:$CD$173,MATCH('Selection Pane Data'!$B123,List!$E$2:$E$173,0),MATCH('Selection Pane Data'!AM$3,List!$E$2:$CD$2,0)),"")</f>
        <v/>
      </c>
      <c r="AN123" s="13" t="str">
        <f>IF(AN$4="Yes",INDEX(List!$E$2:$CD$173,MATCH('Selection Pane Data'!$B123,List!$E$2:$E$173,0),MATCH('Selection Pane Data'!AN$3,List!$E$2:$CD$2,0)),"")</f>
        <v/>
      </c>
      <c r="AO123" s="13" t="str">
        <f>IF(AO$4="Yes",INDEX(List!$E$2:$CD$173,MATCH('Selection Pane Data'!$B123,List!$E$2:$E$173,0),MATCH('Selection Pane Data'!AO$3,List!$E$2:$CD$2,0)),"")</f>
        <v/>
      </c>
      <c r="AP123" s="13" t="str">
        <f>IF(AP$4="Yes",INDEX(List!$E$2:$CD$173,MATCH('Selection Pane Data'!$B123,List!$E$2:$E$173,0),MATCH('Selection Pane Data'!AP$3,List!$E$2:$CD$2,0)),"")</f>
        <v/>
      </c>
      <c r="AQ123" s="13" t="str">
        <f>IF(AQ$4="Yes",INDEX(List!$E$2:$CD$173,MATCH('Selection Pane Data'!$B123,List!$E$2:$E$173,0),MATCH('Selection Pane Data'!AQ$3,List!$E$2:$CD$2,0)),"")</f>
        <v/>
      </c>
      <c r="AR123" s="13" t="str">
        <f>IF(AR$4="Yes",INDEX(List!$E$2:$CD$173,MATCH('Selection Pane Data'!$B123,List!$E$2:$E$173,0),MATCH('Selection Pane Data'!AR$3,List!$E$2:$CD$2,0)),"")</f>
        <v/>
      </c>
      <c r="AS123" s="13" t="str">
        <f>IF(AS$4="Yes",INDEX(List!$E$2:$CD$173,MATCH('Selection Pane Data'!$B123,List!$E$2:$E$173,0),MATCH('Selection Pane Data'!AS$3,List!$E$2:$CD$2,0)),"")</f>
        <v/>
      </c>
      <c r="AT123" s="13" t="str">
        <f>IF(AT$4="Yes",INDEX(List!$E$2:$CD$173,MATCH('Selection Pane Data'!$B123,List!$E$2:$E$173,0),MATCH('Selection Pane Data'!AT$3,List!$E$2:$CD$2,0)),"")</f>
        <v/>
      </c>
      <c r="AU123" s="13" t="str">
        <f>IF(AU$4="Yes",INDEX(List!$E$2:$CD$173,MATCH('Selection Pane Data'!$B123,List!$E$2:$E$173,0),MATCH('Selection Pane Data'!AU$3,List!$E$2:$CD$2,0)),"")</f>
        <v/>
      </c>
      <c r="AV123" s="13" t="str">
        <f>IF(AV$4="Yes",INDEX(List!$E$2:$CD$173,MATCH('Selection Pane Data'!$B123,List!$E$2:$E$173,0),MATCH('Selection Pane Data'!AV$3,List!$E$2:$CD$2,0)),"")</f>
        <v/>
      </c>
      <c r="AW123" s="13" t="str">
        <f>IF(AW$4="Yes",INDEX(List!$E$2:$CD$173,MATCH('Selection Pane Data'!$B123,List!$E$2:$E$173,0),MATCH('Selection Pane Data'!AW$3,List!$E$2:$CD$2,0)),"")</f>
        <v/>
      </c>
      <c r="AX123" s="13" t="str">
        <f>IF(AX$4="Yes",INDEX(List!$E$2:$CD$173,MATCH('Selection Pane Data'!$B123,List!$E$2:$E$173,0),MATCH('Selection Pane Data'!AX$3,List!$E$2:$CD$2,0)),"")</f>
        <v/>
      </c>
      <c r="AY123" s="13" t="str">
        <f>IF(AY$4="Yes",INDEX(List!$E$2:$CD$173,MATCH('Selection Pane Data'!$B123,List!$E$2:$E$173,0),MATCH('Selection Pane Data'!AY$3,List!$E$2:$CD$2,0)),"")</f>
        <v/>
      </c>
      <c r="AZ123" s="13" t="str">
        <f>IF(AZ$4="Yes",INDEX(List!$E$2:$CD$173,MATCH('Selection Pane Data'!$B123,List!$E$2:$E$173,0),MATCH('Selection Pane Data'!AZ$3,List!$E$2:$CD$2,0)),"")</f>
        <v/>
      </c>
      <c r="BA123" s="13" t="str">
        <f>IF(BA$4="Yes",INDEX(List!$E$2:$CD$173,MATCH('Selection Pane Data'!$B123,List!$E$2:$E$173,0),MATCH('Selection Pane Data'!BA$3,List!$E$2:$CD$2,0)),"")</f>
        <v/>
      </c>
      <c r="BB123" s="13" t="str">
        <f>IF(BB$4="Yes",INDEX(List!$E$2:$CD$173,MATCH('Selection Pane Data'!$B123,List!$E$2:$E$173,0),MATCH('Selection Pane Data'!BB$3,List!$E$2:$CD$2,0)),"")</f>
        <v/>
      </c>
      <c r="BC123" s="13" t="str">
        <f>IF(BC$4="Yes",INDEX(List!$E$2:$CD$173,MATCH('Selection Pane Data'!$B123,List!$E$2:$E$173,0),MATCH('Selection Pane Data'!BC$3,List!$E$2:$CD$2,0)),"")</f>
        <v/>
      </c>
      <c r="BD123" s="13" t="str">
        <f>IF(BD$4="Yes",INDEX(List!$E$2:$CD$173,MATCH('Selection Pane Data'!$B123,List!$E$2:$E$173,0),MATCH('Selection Pane Data'!BD$3,List!$E$2:$CD$2,0)),"")</f>
        <v/>
      </c>
      <c r="BE123" s="13" t="str">
        <f>IF(BE$4="Yes",INDEX(List!$E$2:$CD$173,MATCH('Selection Pane Data'!$B123,List!$E$2:$E$173,0),MATCH('Selection Pane Data'!BE$3,List!$E$2:$CD$2,0)),"")</f>
        <v/>
      </c>
      <c r="BF123" s="13" t="str">
        <f>IF(BF$4="Yes",INDEX(List!$E$2:$CD$173,MATCH('Selection Pane Data'!$B123,List!$E$2:$E$173,0),MATCH('Selection Pane Data'!BF$3,List!$E$2:$CD$2,0)),"")</f>
        <v/>
      </c>
      <c r="BG123" s="13" t="str">
        <f>IF(BG$4="Yes",INDEX(List!$E$2:$CD$173,MATCH('Selection Pane Data'!$B123,List!$E$2:$E$173,0),MATCH('Selection Pane Data'!BG$3,List!$E$2:$CD$2,0)),"")</f>
        <v/>
      </c>
      <c r="BH123" s="13" t="str">
        <f>IF(BH$4="Yes",INDEX(List!$E$2:$CD$173,MATCH('Selection Pane Data'!$B123,List!$E$2:$E$173,0),MATCH('Selection Pane Data'!BH$3,List!$E$2:$CD$2,0)),"")</f>
        <v/>
      </c>
      <c r="BI123" s="13" t="str">
        <f>IF(BI$4="Yes",INDEX(List!$E$2:$CD$173,MATCH('Selection Pane Data'!$B123,List!$E$2:$E$173,0),MATCH('Selection Pane Data'!BI$3,List!$E$2:$CD$2,0)),"")</f>
        <v/>
      </c>
      <c r="BJ123" s="13" t="str">
        <f>IF(BJ$4="Yes",INDEX(List!$E$2:$CD$173,MATCH('Selection Pane Data'!$B123,List!$E$2:$E$173,0),MATCH('Selection Pane Data'!BJ$3,List!$E$2:$CD$2,0)),"")</f>
        <v/>
      </c>
      <c r="BK123" s="13" t="str">
        <f>IF(BK$4="Yes",INDEX(List!$E$2:$CD$173,MATCH('Selection Pane Data'!$B123,List!$E$2:$E$173,0),MATCH('Selection Pane Data'!BK$3,List!$E$2:$CD$2,0)),"")</f>
        <v/>
      </c>
      <c r="BL123" s="13" t="str">
        <f>IF(BL$4="Yes",INDEX(List!$E$2:$CD$173,MATCH('Selection Pane Data'!$B123,List!$E$2:$E$173,0),MATCH('Selection Pane Data'!BL$3,List!$E$2:$CD$2,0)),"")</f>
        <v/>
      </c>
      <c r="BM123" s="13" t="str">
        <f>IF(BM$4="Yes",INDEX(List!$E$2:$CD$173,MATCH('Selection Pane Data'!$B123,List!$E$2:$E$173,0),MATCH('Selection Pane Data'!BM$3,List!$E$2:$CD$2,0)),"")</f>
        <v/>
      </c>
      <c r="BN123" s="13" t="str">
        <f>IF(BN$4="Yes",INDEX(List!$E$2:$CD$173,MATCH('Selection Pane Data'!$B123,List!$E$2:$E$173,0),MATCH('Selection Pane Data'!BN$3,List!$E$2:$CD$2,0)),"")</f>
        <v/>
      </c>
      <c r="BO123" s="13" t="str">
        <f>IF(BO$4="Yes",INDEX(List!$E$2:$CD$173,MATCH('Selection Pane Data'!$B123,List!$E$2:$E$173,0),MATCH('Selection Pane Data'!BO$3,List!$E$2:$CD$2,0)),"")</f>
        <v/>
      </c>
      <c r="BP123" s="13" t="str">
        <f>IF(BP$4="Yes",INDEX(List!$E$2:$CD$173,MATCH('Selection Pane Data'!$B123,List!$E$2:$E$173,0),MATCH('Selection Pane Data'!BP$3,List!$E$2:$CD$2,0)),"")</f>
        <v/>
      </c>
      <c r="BQ123" s="13" t="str">
        <f>IF(BQ$4="Yes",INDEX(List!$E$2:$CD$173,MATCH('Selection Pane Data'!$B123,List!$E$2:$E$173,0),MATCH('Selection Pane Data'!BQ$3,List!$E$2:$CD$2,0)),"")</f>
        <v/>
      </c>
      <c r="BR123" s="13" t="str">
        <f>IF(BR$4="Yes",INDEX(List!$E$2:$CD$173,MATCH('Selection Pane Data'!$B123,List!$E$2:$E$173,0),MATCH('Selection Pane Data'!BR$3,List!$E$2:$CD$2,0)),"")</f>
        <v/>
      </c>
      <c r="BS123" s="13" t="str">
        <f>IF(BS$4="Yes",INDEX(List!$E$2:$CD$173,MATCH('Selection Pane Data'!$B123,List!$E$2:$E$173,0),MATCH('Selection Pane Data'!BS$3,List!$E$2:$CD$2,0)),"")</f>
        <v/>
      </c>
      <c r="BT123" s="13" t="str">
        <f>IF(BT$4="Yes",INDEX(List!$E$2:$CD$173,MATCH('Selection Pane Data'!$B123,List!$E$2:$E$173,0),MATCH('Selection Pane Data'!BT$3,List!$E$2:$CD$2,0)),"")</f>
        <v/>
      </c>
      <c r="BU123" s="13" t="str">
        <f>IF(BU$4="Yes",INDEX(List!$E$2:$CD$173,MATCH('Selection Pane Data'!$B123,List!$E$2:$E$173,0),MATCH('Selection Pane Data'!BU$3,List!$E$2:$CD$2,0)),"")</f>
        <v/>
      </c>
      <c r="BV123" s="13" t="str">
        <f>IF(BV$4="Yes",INDEX(List!$E$2:$CD$173,MATCH('Selection Pane Data'!$B123,List!$E$2:$E$173,0),MATCH('Selection Pane Data'!BV$3,List!$E$2:$CD$2,0)),"")</f>
        <v/>
      </c>
      <c r="BW123" s="13" t="str">
        <f>IF(BW$4="Yes",INDEX(List!$E$2:$CD$173,MATCH('Selection Pane Data'!$B123,List!$E$2:$E$173,0),MATCH('Selection Pane Data'!BW$3,List!$E$2:$CD$2,0)),"")</f>
        <v/>
      </c>
      <c r="BX123" s="13" t="str">
        <f>IF(BX$4="Yes",INDEX(List!$E$2:$CD$173,MATCH('Selection Pane Data'!$B123,List!$E$2:$E$173,0),MATCH('Selection Pane Data'!BX$3,List!$E$2:$CD$2,0)),"")</f>
        <v/>
      </c>
      <c r="BY123" s="13" t="str">
        <f>IF(BY$4="Yes",INDEX(List!$E$2:$CD$173,MATCH('Selection Pane Data'!$B123,List!$E$2:$E$173,0),MATCH('Selection Pane Data'!BY$3,List!$E$2:$CD$2,0)),"")</f>
        <v/>
      </c>
      <c r="BZ123" s="13" t="str">
        <f>IF(BZ$4="Yes",INDEX(List!$E$2:$CD$173,MATCH('Selection Pane Data'!$B123,List!$E$2:$E$173,0),MATCH('Selection Pane Data'!BZ$3,List!$E$2:$CD$2,0)),"")</f>
        <v/>
      </c>
      <c r="CA123" s="13" t="str">
        <f>IF(CA$4="Yes",INDEX(List!$E$2:$CD$173,MATCH('Selection Pane Data'!$B123,List!$E$2:$E$173,0),MATCH('Selection Pane Data'!CA$3,List!$E$2:$CD$2,0)),"")</f>
        <v/>
      </c>
      <c r="CB123" s="13" t="str">
        <f>IF(CB$4="Yes",INDEX(List!$E$2:$CD$173,MATCH('Selection Pane Data'!$B123,List!$E$2:$E$173,0),MATCH('Selection Pane Data'!CB$3,List!$E$2:$CD$2,0)),"")</f>
        <v/>
      </c>
      <c r="CC123" s="13" t="str">
        <f>IF(CC$4="Yes",INDEX(List!$E$2:$CD$173,MATCH('Selection Pane Data'!$B123,List!$E$2:$E$173,0),MATCH('Selection Pane Data'!CC$3,List!$E$2:$CD$2,0)),"")</f>
        <v/>
      </c>
      <c r="CD123" s="13" t="str">
        <f>IF(CD$4="Yes",INDEX(List!$E$2:$CD$173,MATCH('Selection Pane Data'!$B123,List!$E$2:$E$173,0),MATCH('Selection Pane Data'!CD$3,List!$E$2:$CD$2,0)),"")</f>
        <v/>
      </c>
      <c r="CE123" s="13" t="str">
        <f>IF(CE$4="Yes",INDEX(List!$E$2:$CD$173,MATCH('Selection Pane Data'!$B123,List!$E$2:$E$173,0),MATCH('Selection Pane Data'!CE$3,List!$E$2:$CD$2,0)),"")</f>
        <v/>
      </c>
    </row>
    <row r="124" spans="2:83" x14ac:dyDescent="0.35">
      <c r="B124" s="21" t="s">
        <v>411</v>
      </c>
      <c r="C124" s="126" t="str">
        <f>VLOOKUP(B124,List!$E$2:$G$173,2,FALSE)</f>
        <v>N/A</v>
      </c>
      <c r="D124" s="31" t="str">
        <f>List!G122</f>
        <v>Shared Coverage</v>
      </c>
      <c r="E124" s="31" t="str">
        <f>IF(Placemat!$F$4="All Practices","All Practices",IF(VLOOKUP(B124,Table7[#All],6,FALSE)="No Mapping","New CMMC Practices","Practices with NIST 800-171 Mappings"))</f>
        <v>Practices with NIST 800-171 Mappings</v>
      </c>
      <c r="F124" t="str">
        <f>INDEX('CMMC Levels'!$A$1:$F$172,MATCH('Selection Pane Data'!$C124,'CMMC Levels'!$A$1:$A$172,0),MATCH(Placemat!$F$4,'CMMC Levels'!$A$1:$F$1,0))</f>
        <v>N/A</v>
      </c>
      <c r="G124" s="77" t="str">
        <f>IF((COUNTIF(List!H122:CE122,"P")+COUNTIF(List!H122:CE122,"S"))=0,"N",IF(COUNTIF(H124:CE124,"P"),"P",IF(COUNTIF(H124:CE124,"S"),"S","U")))</f>
        <v>N</v>
      </c>
      <c r="H124" s="13" t="str">
        <f>IF(H$4="Yes",INDEX(List!$E$2:$CD$173,MATCH('Selection Pane Data'!$B124,List!$E$2:$E$173,0),MATCH('Selection Pane Data'!H$3,List!$E$2:$CD$2,0)),"")</f>
        <v/>
      </c>
      <c r="I124" s="13" t="str">
        <f>IF(I$4="Yes",INDEX(List!$E$2:$CD$173,MATCH('Selection Pane Data'!$B124,List!$E$2:$E$173,0),MATCH('Selection Pane Data'!I$3,List!$E$2:$CD$2,0)),"")</f>
        <v/>
      </c>
      <c r="J124" s="13" t="e">
        <f>IF(J$4="Yes",INDEX(List!$E$2:$CD$173,MATCH('Selection Pane Data'!$B124,List!$E$2:$E$173,0),MATCH('Selection Pane Data'!J$3,List!$E$2:$CD$2,0)),"")</f>
        <v>#N/A</v>
      </c>
      <c r="K124" s="13" t="str">
        <f>IF(K$4="Yes",INDEX(List!$E$2:$CD$173,MATCH('Selection Pane Data'!$B124,List!$E$2:$E$173,0),MATCH('Selection Pane Data'!K$3,List!$E$2:$CD$2,0)),"")</f>
        <v/>
      </c>
      <c r="L124" s="13" t="str">
        <f>IF(L$4="Yes",INDEX(List!$E$2:$CD$173,MATCH('Selection Pane Data'!$B124,List!$E$2:$E$173,0),MATCH('Selection Pane Data'!L$3,List!$E$2:$CD$2,0)),"")</f>
        <v/>
      </c>
      <c r="M124" s="13" t="str">
        <f>IF(M$4="Yes",INDEX(List!$E$2:$CD$173,MATCH('Selection Pane Data'!$B124,List!$E$2:$E$173,0),MATCH('Selection Pane Data'!M$3,List!$E$2:$CD$2,0)),"")</f>
        <v/>
      </c>
      <c r="N124" s="13" t="str">
        <f>IF(N$4="Yes",INDEX(List!$E$2:$CD$173,MATCH('Selection Pane Data'!$B124,List!$E$2:$E$173,0),MATCH('Selection Pane Data'!N$3,List!$E$2:$CD$2,0)),"")</f>
        <v/>
      </c>
      <c r="O124" s="13" t="str">
        <f>IF(O$4="Yes",INDEX(List!$E$2:$CD$173,MATCH('Selection Pane Data'!$B124,List!$E$2:$E$173,0),MATCH('Selection Pane Data'!O$3,List!$E$2:$CD$2,0)),"")</f>
        <v/>
      </c>
      <c r="P124" s="13" t="str">
        <f>IF(P$4="Yes",INDEX(List!$E$2:$CD$173,MATCH('Selection Pane Data'!$B124,List!$E$2:$E$173,0),MATCH('Selection Pane Data'!P$3,List!$E$2:$CD$2,0)),"")</f>
        <v/>
      </c>
      <c r="Q124" s="13" t="str">
        <f>IF(Q$4="Yes",INDEX(List!$E$2:$CD$173,MATCH('Selection Pane Data'!$B124,List!$E$2:$E$173,0),MATCH('Selection Pane Data'!Q$3,List!$E$2:$CD$2,0)),"")</f>
        <v/>
      </c>
      <c r="R124" s="13" t="str">
        <f>IF(R$4="Yes",INDEX(List!$E$2:$CD$173,MATCH('Selection Pane Data'!$B124,List!$E$2:$E$173,0),MATCH('Selection Pane Data'!R$3,List!$E$2:$CD$2,0)),"")</f>
        <v/>
      </c>
      <c r="S124" s="13" t="str">
        <f>IF(S$4="Yes",INDEX(List!$E$2:$CD$173,MATCH('Selection Pane Data'!$B124,List!$E$2:$E$173,0),MATCH('Selection Pane Data'!S$3,List!$E$2:$CD$2,0)),"")</f>
        <v/>
      </c>
      <c r="T124" s="13" t="str">
        <f>IF(T$4="Yes",INDEX(List!$E$2:$CD$173,MATCH('Selection Pane Data'!$B124,List!$E$2:$E$173,0),MATCH('Selection Pane Data'!T$3,List!$E$2:$CD$2,0)),"")</f>
        <v/>
      </c>
      <c r="U124" s="13" t="str">
        <f>IF(U$4="Yes",INDEX(List!$E$2:$CD$173,MATCH('Selection Pane Data'!$B124,List!$E$2:$E$173,0),MATCH('Selection Pane Data'!U$3,List!$E$2:$CD$2,0)),"")</f>
        <v/>
      </c>
      <c r="V124" s="13" t="str">
        <f>IF(V$4="Yes",INDEX(List!$E$2:$CD$173,MATCH('Selection Pane Data'!$B124,List!$E$2:$E$173,0),MATCH('Selection Pane Data'!V$3,List!$E$2:$CD$2,0)),"")</f>
        <v/>
      </c>
      <c r="W124" s="13" t="str">
        <f>IF(W$4="Yes",INDEX(List!$E$2:$CD$173,MATCH('Selection Pane Data'!$B124,List!$E$2:$E$173,0),MATCH('Selection Pane Data'!W$3,List!$E$2:$CD$2,0)),"")</f>
        <v/>
      </c>
      <c r="X124" s="13" t="str">
        <f>IF(X$4="Yes",INDEX(List!$E$2:$CD$173,MATCH('Selection Pane Data'!$B124,List!$E$2:$E$173,0),MATCH('Selection Pane Data'!X$3,List!$E$2:$CD$2,0)),"")</f>
        <v/>
      </c>
      <c r="Y124" s="13" t="str">
        <f>IF(Y$4="Yes",INDEX(List!$E$2:$CD$173,MATCH('Selection Pane Data'!$B124,List!$E$2:$E$173,0),MATCH('Selection Pane Data'!Y$3,List!$E$2:$CD$2,0)),"")</f>
        <v/>
      </c>
      <c r="Z124" s="13" t="str">
        <f>IF(Z$4="Yes",INDEX(List!$E$2:$CD$173,MATCH('Selection Pane Data'!$B124,List!$E$2:$E$173,0),MATCH('Selection Pane Data'!Z$3,List!$E$2:$CD$2,0)),"")</f>
        <v/>
      </c>
      <c r="AA124" s="13" t="e">
        <f>IF(AA$4="Yes",INDEX(List!$E$2:$CD$173,MATCH('Selection Pane Data'!$B124,List!$E$2:$E$173,0),MATCH('Selection Pane Data'!AA$3,List!$E$2:$CD$2,0)),"")</f>
        <v>#N/A</v>
      </c>
      <c r="AB124" s="13" t="str">
        <f>IF(AB$4="Yes",INDEX(List!$E$2:$CD$173,MATCH('Selection Pane Data'!$B124,List!$E$2:$E$173,0),MATCH('Selection Pane Data'!AB$3,List!$E$2:$CD$2,0)),"")</f>
        <v/>
      </c>
      <c r="AC124" s="13" t="str">
        <f>IF(AC$4="Yes",INDEX(List!$E$2:$CD$173,MATCH('Selection Pane Data'!$B124,List!$E$2:$E$173,0),MATCH('Selection Pane Data'!AC$3,List!$E$2:$CD$2,0)),"")</f>
        <v/>
      </c>
      <c r="AD124" s="13" t="str">
        <f>IF(AD$4="Yes",INDEX(List!$E$2:$CD$173,MATCH('Selection Pane Data'!$B124,List!$E$2:$E$173,0),MATCH('Selection Pane Data'!AD$3,List!$E$2:$CD$2,0)),"")</f>
        <v/>
      </c>
      <c r="AE124" s="13" t="str">
        <f>IF(AE$4="Yes",INDEX(List!$E$2:$CD$173,MATCH('Selection Pane Data'!$B124,List!$E$2:$E$173,0),MATCH('Selection Pane Data'!AE$3,List!$E$2:$CD$2,0)),"")</f>
        <v/>
      </c>
      <c r="AF124" s="13" t="str">
        <f>IF(AF$4="Yes",INDEX(List!$E$2:$CD$173,MATCH('Selection Pane Data'!$B124,List!$E$2:$E$173,0),MATCH('Selection Pane Data'!AF$3,List!$E$2:$CD$2,0)),"")</f>
        <v/>
      </c>
      <c r="AG124" s="13" t="str">
        <f>IF(AG$4="Yes",INDEX(List!$E$2:$CD$173,MATCH('Selection Pane Data'!$B124,List!$E$2:$E$173,0),MATCH('Selection Pane Data'!AG$3,List!$E$2:$CD$2,0)),"")</f>
        <v/>
      </c>
      <c r="AH124" s="13" t="str">
        <f>IF(AH$4="Yes",INDEX(List!$E$2:$CD$173,MATCH('Selection Pane Data'!$B124,List!$E$2:$E$173,0),MATCH('Selection Pane Data'!AH$3,List!$E$2:$CD$2,0)),"")</f>
        <v/>
      </c>
      <c r="AI124" s="13" t="str">
        <f>IF(AI$4="Yes",INDEX(List!$E$2:$CD$173,MATCH('Selection Pane Data'!$B124,List!$E$2:$E$173,0),MATCH('Selection Pane Data'!AI$3,List!$E$2:$CD$2,0)),"")</f>
        <v/>
      </c>
      <c r="AJ124" s="13" t="str">
        <f>IF(AJ$4="Yes",INDEX(List!$E$2:$CD$173,MATCH('Selection Pane Data'!$B124,List!$E$2:$E$173,0),MATCH('Selection Pane Data'!AJ$3,List!$E$2:$CD$2,0)),"")</f>
        <v/>
      </c>
      <c r="AK124" s="13" t="str">
        <f>IF(AK$4="Yes",INDEX(List!$E$2:$CD$173,MATCH('Selection Pane Data'!$B124,List!$E$2:$E$173,0),MATCH('Selection Pane Data'!AK$3,List!$E$2:$CD$2,0)),"")</f>
        <v/>
      </c>
      <c r="AL124" s="13" t="str">
        <f>IF(AL$4="Yes",INDEX(List!$E$2:$CD$173,MATCH('Selection Pane Data'!$B124,List!$E$2:$E$173,0),MATCH('Selection Pane Data'!AL$3,List!$E$2:$CD$2,0)),"")</f>
        <v/>
      </c>
      <c r="AM124" s="13" t="str">
        <f>IF(AM$4="Yes",INDEX(List!$E$2:$CD$173,MATCH('Selection Pane Data'!$B124,List!$E$2:$E$173,0),MATCH('Selection Pane Data'!AM$3,List!$E$2:$CD$2,0)),"")</f>
        <v/>
      </c>
      <c r="AN124" s="13" t="str">
        <f>IF(AN$4="Yes",INDEX(List!$E$2:$CD$173,MATCH('Selection Pane Data'!$B124,List!$E$2:$E$173,0),MATCH('Selection Pane Data'!AN$3,List!$E$2:$CD$2,0)),"")</f>
        <v/>
      </c>
      <c r="AO124" s="13" t="str">
        <f>IF(AO$4="Yes",INDEX(List!$E$2:$CD$173,MATCH('Selection Pane Data'!$B124,List!$E$2:$E$173,0),MATCH('Selection Pane Data'!AO$3,List!$E$2:$CD$2,0)),"")</f>
        <v/>
      </c>
      <c r="AP124" s="13" t="str">
        <f>IF(AP$4="Yes",INDEX(List!$E$2:$CD$173,MATCH('Selection Pane Data'!$B124,List!$E$2:$E$173,0),MATCH('Selection Pane Data'!AP$3,List!$E$2:$CD$2,0)),"")</f>
        <v/>
      </c>
      <c r="AQ124" s="13" t="str">
        <f>IF(AQ$4="Yes",INDEX(List!$E$2:$CD$173,MATCH('Selection Pane Data'!$B124,List!$E$2:$E$173,0),MATCH('Selection Pane Data'!AQ$3,List!$E$2:$CD$2,0)),"")</f>
        <v/>
      </c>
      <c r="AR124" s="13" t="str">
        <f>IF(AR$4="Yes",INDEX(List!$E$2:$CD$173,MATCH('Selection Pane Data'!$B124,List!$E$2:$E$173,0),MATCH('Selection Pane Data'!AR$3,List!$E$2:$CD$2,0)),"")</f>
        <v/>
      </c>
      <c r="AS124" s="13" t="str">
        <f>IF(AS$4="Yes",INDEX(List!$E$2:$CD$173,MATCH('Selection Pane Data'!$B124,List!$E$2:$E$173,0),MATCH('Selection Pane Data'!AS$3,List!$E$2:$CD$2,0)),"")</f>
        <v/>
      </c>
      <c r="AT124" s="13" t="str">
        <f>IF(AT$4="Yes",INDEX(List!$E$2:$CD$173,MATCH('Selection Pane Data'!$B124,List!$E$2:$E$173,0),MATCH('Selection Pane Data'!AT$3,List!$E$2:$CD$2,0)),"")</f>
        <v/>
      </c>
      <c r="AU124" s="13" t="str">
        <f>IF(AU$4="Yes",INDEX(List!$E$2:$CD$173,MATCH('Selection Pane Data'!$B124,List!$E$2:$E$173,0),MATCH('Selection Pane Data'!AU$3,List!$E$2:$CD$2,0)),"")</f>
        <v/>
      </c>
      <c r="AV124" s="13" t="str">
        <f>IF(AV$4="Yes",INDEX(List!$E$2:$CD$173,MATCH('Selection Pane Data'!$B124,List!$E$2:$E$173,0),MATCH('Selection Pane Data'!AV$3,List!$E$2:$CD$2,0)),"")</f>
        <v/>
      </c>
      <c r="AW124" s="13" t="str">
        <f>IF(AW$4="Yes",INDEX(List!$E$2:$CD$173,MATCH('Selection Pane Data'!$B124,List!$E$2:$E$173,0),MATCH('Selection Pane Data'!AW$3,List!$E$2:$CD$2,0)),"")</f>
        <v/>
      </c>
      <c r="AX124" s="13" t="str">
        <f>IF(AX$4="Yes",INDEX(List!$E$2:$CD$173,MATCH('Selection Pane Data'!$B124,List!$E$2:$E$173,0),MATCH('Selection Pane Data'!AX$3,List!$E$2:$CD$2,0)),"")</f>
        <v/>
      </c>
      <c r="AY124" s="13" t="str">
        <f>IF(AY$4="Yes",INDEX(List!$E$2:$CD$173,MATCH('Selection Pane Data'!$B124,List!$E$2:$E$173,0),MATCH('Selection Pane Data'!AY$3,List!$E$2:$CD$2,0)),"")</f>
        <v/>
      </c>
      <c r="AZ124" s="13" t="str">
        <f>IF(AZ$4="Yes",INDEX(List!$E$2:$CD$173,MATCH('Selection Pane Data'!$B124,List!$E$2:$E$173,0),MATCH('Selection Pane Data'!AZ$3,List!$E$2:$CD$2,0)),"")</f>
        <v/>
      </c>
      <c r="BA124" s="13" t="str">
        <f>IF(BA$4="Yes",INDEX(List!$E$2:$CD$173,MATCH('Selection Pane Data'!$B124,List!$E$2:$E$173,0),MATCH('Selection Pane Data'!BA$3,List!$E$2:$CD$2,0)),"")</f>
        <v/>
      </c>
      <c r="BB124" s="13" t="str">
        <f>IF(BB$4="Yes",INDEX(List!$E$2:$CD$173,MATCH('Selection Pane Data'!$B124,List!$E$2:$E$173,0),MATCH('Selection Pane Data'!BB$3,List!$E$2:$CD$2,0)),"")</f>
        <v/>
      </c>
      <c r="BC124" s="13" t="str">
        <f>IF(BC$4="Yes",INDEX(List!$E$2:$CD$173,MATCH('Selection Pane Data'!$B124,List!$E$2:$E$173,0),MATCH('Selection Pane Data'!BC$3,List!$E$2:$CD$2,0)),"")</f>
        <v/>
      </c>
      <c r="BD124" s="13" t="str">
        <f>IF(BD$4="Yes",INDEX(List!$E$2:$CD$173,MATCH('Selection Pane Data'!$B124,List!$E$2:$E$173,0),MATCH('Selection Pane Data'!BD$3,List!$E$2:$CD$2,0)),"")</f>
        <v/>
      </c>
      <c r="BE124" s="13" t="str">
        <f>IF(BE$4="Yes",INDEX(List!$E$2:$CD$173,MATCH('Selection Pane Data'!$B124,List!$E$2:$E$173,0),MATCH('Selection Pane Data'!BE$3,List!$E$2:$CD$2,0)),"")</f>
        <v/>
      </c>
      <c r="BF124" s="13" t="str">
        <f>IF(BF$4="Yes",INDEX(List!$E$2:$CD$173,MATCH('Selection Pane Data'!$B124,List!$E$2:$E$173,0),MATCH('Selection Pane Data'!BF$3,List!$E$2:$CD$2,0)),"")</f>
        <v/>
      </c>
      <c r="BG124" s="13" t="str">
        <f>IF(BG$4="Yes",INDEX(List!$E$2:$CD$173,MATCH('Selection Pane Data'!$B124,List!$E$2:$E$173,0),MATCH('Selection Pane Data'!BG$3,List!$E$2:$CD$2,0)),"")</f>
        <v/>
      </c>
      <c r="BH124" s="13" t="str">
        <f>IF(BH$4="Yes",INDEX(List!$E$2:$CD$173,MATCH('Selection Pane Data'!$B124,List!$E$2:$E$173,0),MATCH('Selection Pane Data'!BH$3,List!$E$2:$CD$2,0)),"")</f>
        <v/>
      </c>
      <c r="BI124" s="13" t="str">
        <f>IF(BI$4="Yes",INDEX(List!$E$2:$CD$173,MATCH('Selection Pane Data'!$B124,List!$E$2:$E$173,0),MATCH('Selection Pane Data'!BI$3,List!$E$2:$CD$2,0)),"")</f>
        <v/>
      </c>
      <c r="BJ124" s="13" t="str">
        <f>IF(BJ$4="Yes",INDEX(List!$E$2:$CD$173,MATCH('Selection Pane Data'!$B124,List!$E$2:$E$173,0),MATCH('Selection Pane Data'!BJ$3,List!$E$2:$CD$2,0)),"")</f>
        <v/>
      </c>
      <c r="BK124" s="13" t="str">
        <f>IF(BK$4="Yes",INDEX(List!$E$2:$CD$173,MATCH('Selection Pane Data'!$B124,List!$E$2:$E$173,0),MATCH('Selection Pane Data'!BK$3,List!$E$2:$CD$2,0)),"")</f>
        <v/>
      </c>
      <c r="BL124" s="13" t="str">
        <f>IF(BL$4="Yes",INDEX(List!$E$2:$CD$173,MATCH('Selection Pane Data'!$B124,List!$E$2:$E$173,0),MATCH('Selection Pane Data'!BL$3,List!$E$2:$CD$2,0)),"")</f>
        <v/>
      </c>
      <c r="BM124" s="13" t="str">
        <f>IF(BM$4="Yes",INDEX(List!$E$2:$CD$173,MATCH('Selection Pane Data'!$B124,List!$E$2:$E$173,0),MATCH('Selection Pane Data'!BM$3,List!$E$2:$CD$2,0)),"")</f>
        <v/>
      </c>
      <c r="BN124" s="13" t="str">
        <f>IF(BN$4="Yes",INDEX(List!$E$2:$CD$173,MATCH('Selection Pane Data'!$B124,List!$E$2:$E$173,0),MATCH('Selection Pane Data'!BN$3,List!$E$2:$CD$2,0)),"")</f>
        <v/>
      </c>
      <c r="BO124" s="13" t="str">
        <f>IF(BO$4="Yes",INDEX(List!$E$2:$CD$173,MATCH('Selection Pane Data'!$B124,List!$E$2:$E$173,0),MATCH('Selection Pane Data'!BO$3,List!$E$2:$CD$2,0)),"")</f>
        <v/>
      </c>
      <c r="BP124" s="13" t="str">
        <f>IF(BP$4="Yes",INDEX(List!$E$2:$CD$173,MATCH('Selection Pane Data'!$B124,List!$E$2:$E$173,0),MATCH('Selection Pane Data'!BP$3,List!$E$2:$CD$2,0)),"")</f>
        <v/>
      </c>
      <c r="BQ124" s="13" t="str">
        <f>IF(BQ$4="Yes",INDEX(List!$E$2:$CD$173,MATCH('Selection Pane Data'!$B124,List!$E$2:$E$173,0),MATCH('Selection Pane Data'!BQ$3,List!$E$2:$CD$2,0)),"")</f>
        <v/>
      </c>
      <c r="BR124" s="13" t="str">
        <f>IF(BR$4="Yes",INDEX(List!$E$2:$CD$173,MATCH('Selection Pane Data'!$B124,List!$E$2:$E$173,0),MATCH('Selection Pane Data'!BR$3,List!$E$2:$CD$2,0)),"")</f>
        <v/>
      </c>
      <c r="BS124" s="13" t="str">
        <f>IF(BS$4="Yes",INDEX(List!$E$2:$CD$173,MATCH('Selection Pane Data'!$B124,List!$E$2:$E$173,0),MATCH('Selection Pane Data'!BS$3,List!$E$2:$CD$2,0)),"")</f>
        <v/>
      </c>
      <c r="BT124" s="13" t="str">
        <f>IF(BT$4="Yes",INDEX(List!$E$2:$CD$173,MATCH('Selection Pane Data'!$B124,List!$E$2:$E$173,0),MATCH('Selection Pane Data'!BT$3,List!$E$2:$CD$2,0)),"")</f>
        <v/>
      </c>
      <c r="BU124" s="13" t="str">
        <f>IF(BU$4="Yes",INDEX(List!$E$2:$CD$173,MATCH('Selection Pane Data'!$B124,List!$E$2:$E$173,0),MATCH('Selection Pane Data'!BU$3,List!$E$2:$CD$2,0)),"")</f>
        <v/>
      </c>
      <c r="BV124" s="13" t="str">
        <f>IF(BV$4="Yes",INDEX(List!$E$2:$CD$173,MATCH('Selection Pane Data'!$B124,List!$E$2:$E$173,0),MATCH('Selection Pane Data'!BV$3,List!$E$2:$CD$2,0)),"")</f>
        <v/>
      </c>
      <c r="BW124" s="13" t="str">
        <f>IF(BW$4="Yes",INDEX(List!$E$2:$CD$173,MATCH('Selection Pane Data'!$B124,List!$E$2:$E$173,0),MATCH('Selection Pane Data'!BW$3,List!$E$2:$CD$2,0)),"")</f>
        <v/>
      </c>
      <c r="BX124" s="13" t="str">
        <f>IF(BX$4="Yes",INDEX(List!$E$2:$CD$173,MATCH('Selection Pane Data'!$B124,List!$E$2:$E$173,0),MATCH('Selection Pane Data'!BX$3,List!$E$2:$CD$2,0)),"")</f>
        <v/>
      </c>
      <c r="BY124" s="13" t="str">
        <f>IF(BY$4="Yes",INDEX(List!$E$2:$CD$173,MATCH('Selection Pane Data'!$B124,List!$E$2:$E$173,0),MATCH('Selection Pane Data'!BY$3,List!$E$2:$CD$2,0)),"")</f>
        <v/>
      </c>
      <c r="BZ124" s="13" t="str">
        <f>IF(BZ$4="Yes",INDEX(List!$E$2:$CD$173,MATCH('Selection Pane Data'!$B124,List!$E$2:$E$173,0),MATCH('Selection Pane Data'!BZ$3,List!$E$2:$CD$2,0)),"")</f>
        <v/>
      </c>
      <c r="CA124" s="13" t="str">
        <f>IF(CA$4="Yes",INDEX(List!$E$2:$CD$173,MATCH('Selection Pane Data'!$B124,List!$E$2:$E$173,0),MATCH('Selection Pane Data'!CA$3,List!$E$2:$CD$2,0)),"")</f>
        <v/>
      </c>
      <c r="CB124" s="13" t="str">
        <f>IF(CB$4="Yes",INDEX(List!$E$2:$CD$173,MATCH('Selection Pane Data'!$B124,List!$E$2:$E$173,0),MATCH('Selection Pane Data'!CB$3,List!$E$2:$CD$2,0)),"")</f>
        <v/>
      </c>
      <c r="CC124" s="13" t="str">
        <f>IF(CC$4="Yes",INDEX(List!$E$2:$CD$173,MATCH('Selection Pane Data'!$B124,List!$E$2:$E$173,0),MATCH('Selection Pane Data'!CC$3,List!$E$2:$CD$2,0)),"")</f>
        <v/>
      </c>
      <c r="CD124" s="13" t="str">
        <f>IF(CD$4="Yes",INDEX(List!$E$2:$CD$173,MATCH('Selection Pane Data'!$B124,List!$E$2:$E$173,0),MATCH('Selection Pane Data'!CD$3,List!$E$2:$CD$2,0)),"")</f>
        <v/>
      </c>
      <c r="CE124" s="13" t="str">
        <f>IF(CE$4="Yes",INDEX(List!$E$2:$CD$173,MATCH('Selection Pane Data'!$B124,List!$E$2:$E$173,0),MATCH('Selection Pane Data'!CE$3,List!$E$2:$CD$2,0)),"")</f>
        <v/>
      </c>
    </row>
    <row r="125" spans="2:83" x14ac:dyDescent="0.35">
      <c r="B125" s="21" t="s">
        <v>412</v>
      </c>
      <c r="C125" s="126" t="str">
        <f>VLOOKUP(B125,List!$E$2:$G$173,2,FALSE)</f>
        <v>N/A</v>
      </c>
      <c r="D125" s="31" t="str">
        <f>List!G123</f>
        <v>Customer Responsibility</v>
      </c>
      <c r="E125" s="31" t="str">
        <f>IF(Placemat!$F$4="All Practices","All Practices",IF(VLOOKUP(B125,Table7[#All],6,FALSE)="No Mapping","New CMMC Practices","Practices with NIST 800-171 Mappings"))</f>
        <v>Practices with NIST 800-171 Mappings</v>
      </c>
      <c r="F125" t="str">
        <f>INDEX('CMMC Levels'!$A$1:$F$172,MATCH('Selection Pane Data'!$C125,'CMMC Levels'!$A$1:$A$172,0),MATCH(Placemat!$F$4,'CMMC Levels'!$A$1:$F$1,0))</f>
        <v>N/A</v>
      </c>
      <c r="G125" s="77" t="str">
        <f>IF((COUNTIF(List!H123:CE123,"P")+COUNTIF(List!H123:CE123,"S"))=0,"N",IF(COUNTIF(H125:CE125,"P"),"P",IF(COUNTIF(H125:CE125,"S"),"S","U")))</f>
        <v>N</v>
      </c>
      <c r="H125" s="13" t="str">
        <f>IF(H$4="Yes",INDEX(List!$E$2:$CD$173,MATCH('Selection Pane Data'!$B125,List!$E$2:$E$173,0),MATCH('Selection Pane Data'!H$3,List!$E$2:$CD$2,0)),"")</f>
        <v/>
      </c>
      <c r="I125" s="13" t="str">
        <f>IF(I$4="Yes",INDEX(List!$E$2:$CD$173,MATCH('Selection Pane Data'!$B125,List!$E$2:$E$173,0),MATCH('Selection Pane Data'!I$3,List!$E$2:$CD$2,0)),"")</f>
        <v/>
      </c>
      <c r="J125" s="13" t="e">
        <f>IF(J$4="Yes",INDEX(List!$E$2:$CD$173,MATCH('Selection Pane Data'!$B125,List!$E$2:$E$173,0),MATCH('Selection Pane Data'!J$3,List!$E$2:$CD$2,0)),"")</f>
        <v>#N/A</v>
      </c>
      <c r="K125" s="13" t="str">
        <f>IF(K$4="Yes",INDEX(List!$E$2:$CD$173,MATCH('Selection Pane Data'!$B125,List!$E$2:$E$173,0),MATCH('Selection Pane Data'!K$3,List!$E$2:$CD$2,0)),"")</f>
        <v/>
      </c>
      <c r="L125" s="13" t="str">
        <f>IF(L$4="Yes",INDEX(List!$E$2:$CD$173,MATCH('Selection Pane Data'!$B125,List!$E$2:$E$173,0),MATCH('Selection Pane Data'!L$3,List!$E$2:$CD$2,0)),"")</f>
        <v/>
      </c>
      <c r="M125" s="13" t="str">
        <f>IF(M$4="Yes",INDEX(List!$E$2:$CD$173,MATCH('Selection Pane Data'!$B125,List!$E$2:$E$173,0),MATCH('Selection Pane Data'!M$3,List!$E$2:$CD$2,0)),"")</f>
        <v/>
      </c>
      <c r="N125" s="13" t="str">
        <f>IF(N$4="Yes",INDEX(List!$E$2:$CD$173,MATCH('Selection Pane Data'!$B125,List!$E$2:$E$173,0),MATCH('Selection Pane Data'!N$3,List!$E$2:$CD$2,0)),"")</f>
        <v/>
      </c>
      <c r="O125" s="13" t="str">
        <f>IF(O$4="Yes",INDEX(List!$E$2:$CD$173,MATCH('Selection Pane Data'!$B125,List!$E$2:$E$173,0),MATCH('Selection Pane Data'!O$3,List!$E$2:$CD$2,0)),"")</f>
        <v/>
      </c>
      <c r="P125" s="13" t="str">
        <f>IF(P$4="Yes",INDEX(List!$E$2:$CD$173,MATCH('Selection Pane Data'!$B125,List!$E$2:$E$173,0),MATCH('Selection Pane Data'!P$3,List!$E$2:$CD$2,0)),"")</f>
        <v/>
      </c>
      <c r="Q125" s="13" t="str">
        <f>IF(Q$4="Yes",INDEX(List!$E$2:$CD$173,MATCH('Selection Pane Data'!$B125,List!$E$2:$E$173,0),MATCH('Selection Pane Data'!Q$3,List!$E$2:$CD$2,0)),"")</f>
        <v/>
      </c>
      <c r="R125" s="13" t="str">
        <f>IF(R$4="Yes",INDEX(List!$E$2:$CD$173,MATCH('Selection Pane Data'!$B125,List!$E$2:$E$173,0),MATCH('Selection Pane Data'!R$3,List!$E$2:$CD$2,0)),"")</f>
        <v/>
      </c>
      <c r="S125" s="13" t="str">
        <f>IF(S$4="Yes",INDEX(List!$E$2:$CD$173,MATCH('Selection Pane Data'!$B125,List!$E$2:$E$173,0),MATCH('Selection Pane Data'!S$3,List!$E$2:$CD$2,0)),"")</f>
        <v/>
      </c>
      <c r="T125" s="13" t="str">
        <f>IF(T$4="Yes",INDEX(List!$E$2:$CD$173,MATCH('Selection Pane Data'!$B125,List!$E$2:$E$173,0),MATCH('Selection Pane Data'!T$3,List!$E$2:$CD$2,0)),"")</f>
        <v/>
      </c>
      <c r="U125" s="13" t="str">
        <f>IF(U$4="Yes",INDEX(List!$E$2:$CD$173,MATCH('Selection Pane Data'!$B125,List!$E$2:$E$173,0),MATCH('Selection Pane Data'!U$3,List!$E$2:$CD$2,0)),"")</f>
        <v/>
      </c>
      <c r="V125" s="13" t="str">
        <f>IF(V$4="Yes",INDEX(List!$E$2:$CD$173,MATCH('Selection Pane Data'!$B125,List!$E$2:$E$173,0),MATCH('Selection Pane Data'!V$3,List!$E$2:$CD$2,0)),"")</f>
        <v/>
      </c>
      <c r="W125" s="13" t="str">
        <f>IF(W$4="Yes",INDEX(List!$E$2:$CD$173,MATCH('Selection Pane Data'!$B125,List!$E$2:$E$173,0),MATCH('Selection Pane Data'!W$3,List!$E$2:$CD$2,0)),"")</f>
        <v/>
      </c>
      <c r="X125" s="13" t="str">
        <f>IF(X$4="Yes",INDEX(List!$E$2:$CD$173,MATCH('Selection Pane Data'!$B125,List!$E$2:$E$173,0),MATCH('Selection Pane Data'!X$3,List!$E$2:$CD$2,0)),"")</f>
        <v/>
      </c>
      <c r="Y125" s="13" t="str">
        <f>IF(Y$4="Yes",INDEX(List!$E$2:$CD$173,MATCH('Selection Pane Data'!$B125,List!$E$2:$E$173,0),MATCH('Selection Pane Data'!Y$3,List!$E$2:$CD$2,0)),"")</f>
        <v/>
      </c>
      <c r="Z125" s="13" t="str">
        <f>IF(Z$4="Yes",INDEX(List!$E$2:$CD$173,MATCH('Selection Pane Data'!$B125,List!$E$2:$E$173,0),MATCH('Selection Pane Data'!Z$3,List!$E$2:$CD$2,0)),"")</f>
        <v/>
      </c>
      <c r="AA125" s="13" t="e">
        <f>IF(AA$4="Yes",INDEX(List!$E$2:$CD$173,MATCH('Selection Pane Data'!$B125,List!$E$2:$E$173,0),MATCH('Selection Pane Data'!AA$3,List!$E$2:$CD$2,0)),"")</f>
        <v>#N/A</v>
      </c>
      <c r="AB125" s="13" t="str">
        <f>IF(AB$4="Yes",INDEX(List!$E$2:$CD$173,MATCH('Selection Pane Data'!$B125,List!$E$2:$E$173,0),MATCH('Selection Pane Data'!AB$3,List!$E$2:$CD$2,0)),"")</f>
        <v/>
      </c>
      <c r="AC125" s="13" t="str">
        <f>IF(AC$4="Yes",INDEX(List!$E$2:$CD$173,MATCH('Selection Pane Data'!$B125,List!$E$2:$E$173,0),MATCH('Selection Pane Data'!AC$3,List!$E$2:$CD$2,0)),"")</f>
        <v/>
      </c>
      <c r="AD125" s="13" t="str">
        <f>IF(AD$4="Yes",INDEX(List!$E$2:$CD$173,MATCH('Selection Pane Data'!$B125,List!$E$2:$E$173,0),MATCH('Selection Pane Data'!AD$3,List!$E$2:$CD$2,0)),"")</f>
        <v/>
      </c>
      <c r="AE125" s="13" t="str">
        <f>IF(AE$4="Yes",INDEX(List!$E$2:$CD$173,MATCH('Selection Pane Data'!$B125,List!$E$2:$E$173,0),MATCH('Selection Pane Data'!AE$3,List!$E$2:$CD$2,0)),"")</f>
        <v/>
      </c>
      <c r="AF125" s="13" t="str">
        <f>IF(AF$4="Yes",INDEX(List!$E$2:$CD$173,MATCH('Selection Pane Data'!$B125,List!$E$2:$E$173,0),MATCH('Selection Pane Data'!AF$3,List!$E$2:$CD$2,0)),"")</f>
        <v/>
      </c>
      <c r="AG125" s="13" t="str">
        <f>IF(AG$4="Yes",INDEX(List!$E$2:$CD$173,MATCH('Selection Pane Data'!$B125,List!$E$2:$E$173,0),MATCH('Selection Pane Data'!AG$3,List!$E$2:$CD$2,0)),"")</f>
        <v/>
      </c>
      <c r="AH125" s="13" t="str">
        <f>IF(AH$4="Yes",INDEX(List!$E$2:$CD$173,MATCH('Selection Pane Data'!$B125,List!$E$2:$E$173,0),MATCH('Selection Pane Data'!AH$3,List!$E$2:$CD$2,0)),"")</f>
        <v/>
      </c>
      <c r="AI125" s="13" t="str">
        <f>IF(AI$4="Yes",INDEX(List!$E$2:$CD$173,MATCH('Selection Pane Data'!$B125,List!$E$2:$E$173,0),MATCH('Selection Pane Data'!AI$3,List!$E$2:$CD$2,0)),"")</f>
        <v/>
      </c>
      <c r="AJ125" s="13" t="str">
        <f>IF(AJ$4="Yes",INDEX(List!$E$2:$CD$173,MATCH('Selection Pane Data'!$B125,List!$E$2:$E$173,0),MATCH('Selection Pane Data'!AJ$3,List!$E$2:$CD$2,0)),"")</f>
        <v/>
      </c>
      <c r="AK125" s="13" t="str">
        <f>IF(AK$4="Yes",INDEX(List!$E$2:$CD$173,MATCH('Selection Pane Data'!$B125,List!$E$2:$E$173,0),MATCH('Selection Pane Data'!AK$3,List!$E$2:$CD$2,0)),"")</f>
        <v/>
      </c>
      <c r="AL125" s="13" t="str">
        <f>IF(AL$4="Yes",INDEX(List!$E$2:$CD$173,MATCH('Selection Pane Data'!$B125,List!$E$2:$E$173,0),MATCH('Selection Pane Data'!AL$3,List!$E$2:$CD$2,0)),"")</f>
        <v/>
      </c>
      <c r="AM125" s="13" t="str">
        <f>IF(AM$4="Yes",INDEX(List!$E$2:$CD$173,MATCH('Selection Pane Data'!$B125,List!$E$2:$E$173,0),MATCH('Selection Pane Data'!AM$3,List!$E$2:$CD$2,0)),"")</f>
        <v/>
      </c>
      <c r="AN125" s="13" t="str">
        <f>IF(AN$4="Yes",INDEX(List!$E$2:$CD$173,MATCH('Selection Pane Data'!$B125,List!$E$2:$E$173,0),MATCH('Selection Pane Data'!AN$3,List!$E$2:$CD$2,0)),"")</f>
        <v/>
      </c>
      <c r="AO125" s="13" t="str">
        <f>IF(AO$4="Yes",INDEX(List!$E$2:$CD$173,MATCH('Selection Pane Data'!$B125,List!$E$2:$E$173,0),MATCH('Selection Pane Data'!AO$3,List!$E$2:$CD$2,0)),"")</f>
        <v/>
      </c>
      <c r="AP125" s="13" t="str">
        <f>IF(AP$4="Yes",INDEX(List!$E$2:$CD$173,MATCH('Selection Pane Data'!$B125,List!$E$2:$E$173,0),MATCH('Selection Pane Data'!AP$3,List!$E$2:$CD$2,0)),"")</f>
        <v/>
      </c>
      <c r="AQ125" s="13" t="str">
        <f>IF(AQ$4="Yes",INDEX(List!$E$2:$CD$173,MATCH('Selection Pane Data'!$B125,List!$E$2:$E$173,0),MATCH('Selection Pane Data'!AQ$3,List!$E$2:$CD$2,0)),"")</f>
        <v/>
      </c>
      <c r="AR125" s="13" t="str">
        <f>IF(AR$4="Yes",INDEX(List!$E$2:$CD$173,MATCH('Selection Pane Data'!$B125,List!$E$2:$E$173,0),MATCH('Selection Pane Data'!AR$3,List!$E$2:$CD$2,0)),"")</f>
        <v/>
      </c>
      <c r="AS125" s="13" t="str">
        <f>IF(AS$4="Yes",INDEX(List!$E$2:$CD$173,MATCH('Selection Pane Data'!$B125,List!$E$2:$E$173,0),MATCH('Selection Pane Data'!AS$3,List!$E$2:$CD$2,0)),"")</f>
        <v/>
      </c>
      <c r="AT125" s="13" t="str">
        <f>IF(AT$4="Yes",INDEX(List!$E$2:$CD$173,MATCH('Selection Pane Data'!$B125,List!$E$2:$E$173,0),MATCH('Selection Pane Data'!AT$3,List!$E$2:$CD$2,0)),"")</f>
        <v/>
      </c>
      <c r="AU125" s="13" t="str">
        <f>IF(AU$4="Yes",INDEX(List!$E$2:$CD$173,MATCH('Selection Pane Data'!$B125,List!$E$2:$E$173,0),MATCH('Selection Pane Data'!AU$3,List!$E$2:$CD$2,0)),"")</f>
        <v/>
      </c>
      <c r="AV125" s="13" t="str">
        <f>IF(AV$4="Yes",INDEX(List!$E$2:$CD$173,MATCH('Selection Pane Data'!$B125,List!$E$2:$E$173,0),MATCH('Selection Pane Data'!AV$3,List!$E$2:$CD$2,0)),"")</f>
        <v/>
      </c>
      <c r="AW125" s="13" t="str">
        <f>IF(AW$4="Yes",INDEX(List!$E$2:$CD$173,MATCH('Selection Pane Data'!$B125,List!$E$2:$E$173,0),MATCH('Selection Pane Data'!AW$3,List!$E$2:$CD$2,0)),"")</f>
        <v/>
      </c>
      <c r="AX125" s="13" t="str">
        <f>IF(AX$4="Yes",INDEX(List!$E$2:$CD$173,MATCH('Selection Pane Data'!$B125,List!$E$2:$E$173,0),MATCH('Selection Pane Data'!AX$3,List!$E$2:$CD$2,0)),"")</f>
        <v/>
      </c>
      <c r="AY125" s="13" t="str">
        <f>IF(AY$4="Yes",INDEX(List!$E$2:$CD$173,MATCH('Selection Pane Data'!$B125,List!$E$2:$E$173,0),MATCH('Selection Pane Data'!AY$3,List!$E$2:$CD$2,0)),"")</f>
        <v/>
      </c>
      <c r="AZ125" s="13" t="str">
        <f>IF(AZ$4="Yes",INDEX(List!$E$2:$CD$173,MATCH('Selection Pane Data'!$B125,List!$E$2:$E$173,0),MATCH('Selection Pane Data'!AZ$3,List!$E$2:$CD$2,0)),"")</f>
        <v/>
      </c>
      <c r="BA125" s="13" t="str">
        <f>IF(BA$4="Yes",INDEX(List!$E$2:$CD$173,MATCH('Selection Pane Data'!$B125,List!$E$2:$E$173,0),MATCH('Selection Pane Data'!BA$3,List!$E$2:$CD$2,0)),"")</f>
        <v/>
      </c>
      <c r="BB125" s="13" t="str">
        <f>IF(BB$4="Yes",INDEX(List!$E$2:$CD$173,MATCH('Selection Pane Data'!$B125,List!$E$2:$E$173,0),MATCH('Selection Pane Data'!BB$3,List!$E$2:$CD$2,0)),"")</f>
        <v/>
      </c>
      <c r="BC125" s="13" t="str">
        <f>IF(BC$4="Yes",INDEX(List!$E$2:$CD$173,MATCH('Selection Pane Data'!$B125,List!$E$2:$E$173,0),MATCH('Selection Pane Data'!BC$3,List!$E$2:$CD$2,0)),"")</f>
        <v/>
      </c>
      <c r="BD125" s="13" t="str">
        <f>IF(BD$4="Yes",INDEX(List!$E$2:$CD$173,MATCH('Selection Pane Data'!$B125,List!$E$2:$E$173,0),MATCH('Selection Pane Data'!BD$3,List!$E$2:$CD$2,0)),"")</f>
        <v/>
      </c>
      <c r="BE125" s="13" t="str">
        <f>IF(BE$4="Yes",INDEX(List!$E$2:$CD$173,MATCH('Selection Pane Data'!$B125,List!$E$2:$E$173,0),MATCH('Selection Pane Data'!BE$3,List!$E$2:$CD$2,0)),"")</f>
        <v/>
      </c>
      <c r="BF125" s="13" t="str">
        <f>IF(BF$4="Yes",INDEX(List!$E$2:$CD$173,MATCH('Selection Pane Data'!$B125,List!$E$2:$E$173,0),MATCH('Selection Pane Data'!BF$3,List!$E$2:$CD$2,0)),"")</f>
        <v/>
      </c>
      <c r="BG125" s="13" t="str">
        <f>IF(BG$4="Yes",INDEX(List!$E$2:$CD$173,MATCH('Selection Pane Data'!$B125,List!$E$2:$E$173,0),MATCH('Selection Pane Data'!BG$3,List!$E$2:$CD$2,0)),"")</f>
        <v/>
      </c>
      <c r="BH125" s="13" t="str">
        <f>IF(BH$4="Yes",INDEX(List!$E$2:$CD$173,MATCH('Selection Pane Data'!$B125,List!$E$2:$E$173,0),MATCH('Selection Pane Data'!BH$3,List!$E$2:$CD$2,0)),"")</f>
        <v/>
      </c>
      <c r="BI125" s="13" t="str">
        <f>IF(BI$4="Yes",INDEX(List!$E$2:$CD$173,MATCH('Selection Pane Data'!$B125,List!$E$2:$E$173,0),MATCH('Selection Pane Data'!BI$3,List!$E$2:$CD$2,0)),"")</f>
        <v/>
      </c>
      <c r="BJ125" s="13" t="str">
        <f>IF(BJ$4="Yes",INDEX(List!$E$2:$CD$173,MATCH('Selection Pane Data'!$B125,List!$E$2:$E$173,0),MATCH('Selection Pane Data'!BJ$3,List!$E$2:$CD$2,0)),"")</f>
        <v/>
      </c>
      <c r="BK125" s="13" t="str">
        <f>IF(BK$4="Yes",INDEX(List!$E$2:$CD$173,MATCH('Selection Pane Data'!$B125,List!$E$2:$E$173,0),MATCH('Selection Pane Data'!BK$3,List!$E$2:$CD$2,0)),"")</f>
        <v/>
      </c>
      <c r="BL125" s="13" t="str">
        <f>IF(BL$4="Yes",INDEX(List!$E$2:$CD$173,MATCH('Selection Pane Data'!$B125,List!$E$2:$E$173,0),MATCH('Selection Pane Data'!BL$3,List!$E$2:$CD$2,0)),"")</f>
        <v/>
      </c>
      <c r="BM125" s="13" t="str">
        <f>IF(BM$4="Yes",INDEX(List!$E$2:$CD$173,MATCH('Selection Pane Data'!$B125,List!$E$2:$E$173,0),MATCH('Selection Pane Data'!BM$3,List!$E$2:$CD$2,0)),"")</f>
        <v/>
      </c>
      <c r="BN125" s="13" t="str">
        <f>IF(BN$4="Yes",INDEX(List!$E$2:$CD$173,MATCH('Selection Pane Data'!$B125,List!$E$2:$E$173,0),MATCH('Selection Pane Data'!BN$3,List!$E$2:$CD$2,0)),"")</f>
        <v/>
      </c>
      <c r="BO125" s="13" t="str">
        <f>IF(BO$4="Yes",INDEX(List!$E$2:$CD$173,MATCH('Selection Pane Data'!$B125,List!$E$2:$E$173,0),MATCH('Selection Pane Data'!BO$3,List!$E$2:$CD$2,0)),"")</f>
        <v/>
      </c>
      <c r="BP125" s="13" t="str">
        <f>IF(BP$4="Yes",INDEX(List!$E$2:$CD$173,MATCH('Selection Pane Data'!$B125,List!$E$2:$E$173,0),MATCH('Selection Pane Data'!BP$3,List!$E$2:$CD$2,0)),"")</f>
        <v/>
      </c>
      <c r="BQ125" s="13" t="str">
        <f>IF(BQ$4="Yes",INDEX(List!$E$2:$CD$173,MATCH('Selection Pane Data'!$B125,List!$E$2:$E$173,0),MATCH('Selection Pane Data'!BQ$3,List!$E$2:$CD$2,0)),"")</f>
        <v/>
      </c>
      <c r="BR125" s="13" t="str">
        <f>IF(BR$4="Yes",INDEX(List!$E$2:$CD$173,MATCH('Selection Pane Data'!$B125,List!$E$2:$E$173,0),MATCH('Selection Pane Data'!BR$3,List!$E$2:$CD$2,0)),"")</f>
        <v/>
      </c>
      <c r="BS125" s="13" t="str">
        <f>IF(BS$4="Yes",INDEX(List!$E$2:$CD$173,MATCH('Selection Pane Data'!$B125,List!$E$2:$E$173,0),MATCH('Selection Pane Data'!BS$3,List!$E$2:$CD$2,0)),"")</f>
        <v/>
      </c>
      <c r="BT125" s="13" t="str">
        <f>IF(BT$4="Yes",INDEX(List!$E$2:$CD$173,MATCH('Selection Pane Data'!$B125,List!$E$2:$E$173,0),MATCH('Selection Pane Data'!BT$3,List!$E$2:$CD$2,0)),"")</f>
        <v/>
      </c>
      <c r="BU125" s="13" t="str">
        <f>IF(BU$4="Yes",INDEX(List!$E$2:$CD$173,MATCH('Selection Pane Data'!$B125,List!$E$2:$E$173,0),MATCH('Selection Pane Data'!BU$3,List!$E$2:$CD$2,0)),"")</f>
        <v/>
      </c>
      <c r="BV125" s="13" t="str">
        <f>IF(BV$4="Yes",INDEX(List!$E$2:$CD$173,MATCH('Selection Pane Data'!$B125,List!$E$2:$E$173,0),MATCH('Selection Pane Data'!BV$3,List!$E$2:$CD$2,0)),"")</f>
        <v/>
      </c>
      <c r="BW125" s="13" t="str">
        <f>IF(BW$4="Yes",INDEX(List!$E$2:$CD$173,MATCH('Selection Pane Data'!$B125,List!$E$2:$E$173,0),MATCH('Selection Pane Data'!BW$3,List!$E$2:$CD$2,0)),"")</f>
        <v/>
      </c>
      <c r="BX125" s="13" t="str">
        <f>IF(BX$4="Yes",INDEX(List!$E$2:$CD$173,MATCH('Selection Pane Data'!$B125,List!$E$2:$E$173,0),MATCH('Selection Pane Data'!BX$3,List!$E$2:$CD$2,0)),"")</f>
        <v/>
      </c>
      <c r="BY125" s="13" t="str">
        <f>IF(BY$4="Yes",INDEX(List!$E$2:$CD$173,MATCH('Selection Pane Data'!$B125,List!$E$2:$E$173,0),MATCH('Selection Pane Data'!BY$3,List!$E$2:$CD$2,0)),"")</f>
        <v/>
      </c>
      <c r="BZ125" s="13" t="str">
        <f>IF(BZ$4="Yes",INDEX(List!$E$2:$CD$173,MATCH('Selection Pane Data'!$B125,List!$E$2:$E$173,0),MATCH('Selection Pane Data'!BZ$3,List!$E$2:$CD$2,0)),"")</f>
        <v/>
      </c>
      <c r="CA125" s="13" t="str">
        <f>IF(CA$4="Yes",INDEX(List!$E$2:$CD$173,MATCH('Selection Pane Data'!$B125,List!$E$2:$E$173,0),MATCH('Selection Pane Data'!CA$3,List!$E$2:$CD$2,0)),"")</f>
        <v/>
      </c>
      <c r="CB125" s="13" t="str">
        <f>IF(CB$4="Yes",INDEX(List!$E$2:$CD$173,MATCH('Selection Pane Data'!$B125,List!$E$2:$E$173,0),MATCH('Selection Pane Data'!CB$3,List!$E$2:$CD$2,0)),"")</f>
        <v/>
      </c>
      <c r="CC125" s="13" t="str">
        <f>IF(CC$4="Yes",INDEX(List!$E$2:$CD$173,MATCH('Selection Pane Data'!$B125,List!$E$2:$E$173,0),MATCH('Selection Pane Data'!CC$3,List!$E$2:$CD$2,0)),"")</f>
        <v/>
      </c>
      <c r="CD125" s="13" t="str">
        <f>IF(CD$4="Yes",INDEX(List!$E$2:$CD$173,MATCH('Selection Pane Data'!$B125,List!$E$2:$E$173,0),MATCH('Selection Pane Data'!CD$3,List!$E$2:$CD$2,0)),"")</f>
        <v/>
      </c>
      <c r="CE125" s="13" t="str">
        <f>IF(CE$4="Yes",INDEX(List!$E$2:$CD$173,MATCH('Selection Pane Data'!$B125,List!$E$2:$E$173,0),MATCH('Selection Pane Data'!CE$3,List!$E$2:$CD$2,0)),"")</f>
        <v/>
      </c>
    </row>
    <row r="126" spans="2:83" x14ac:dyDescent="0.35">
      <c r="B126" s="21" t="s">
        <v>413</v>
      </c>
      <c r="C126" s="126" t="str">
        <f>VLOOKUP(B126,List!$E$2:$G$173,2,FALSE)</f>
        <v>N/A</v>
      </c>
      <c r="D126" s="31" t="str">
        <f>List!G124</f>
        <v>Customer Responsibility</v>
      </c>
      <c r="E126" s="31" t="str">
        <f>IF(Placemat!$F$4="All Practices","All Practices",IF(VLOOKUP(B126,Table7[#All],6,FALSE)="No Mapping","New CMMC Practices","Practices with NIST 800-171 Mappings"))</f>
        <v>Practices with NIST 800-171 Mappings</v>
      </c>
      <c r="F126" t="str">
        <f>INDEX('CMMC Levels'!$A$1:$F$172,MATCH('Selection Pane Data'!$C126,'CMMC Levels'!$A$1:$A$172,0),MATCH(Placemat!$F$4,'CMMC Levels'!$A$1:$F$1,0))</f>
        <v>N/A</v>
      </c>
      <c r="G126" s="77" t="str">
        <f>IF((COUNTIF(List!H124:CE124,"P")+COUNTIF(List!H124:CE124,"S"))=0,"N",IF(COUNTIF(H126:CE126,"P"),"P",IF(COUNTIF(H126:CE126,"S"),"S","U")))</f>
        <v>N</v>
      </c>
      <c r="H126" s="13" t="str">
        <f>IF(H$4="Yes",INDEX(List!$E$2:$CD$173,MATCH('Selection Pane Data'!$B126,List!$E$2:$E$173,0),MATCH('Selection Pane Data'!H$3,List!$E$2:$CD$2,0)),"")</f>
        <v/>
      </c>
      <c r="I126" s="13" t="str">
        <f>IF(I$4="Yes",INDEX(List!$E$2:$CD$173,MATCH('Selection Pane Data'!$B126,List!$E$2:$E$173,0),MATCH('Selection Pane Data'!I$3,List!$E$2:$CD$2,0)),"")</f>
        <v/>
      </c>
      <c r="J126" s="13" t="e">
        <f>IF(J$4="Yes",INDEX(List!$E$2:$CD$173,MATCH('Selection Pane Data'!$B126,List!$E$2:$E$173,0),MATCH('Selection Pane Data'!J$3,List!$E$2:$CD$2,0)),"")</f>
        <v>#N/A</v>
      </c>
      <c r="K126" s="13" t="str">
        <f>IF(K$4="Yes",INDEX(List!$E$2:$CD$173,MATCH('Selection Pane Data'!$B126,List!$E$2:$E$173,0),MATCH('Selection Pane Data'!K$3,List!$E$2:$CD$2,0)),"")</f>
        <v/>
      </c>
      <c r="L126" s="13" t="str">
        <f>IF(L$4="Yes",INDEX(List!$E$2:$CD$173,MATCH('Selection Pane Data'!$B126,List!$E$2:$E$173,0),MATCH('Selection Pane Data'!L$3,List!$E$2:$CD$2,0)),"")</f>
        <v/>
      </c>
      <c r="M126" s="13" t="str">
        <f>IF(M$4="Yes",INDEX(List!$E$2:$CD$173,MATCH('Selection Pane Data'!$B126,List!$E$2:$E$173,0),MATCH('Selection Pane Data'!M$3,List!$E$2:$CD$2,0)),"")</f>
        <v/>
      </c>
      <c r="N126" s="13" t="str">
        <f>IF(N$4="Yes",INDEX(List!$E$2:$CD$173,MATCH('Selection Pane Data'!$B126,List!$E$2:$E$173,0),MATCH('Selection Pane Data'!N$3,List!$E$2:$CD$2,0)),"")</f>
        <v/>
      </c>
      <c r="O126" s="13" t="str">
        <f>IF(O$4="Yes",INDEX(List!$E$2:$CD$173,MATCH('Selection Pane Data'!$B126,List!$E$2:$E$173,0),MATCH('Selection Pane Data'!O$3,List!$E$2:$CD$2,0)),"")</f>
        <v/>
      </c>
      <c r="P126" s="13" t="str">
        <f>IF(P$4="Yes",INDEX(List!$E$2:$CD$173,MATCH('Selection Pane Data'!$B126,List!$E$2:$E$173,0),MATCH('Selection Pane Data'!P$3,List!$E$2:$CD$2,0)),"")</f>
        <v/>
      </c>
      <c r="Q126" s="13" t="str">
        <f>IF(Q$4="Yes",INDEX(List!$E$2:$CD$173,MATCH('Selection Pane Data'!$B126,List!$E$2:$E$173,0),MATCH('Selection Pane Data'!Q$3,List!$E$2:$CD$2,0)),"")</f>
        <v/>
      </c>
      <c r="R126" s="13" t="str">
        <f>IF(R$4="Yes",INDEX(List!$E$2:$CD$173,MATCH('Selection Pane Data'!$B126,List!$E$2:$E$173,0),MATCH('Selection Pane Data'!R$3,List!$E$2:$CD$2,0)),"")</f>
        <v/>
      </c>
      <c r="S126" s="13" t="str">
        <f>IF(S$4="Yes",INDEX(List!$E$2:$CD$173,MATCH('Selection Pane Data'!$B126,List!$E$2:$E$173,0),MATCH('Selection Pane Data'!S$3,List!$E$2:$CD$2,0)),"")</f>
        <v/>
      </c>
      <c r="T126" s="13" t="str">
        <f>IF(T$4="Yes",INDEX(List!$E$2:$CD$173,MATCH('Selection Pane Data'!$B126,List!$E$2:$E$173,0),MATCH('Selection Pane Data'!T$3,List!$E$2:$CD$2,0)),"")</f>
        <v/>
      </c>
      <c r="U126" s="13" t="str">
        <f>IF(U$4="Yes",INDEX(List!$E$2:$CD$173,MATCH('Selection Pane Data'!$B126,List!$E$2:$E$173,0),MATCH('Selection Pane Data'!U$3,List!$E$2:$CD$2,0)),"")</f>
        <v/>
      </c>
      <c r="V126" s="13" t="str">
        <f>IF(V$4="Yes",INDEX(List!$E$2:$CD$173,MATCH('Selection Pane Data'!$B126,List!$E$2:$E$173,0),MATCH('Selection Pane Data'!V$3,List!$E$2:$CD$2,0)),"")</f>
        <v/>
      </c>
      <c r="W126" s="13" t="str">
        <f>IF(W$4="Yes",INDEX(List!$E$2:$CD$173,MATCH('Selection Pane Data'!$B126,List!$E$2:$E$173,0),MATCH('Selection Pane Data'!W$3,List!$E$2:$CD$2,0)),"")</f>
        <v/>
      </c>
      <c r="X126" s="13" t="str">
        <f>IF(X$4="Yes",INDEX(List!$E$2:$CD$173,MATCH('Selection Pane Data'!$B126,List!$E$2:$E$173,0),MATCH('Selection Pane Data'!X$3,List!$E$2:$CD$2,0)),"")</f>
        <v/>
      </c>
      <c r="Y126" s="13" t="str">
        <f>IF(Y$4="Yes",INDEX(List!$E$2:$CD$173,MATCH('Selection Pane Data'!$B126,List!$E$2:$E$173,0),MATCH('Selection Pane Data'!Y$3,List!$E$2:$CD$2,0)),"")</f>
        <v/>
      </c>
      <c r="Z126" s="13" t="str">
        <f>IF(Z$4="Yes",INDEX(List!$E$2:$CD$173,MATCH('Selection Pane Data'!$B126,List!$E$2:$E$173,0),MATCH('Selection Pane Data'!Z$3,List!$E$2:$CD$2,0)),"")</f>
        <v/>
      </c>
      <c r="AA126" s="13" t="e">
        <f>IF(AA$4="Yes",INDEX(List!$E$2:$CD$173,MATCH('Selection Pane Data'!$B126,List!$E$2:$E$173,0),MATCH('Selection Pane Data'!AA$3,List!$E$2:$CD$2,0)),"")</f>
        <v>#N/A</v>
      </c>
      <c r="AB126" s="13" t="str">
        <f>IF(AB$4="Yes",INDEX(List!$E$2:$CD$173,MATCH('Selection Pane Data'!$B126,List!$E$2:$E$173,0),MATCH('Selection Pane Data'!AB$3,List!$E$2:$CD$2,0)),"")</f>
        <v/>
      </c>
      <c r="AC126" s="13" t="str">
        <f>IF(AC$4="Yes",INDEX(List!$E$2:$CD$173,MATCH('Selection Pane Data'!$B126,List!$E$2:$E$173,0),MATCH('Selection Pane Data'!AC$3,List!$E$2:$CD$2,0)),"")</f>
        <v/>
      </c>
      <c r="AD126" s="13" t="str">
        <f>IF(AD$4="Yes",INDEX(List!$E$2:$CD$173,MATCH('Selection Pane Data'!$B126,List!$E$2:$E$173,0),MATCH('Selection Pane Data'!AD$3,List!$E$2:$CD$2,0)),"")</f>
        <v/>
      </c>
      <c r="AE126" s="13" t="str">
        <f>IF(AE$4="Yes",INDEX(List!$E$2:$CD$173,MATCH('Selection Pane Data'!$B126,List!$E$2:$E$173,0),MATCH('Selection Pane Data'!AE$3,List!$E$2:$CD$2,0)),"")</f>
        <v/>
      </c>
      <c r="AF126" s="13" t="str">
        <f>IF(AF$4="Yes",INDEX(List!$E$2:$CD$173,MATCH('Selection Pane Data'!$B126,List!$E$2:$E$173,0),MATCH('Selection Pane Data'!AF$3,List!$E$2:$CD$2,0)),"")</f>
        <v/>
      </c>
      <c r="AG126" s="13" t="str">
        <f>IF(AG$4="Yes",INDEX(List!$E$2:$CD$173,MATCH('Selection Pane Data'!$B126,List!$E$2:$E$173,0),MATCH('Selection Pane Data'!AG$3,List!$E$2:$CD$2,0)),"")</f>
        <v/>
      </c>
      <c r="AH126" s="13" t="str">
        <f>IF(AH$4="Yes",INDEX(List!$E$2:$CD$173,MATCH('Selection Pane Data'!$B126,List!$E$2:$E$173,0),MATCH('Selection Pane Data'!AH$3,List!$E$2:$CD$2,0)),"")</f>
        <v/>
      </c>
      <c r="AI126" s="13" t="str">
        <f>IF(AI$4="Yes",INDEX(List!$E$2:$CD$173,MATCH('Selection Pane Data'!$B126,List!$E$2:$E$173,0),MATCH('Selection Pane Data'!AI$3,List!$E$2:$CD$2,0)),"")</f>
        <v/>
      </c>
      <c r="AJ126" s="13" t="str">
        <f>IF(AJ$4="Yes",INDEX(List!$E$2:$CD$173,MATCH('Selection Pane Data'!$B126,List!$E$2:$E$173,0),MATCH('Selection Pane Data'!AJ$3,List!$E$2:$CD$2,0)),"")</f>
        <v/>
      </c>
      <c r="AK126" s="13" t="str">
        <f>IF(AK$4="Yes",INDEX(List!$E$2:$CD$173,MATCH('Selection Pane Data'!$B126,List!$E$2:$E$173,0),MATCH('Selection Pane Data'!AK$3,List!$E$2:$CD$2,0)),"")</f>
        <v/>
      </c>
      <c r="AL126" s="13" t="str">
        <f>IF(AL$4="Yes",INDEX(List!$E$2:$CD$173,MATCH('Selection Pane Data'!$B126,List!$E$2:$E$173,0),MATCH('Selection Pane Data'!AL$3,List!$E$2:$CD$2,0)),"")</f>
        <v/>
      </c>
      <c r="AM126" s="13" t="str">
        <f>IF(AM$4="Yes",INDEX(List!$E$2:$CD$173,MATCH('Selection Pane Data'!$B126,List!$E$2:$E$173,0),MATCH('Selection Pane Data'!AM$3,List!$E$2:$CD$2,0)),"")</f>
        <v/>
      </c>
      <c r="AN126" s="13" t="str">
        <f>IF(AN$4="Yes",INDEX(List!$E$2:$CD$173,MATCH('Selection Pane Data'!$B126,List!$E$2:$E$173,0),MATCH('Selection Pane Data'!AN$3,List!$E$2:$CD$2,0)),"")</f>
        <v/>
      </c>
      <c r="AO126" s="13" t="str">
        <f>IF(AO$4="Yes",INDEX(List!$E$2:$CD$173,MATCH('Selection Pane Data'!$B126,List!$E$2:$E$173,0),MATCH('Selection Pane Data'!AO$3,List!$E$2:$CD$2,0)),"")</f>
        <v/>
      </c>
      <c r="AP126" s="13" t="str">
        <f>IF(AP$4="Yes",INDEX(List!$E$2:$CD$173,MATCH('Selection Pane Data'!$B126,List!$E$2:$E$173,0),MATCH('Selection Pane Data'!AP$3,List!$E$2:$CD$2,0)),"")</f>
        <v/>
      </c>
      <c r="AQ126" s="13" t="str">
        <f>IF(AQ$4="Yes",INDEX(List!$E$2:$CD$173,MATCH('Selection Pane Data'!$B126,List!$E$2:$E$173,0),MATCH('Selection Pane Data'!AQ$3,List!$E$2:$CD$2,0)),"")</f>
        <v/>
      </c>
      <c r="AR126" s="13" t="str">
        <f>IF(AR$4="Yes",INDEX(List!$E$2:$CD$173,MATCH('Selection Pane Data'!$B126,List!$E$2:$E$173,0),MATCH('Selection Pane Data'!AR$3,List!$E$2:$CD$2,0)),"")</f>
        <v/>
      </c>
      <c r="AS126" s="13" t="str">
        <f>IF(AS$4="Yes",INDEX(List!$E$2:$CD$173,MATCH('Selection Pane Data'!$B126,List!$E$2:$E$173,0),MATCH('Selection Pane Data'!AS$3,List!$E$2:$CD$2,0)),"")</f>
        <v/>
      </c>
      <c r="AT126" s="13" t="str">
        <f>IF(AT$4="Yes",INDEX(List!$E$2:$CD$173,MATCH('Selection Pane Data'!$B126,List!$E$2:$E$173,0),MATCH('Selection Pane Data'!AT$3,List!$E$2:$CD$2,0)),"")</f>
        <v/>
      </c>
      <c r="AU126" s="13" t="str">
        <f>IF(AU$4="Yes",INDEX(List!$E$2:$CD$173,MATCH('Selection Pane Data'!$B126,List!$E$2:$E$173,0),MATCH('Selection Pane Data'!AU$3,List!$E$2:$CD$2,0)),"")</f>
        <v/>
      </c>
      <c r="AV126" s="13" t="str">
        <f>IF(AV$4="Yes",INDEX(List!$E$2:$CD$173,MATCH('Selection Pane Data'!$B126,List!$E$2:$E$173,0),MATCH('Selection Pane Data'!AV$3,List!$E$2:$CD$2,0)),"")</f>
        <v/>
      </c>
      <c r="AW126" s="13" t="str">
        <f>IF(AW$4="Yes",INDEX(List!$E$2:$CD$173,MATCH('Selection Pane Data'!$B126,List!$E$2:$E$173,0),MATCH('Selection Pane Data'!AW$3,List!$E$2:$CD$2,0)),"")</f>
        <v/>
      </c>
      <c r="AX126" s="13" t="str">
        <f>IF(AX$4="Yes",INDEX(List!$E$2:$CD$173,MATCH('Selection Pane Data'!$B126,List!$E$2:$E$173,0),MATCH('Selection Pane Data'!AX$3,List!$E$2:$CD$2,0)),"")</f>
        <v/>
      </c>
      <c r="AY126" s="13" t="str">
        <f>IF(AY$4="Yes",INDEX(List!$E$2:$CD$173,MATCH('Selection Pane Data'!$B126,List!$E$2:$E$173,0),MATCH('Selection Pane Data'!AY$3,List!$E$2:$CD$2,0)),"")</f>
        <v/>
      </c>
      <c r="AZ126" s="13" t="str">
        <f>IF(AZ$4="Yes",INDEX(List!$E$2:$CD$173,MATCH('Selection Pane Data'!$B126,List!$E$2:$E$173,0),MATCH('Selection Pane Data'!AZ$3,List!$E$2:$CD$2,0)),"")</f>
        <v/>
      </c>
      <c r="BA126" s="13" t="str">
        <f>IF(BA$4="Yes",INDEX(List!$E$2:$CD$173,MATCH('Selection Pane Data'!$B126,List!$E$2:$E$173,0),MATCH('Selection Pane Data'!BA$3,List!$E$2:$CD$2,0)),"")</f>
        <v/>
      </c>
      <c r="BB126" s="13" t="str">
        <f>IF(BB$4="Yes",INDEX(List!$E$2:$CD$173,MATCH('Selection Pane Data'!$B126,List!$E$2:$E$173,0),MATCH('Selection Pane Data'!BB$3,List!$E$2:$CD$2,0)),"")</f>
        <v/>
      </c>
      <c r="BC126" s="13" t="str">
        <f>IF(BC$4="Yes",INDEX(List!$E$2:$CD$173,MATCH('Selection Pane Data'!$B126,List!$E$2:$E$173,0),MATCH('Selection Pane Data'!BC$3,List!$E$2:$CD$2,0)),"")</f>
        <v/>
      </c>
      <c r="BD126" s="13" t="str">
        <f>IF(BD$4="Yes",INDEX(List!$E$2:$CD$173,MATCH('Selection Pane Data'!$B126,List!$E$2:$E$173,0),MATCH('Selection Pane Data'!BD$3,List!$E$2:$CD$2,0)),"")</f>
        <v/>
      </c>
      <c r="BE126" s="13" t="str">
        <f>IF(BE$4="Yes",INDEX(List!$E$2:$CD$173,MATCH('Selection Pane Data'!$B126,List!$E$2:$E$173,0),MATCH('Selection Pane Data'!BE$3,List!$E$2:$CD$2,0)),"")</f>
        <v/>
      </c>
      <c r="BF126" s="13" t="str">
        <f>IF(BF$4="Yes",INDEX(List!$E$2:$CD$173,MATCH('Selection Pane Data'!$B126,List!$E$2:$E$173,0),MATCH('Selection Pane Data'!BF$3,List!$E$2:$CD$2,0)),"")</f>
        <v/>
      </c>
      <c r="BG126" s="13" t="str">
        <f>IF(BG$4="Yes",INDEX(List!$E$2:$CD$173,MATCH('Selection Pane Data'!$B126,List!$E$2:$E$173,0),MATCH('Selection Pane Data'!BG$3,List!$E$2:$CD$2,0)),"")</f>
        <v/>
      </c>
      <c r="BH126" s="13" t="str">
        <f>IF(BH$4="Yes",INDEX(List!$E$2:$CD$173,MATCH('Selection Pane Data'!$B126,List!$E$2:$E$173,0),MATCH('Selection Pane Data'!BH$3,List!$E$2:$CD$2,0)),"")</f>
        <v/>
      </c>
      <c r="BI126" s="13" t="str">
        <f>IF(BI$4="Yes",INDEX(List!$E$2:$CD$173,MATCH('Selection Pane Data'!$B126,List!$E$2:$E$173,0),MATCH('Selection Pane Data'!BI$3,List!$E$2:$CD$2,0)),"")</f>
        <v/>
      </c>
      <c r="BJ126" s="13" t="str">
        <f>IF(BJ$4="Yes",INDEX(List!$E$2:$CD$173,MATCH('Selection Pane Data'!$B126,List!$E$2:$E$173,0),MATCH('Selection Pane Data'!BJ$3,List!$E$2:$CD$2,0)),"")</f>
        <v/>
      </c>
      <c r="BK126" s="13" t="str">
        <f>IF(BK$4="Yes",INDEX(List!$E$2:$CD$173,MATCH('Selection Pane Data'!$B126,List!$E$2:$E$173,0),MATCH('Selection Pane Data'!BK$3,List!$E$2:$CD$2,0)),"")</f>
        <v/>
      </c>
      <c r="BL126" s="13" t="str">
        <f>IF(BL$4="Yes",INDEX(List!$E$2:$CD$173,MATCH('Selection Pane Data'!$B126,List!$E$2:$E$173,0),MATCH('Selection Pane Data'!BL$3,List!$E$2:$CD$2,0)),"")</f>
        <v/>
      </c>
      <c r="BM126" s="13" t="str">
        <f>IF(BM$4="Yes",INDEX(List!$E$2:$CD$173,MATCH('Selection Pane Data'!$B126,List!$E$2:$E$173,0),MATCH('Selection Pane Data'!BM$3,List!$E$2:$CD$2,0)),"")</f>
        <v/>
      </c>
      <c r="BN126" s="13" t="str">
        <f>IF(BN$4="Yes",INDEX(List!$E$2:$CD$173,MATCH('Selection Pane Data'!$B126,List!$E$2:$E$173,0),MATCH('Selection Pane Data'!BN$3,List!$E$2:$CD$2,0)),"")</f>
        <v/>
      </c>
      <c r="BO126" s="13" t="str">
        <f>IF(BO$4="Yes",INDEX(List!$E$2:$CD$173,MATCH('Selection Pane Data'!$B126,List!$E$2:$E$173,0),MATCH('Selection Pane Data'!BO$3,List!$E$2:$CD$2,0)),"")</f>
        <v/>
      </c>
      <c r="BP126" s="13" t="str">
        <f>IF(BP$4="Yes",INDEX(List!$E$2:$CD$173,MATCH('Selection Pane Data'!$B126,List!$E$2:$E$173,0),MATCH('Selection Pane Data'!BP$3,List!$E$2:$CD$2,0)),"")</f>
        <v/>
      </c>
      <c r="BQ126" s="13" t="str">
        <f>IF(BQ$4="Yes",INDEX(List!$E$2:$CD$173,MATCH('Selection Pane Data'!$B126,List!$E$2:$E$173,0),MATCH('Selection Pane Data'!BQ$3,List!$E$2:$CD$2,0)),"")</f>
        <v/>
      </c>
      <c r="BR126" s="13" t="str">
        <f>IF(BR$4="Yes",INDEX(List!$E$2:$CD$173,MATCH('Selection Pane Data'!$B126,List!$E$2:$E$173,0),MATCH('Selection Pane Data'!BR$3,List!$E$2:$CD$2,0)),"")</f>
        <v/>
      </c>
      <c r="BS126" s="13" t="str">
        <f>IF(BS$4="Yes",INDEX(List!$E$2:$CD$173,MATCH('Selection Pane Data'!$B126,List!$E$2:$E$173,0),MATCH('Selection Pane Data'!BS$3,List!$E$2:$CD$2,0)),"")</f>
        <v/>
      </c>
      <c r="BT126" s="13" t="str">
        <f>IF(BT$4="Yes",INDEX(List!$E$2:$CD$173,MATCH('Selection Pane Data'!$B126,List!$E$2:$E$173,0),MATCH('Selection Pane Data'!BT$3,List!$E$2:$CD$2,0)),"")</f>
        <v/>
      </c>
      <c r="BU126" s="13" t="str">
        <f>IF(BU$4="Yes",INDEX(List!$E$2:$CD$173,MATCH('Selection Pane Data'!$B126,List!$E$2:$E$173,0),MATCH('Selection Pane Data'!BU$3,List!$E$2:$CD$2,0)),"")</f>
        <v/>
      </c>
      <c r="BV126" s="13" t="str">
        <f>IF(BV$4="Yes",INDEX(List!$E$2:$CD$173,MATCH('Selection Pane Data'!$B126,List!$E$2:$E$173,0),MATCH('Selection Pane Data'!BV$3,List!$E$2:$CD$2,0)),"")</f>
        <v/>
      </c>
      <c r="BW126" s="13" t="str">
        <f>IF(BW$4="Yes",INDEX(List!$E$2:$CD$173,MATCH('Selection Pane Data'!$B126,List!$E$2:$E$173,0),MATCH('Selection Pane Data'!BW$3,List!$E$2:$CD$2,0)),"")</f>
        <v/>
      </c>
      <c r="BX126" s="13" t="str">
        <f>IF(BX$4="Yes",INDEX(List!$E$2:$CD$173,MATCH('Selection Pane Data'!$B126,List!$E$2:$E$173,0),MATCH('Selection Pane Data'!BX$3,List!$E$2:$CD$2,0)),"")</f>
        <v/>
      </c>
      <c r="BY126" s="13" t="str">
        <f>IF(BY$4="Yes",INDEX(List!$E$2:$CD$173,MATCH('Selection Pane Data'!$B126,List!$E$2:$E$173,0),MATCH('Selection Pane Data'!BY$3,List!$E$2:$CD$2,0)),"")</f>
        <v/>
      </c>
      <c r="BZ126" s="13" t="str">
        <f>IF(BZ$4="Yes",INDEX(List!$E$2:$CD$173,MATCH('Selection Pane Data'!$B126,List!$E$2:$E$173,0),MATCH('Selection Pane Data'!BZ$3,List!$E$2:$CD$2,0)),"")</f>
        <v/>
      </c>
      <c r="CA126" s="13" t="str">
        <f>IF(CA$4="Yes",INDEX(List!$E$2:$CD$173,MATCH('Selection Pane Data'!$B126,List!$E$2:$E$173,0),MATCH('Selection Pane Data'!CA$3,List!$E$2:$CD$2,0)),"")</f>
        <v/>
      </c>
      <c r="CB126" s="13" t="str">
        <f>IF(CB$4="Yes",INDEX(List!$E$2:$CD$173,MATCH('Selection Pane Data'!$B126,List!$E$2:$E$173,0),MATCH('Selection Pane Data'!CB$3,List!$E$2:$CD$2,0)),"")</f>
        <v/>
      </c>
      <c r="CC126" s="13" t="str">
        <f>IF(CC$4="Yes",INDEX(List!$E$2:$CD$173,MATCH('Selection Pane Data'!$B126,List!$E$2:$E$173,0),MATCH('Selection Pane Data'!CC$3,List!$E$2:$CD$2,0)),"")</f>
        <v/>
      </c>
      <c r="CD126" s="13" t="str">
        <f>IF(CD$4="Yes",INDEX(List!$E$2:$CD$173,MATCH('Selection Pane Data'!$B126,List!$E$2:$E$173,0),MATCH('Selection Pane Data'!CD$3,List!$E$2:$CD$2,0)),"")</f>
        <v/>
      </c>
      <c r="CE126" s="13" t="str">
        <f>IF(CE$4="Yes",INDEX(List!$E$2:$CD$173,MATCH('Selection Pane Data'!$B126,List!$E$2:$E$173,0),MATCH('Selection Pane Data'!CE$3,List!$E$2:$CD$2,0)),"")</f>
        <v/>
      </c>
    </row>
    <row r="127" spans="2:83" x14ac:dyDescent="0.35">
      <c r="B127" s="21" t="s">
        <v>414</v>
      </c>
      <c r="C127" s="126" t="str">
        <f>VLOOKUP(B127,List!$E$2:$G$173,2,FALSE)</f>
        <v>RA.L3-9</v>
      </c>
      <c r="D127" s="31" t="str">
        <f>List!G125</f>
        <v>Not Applicable</v>
      </c>
      <c r="E127" s="31" t="str">
        <f>IF(Placemat!$F$4="All Practices","All Practices",IF(VLOOKUP(B127,Table7[#All],6,FALSE)="No Mapping","New CMMC Practices","Practices with NIST 800-171 Mappings"))</f>
        <v>Practices with NIST 800-171 Mappings</v>
      </c>
      <c r="F127" t="str">
        <f>INDEX('CMMC Levels'!$A$1:$F$172,MATCH('Selection Pane Data'!$C127,'CMMC Levels'!$A$1:$A$172,0),MATCH(Placemat!$F$4,'CMMC Levels'!$A$1:$F$1,0))</f>
        <v>N/A</v>
      </c>
      <c r="G127" s="77" t="str">
        <f>IF((COUNTIF(List!H125:CE125,"P")+COUNTIF(List!H125:CE125,"S"))=0,"N",IF(COUNTIF(H127:CE127,"P"),"P",IF(COUNTIF(H127:CE127,"S"),"S","U")))</f>
        <v>N</v>
      </c>
      <c r="H127" s="13" t="str">
        <f>IF(H$4="Yes",INDEX(List!$E$2:$CD$173,MATCH('Selection Pane Data'!$B127,List!$E$2:$E$173,0),MATCH('Selection Pane Data'!H$3,List!$E$2:$CD$2,0)),"")</f>
        <v/>
      </c>
      <c r="I127" s="13" t="str">
        <f>IF(I$4="Yes",INDEX(List!$E$2:$CD$173,MATCH('Selection Pane Data'!$B127,List!$E$2:$E$173,0),MATCH('Selection Pane Data'!I$3,List!$E$2:$CD$2,0)),"")</f>
        <v/>
      </c>
      <c r="J127" s="13" t="str">
        <f>IF(J$4="Yes",INDEX(List!$E$2:$CD$173,MATCH('Selection Pane Data'!$B127,List!$E$2:$E$173,0),MATCH('Selection Pane Data'!J$3,List!$E$2:$CD$2,0)),"")</f>
        <v>N</v>
      </c>
      <c r="K127" s="13" t="str">
        <f>IF(K$4="Yes",INDEX(List!$E$2:$CD$173,MATCH('Selection Pane Data'!$B127,List!$E$2:$E$173,0),MATCH('Selection Pane Data'!K$3,List!$E$2:$CD$2,0)),"")</f>
        <v/>
      </c>
      <c r="L127" s="13" t="str">
        <f>IF(L$4="Yes",INDEX(List!$E$2:$CD$173,MATCH('Selection Pane Data'!$B127,List!$E$2:$E$173,0),MATCH('Selection Pane Data'!L$3,List!$E$2:$CD$2,0)),"")</f>
        <v/>
      </c>
      <c r="M127" s="13" t="str">
        <f>IF(M$4="Yes",INDEX(List!$E$2:$CD$173,MATCH('Selection Pane Data'!$B127,List!$E$2:$E$173,0),MATCH('Selection Pane Data'!M$3,List!$E$2:$CD$2,0)),"")</f>
        <v/>
      </c>
      <c r="N127" s="13" t="str">
        <f>IF(N$4="Yes",INDEX(List!$E$2:$CD$173,MATCH('Selection Pane Data'!$B127,List!$E$2:$E$173,0),MATCH('Selection Pane Data'!N$3,List!$E$2:$CD$2,0)),"")</f>
        <v/>
      </c>
      <c r="O127" s="13" t="str">
        <f>IF(O$4="Yes",INDEX(List!$E$2:$CD$173,MATCH('Selection Pane Data'!$B127,List!$E$2:$E$173,0),MATCH('Selection Pane Data'!O$3,List!$E$2:$CD$2,0)),"")</f>
        <v/>
      </c>
      <c r="P127" s="13" t="str">
        <f>IF(P$4="Yes",INDEX(List!$E$2:$CD$173,MATCH('Selection Pane Data'!$B127,List!$E$2:$E$173,0),MATCH('Selection Pane Data'!P$3,List!$E$2:$CD$2,0)),"")</f>
        <v/>
      </c>
      <c r="Q127" s="13" t="str">
        <f>IF(Q$4="Yes",INDEX(List!$E$2:$CD$173,MATCH('Selection Pane Data'!$B127,List!$E$2:$E$173,0),MATCH('Selection Pane Data'!Q$3,List!$E$2:$CD$2,0)),"")</f>
        <v/>
      </c>
      <c r="R127" s="13" t="str">
        <f>IF(R$4="Yes",INDEX(List!$E$2:$CD$173,MATCH('Selection Pane Data'!$B127,List!$E$2:$E$173,0),MATCH('Selection Pane Data'!R$3,List!$E$2:$CD$2,0)),"")</f>
        <v/>
      </c>
      <c r="S127" s="13" t="str">
        <f>IF(S$4="Yes",INDEX(List!$E$2:$CD$173,MATCH('Selection Pane Data'!$B127,List!$E$2:$E$173,0),MATCH('Selection Pane Data'!S$3,List!$E$2:$CD$2,0)),"")</f>
        <v/>
      </c>
      <c r="T127" s="13" t="str">
        <f>IF(T$4="Yes",INDEX(List!$E$2:$CD$173,MATCH('Selection Pane Data'!$B127,List!$E$2:$E$173,0),MATCH('Selection Pane Data'!T$3,List!$E$2:$CD$2,0)),"")</f>
        <v/>
      </c>
      <c r="U127" s="13" t="str">
        <f>IF(U$4="Yes",INDEX(List!$E$2:$CD$173,MATCH('Selection Pane Data'!$B127,List!$E$2:$E$173,0),MATCH('Selection Pane Data'!U$3,List!$E$2:$CD$2,0)),"")</f>
        <v/>
      </c>
      <c r="V127" s="13" t="str">
        <f>IF(V$4="Yes",INDEX(List!$E$2:$CD$173,MATCH('Selection Pane Data'!$B127,List!$E$2:$E$173,0),MATCH('Selection Pane Data'!V$3,List!$E$2:$CD$2,0)),"")</f>
        <v/>
      </c>
      <c r="W127" s="13" t="str">
        <f>IF(W$4="Yes",INDEX(List!$E$2:$CD$173,MATCH('Selection Pane Data'!$B127,List!$E$2:$E$173,0),MATCH('Selection Pane Data'!W$3,List!$E$2:$CD$2,0)),"")</f>
        <v/>
      </c>
      <c r="X127" s="13" t="str">
        <f>IF(X$4="Yes",INDEX(List!$E$2:$CD$173,MATCH('Selection Pane Data'!$B127,List!$E$2:$E$173,0),MATCH('Selection Pane Data'!X$3,List!$E$2:$CD$2,0)),"")</f>
        <v/>
      </c>
      <c r="Y127" s="13" t="str">
        <f>IF(Y$4="Yes",INDEX(List!$E$2:$CD$173,MATCH('Selection Pane Data'!$B127,List!$E$2:$E$173,0),MATCH('Selection Pane Data'!Y$3,List!$E$2:$CD$2,0)),"")</f>
        <v/>
      </c>
      <c r="Z127" s="13" t="str">
        <f>IF(Z$4="Yes",INDEX(List!$E$2:$CD$173,MATCH('Selection Pane Data'!$B127,List!$E$2:$E$173,0),MATCH('Selection Pane Data'!Z$3,List!$E$2:$CD$2,0)),"")</f>
        <v/>
      </c>
      <c r="AA127" s="13" t="str">
        <f>IF(AA$4="Yes",INDEX(List!$E$2:$CD$173,MATCH('Selection Pane Data'!$B127,List!$E$2:$E$173,0),MATCH('Selection Pane Data'!AA$3,List!$E$2:$CD$2,0)),"")</f>
        <v>N</v>
      </c>
      <c r="AB127" s="13" t="str">
        <f>IF(AB$4="Yes",INDEX(List!$E$2:$CD$173,MATCH('Selection Pane Data'!$B127,List!$E$2:$E$173,0),MATCH('Selection Pane Data'!AB$3,List!$E$2:$CD$2,0)),"")</f>
        <v/>
      </c>
      <c r="AC127" s="13" t="str">
        <f>IF(AC$4="Yes",INDEX(List!$E$2:$CD$173,MATCH('Selection Pane Data'!$B127,List!$E$2:$E$173,0),MATCH('Selection Pane Data'!AC$3,List!$E$2:$CD$2,0)),"")</f>
        <v/>
      </c>
      <c r="AD127" s="13" t="str">
        <f>IF(AD$4="Yes",INDEX(List!$E$2:$CD$173,MATCH('Selection Pane Data'!$B127,List!$E$2:$E$173,0),MATCH('Selection Pane Data'!AD$3,List!$E$2:$CD$2,0)),"")</f>
        <v/>
      </c>
      <c r="AE127" s="13" t="str">
        <f>IF(AE$4="Yes",INDEX(List!$E$2:$CD$173,MATCH('Selection Pane Data'!$B127,List!$E$2:$E$173,0),MATCH('Selection Pane Data'!AE$3,List!$E$2:$CD$2,0)),"")</f>
        <v/>
      </c>
      <c r="AF127" s="13" t="str">
        <f>IF(AF$4="Yes",INDEX(List!$E$2:$CD$173,MATCH('Selection Pane Data'!$B127,List!$E$2:$E$173,0),MATCH('Selection Pane Data'!AF$3,List!$E$2:$CD$2,0)),"")</f>
        <v/>
      </c>
      <c r="AG127" s="13" t="str">
        <f>IF(AG$4="Yes",INDEX(List!$E$2:$CD$173,MATCH('Selection Pane Data'!$B127,List!$E$2:$E$173,0),MATCH('Selection Pane Data'!AG$3,List!$E$2:$CD$2,0)),"")</f>
        <v/>
      </c>
      <c r="AH127" s="13" t="str">
        <f>IF(AH$4="Yes",INDEX(List!$E$2:$CD$173,MATCH('Selection Pane Data'!$B127,List!$E$2:$E$173,0),MATCH('Selection Pane Data'!AH$3,List!$E$2:$CD$2,0)),"")</f>
        <v/>
      </c>
      <c r="AI127" s="13" t="str">
        <f>IF(AI$4="Yes",INDEX(List!$E$2:$CD$173,MATCH('Selection Pane Data'!$B127,List!$E$2:$E$173,0),MATCH('Selection Pane Data'!AI$3,List!$E$2:$CD$2,0)),"")</f>
        <v/>
      </c>
      <c r="AJ127" s="13" t="str">
        <f>IF(AJ$4="Yes",INDEX(List!$E$2:$CD$173,MATCH('Selection Pane Data'!$B127,List!$E$2:$E$173,0),MATCH('Selection Pane Data'!AJ$3,List!$E$2:$CD$2,0)),"")</f>
        <v/>
      </c>
      <c r="AK127" s="13" t="str">
        <f>IF(AK$4="Yes",INDEX(List!$E$2:$CD$173,MATCH('Selection Pane Data'!$B127,List!$E$2:$E$173,0),MATCH('Selection Pane Data'!AK$3,List!$E$2:$CD$2,0)),"")</f>
        <v/>
      </c>
      <c r="AL127" s="13" t="str">
        <f>IF(AL$4="Yes",INDEX(List!$E$2:$CD$173,MATCH('Selection Pane Data'!$B127,List!$E$2:$E$173,0),MATCH('Selection Pane Data'!AL$3,List!$E$2:$CD$2,0)),"")</f>
        <v/>
      </c>
      <c r="AM127" s="13" t="str">
        <f>IF(AM$4="Yes",INDEX(List!$E$2:$CD$173,MATCH('Selection Pane Data'!$B127,List!$E$2:$E$173,0),MATCH('Selection Pane Data'!AM$3,List!$E$2:$CD$2,0)),"")</f>
        <v/>
      </c>
      <c r="AN127" s="13" t="str">
        <f>IF(AN$4="Yes",INDEX(List!$E$2:$CD$173,MATCH('Selection Pane Data'!$B127,List!$E$2:$E$173,0),MATCH('Selection Pane Data'!AN$3,List!$E$2:$CD$2,0)),"")</f>
        <v/>
      </c>
      <c r="AO127" s="13" t="str">
        <f>IF(AO$4="Yes",INDEX(List!$E$2:$CD$173,MATCH('Selection Pane Data'!$B127,List!$E$2:$E$173,0),MATCH('Selection Pane Data'!AO$3,List!$E$2:$CD$2,0)),"")</f>
        <v/>
      </c>
      <c r="AP127" s="13" t="str">
        <f>IF(AP$4="Yes",INDEX(List!$E$2:$CD$173,MATCH('Selection Pane Data'!$B127,List!$E$2:$E$173,0),MATCH('Selection Pane Data'!AP$3,List!$E$2:$CD$2,0)),"")</f>
        <v/>
      </c>
      <c r="AQ127" s="13" t="str">
        <f>IF(AQ$4="Yes",INDEX(List!$E$2:$CD$173,MATCH('Selection Pane Data'!$B127,List!$E$2:$E$173,0),MATCH('Selection Pane Data'!AQ$3,List!$E$2:$CD$2,0)),"")</f>
        <v/>
      </c>
      <c r="AR127" s="13" t="str">
        <f>IF(AR$4="Yes",INDEX(List!$E$2:$CD$173,MATCH('Selection Pane Data'!$B127,List!$E$2:$E$173,0),MATCH('Selection Pane Data'!AR$3,List!$E$2:$CD$2,0)),"")</f>
        <v/>
      </c>
      <c r="AS127" s="13" t="str">
        <f>IF(AS$4="Yes",INDEX(List!$E$2:$CD$173,MATCH('Selection Pane Data'!$B127,List!$E$2:$E$173,0),MATCH('Selection Pane Data'!AS$3,List!$E$2:$CD$2,0)),"")</f>
        <v/>
      </c>
      <c r="AT127" s="13" t="str">
        <f>IF(AT$4="Yes",INDEX(List!$E$2:$CD$173,MATCH('Selection Pane Data'!$B127,List!$E$2:$E$173,0),MATCH('Selection Pane Data'!AT$3,List!$E$2:$CD$2,0)),"")</f>
        <v/>
      </c>
      <c r="AU127" s="13" t="str">
        <f>IF(AU$4="Yes",INDEX(List!$E$2:$CD$173,MATCH('Selection Pane Data'!$B127,List!$E$2:$E$173,0),MATCH('Selection Pane Data'!AU$3,List!$E$2:$CD$2,0)),"")</f>
        <v/>
      </c>
      <c r="AV127" s="13" t="str">
        <f>IF(AV$4="Yes",INDEX(List!$E$2:$CD$173,MATCH('Selection Pane Data'!$B127,List!$E$2:$E$173,0),MATCH('Selection Pane Data'!AV$3,List!$E$2:$CD$2,0)),"")</f>
        <v/>
      </c>
      <c r="AW127" s="13" t="str">
        <f>IF(AW$4="Yes",INDEX(List!$E$2:$CD$173,MATCH('Selection Pane Data'!$B127,List!$E$2:$E$173,0),MATCH('Selection Pane Data'!AW$3,List!$E$2:$CD$2,0)),"")</f>
        <v/>
      </c>
      <c r="AX127" s="13" t="str">
        <f>IF(AX$4="Yes",INDEX(List!$E$2:$CD$173,MATCH('Selection Pane Data'!$B127,List!$E$2:$E$173,0),MATCH('Selection Pane Data'!AX$3,List!$E$2:$CD$2,0)),"")</f>
        <v/>
      </c>
      <c r="AY127" s="13" t="str">
        <f>IF(AY$4="Yes",INDEX(List!$E$2:$CD$173,MATCH('Selection Pane Data'!$B127,List!$E$2:$E$173,0),MATCH('Selection Pane Data'!AY$3,List!$E$2:$CD$2,0)),"")</f>
        <v/>
      </c>
      <c r="AZ127" s="13" t="str">
        <f>IF(AZ$4="Yes",INDEX(List!$E$2:$CD$173,MATCH('Selection Pane Data'!$B127,List!$E$2:$E$173,0),MATCH('Selection Pane Data'!AZ$3,List!$E$2:$CD$2,0)),"")</f>
        <v/>
      </c>
      <c r="BA127" s="13" t="str">
        <f>IF(BA$4="Yes",INDEX(List!$E$2:$CD$173,MATCH('Selection Pane Data'!$B127,List!$E$2:$E$173,0),MATCH('Selection Pane Data'!BA$3,List!$E$2:$CD$2,0)),"")</f>
        <v/>
      </c>
      <c r="BB127" s="13" t="str">
        <f>IF(BB$4="Yes",INDEX(List!$E$2:$CD$173,MATCH('Selection Pane Data'!$B127,List!$E$2:$E$173,0),MATCH('Selection Pane Data'!BB$3,List!$E$2:$CD$2,0)),"")</f>
        <v/>
      </c>
      <c r="BC127" s="13" t="str">
        <f>IF(BC$4="Yes",INDEX(List!$E$2:$CD$173,MATCH('Selection Pane Data'!$B127,List!$E$2:$E$173,0),MATCH('Selection Pane Data'!BC$3,List!$E$2:$CD$2,0)),"")</f>
        <v/>
      </c>
      <c r="BD127" s="13" t="str">
        <f>IF(BD$4="Yes",INDEX(List!$E$2:$CD$173,MATCH('Selection Pane Data'!$B127,List!$E$2:$E$173,0),MATCH('Selection Pane Data'!BD$3,List!$E$2:$CD$2,0)),"")</f>
        <v/>
      </c>
      <c r="BE127" s="13" t="str">
        <f>IF(BE$4="Yes",INDEX(List!$E$2:$CD$173,MATCH('Selection Pane Data'!$B127,List!$E$2:$E$173,0),MATCH('Selection Pane Data'!BE$3,List!$E$2:$CD$2,0)),"")</f>
        <v/>
      </c>
      <c r="BF127" s="13" t="str">
        <f>IF(BF$4="Yes",INDEX(List!$E$2:$CD$173,MATCH('Selection Pane Data'!$B127,List!$E$2:$E$173,0),MATCH('Selection Pane Data'!BF$3,List!$E$2:$CD$2,0)),"")</f>
        <v/>
      </c>
      <c r="BG127" s="13" t="str">
        <f>IF(BG$4="Yes",INDEX(List!$E$2:$CD$173,MATCH('Selection Pane Data'!$B127,List!$E$2:$E$173,0),MATCH('Selection Pane Data'!BG$3,List!$E$2:$CD$2,0)),"")</f>
        <v/>
      </c>
      <c r="BH127" s="13" t="str">
        <f>IF(BH$4="Yes",INDEX(List!$E$2:$CD$173,MATCH('Selection Pane Data'!$B127,List!$E$2:$E$173,0),MATCH('Selection Pane Data'!BH$3,List!$E$2:$CD$2,0)),"")</f>
        <v/>
      </c>
      <c r="BI127" s="13" t="str">
        <f>IF(BI$4="Yes",INDEX(List!$E$2:$CD$173,MATCH('Selection Pane Data'!$B127,List!$E$2:$E$173,0),MATCH('Selection Pane Data'!BI$3,List!$E$2:$CD$2,0)),"")</f>
        <v/>
      </c>
      <c r="BJ127" s="13" t="str">
        <f>IF(BJ$4="Yes",INDEX(List!$E$2:$CD$173,MATCH('Selection Pane Data'!$B127,List!$E$2:$E$173,0),MATCH('Selection Pane Data'!BJ$3,List!$E$2:$CD$2,0)),"")</f>
        <v/>
      </c>
      <c r="BK127" s="13" t="str">
        <f>IF(BK$4="Yes",INDEX(List!$E$2:$CD$173,MATCH('Selection Pane Data'!$B127,List!$E$2:$E$173,0),MATCH('Selection Pane Data'!BK$3,List!$E$2:$CD$2,0)),"")</f>
        <v/>
      </c>
      <c r="BL127" s="13" t="str">
        <f>IF(BL$4="Yes",INDEX(List!$E$2:$CD$173,MATCH('Selection Pane Data'!$B127,List!$E$2:$E$173,0),MATCH('Selection Pane Data'!BL$3,List!$E$2:$CD$2,0)),"")</f>
        <v/>
      </c>
      <c r="BM127" s="13" t="str">
        <f>IF(BM$4="Yes",INDEX(List!$E$2:$CD$173,MATCH('Selection Pane Data'!$B127,List!$E$2:$E$173,0),MATCH('Selection Pane Data'!BM$3,List!$E$2:$CD$2,0)),"")</f>
        <v/>
      </c>
      <c r="BN127" s="13" t="str">
        <f>IF(BN$4="Yes",INDEX(List!$E$2:$CD$173,MATCH('Selection Pane Data'!$B127,List!$E$2:$E$173,0),MATCH('Selection Pane Data'!BN$3,List!$E$2:$CD$2,0)),"")</f>
        <v/>
      </c>
      <c r="BO127" s="13" t="str">
        <f>IF(BO$4="Yes",INDEX(List!$E$2:$CD$173,MATCH('Selection Pane Data'!$B127,List!$E$2:$E$173,0),MATCH('Selection Pane Data'!BO$3,List!$E$2:$CD$2,0)),"")</f>
        <v/>
      </c>
      <c r="BP127" s="13" t="str">
        <f>IF(BP$4="Yes",INDEX(List!$E$2:$CD$173,MATCH('Selection Pane Data'!$B127,List!$E$2:$E$173,0),MATCH('Selection Pane Data'!BP$3,List!$E$2:$CD$2,0)),"")</f>
        <v/>
      </c>
      <c r="BQ127" s="13" t="str">
        <f>IF(BQ$4="Yes",INDEX(List!$E$2:$CD$173,MATCH('Selection Pane Data'!$B127,List!$E$2:$E$173,0),MATCH('Selection Pane Data'!BQ$3,List!$E$2:$CD$2,0)),"")</f>
        <v/>
      </c>
      <c r="BR127" s="13" t="str">
        <f>IF(BR$4="Yes",INDEX(List!$E$2:$CD$173,MATCH('Selection Pane Data'!$B127,List!$E$2:$E$173,0),MATCH('Selection Pane Data'!BR$3,List!$E$2:$CD$2,0)),"")</f>
        <v/>
      </c>
      <c r="BS127" s="13" t="str">
        <f>IF(BS$4="Yes",INDEX(List!$E$2:$CD$173,MATCH('Selection Pane Data'!$B127,List!$E$2:$E$173,0),MATCH('Selection Pane Data'!BS$3,List!$E$2:$CD$2,0)),"")</f>
        <v/>
      </c>
      <c r="BT127" s="13" t="str">
        <f>IF(BT$4="Yes",INDEX(List!$E$2:$CD$173,MATCH('Selection Pane Data'!$B127,List!$E$2:$E$173,0),MATCH('Selection Pane Data'!BT$3,List!$E$2:$CD$2,0)),"")</f>
        <v/>
      </c>
      <c r="BU127" s="13" t="str">
        <f>IF(BU$4="Yes",INDEX(List!$E$2:$CD$173,MATCH('Selection Pane Data'!$B127,List!$E$2:$E$173,0),MATCH('Selection Pane Data'!BU$3,List!$E$2:$CD$2,0)),"")</f>
        <v/>
      </c>
      <c r="BV127" s="13" t="str">
        <f>IF(BV$4="Yes",INDEX(List!$E$2:$CD$173,MATCH('Selection Pane Data'!$B127,List!$E$2:$E$173,0),MATCH('Selection Pane Data'!BV$3,List!$E$2:$CD$2,0)),"")</f>
        <v/>
      </c>
      <c r="BW127" s="13" t="str">
        <f>IF(BW$4="Yes",INDEX(List!$E$2:$CD$173,MATCH('Selection Pane Data'!$B127,List!$E$2:$E$173,0),MATCH('Selection Pane Data'!BW$3,List!$E$2:$CD$2,0)),"")</f>
        <v/>
      </c>
      <c r="BX127" s="13" t="str">
        <f>IF(BX$4="Yes",INDEX(List!$E$2:$CD$173,MATCH('Selection Pane Data'!$B127,List!$E$2:$E$173,0),MATCH('Selection Pane Data'!BX$3,List!$E$2:$CD$2,0)),"")</f>
        <v/>
      </c>
      <c r="BY127" s="13" t="str">
        <f>IF(BY$4="Yes",INDEX(List!$E$2:$CD$173,MATCH('Selection Pane Data'!$B127,List!$E$2:$E$173,0),MATCH('Selection Pane Data'!BY$3,List!$E$2:$CD$2,0)),"")</f>
        <v/>
      </c>
      <c r="BZ127" s="13" t="str">
        <f>IF(BZ$4="Yes",INDEX(List!$E$2:$CD$173,MATCH('Selection Pane Data'!$B127,List!$E$2:$E$173,0),MATCH('Selection Pane Data'!BZ$3,List!$E$2:$CD$2,0)),"")</f>
        <v/>
      </c>
      <c r="CA127" s="13" t="str">
        <f>IF(CA$4="Yes",INDEX(List!$E$2:$CD$173,MATCH('Selection Pane Data'!$B127,List!$E$2:$E$173,0),MATCH('Selection Pane Data'!CA$3,List!$E$2:$CD$2,0)),"")</f>
        <v/>
      </c>
      <c r="CB127" s="13" t="str">
        <f>IF(CB$4="Yes",INDEX(List!$E$2:$CD$173,MATCH('Selection Pane Data'!$B127,List!$E$2:$E$173,0),MATCH('Selection Pane Data'!CB$3,List!$E$2:$CD$2,0)),"")</f>
        <v/>
      </c>
      <c r="CC127" s="13" t="str">
        <f>IF(CC$4="Yes",INDEX(List!$E$2:$CD$173,MATCH('Selection Pane Data'!$B127,List!$E$2:$E$173,0),MATCH('Selection Pane Data'!CC$3,List!$E$2:$CD$2,0)),"")</f>
        <v/>
      </c>
      <c r="CD127" s="13" t="str">
        <f>IF(CD$4="Yes",INDEX(List!$E$2:$CD$173,MATCH('Selection Pane Data'!$B127,List!$E$2:$E$173,0),MATCH('Selection Pane Data'!CD$3,List!$E$2:$CD$2,0)),"")</f>
        <v/>
      </c>
      <c r="CE127" s="13" t="str">
        <f>IF(CE$4="Yes",INDEX(List!$E$2:$CD$173,MATCH('Selection Pane Data'!$B127,List!$E$2:$E$173,0),MATCH('Selection Pane Data'!CE$3,List!$E$2:$CD$2,0)),"")</f>
        <v/>
      </c>
    </row>
    <row r="128" spans="2:83" x14ac:dyDescent="0.35">
      <c r="B128" s="21" t="s">
        <v>415</v>
      </c>
      <c r="C128" s="126" t="str">
        <f>VLOOKUP(B128,List!$E$2:$G$173,2,FALSE)</f>
        <v>N/A</v>
      </c>
      <c r="D128" s="31" t="str">
        <f>List!G126</f>
        <v>Not Applicable</v>
      </c>
      <c r="E128" s="31" t="str">
        <f>IF(Placemat!$F$4="All Practices","All Practices",IF(VLOOKUP(B128,Table7[#All],6,FALSE)="No Mapping","New CMMC Practices","Practices with NIST 800-171 Mappings"))</f>
        <v>Practices with NIST 800-171 Mappings</v>
      </c>
      <c r="F128" t="str">
        <f>INDEX('CMMC Levels'!$A$1:$F$172,MATCH('Selection Pane Data'!$C128,'CMMC Levels'!$A$1:$A$172,0),MATCH(Placemat!$F$4,'CMMC Levels'!$A$1:$F$1,0))</f>
        <v>N/A</v>
      </c>
      <c r="G128" s="77" t="str">
        <f>IF((COUNTIF(List!H126:CE126,"P")+COUNTIF(List!H126:CE126,"S"))=0,"N",IF(COUNTIF(H128:CE128,"P"),"P",IF(COUNTIF(H128:CE128,"S"),"S","U")))</f>
        <v>N</v>
      </c>
      <c r="H128" s="13" t="str">
        <f>IF(H$4="Yes",INDEX(List!$E$2:$CD$173,MATCH('Selection Pane Data'!$B128,List!$E$2:$E$173,0),MATCH('Selection Pane Data'!H$3,List!$E$2:$CD$2,0)),"")</f>
        <v/>
      </c>
      <c r="I128" s="13" t="str">
        <f>IF(I$4="Yes",INDEX(List!$E$2:$CD$173,MATCH('Selection Pane Data'!$B128,List!$E$2:$E$173,0),MATCH('Selection Pane Data'!I$3,List!$E$2:$CD$2,0)),"")</f>
        <v/>
      </c>
      <c r="J128" s="13" t="e">
        <f>IF(J$4="Yes",INDEX(List!$E$2:$CD$173,MATCH('Selection Pane Data'!$B128,List!$E$2:$E$173,0),MATCH('Selection Pane Data'!J$3,List!$E$2:$CD$2,0)),"")</f>
        <v>#N/A</v>
      </c>
      <c r="K128" s="13" t="str">
        <f>IF(K$4="Yes",INDEX(List!$E$2:$CD$173,MATCH('Selection Pane Data'!$B128,List!$E$2:$E$173,0),MATCH('Selection Pane Data'!K$3,List!$E$2:$CD$2,0)),"")</f>
        <v/>
      </c>
      <c r="L128" s="13" t="str">
        <f>IF(L$4="Yes",INDEX(List!$E$2:$CD$173,MATCH('Selection Pane Data'!$B128,List!$E$2:$E$173,0),MATCH('Selection Pane Data'!L$3,List!$E$2:$CD$2,0)),"")</f>
        <v/>
      </c>
      <c r="M128" s="13" t="str">
        <f>IF(M$4="Yes",INDEX(List!$E$2:$CD$173,MATCH('Selection Pane Data'!$B128,List!$E$2:$E$173,0),MATCH('Selection Pane Data'!M$3,List!$E$2:$CD$2,0)),"")</f>
        <v/>
      </c>
      <c r="N128" s="13" t="str">
        <f>IF(N$4="Yes",INDEX(List!$E$2:$CD$173,MATCH('Selection Pane Data'!$B128,List!$E$2:$E$173,0),MATCH('Selection Pane Data'!N$3,List!$E$2:$CD$2,0)),"")</f>
        <v/>
      </c>
      <c r="O128" s="13" t="str">
        <f>IF(O$4="Yes",INDEX(List!$E$2:$CD$173,MATCH('Selection Pane Data'!$B128,List!$E$2:$E$173,0),MATCH('Selection Pane Data'!O$3,List!$E$2:$CD$2,0)),"")</f>
        <v/>
      </c>
      <c r="P128" s="13" t="str">
        <f>IF(P$4="Yes",INDEX(List!$E$2:$CD$173,MATCH('Selection Pane Data'!$B128,List!$E$2:$E$173,0),MATCH('Selection Pane Data'!P$3,List!$E$2:$CD$2,0)),"")</f>
        <v/>
      </c>
      <c r="Q128" s="13" t="str">
        <f>IF(Q$4="Yes",INDEX(List!$E$2:$CD$173,MATCH('Selection Pane Data'!$B128,List!$E$2:$E$173,0),MATCH('Selection Pane Data'!Q$3,List!$E$2:$CD$2,0)),"")</f>
        <v/>
      </c>
      <c r="R128" s="13" t="str">
        <f>IF(R$4="Yes",INDEX(List!$E$2:$CD$173,MATCH('Selection Pane Data'!$B128,List!$E$2:$E$173,0),MATCH('Selection Pane Data'!R$3,List!$E$2:$CD$2,0)),"")</f>
        <v/>
      </c>
      <c r="S128" s="13" t="str">
        <f>IF(S$4="Yes",INDEX(List!$E$2:$CD$173,MATCH('Selection Pane Data'!$B128,List!$E$2:$E$173,0),MATCH('Selection Pane Data'!S$3,List!$E$2:$CD$2,0)),"")</f>
        <v/>
      </c>
      <c r="T128" s="13" t="str">
        <f>IF(T$4="Yes",INDEX(List!$E$2:$CD$173,MATCH('Selection Pane Data'!$B128,List!$E$2:$E$173,0),MATCH('Selection Pane Data'!T$3,List!$E$2:$CD$2,0)),"")</f>
        <v/>
      </c>
      <c r="U128" s="13" t="str">
        <f>IF(U$4="Yes",INDEX(List!$E$2:$CD$173,MATCH('Selection Pane Data'!$B128,List!$E$2:$E$173,0),MATCH('Selection Pane Data'!U$3,List!$E$2:$CD$2,0)),"")</f>
        <v/>
      </c>
      <c r="V128" s="13" t="str">
        <f>IF(V$4="Yes",INDEX(List!$E$2:$CD$173,MATCH('Selection Pane Data'!$B128,List!$E$2:$E$173,0),MATCH('Selection Pane Data'!V$3,List!$E$2:$CD$2,0)),"")</f>
        <v/>
      </c>
      <c r="W128" s="13" t="str">
        <f>IF(W$4="Yes",INDEX(List!$E$2:$CD$173,MATCH('Selection Pane Data'!$B128,List!$E$2:$E$173,0),MATCH('Selection Pane Data'!W$3,List!$E$2:$CD$2,0)),"")</f>
        <v/>
      </c>
      <c r="X128" s="13" t="str">
        <f>IF(X$4="Yes",INDEX(List!$E$2:$CD$173,MATCH('Selection Pane Data'!$B128,List!$E$2:$E$173,0),MATCH('Selection Pane Data'!X$3,List!$E$2:$CD$2,0)),"")</f>
        <v/>
      </c>
      <c r="Y128" s="13" t="str">
        <f>IF(Y$4="Yes",INDEX(List!$E$2:$CD$173,MATCH('Selection Pane Data'!$B128,List!$E$2:$E$173,0),MATCH('Selection Pane Data'!Y$3,List!$E$2:$CD$2,0)),"")</f>
        <v/>
      </c>
      <c r="Z128" s="13" t="str">
        <f>IF(Z$4="Yes",INDEX(List!$E$2:$CD$173,MATCH('Selection Pane Data'!$B128,List!$E$2:$E$173,0),MATCH('Selection Pane Data'!Z$3,List!$E$2:$CD$2,0)),"")</f>
        <v/>
      </c>
      <c r="AA128" s="13" t="e">
        <f>IF(AA$4="Yes",INDEX(List!$E$2:$CD$173,MATCH('Selection Pane Data'!$B128,List!$E$2:$E$173,0),MATCH('Selection Pane Data'!AA$3,List!$E$2:$CD$2,0)),"")</f>
        <v>#N/A</v>
      </c>
      <c r="AB128" s="13" t="str">
        <f>IF(AB$4="Yes",INDEX(List!$E$2:$CD$173,MATCH('Selection Pane Data'!$B128,List!$E$2:$E$173,0),MATCH('Selection Pane Data'!AB$3,List!$E$2:$CD$2,0)),"")</f>
        <v/>
      </c>
      <c r="AC128" s="13" t="str">
        <f>IF(AC$4="Yes",INDEX(List!$E$2:$CD$173,MATCH('Selection Pane Data'!$B128,List!$E$2:$E$173,0),MATCH('Selection Pane Data'!AC$3,List!$E$2:$CD$2,0)),"")</f>
        <v/>
      </c>
      <c r="AD128" s="13" t="str">
        <f>IF(AD$4="Yes",INDEX(List!$E$2:$CD$173,MATCH('Selection Pane Data'!$B128,List!$E$2:$E$173,0),MATCH('Selection Pane Data'!AD$3,List!$E$2:$CD$2,0)),"")</f>
        <v/>
      </c>
      <c r="AE128" s="13" t="str">
        <f>IF(AE$4="Yes",INDEX(List!$E$2:$CD$173,MATCH('Selection Pane Data'!$B128,List!$E$2:$E$173,0),MATCH('Selection Pane Data'!AE$3,List!$E$2:$CD$2,0)),"")</f>
        <v/>
      </c>
      <c r="AF128" s="13" t="str">
        <f>IF(AF$4="Yes",INDEX(List!$E$2:$CD$173,MATCH('Selection Pane Data'!$B128,List!$E$2:$E$173,0),MATCH('Selection Pane Data'!AF$3,List!$E$2:$CD$2,0)),"")</f>
        <v/>
      </c>
      <c r="AG128" s="13" t="str">
        <f>IF(AG$4="Yes",INDEX(List!$E$2:$CD$173,MATCH('Selection Pane Data'!$B128,List!$E$2:$E$173,0),MATCH('Selection Pane Data'!AG$3,List!$E$2:$CD$2,0)),"")</f>
        <v/>
      </c>
      <c r="AH128" s="13" t="str">
        <f>IF(AH$4="Yes",INDEX(List!$E$2:$CD$173,MATCH('Selection Pane Data'!$B128,List!$E$2:$E$173,0),MATCH('Selection Pane Data'!AH$3,List!$E$2:$CD$2,0)),"")</f>
        <v/>
      </c>
      <c r="AI128" s="13" t="str">
        <f>IF(AI$4="Yes",INDEX(List!$E$2:$CD$173,MATCH('Selection Pane Data'!$B128,List!$E$2:$E$173,0),MATCH('Selection Pane Data'!AI$3,List!$E$2:$CD$2,0)),"")</f>
        <v/>
      </c>
      <c r="AJ128" s="13" t="str">
        <f>IF(AJ$4="Yes",INDEX(List!$E$2:$CD$173,MATCH('Selection Pane Data'!$B128,List!$E$2:$E$173,0),MATCH('Selection Pane Data'!AJ$3,List!$E$2:$CD$2,0)),"")</f>
        <v/>
      </c>
      <c r="AK128" s="13" t="str">
        <f>IF(AK$4="Yes",INDEX(List!$E$2:$CD$173,MATCH('Selection Pane Data'!$B128,List!$E$2:$E$173,0),MATCH('Selection Pane Data'!AK$3,List!$E$2:$CD$2,0)),"")</f>
        <v/>
      </c>
      <c r="AL128" s="13" t="str">
        <f>IF(AL$4="Yes",INDEX(List!$E$2:$CD$173,MATCH('Selection Pane Data'!$B128,List!$E$2:$E$173,0),MATCH('Selection Pane Data'!AL$3,List!$E$2:$CD$2,0)),"")</f>
        <v/>
      </c>
      <c r="AM128" s="13" t="str">
        <f>IF(AM$4="Yes",INDEX(List!$E$2:$CD$173,MATCH('Selection Pane Data'!$B128,List!$E$2:$E$173,0),MATCH('Selection Pane Data'!AM$3,List!$E$2:$CD$2,0)),"")</f>
        <v/>
      </c>
      <c r="AN128" s="13" t="str">
        <f>IF(AN$4="Yes",INDEX(List!$E$2:$CD$173,MATCH('Selection Pane Data'!$B128,List!$E$2:$E$173,0),MATCH('Selection Pane Data'!AN$3,List!$E$2:$CD$2,0)),"")</f>
        <v/>
      </c>
      <c r="AO128" s="13" t="str">
        <f>IF(AO$4="Yes",INDEX(List!$E$2:$CD$173,MATCH('Selection Pane Data'!$B128,List!$E$2:$E$173,0),MATCH('Selection Pane Data'!AO$3,List!$E$2:$CD$2,0)),"")</f>
        <v/>
      </c>
      <c r="AP128" s="13" t="str">
        <f>IF(AP$4="Yes",INDEX(List!$E$2:$CD$173,MATCH('Selection Pane Data'!$B128,List!$E$2:$E$173,0),MATCH('Selection Pane Data'!AP$3,List!$E$2:$CD$2,0)),"")</f>
        <v/>
      </c>
      <c r="AQ128" s="13" t="str">
        <f>IF(AQ$4="Yes",INDEX(List!$E$2:$CD$173,MATCH('Selection Pane Data'!$B128,List!$E$2:$E$173,0),MATCH('Selection Pane Data'!AQ$3,List!$E$2:$CD$2,0)),"")</f>
        <v/>
      </c>
      <c r="AR128" s="13" t="str">
        <f>IF(AR$4="Yes",INDEX(List!$E$2:$CD$173,MATCH('Selection Pane Data'!$B128,List!$E$2:$E$173,0),MATCH('Selection Pane Data'!AR$3,List!$E$2:$CD$2,0)),"")</f>
        <v/>
      </c>
      <c r="AS128" s="13" t="str">
        <f>IF(AS$4="Yes",INDEX(List!$E$2:$CD$173,MATCH('Selection Pane Data'!$B128,List!$E$2:$E$173,0),MATCH('Selection Pane Data'!AS$3,List!$E$2:$CD$2,0)),"")</f>
        <v/>
      </c>
      <c r="AT128" s="13" t="str">
        <f>IF(AT$4="Yes",INDEX(List!$E$2:$CD$173,MATCH('Selection Pane Data'!$B128,List!$E$2:$E$173,0),MATCH('Selection Pane Data'!AT$3,List!$E$2:$CD$2,0)),"")</f>
        <v/>
      </c>
      <c r="AU128" s="13" t="str">
        <f>IF(AU$4="Yes",INDEX(List!$E$2:$CD$173,MATCH('Selection Pane Data'!$B128,List!$E$2:$E$173,0),MATCH('Selection Pane Data'!AU$3,List!$E$2:$CD$2,0)),"")</f>
        <v/>
      </c>
      <c r="AV128" s="13" t="str">
        <f>IF(AV$4="Yes",INDEX(List!$E$2:$CD$173,MATCH('Selection Pane Data'!$B128,List!$E$2:$E$173,0),MATCH('Selection Pane Data'!AV$3,List!$E$2:$CD$2,0)),"")</f>
        <v/>
      </c>
      <c r="AW128" s="13" t="str">
        <f>IF(AW$4="Yes",INDEX(List!$E$2:$CD$173,MATCH('Selection Pane Data'!$B128,List!$E$2:$E$173,0),MATCH('Selection Pane Data'!AW$3,List!$E$2:$CD$2,0)),"")</f>
        <v/>
      </c>
      <c r="AX128" s="13" t="str">
        <f>IF(AX$4="Yes",INDEX(List!$E$2:$CD$173,MATCH('Selection Pane Data'!$B128,List!$E$2:$E$173,0),MATCH('Selection Pane Data'!AX$3,List!$E$2:$CD$2,0)),"")</f>
        <v/>
      </c>
      <c r="AY128" s="13" t="str">
        <f>IF(AY$4="Yes",INDEX(List!$E$2:$CD$173,MATCH('Selection Pane Data'!$B128,List!$E$2:$E$173,0),MATCH('Selection Pane Data'!AY$3,List!$E$2:$CD$2,0)),"")</f>
        <v/>
      </c>
      <c r="AZ128" s="13" t="str">
        <f>IF(AZ$4="Yes",INDEX(List!$E$2:$CD$173,MATCH('Selection Pane Data'!$B128,List!$E$2:$E$173,0),MATCH('Selection Pane Data'!AZ$3,List!$E$2:$CD$2,0)),"")</f>
        <v/>
      </c>
      <c r="BA128" s="13" t="str">
        <f>IF(BA$4="Yes",INDEX(List!$E$2:$CD$173,MATCH('Selection Pane Data'!$B128,List!$E$2:$E$173,0),MATCH('Selection Pane Data'!BA$3,List!$E$2:$CD$2,0)),"")</f>
        <v/>
      </c>
      <c r="BB128" s="13" t="str">
        <f>IF(BB$4="Yes",INDEX(List!$E$2:$CD$173,MATCH('Selection Pane Data'!$B128,List!$E$2:$E$173,0),MATCH('Selection Pane Data'!BB$3,List!$E$2:$CD$2,0)),"")</f>
        <v/>
      </c>
      <c r="BC128" s="13" t="str">
        <f>IF(BC$4="Yes",INDEX(List!$E$2:$CD$173,MATCH('Selection Pane Data'!$B128,List!$E$2:$E$173,0),MATCH('Selection Pane Data'!BC$3,List!$E$2:$CD$2,0)),"")</f>
        <v/>
      </c>
      <c r="BD128" s="13" t="str">
        <f>IF(BD$4="Yes",INDEX(List!$E$2:$CD$173,MATCH('Selection Pane Data'!$B128,List!$E$2:$E$173,0),MATCH('Selection Pane Data'!BD$3,List!$E$2:$CD$2,0)),"")</f>
        <v/>
      </c>
      <c r="BE128" s="13" t="str">
        <f>IF(BE$4="Yes",INDEX(List!$E$2:$CD$173,MATCH('Selection Pane Data'!$B128,List!$E$2:$E$173,0),MATCH('Selection Pane Data'!BE$3,List!$E$2:$CD$2,0)),"")</f>
        <v/>
      </c>
      <c r="BF128" s="13" t="str">
        <f>IF(BF$4="Yes",INDEX(List!$E$2:$CD$173,MATCH('Selection Pane Data'!$B128,List!$E$2:$E$173,0),MATCH('Selection Pane Data'!BF$3,List!$E$2:$CD$2,0)),"")</f>
        <v/>
      </c>
      <c r="BG128" s="13" t="str">
        <f>IF(BG$4="Yes",INDEX(List!$E$2:$CD$173,MATCH('Selection Pane Data'!$B128,List!$E$2:$E$173,0),MATCH('Selection Pane Data'!BG$3,List!$E$2:$CD$2,0)),"")</f>
        <v/>
      </c>
      <c r="BH128" s="13" t="str">
        <f>IF(BH$4="Yes",INDEX(List!$E$2:$CD$173,MATCH('Selection Pane Data'!$B128,List!$E$2:$E$173,0),MATCH('Selection Pane Data'!BH$3,List!$E$2:$CD$2,0)),"")</f>
        <v/>
      </c>
      <c r="BI128" s="13" t="str">
        <f>IF(BI$4="Yes",INDEX(List!$E$2:$CD$173,MATCH('Selection Pane Data'!$B128,List!$E$2:$E$173,0),MATCH('Selection Pane Data'!BI$3,List!$E$2:$CD$2,0)),"")</f>
        <v/>
      </c>
      <c r="BJ128" s="13" t="str">
        <f>IF(BJ$4="Yes",INDEX(List!$E$2:$CD$173,MATCH('Selection Pane Data'!$B128,List!$E$2:$E$173,0),MATCH('Selection Pane Data'!BJ$3,List!$E$2:$CD$2,0)),"")</f>
        <v/>
      </c>
      <c r="BK128" s="13" t="str">
        <f>IF(BK$4="Yes",INDEX(List!$E$2:$CD$173,MATCH('Selection Pane Data'!$B128,List!$E$2:$E$173,0),MATCH('Selection Pane Data'!BK$3,List!$E$2:$CD$2,0)),"")</f>
        <v/>
      </c>
      <c r="BL128" s="13" t="str">
        <f>IF(BL$4="Yes",INDEX(List!$E$2:$CD$173,MATCH('Selection Pane Data'!$B128,List!$E$2:$E$173,0),MATCH('Selection Pane Data'!BL$3,List!$E$2:$CD$2,0)),"")</f>
        <v/>
      </c>
      <c r="BM128" s="13" t="str">
        <f>IF(BM$4="Yes",INDEX(List!$E$2:$CD$173,MATCH('Selection Pane Data'!$B128,List!$E$2:$E$173,0),MATCH('Selection Pane Data'!BM$3,List!$E$2:$CD$2,0)),"")</f>
        <v/>
      </c>
      <c r="BN128" s="13" t="str">
        <f>IF(BN$4="Yes",INDEX(List!$E$2:$CD$173,MATCH('Selection Pane Data'!$B128,List!$E$2:$E$173,0),MATCH('Selection Pane Data'!BN$3,List!$E$2:$CD$2,0)),"")</f>
        <v/>
      </c>
      <c r="BO128" s="13" t="str">
        <f>IF(BO$4="Yes",INDEX(List!$E$2:$CD$173,MATCH('Selection Pane Data'!$B128,List!$E$2:$E$173,0),MATCH('Selection Pane Data'!BO$3,List!$E$2:$CD$2,0)),"")</f>
        <v/>
      </c>
      <c r="BP128" s="13" t="str">
        <f>IF(BP$4="Yes",INDEX(List!$E$2:$CD$173,MATCH('Selection Pane Data'!$B128,List!$E$2:$E$173,0),MATCH('Selection Pane Data'!BP$3,List!$E$2:$CD$2,0)),"")</f>
        <v/>
      </c>
      <c r="BQ128" s="13" t="str">
        <f>IF(BQ$4="Yes",INDEX(List!$E$2:$CD$173,MATCH('Selection Pane Data'!$B128,List!$E$2:$E$173,0),MATCH('Selection Pane Data'!BQ$3,List!$E$2:$CD$2,0)),"")</f>
        <v/>
      </c>
      <c r="BR128" s="13" t="str">
        <f>IF(BR$4="Yes",INDEX(List!$E$2:$CD$173,MATCH('Selection Pane Data'!$B128,List!$E$2:$E$173,0),MATCH('Selection Pane Data'!BR$3,List!$E$2:$CD$2,0)),"")</f>
        <v/>
      </c>
      <c r="BS128" s="13" t="str">
        <f>IF(BS$4="Yes",INDEX(List!$E$2:$CD$173,MATCH('Selection Pane Data'!$B128,List!$E$2:$E$173,0),MATCH('Selection Pane Data'!BS$3,List!$E$2:$CD$2,0)),"")</f>
        <v/>
      </c>
      <c r="BT128" s="13" t="str">
        <f>IF(BT$4="Yes",INDEX(List!$E$2:$CD$173,MATCH('Selection Pane Data'!$B128,List!$E$2:$E$173,0),MATCH('Selection Pane Data'!BT$3,List!$E$2:$CD$2,0)),"")</f>
        <v/>
      </c>
      <c r="BU128" s="13" t="str">
        <f>IF(BU$4="Yes",INDEX(List!$E$2:$CD$173,MATCH('Selection Pane Data'!$B128,List!$E$2:$E$173,0),MATCH('Selection Pane Data'!BU$3,List!$E$2:$CD$2,0)),"")</f>
        <v/>
      </c>
      <c r="BV128" s="13" t="str">
        <f>IF(BV$4="Yes",INDEX(List!$E$2:$CD$173,MATCH('Selection Pane Data'!$B128,List!$E$2:$E$173,0),MATCH('Selection Pane Data'!BV$3,List!$E$2:$CD$2,0)),"")</f>
        <v/>
      </c>
      <c r="BW128" s="13" t="str">
        <f>IF(BW$4="Yes",INDEX(List!$E$2:$CD$173,MATCH('Selection Pane Data'!$B128,List!$E$2:$E$173,0),MATCH('Selection Pane Data'!BW$3,List!$E$2:$CD$2,0)),"")</f>
        <v/>
      </c>
      <c r="BX128" s="13" t="str">
        <f>IF(BX$4="Yes",INDEX(List!$E$2:$CD$173,MATCH('Selection Pane Data'!$B128,List!$E$2:$E$173,0),MATCH('Selection Pane Data'!BX$3,List!$E$2:$CD$2,0)),"")</f>
        <v/>
      </c>
      <c r="BY128" s="13" t="str">
        <f>IF(BY$4="Yes",INDEX(List!$E$2:$CD$173,MATCH('Selection Pane Data'!$B128,List!$E$2:$E$173,0),MATCH('Selection Pane Data'!BY$3,List!$E$2:$CD$2,0)),"")</f>
        <v/>
      </c>
      <c r="BZ128" s="13" t="str">
        <f>IF(BZ$4="Yes",INDEX(List!$E$2:$CD$173,MATCH('Selection Pane Data'!$B128,List!$E$2:$E$173,0),MATCH('Selection Pane Data'!BZ$3,List!$E$2:$CD$2,0)),"")</f>
        <v/>
      </c>
      <c r="CA128" s="13" t="str">
        <f>IF(CA$4="Yes",INDEX(List!$E$2:$CD$173,MATCH('Selection Pane Data'!$B128,List!$E$2:$E$173,0),MATCH('Selection Pane Data'!CA$3,List!$E$2:$CD$2,0)),"")</f>
        <v/>
      </c>
      <c r="CB128" s="13" t="str">
        <f>IF(CB$4="Yes",INDEX(List!$E$2:$CD$173,MATCH('Selection Pane Data'!$B128,List!$E$2:$E$173,0),MATCH('Selection Pane Data'!CB$3,List!$E$2:$CD$2,0)),"")</f>
        <v/>
      </c>
      <c r="CC128" s="13" t="str">
        <f>IF(CC$4="Yes",INDEX(List!$E$2:$CD$173,MATCH('Selection Pane Data'!$B128,List!$E$2:$E$173,0),MATCH('Selection Pane Data'!CC$3,List!$E$2:$CD$2,0)),"")</f>
        <v/>
      </c>
      <c r="CD128" s="13" t="str">
        <f>IF(CD$4="Yes",INDEX(List!$E$2:$CD$173,MATCH('Selection Pane Data'!$B128,List!$E$2:$E$173,0),MATCH('Selection Pane Data'!CD$3,List!$E$2:$CD$2,0)),"")</f>
        <v/>
      </c>
      <c r="CE128" s="13" t="str">
        <f>IF(CE$4="Yes",INDEX(List!$E$2:$CD$173,MATCH('Selection Pane Data'!$B128,List!$E$2:$E$173,0),MATCH('Selection Pane Data'!CE$3,List!$E$2:$CD$2,0)),"")</f>
        <v/>
      </c>
    </row>
    <row r="129" spans="2:83" x14ac:dyDescent="0.35">
      <c r="B129" s="21" t="s">
        <v>416</v>
      </c>
      <c r="C129" s="126" t="str">
        <f>VLOOKUP(B129,List!$E$2:$G$173,2,FALSE)</f>
        <v>RA.L3-10</v>
      </c>
      <c r="D129" s="31" t="str">
        <f>List!G127</f>
        <v>Not Applicable</v>
      </c>
      <c r="E129" s="31" t="str">
        <f>IF(Placemat!$F$4="All Practices","All Practices",IF(VLOOKUP(B129,Table7[#All],6,FALSE)="No Mapping","New CMMC Practices","Practices with NIST 800-171 Mappings"))</f>
        <v>Practices with NIST 800-171 Mappings</v>
      </c>
      <c r="F129" t="str">
        <f>INDEX('CMMC Levels'!$A$1:$F$172,MATCH('Selection Pane Data'!$C129,'CMMC Levels'!$A$1:$A$172,0),MATCH(Placemat!$F$4,'CMMC Levels'!$A$1:$F$1,0))</f>
        <v>N/A</v>
      </c>
      <c r="G129" s="77" t="str">
        <f>IF((COUNTIF(List!H127:CE127,"P")+COUNTIF(List!H127:CE127,"S"))=0,"N",IF(COUNTIF(H129:CE129,"P"),"P",IF(COUNTIF(H129:CE129,"S"),"S","U")))</f>
        <v>N</v>
      </c>
      <c r="H129" s="13" t="str">
        <f>IF(H$4="Yes",INDEX(List!$E$2:$CD$173,MATCH('Selection Pane Data'!$B129,List!$E$2:$E$173,0),MATCH('Selection Pane Data'!H$3,List!$E$2:$CD$2,0)),"")</f>
        <v/>
      </c>
      <c r="I129" s="13" t="str">
        <f>IF(I$4="Yes",INDEX(List!$E$2:$CD$173,MATCH('Selection Pane Data'!$B129,List!$E$2:$E$173,0),MATCH('Selection Pane Data'!I$3,List!$E$2:$CD$2,0)),"")</f>
        <v/>
      </c>
      <c r="J129" s="13" t="str">
        <f>IF(J$4="Yes",INDEX(List!$E$2:$CD$173,MATCH('Selection Pane Data'!$B129,List!$E$2:$E$173,0),MATCH('Selection Pane Data'!J$3,List!$E$2:$CD$2,0)),"")</f>
        <v>N</v>
      </c>
      <c r="K129" s="13" t="str">
        <f>IF(K$4="Yes",INDEX(List!$E$2:$CD$173,MATCH('Selection Pane Data'!$B129,List!$E$2:$E$173,0),MATCH('Selection Pane Data'!K$3,List!$E$2:$CD$2,0)),"")</f>
        <v/>
      </c>
      <c r="L129" s="13" t="str">
        <f>IF(L$4="Yes",INDEX(List!$E$2:$CD$173,MATCH('Selection Pane Data'!$B129,List!$E$2:$E$173,0),MATCH('Selection Pane Data'!L$3,List!$E$2:$CD$2,0)),"")</f>
        <v/>
      </c>
      <c r="M129" s="13" t="str">
        <f>IF(M$4="Yes",INDEX(List!$E$2:$CD$173,MATCH('Selection Pane Data'!$B129,List!$E$2:$E$173,0),MATCH('Selection Pane Data'!M$3,List!$E$2:$CD$2,0)),"")</f>
        <v/>
      </c>
      <c r="N129" s="13" t="str">
        <f>IF(N$4="Yes",INDEX(List!$E$2:$CD$173,MATCH('Selection Pane Data'!$B129,List!$E$2:$E$173,0),MATCH('Selection Pane Data'!N$3,List!$E$2:$CD$2,0)),"")</f>
        <v/>
      </c>
      <c r="O129" s="13" t="str">
        <f>IF(O$4="Yes",INDEX(List!$E$2:$CD$173,MATCH('Selection Pane Data'!$B129,List!$E$2:$E$173,0),MATCH('Selection Pane Data'!O$3,List!$E$2:$CD$2,0)),"")</f>
        <v/>
      </c>
      <c r="P129" s="13" t="str">
        <f>IF(P$4="Yes",INDEX(List!$E$2:$CD$173,MATCH('Selection Pane Data'!$B129,List!$E$2:$E$173,0),MATCH('Selection Pane Data'!P$3,List!$E$2:$CD$2,0)),"")</f>
        <v/>
      </c>
      <c r="Q129" s="13" t="str">
        <f>IF(Q$4="Yes",INDEX(List!$E$2:$CD$173,MATCH('Selection Pane Data'!$B129,List!$E$2:$E$173,0),MATCH('Selection Pane Data'!Q$3,List!$E$2:$CD$2,0)),"")</f>
        <v/>
      </c>
      <c r="R129" s="13" t="str">
        <f>IF(R$4="Yes",INDEX(List!$E$2:$CD$173,MATCH('Selection Pane Data'!$B129,List!$E$2:$E$173,0),MATCH('Selection Pane Data'!R$3,List!$E$2:$CD$2,0)),"")</f>
        <v/>
      </c>
      <c r="S129" s="13" t="str">
        <f>IF(S$4="Yes",INDEX(List!$E$2:$CD$173,MATCH('Selection Pane Data'!$B129,List!$E$2:$E$173,0),MATCH('Selection Pane Data'!S$3,List!$E$2:$CD$2,0)),"")</f>
        <v/>
      </c>
      <c r="T129" s="13" t="str">
        <f>IF(T$4="Yes",INDEX(List!$E$2:$CD$173,MATCH('Selection Pane Data'!$B129,List!$E$2:$E$173,0),MATCH('Selection Pane Data'!T$3,List!$E$2:$CD$2,0)),"")</f>
        <v/>
      </c>
      <c r="U129" s="13" t="str">
        <f>IF(U$4="Yes",INDEX(List!$E$2:$CD$173,MATCH('Selection Pane Data'!$B129,List!$E$2:$E$173,0),MATCH('Selection Pane Data'!U$3,List!$E$2:$CD$2,0)),"")</f>
        <v/>
      </c>
      <c r="V129" s="13" t="str">
        <f>IF(V$4="Yes",INDEX(List!$E$2:$CD$173,MATCH('Selection Pane Data'!$B129,List!$E$2:$E$173,0),MATCH('Selection Pane Data'!V$3,List!$E$2:$CD$2,0)),"")</f>
        <v/>
      </c>
      <c r="W129" s="13" t="str">
        <f>IF(W$4="Yes",INDEX(List!$E$2:$CD$173,MATCH('Selection Pane Data'!$B129,List!$E$2:$E$173,0),MATCH('Selection Pane Data'!W$3,List!$E$2:$CD$2,0)),"")</f>
        <v/>
      </c>
      <c r="X129" s="13" t="str">
        <f>IF(X$4="Yes",INDEX(List!$E$2:$CD$173,MATCH('Selection Pane Data'!$B129,List!$E$2:$E$173,0),MATCH('Selection Pane Data'!X$3,List!$E$2:$CD$2,0)),"")</f>
        <v/>
      </c>
      <c r="Y129" s="13" t="str">
        <f>IF(Y$4="Yes",INDEX(List!$E$2:$CD$173,MATCH('Selection Pane Data'!$B129,List!$E$2:$E$173,0),MATCH('Selection Pane Data'!Y$3,List!$E$2:$CD$2,0)),"")</f>
        <v/>
      </c>
      <c r="Z129" s="13" t="str">
        <f>IF(Z$4="Yes",INDEX(List!$E$2:$CD$173,MATCH('Selection Pane Data'!$B129,List!$E$2:$E$173,0),MATCH('Selection Pane Data'!Z$3,List!$E$2:$CD$2,0)),"")</f>
        <v/>
      </c>
      <c r="AA129" s="13" t="str">
        <f>IF(AA$4="Yes",INDEX(List!$E$2:$CD$173,MATCH('Selection Pane Data'!$B129,List!$E$2:$E$173,0),MATCH('Selection Pane Data'!AA$3,List!$E$2:$CD$2,0)),"")</f>
        <v>N</v>
      </c>
      <c r="AB129" s="13" t="str">
        <f>IF(AB$4="Yes",INDEX(List!$E$2:$CD$173,MATCH('Selection Pane Data'!$B129,List!$E$2:$E$173,0),MATCH('Selection Pane Data'!AB$3,List!$E$2:$CD$2,0)),"")</f>
        <v/>
      </c>
      <c r="AC129" s="13" t="str">
        <f>IF(AC$4="Yes",INDEX(List!$E$2:$CD$173,MATCH('Selection Pane Data'!$B129,List!$E$2:$E$173,0),MATCH('Selection Pane Data'!AC$3,List!$E$2:$CD$2,0)),"")</f>
        <v/>
      </c>
      <c r="AD129" s="13" t="str">
        <f>IF(AD$4="Yes",INDEX(List!$E$2:$CD$173,MATCH('Selection Pane Data'!$B129,List!$E$2:$E$173,0),MATCH('Selection Pane Data'!AD$3,List!$E$2:$CD$2,0)),"")</f>
        <v/>
      </c>
      <c r="AE129" s="13" t="str">
        <f>IF(AE$4="Yes",INDEX(List!$E$2:$CD$173,MATCH('Selection Pane Data'!$B129,List!$E$2:$E$173,0),MATCH('Selection Pane Data'!AE$3,List!$E$2:$CD$2,0)),"")</f>
        <v/>
      </c>
      <c r="AF129" s="13" t="str">
        <f>IF(AF$4="Yes",INDEX(List!$E$2:$CD$173,MATCH('Selection Pane Data'!$B129,List!$E$2:$E$173,0),MATCH('Selection Pane Data'!AF$3,List!$E$2:$CD$2,0)),"")</f>
        <v/>
      </c>
      <c r="AG129" s="13" t="str">
        <f>IF(AG$4="Yes",INDEX(List!$E$2:$CD$173,MATCH('Selection Pane Data'!$B129,List!$E$2:$E$173,0),MATCH('Selection Pane Data'!AG$3,List!$E$2:$CD$2,0)),"")</f>
        <v/>
      </c>
      <c r="AH129" s="13" t="str">
        <f>IF(AH$4="Yes",INDEX(List!$E$2:$CD$173,MATCH('Selection Pane Data'!$B129,List!$E$2:$E$173,0),MATCH('Selection Pane Data'!AH$3,List!$E$2:$CD$2,0)),"")</f>
        <v/>
      </c>
      <c r="AI129" s="13" t="str">
        <f>IF(AI$4="Yes",INDEX(List!$E$2:$CD$173,MATCH('Selection Pane Data'!$B129,List!$E$2:$E$173,0),MATCH('Selection Pane Data'!AI$3,List!$E$2:$CD$2,0)),"")</f>
        <v/>
      </c>
      <c r="AJ129" s="13" t="str">
        <f>IF(AJ$4="Yes",INDEX(List!$E$2:$CD$173,MATCH('Selection Pane Data'!$B129,List!$E$2:$E$173,0),MATCH('Selection Pane Data'!AJ$3,List!$E$2:$CD$2,0)),"")</f>
        <v/>
      </c>
      <c r="AK129" s="13" t="str">
        <f>IF(AK$4="Yes",INDEX(List!$E$2:$CD$173,MATCH('Selection Pane Data'!$B129,List!$E$2:$E$173,0),MATCH('Selection Pane Data'!AK$3,List!$E$2:$CD$2,0)),"")</f>
        <v/>
      </c>
      <c r="AL129" s="13" t="str">
        <f>IF(AL$4="Yes",INDEX(List!$E$2:$CD$173,MATCH('Selection Pane Data'!$B129,List!$E$2:$E$173,0),MATCH('Selection Pane Data'!AL$3,List!$E$2:$CD$2,0)),"")</f>
        <v/>
      </c>
      <c r="AM129" s="13" t="str">
        <f>IF(AM$4="Yes",INDEX(List!$E$2:$CD$173,MATCH('Selection Pane Data'!$B129,List!$E$2:$E$173,0),MATCH('Selection Pane Data'!AM$3,List!$E$2:$CD$2,0)),"")</f>
        <v/>
      </c>
      <c r="AN129" s="13" t="str">
        <f>IF(AN$4="Yes",INDEX(List!$E$2:$CD$173,MATCH('Selection Pane Data'!$B129,List!$E$2:$E$173,0),MATCH('Selection Pane Data'!AN$3,List!$E$2:$CD$2,0)),"")</f>
        <v/>
      </c>
      <c r="AO129" s="13" t="str">
        <f>IF(AO$4="Yes",INDEX(List!$E$2:$CD$173,MATCH('Selection Pane Data'!$B129,List!$E$2:$E$173,0),MATCH('Selection Pane Data'!AO$3,List!$E$2:$CD$2,0)),"")</f>
        <v/>
      </c>
      <c r="AP129" s="13" t="str">
        <f>IF(AP$4="Yes",INDEX(List!$E$2:$CD$173,MATCH('Selection Pane Data'!$B129,List!$E$2:$E$173,0),MATCH('Selection Pane Data'!AP$3,List!$E$2:$CD$2,0)),"")</f>
        <v/>
      </c>
      <c r="AQ129" s="13" t="str">
        <f>IF(AQ$4="Yes",INDEX(List!$E$2:$CD$173,MATCH('Selection Pane Data'!$B129,List!$E$2:$E$173,0),MATCH('Selection Pane Data'!AQ$3,List!$E$2:$CD$2,0)),"")</f>
        <v/>
      </c>
      <c r="AR129" s="13" t="str">
        <f>IF(AR$4="Yes",INDEX(List!$E$2:$CD$173,MATCH('Selection Pane Data'!$B129,List!$E$2:$E$173,0),MATCH('Selection Pane Data'!AR$3,List!$E$2:$CD$2,0)),"")</f>
        <v/>
      </c>
      <c r="AS129" s="13" t="str">
        <f>IF(AS$4="Yes",INDEX(List!$E$2:$CD$173,MATCH('Selection Pane Data'!$B129,List!$E$2:$E$173,0),MATCH('Selection Pane Data'!AS$3,List!$E$2:$CD$2,0)),"")</f>
        <v/>
      </c>
      <c r="AT129" s="13" t="str">
        <f>IF(AT$4="Yes",INDEX(List!$E$2:$CD$173,MATCH('Selection Pane Data'!$B129,List!$E$2:$E$173,0),MATCH('Selection Pane Data'!AT$3,List!$E$2:$CD$2,0)),"")</f>
        <v/>
      </c>
      <c r="AU129" s="13" t="str">
        <f>IF(AU$4="Yes",INDEX(List!$E$2:$CD$173,MATCH('Selection Pane Data'!$B129,List!$E$2:$E$173,0),MATCH('Selection Pane Data'!AU$3,List!$E$2:$CD$2,0)),"")</f>
        <v/>
      </c>
      <c r="AV129" s="13" t="str">
        <f>IF(AV$4="Yes",INDEX(List!$E$2:$CD$173,MATCH('Selection Pane Data'!$B129,List!$E$2:$E$173,0),MATCH('Selection Pane Data'!AV$3,List!$E$2:$CD$2,0)),"")</f>
        <v/>
      </c>
      <c r="AW129" s="13" t="str">
        <f>IF(AW$4="Yes",INDEX(List!$E$2:$CD$173,MATCH('Selection Pane Data'!$B129,List!$E$2:$E$173,0),MATCH('Selection Pane Data'!AW$3,List!$E$2:$CD$2,0)),"")</f>
        <v/>
      </c>
      <c r="AX129" s="13" t="str">
        <f>IF(AX$4="Yes",INDEX(List!$E$2:$CD$173,MATCH('Selection Pane Data'!$B129,List!$E$2:$E$173,0),MATCH('Selection Pane Data'!AX$3,List!$E$2:$CD$2,0)),"")</f>
        <v/>
      </c>
      <c r="AY129" s="13" t="str">
        <f>IF(AY$4="Yes",INDEX(List!$E$2:$CD$173,MATCH('Selection Pane Data'!$B129,List!$E$2:$E$173,0),MATCH('Selection Pane Data'!AY$3,List!$E$2:$CD$2,0)),"")</f>
        <v/>
      </c>
      <c r="AZ129" s="13" t="str">
        <f>IF(AZ$4="Yes",INDEX(List!$E$2:$CD$173,MATCH('Selection Pane Data'!$B129,List!$E$2:$E$173,0),MATCH('Selection Pane Data'!AZ$3,List!$E$2:$CD$2,0)),"")</f>
        <v/>
      </c>
      <c r="BA129" s="13" t="str">
        <f>IF(BA$4="Yes",INDEX(List!$E$2:$CD$173,MATCH('Selection Pane Data'!$B129,List!$E$2:$E$173,0),MATCH('Selection Pane Data'!BA$3,List!$E$2:$CD$2,0)),"")</f>
        <v/>
      </c>
      <c r="BB129" s="13" t="str">
        <f>IF(BB$4="Yes",INDEX(List!$E$2:$CD$173,MATCH('Selection Pane Data'!$B129,List!$E$2:$E$173,0),MATCH('Selection Pane Data'!BB$3,List!$E$2:$CD$2,0)),"")</f>
        <v/>
      </c>
      <c r="BC129" s="13" t="str">
        <f>IF(BC$4="Yes",INDEX(List!$E$2:$CD$173,MATCH('Selection Pane Data'!$B129,List!$E$2:$E$173,0),MATCH('Selection Pane Data'!BC$3,List!$E$2:$CD$2,0)),"")</f>
        <v/>
      </c>
      <c r="BD129" s="13" t="str">
        <f>IF(BD$4="Yes",INDEX(List!$E$2:$CD$173,MATCH('Selection Pane Data'!$B129,List!$E$2:$E$173,0),MATCH('Selection Pane Data'!BD$3,List!$E$2:$CD$2,0)),"")</f>
        <v/>
      </c>
      <c r="BE129" s="13" t="str">
        <f>IF(BE$4="Yes",INDEX(List!$E$2:$CD$173,MATCH('Selection Pane Data'!$B129,List!$E$2:$E$173,0),MATCH('Selection Pane Data'!BE$3,List!$E$2:$CD$2,0)),"")</f>
        <v/>
      </c>
      <c r="BF129" s="13" t="str">
        <f>IF(BF$4="Yes",INDEX(List!$E$2:$CD$173,MATCH('Selection Pane Data'!$B129,List!$E$2:$E$173,0),MATCH('Selection Pane Data'!BF$3,List!$E$2:$CD$2,0)),"")</f>
        <v/>
      </c>
      <c r="BG129" s="13" t="str">
        <f>IF(BG$4="Yes",INDEX(List!$E$2:$CD$173,MATCH('Selection Pane Data'!$B129,List!$E$2:$E$173,0),MATCH('Selection Pane Data'!BG$3,List!$E$2:$CD$2,0)),"")</f>
        <v/>
      </c>
      <c r="BH129" s="13" t="str">
        <f>IF(BH$4="Yes",INDEX(List!$E$2:$CD$173,MATCH('Selection Pane Data'!$B129,List!$E$2:$E$173,0),MATCH('Selection Pane Data'!BH$3,List!$E$2:$CD$2,0)),"")</f>
        <v/>
      </c>
      <c r="BI129" s="13" t="str">
        <f>IF(BI$4="Yes",INDEX(List!$E$2:$CD$173,MATCH('Selection Pane Data'!$B129,List!$E$2:$E$173,0),MATCH('Selection Pane Data'!BI$3,List!$E$2:$CD$2,0)),"")</f>
        <v/>
      </c>
      <c r="BJ129" s="13" t="str">
        <f>IF(BJ$4="Yes",INDEX(List!$E$2:$CD$173,MATCH('Selection Pane Data'!$B129,List!$E$2:$E$173,0),MATCH('Selection Pane Data'!BJ$3,List!$E$2:$CD$2,0)),"")</f>
        <v/>
      </c>
      <c r="BK129" s="13" t="str">
        <f>IF(BK$4="Yes",INDEX(List!$E$2:$CD$173,MATCH('Selection Pane Data'!$B129,List!$E$2:$E$173,0),MATCH('Selection Pane Data'!BK$3,List!$E$2:$CD$2,0)),"")</f>
        <v/>
      </c>
      <c r="BL129" s="13" t="str">
        <f>IF(BL$4="Yes",INDEX(List!$E$2:$CD$173,MATCH('Selection Pane Data'!$B129,List!$E$2:$E$173,0),MATCH('Selection Pane Data'!BL$3,List!$E$2:$CD$2,0)),"")</f>
        <v/>
      </c>
      <c r="BM129" s="13" t="str">
        <f>IF(BM$4="Yes",INDEX(List!$E$2:$CD$173,MATCH('Selection Pane Data'!$B129,List!$E$2:$E$173,0),MATCH('Selection Pane Data'!BM$3,List!$E$2:$CD$2,0)),"")</f>
        <v/>
      </c>
      <c r="BN129" s="13" t="str">
        <f>IF(BN$4="Yes",INDEX(List!$E$2:$CD$173,MATCH('Selection Pane Data'!$B129,List!$E$2:$E$173,0),MATCH('Selection Pane Data'!BN$3,List!$E$2:$CD$2,0)),"")</f>
        <v/>
      </c>
      <c r="BO129" s="13" t="str">
        <f>IF(BO$4="Yes",INDEX(List!$E$2:$CD$173,MATCH('Selection Pane Data'!$B129,List!$E$2:$E$173,0),MATCH('Selection Pane Data'!BO$3,List!$E$2:$CD$2,0)),"")</f>
        <v/>
      </c>
      <c r="BP129" s="13" t="str">
        <f>IF(BP$4="Yes",INDEX(List!$E$2:$CD$173,MATCH('Selection Pane Data'!$B129,List!$E$2:$E$173,0),MATCH('Selection Pane Data'!BP$3,List!$E$2:$CD$2,0)),"")</f>
        <v/>
      </c>
      <c r="BQ129" s="13" t="str">
        <f>IF(BQ$4="Yes",INDEX(List!$E$2:$CD$173,MATCH('Selection Pane Data'!$B129,List!$E$2:$E$173,0),MATCH('Selection Pane Data'!BQ$3,List!$E$2:$CD$2,0)),"")</f>
        <v/>
      </c>
      <c r="BR129" s="13" t="str">
        <f>IF(BR$4="Yes",INDEX(List!$E$2:$CD$173,MATCH('Selection Pane Data'!$B129,List!$E$2:$E$173,0),MATCH('Selection Pane Data'!BR$3,List!$E$2:$CD$2,0)),"")</f>
        <v/>
      </c>
      <c r="BS129" s="13" t="str">
        <f>IF(BS$4="Yes",INDEX(List!$E$2:$CD$173,MATCH('Selection Pane Data'!$B129,List!$E$2:$E$173,0),MATCH('Selection Pane Data'!BS$3,List!$E$2:$CD$2,0)),"")</f>
        <v/>
      </c>
      <c r="BT129" s="13" t="str">
        <f>IF(BT$4="Yes",INDEX(List!$E$2:$CD$173,MATCH('Selection Pane Data'!$B129,List!$E$2:$E$173,0),MATCH('Selection Pane Data'!BT$3,List!$E$2:$CD$2,0)),"")</f>
        <v/>
      </c>
      <c r="BU129" s="13" t="str">
        <f>IF(BU$4="Yes",INDEX(List!$E$2:$CD$173,MATCH('Selection Pane Data'!$B129,List!$E$2:$E$173,0),MATCH('Selection Pane Data'!BU$3,List!$E$2:$CD$2,0)),"")</f>
        <v/>
      </c>
      <c r="BV129" s="13" t="str">
        <f>IF(BV$4="Yes",INDEX(List!$E$2:$CD$173,MATCH('Selection Pane Data'!$B129,List!$E$2:$E$173,0),MATCH('Selection Pane Data'!BV$3,List!$E$2:$CD$2,0)),"")</f>
        <v/>
      </c>
      <c r="BW129" s="13" t="str">
        <f>IF(BW$4="Yes",INDEX(List!$E$2:$CD$173,MATCH('Selection Pane Data'!$B129,List!$E$2:$E$173,0),MATCH('Selection Pane Data'!BW$3,List!$E$2:$CD$2,0)),"")</f>
        <v/>
      </c>
      <c r="BX129" s="13" t="str">
        <f>IF(BX$4="Yes",INDEX(List!$E$2:$CD$173,MATCH('Selection Pane Data'!$B129,List!$E$2:$E$173,0),MATCH('Selection Pane Data'!BX$3,List!$E$2:$CD$2,0)),"")</f>
        <v/>
      </c>
      <c r="BY129" s="13" t="str">
        <f>IF(BY$4="Yes",INDEX(List!$E$2:$CD$173,MATCH('Selection Pane Data'!$B129,List!$E$2:$E$173,0),MATCH('Selection Pane Data'!BY$3,List!$E$2:$CD$2,0)),"")</f>
        <v/>
      </c>
      <c r="BZ129" s="13" t="str">
        <f>IF(BZ$4="Yes",INDEX(List!$E$2:$CD$173,MATCH('Selection Pane Data'!$B129,List!$E$2:$E$173,0),MATCH('Selection Pane Data'!BZ$3,List!$E$2:$CD$2,0)),"")</f>
        <v/>
      </c>
      <c r="CA129" s="13" t="str">
        <f>IF(CA$4="Yes",INDEX(List!$E$2:$CD$173,MATCH('Selection Pane Data'!$B129,List!$E$2:$E$173,0),MATCH('Selection Pane Data'!CA$3,List!$E$2:$CD$2,0)),"")</f>
        <v/>
      </c>
      <c r="CB129" s="13" t="str">
        <f>IF(CB$4="Yes",INDEX(List!$E$2:$CD$173,MATCH('Selection Pane Data'!$B129,List!$E$2:$E$173,0),MATCH('Selection Pane Data'!CB$3,List!$E$2:$CD$2,0)),"")</f>
        <v/>
      </c>
      <c r="CC129" s="13" t="str">
        <f>IF(CC$4="Yes",INDEX(List!$E$2:$CD$173,MATCH('Selection Pane Data'!$B129,List!$E$2:$E$173,0),MATCH('Selection Pane Data'!CC$3,List!$E$2:$CD$2,0)),"")</f>
        <v/>
      </c>
      <c r="CD129" s="13" t="str">
        <f>IF(CD$4="Yes",INDEX(List!$E$2:$CD$173,MATCH('Selection Pane Data'!$B129,List!$E$2:$E$173,0),MATCH('Selection Pane Data'!CD$3,List!$E$2:$CD$2,0)),"")</f>
        <v/>
      </c>
      <c r="CE129" s="13" t="str">
        <f>IF(CE$4="Yes",INDEX(List!$E$2:$CD$173,MATCH('Selection Pane Data'!$B129,List!$E$2:$E$173,0),MATCH('Selection Pane Data'!CE$3,List!$E$2:$CD$2,0)),"")</f>
        <v/>
      </c>
    </row>
    <row r="130" spans="2:83" x14ac:dyDescent="0.35">
      <c r="B130" s="21" t="s">
        <v>417</v>
      </c>
      <c r="C130" s="126" t="str">
        <f>VLOOKUP(B130,List!$E$2:$G$173,2,FALSE)</f>
        <v>N/A</v>
      </c>
      <c r="D130" s="31" t="str">
        <f>List!G128</f>
        <v>Not Applicable</v>
      </c>
      <c r="E130" s="31" t="str">
        <f>IF(Placemat!$F$4="All Practices","All Practices",IF(VLOOKUP(B130,Table7[#All],6,FALSE)="No Mapping","New CMMC Practices","Practices with NIST 800-171 Mappings"))</f>
        <v>Practices with NIST 800-171 Mappings</v>
      </c>
      <c r="F130" t="str">
        <f>INDEX('CMMC Levels'!$A$1:$F$172,MATCH('Selection Pane Data'!$C130,'CMMC Levels'!$A$1:$A$172,0),MATCH(Placemat!$F$4,'CMMC Levels'!$A$1:$F$1,0))</f>
        <v>N/A</v>
      </c>
      <c r="G130" s="77" t="str">
        <f>IF((COUNTIF(List!H128:CE128,"P")+COUNTIF(List!H128:CE128,"S"))=0,"N",IF(COUNTIF(H130:CE130,"P"),"P",IF(COUNTIF(H130:CE130,"S"),"S","U")))</f>
        <v>N</v>
      </c>
      <c r="H130" s="13" t="str">
        <f>IF(H$4="Yes",INDEX(List!$E$2:$CD$173,MATCH('Selection Pane Data'!$B130,List!$E$2:$E$173,0),MATCH('Selection Pane Data'!H$3,List!$E$2:$CD$2,0)),"")</f>
        <v/>
      </c>
      <c r="I130" s="13" t="str">
        <f>IF(I$4="Yes",INDEX(List!$E$2:$CD$173,MATCH('Selection Pane Data'!$B130,List!$E$2:$E$173,0),MATCH('Selection Pane Data'!I$3,List!$E$2:$CD$2,0)),"")</f>
        <v/>
      </c>
      <c r="J130" s="13" t="e">
        <f>IF(J$4="Yes",INDEX(List!$E$2:$CD$173,MATCH('Selection Pane Data'!$B130,List!$E$2:$E$173,0),MATCH('Selection Pane Data'!J$3,List!$E$2:$CD$2,0)),"")</f>
        <v>#N/A</v>
      </c>
      <c r="K130" s="13" t="str">
        <f>IF(K$4="Yes",INDEX(List!$E$2:$CD$173,MATCH('Selection Pane Data'!$B130,List!$E$2:$E$173,0),MATCH('Selection Pane Data'!K$3,List!$E$2:$CD$2,0)),"")</f>
        <v/>
      </c>
      <c r="L130" s="13" t="str">
        <f>IF(L$4="Yes",INDEX(List!$E$2:$CD$173,MATCH('Selection Pane Data'!$B130,List!$E$2:$E$173,0),MATCH('Selection Pane Data'!L$3,List!$E$2:$CD$2,0)),"")</f>
        <v/>
      </c>
      <c r="M130" s="13" t="str">
        <f>IF(M$4="Yes",INDEX(List!$E$2:$CD$173,MATCH('Selection Pane Data'!$B130,List!$E$2:$E$173,0),MATCH('Selection Pane Data'!M$3,List!$E$2:$CD$2,0)),"")</f>
        <v/>
      </c>
      <c r="N130" s="13" t="str">
        <f>IF(N$4="Yes",INDEX(List!$E$2:$CD$173,MATCH('Selection Pane Data'!$B130,List!$E$2:$E$173,0),MATCH('Selection Pane Data'!N$3,List!$E$2:$CD$2,0)),"")</f>
        <v/>
      </c>
      <c r="O130" s="13" t="str">
        <f>IF(O$4="Yes",INDEX(List!$E$2:$CD$173,MATCH('Selection Pane Data'!$B130,List!$E$2:$E$173,0),MATCH('Selection Pane Data'!O$3,List!$E$2:$CD$2,0)),"")</f>
        <v/>
      </c>
      <c r="P130" s="13" t="str">
        <f>IF(P$4="Yes",INDEX(List!$E$2:$CD$173,MATCH('Selection Pane Data'!$B130,List!$E$2:$E$173,0),MATCH('Selection Pane Data'!P$3,List!$E$2:$CD$2,0)),"")</f>
        <v/>
      </c>
      <c r="Q130" s="13" t="str">
        <f>IF(Q$4="Yes",INDEX(List!$E$2:$CD$173,MATCH('Selection Pane Data'!$B130,List!$E$2:$E$173,0),MATCH('Selection Pane Data'!Q$3,List!$E$2:$CD$2,0)),"")</f>
        <v/>
      </c>
      <c r="R130" s="13" t="str">
        <f>IF(R$4="Yes",INDEX(List!$E$2:$CD$173,MATCH('Selection Pane Data'!$B130,List!$E$2:$E$173,0),MATCH('Selection Pane Data'!R$3,List!$E$2:$CD$2,0)),"")</f>
        <v/>
      </c>
      <c r="S130" s="13" t="str">
        <f>IF(S$4="Yes",INDEX(List!$E$2:$CD$173,MATCH('Selection Pane Data'!$B130,List!$E$2:$E$173,0),MATCH('Selection Pane Data'!S$3,List!$E$2:$CD$2,0)),"")</f>
        <v/>
      </c>
      <c r="T130" s="13" t="str">
        <f>IF(T$4="Yes",INDEX(List!$E$2:$CD$173,MATCH('Selection Pane Data'!$B130,List!$E$2:$E$173,0),MATCH('Selection Pane Data'!T$3,List!$E$2:$CD$2,0)),"")</f>
        <v/>
      </c>
      <c r="U130" s="13" t="str">
        <f>IF(U$4="Yes",INDEX(List!$E$2:$CD$173,MATCH('Selection Pane Data'!$B130,List!$E$2:$E$173,0),MATCH('Selection Pane Data'!U$3,List!$E$2:$CD$2,0)),"")</f>
        <v/>
      </c>
      <c r="V130" s="13" t="str">
        <f>IF(V$4="Yes",INDEX(List!$E$2:$CD$173,MATCH('Selection Pane Data'!$B130,List!$E$2:$E$173,0),MATCH('Selection Pane Data'!V$3,List!$E$2:$CD$2,0)),"")</f>
        <v/>
      </c>
      <c r="W130" s="13" t="str">
        <f>IF(W$4="Yes",INDEX(List!$E$2:$CD$173,MATCH('Selection Pane Data'!$B130,List!$E$2:$E$173,0),MATCH('Selection Pane Data'!W$3,List!$E$2:$CD$2,0)),"")</f>
        <v/>
      </c>
      <c r="X130" s="13" t="str">
        <f>IF(X$4="Yes",INDEX(List!$E$2:$CD$173,MATCH('Selection Pane Data'!$B130,List!$E$2:$E$173,0),MATCH('Selection Pane Data'!X$3,List!$E$2:$CD$2,0)),"")</f>
        <v/>
      </c>
      <c r="Y130" s="13" t="str">
        <f>IF(Y$4="Yes",INDEX(List!$E$2:$CD$173,MATCH('Selection Pane Data'!$B130,List!$E$2:$E$173,0),MATCH('Selection Pane Data'!Y$3,List!$E$2:$CD$2,0)),"")</f>
        <v/>
      </c>
      <c r="Z130" s="13" t="str">
        <f>IF(Z$4="Yes",INDEX(List!$E$2:$CD$173,MATCH('Selection Pane Data'!$B130,List!$E$2:$E$173,0),MATCH('Selection Pane Data'!Z$3,List!$E$2:$CD$2,0)),"")</f>
        <v/>
      </c>
      <c r="AA130" s="13" t="e">
        <f>IF(AA$4="Yes",INDEX(List!$E$2:$CD$173,MATCH('Selection Pane Data'!$B130,List!$E$2:$E$173,0),MATCH('Selection Pane Data'!AA$3,List!$E$2:$CD$2,0)),"")</f>
        <v>#N/A</v>
      </c>
      <c r="AB130" s="13" t="str">
        <f>IF(AB$4="Yes",INDEX(List!$E$2:$CD$173,MATCH('Selection Pane Data'!$B130,List!$E$2:$E$173,0),MATCH('Selection Pane Data'!AB$3,List!$E$2:$CD$2,0)),"")</f>
        <v/>
      </c>
      <c r="AC130" s="13" t="str">
        <f>IF(AC$4="Yes",INDEX(List!$E$2:$CD$173,MATCH('Selection Pane Data'!$B130,List!$E$2:$E$173,0),MATCH('Selection Pane Data'!AC$3,List!$E$2:$CD$2,0)),"")</f>
        <v/>
      </c>
      <c r="AD130" s="13" t="str">
        <f>IF(AD$4="Yes",INDEX(List!$E$2:$CD$173,MATCH('Selection Pane Data'!$B130,List!$E$2:$E$173,0),MATCH('Selection Pane Data'!AD$3,List!$E$2:$CD$2,0)),"")</f>
        <v/>
      </c>
      <c r="AE130" s="13" t="str">
        <f>IF(AE$4="Yes",INDEX(List!$E$2:$CD$173,MATCH('Selection Pane Data'!$B130,List!$E$2:$E$173,0),MATCH('Selection Pane Data'!AE$3,List!$E$2:$CD$2,0)),"")</f>
        <v/>
      </c>
      <c r="AF130" s="13" t="str">
        <f>IF(AF$4="Yes",INDEX(List!$E$2:$CD$173,MATCH('Selection Pane Data'!$B130,List!$E$2:$E$173,0),MATCH('Selection Pane Data'!AF$3,List!$E$2:$CD$2,0)),"")</f>
        <v/>
      </c>
      <c r="AG130" s="13" t="str">
        <f>IF(AG$4="Yes",INDEX(List!$E$2:$CD$173,MATCH('Selection Pane Data'!$B130,List!$E$2:$E$173,0),MATCH('Selection Pane Data'!AG$3,List!$E$2:$CD$2,0)),"")</f>
        <v/>
      </c>
      <c r="AH130" s="13" t="str">
        <f>IF(AH$4="Yes",INDEX(List!$E$2:$CD$173,MATCH('Selection Pane Data'!$B130,List!$E$2:$E$173,0),MATCH('Selection Pane Data'!AH$3,List!$E$2:$CD$2,0)),"")</f>
        <v/>
      </c>
      <c r="AI130" s="13" t="str">
        <f>IF(AI$4="Yes",INDEX(List!$E$2:$CD$173,MATCH('Selection Pane Data'!$B130,List!$E$2:$E$173,0),MATCH('Selection Pane Data'!AI$3,List!$E$2:$CD$2,0)),"")</f>
        <v/>
      </c>
      <c r="AJ130" s="13" t="str">
        <f>IF(AJ$4="Yes",INDEX(List!$E$2:$CD$173,MATCH('Selection Pane Data'!$B130,List!$E$2:$E$173,0),MATCH('Selection Pane Data'!AJ$3,List!$E$2:$CD$2,0)),"")</f>
        <v/>
      </c>
      <c r="AK130" s="13" t="str">
        <f>IF(AK$4="Yes",INDEX(List!$E$2:$CD$173,MATCH('Selection Pane Data'!$B130,List!$E$2:$E$173,0),MATCH('Selection Pane Data'!AK$3,List!$E$2:$CD$2,0)),"")</f>
        <v/>
      </c>
      <c r="AL130" s="13" t="str">
        <f>IF(AL$4="Yes",INDEX(List!$E$2:$CD$173,MATCH('Selection Pane Data'!$B130,List!$E$2:$E$173,0),MATCH('Selection Pane Data'!AL$3,List!$E$2:$CD$2,0)),"")</f>
        <v/>
      </c>
      <c r="AM130" s="13" t="str">
        <f>IF(AM$4="Yes",INDEX(List!$E$2:$CD$173,MATCH('Selection Pane Data'!$B130,List!$E$2:$E$173,0),MATCH('Selection Pane Data'!AM$3,List!$E$2:$CD$2,0)),"")</f>
        <v/>
      </c>
      <c r="AN130" s="13" t="str">
        <f>IF(AN$4="Yes",INDEX(List!$E$2:$CD$173,MATCH('Selection Pane Data'!$B130,List!$E$2:$E$173,0),MATCH('Selection Pane Data'!AN$3,List!$E$2:$CD$2,0)),"")</f>
        <v/>
      </c>
      <c r="AO130" s="13" t="str">
        <f>IF(AO$4="Yes",INDEX(List!$E$2:$CD$173,MATCH('Selection Pane Data'!$B130,List!$E$2:$E$173,0),MATCH('Selection Pane Data'!AO$3,List!$E$2:$CD$2,0)),"")</f>
        <v/>
      </c>
      <c r="AP130" s="13" t="str">
        <f>IF(AP$4="Yes",INDEX(List!$E$2:$CD$173,MATCH('Selection Pane Data'!$B130,List!$E$2:$E$173,0),MATCH('Selection Pane Data'!AP$3,List!$E$2:$CD$2,0)),"")</f>
        <v/>
      </c>
      <c r="AQ130" s="13" t="str">
        <f>IF(AQ$4="Yes",INDEX(List!$E$2:$CD$173,MATCH('Selection Pane Data'!$B130,List!$E$2:$E$173,0),MATCH('Selection Pane Data'!AQ$3,List!$E$2:$CD$2,0)),"")</f>
        <v/>
      </c>
      <c r="AR130" s="13" t="str">
        <f>IF(AR$4="Yes",INDEX(List!$E$2:$CD$173,MATCH('Selection Pane Data'!$B130,List!$E$2:$E$173,0),MATCH('Selection Pane Data'!AR$3,List!$E$2:$CD$2,0)),"")</f>
        <v/>
      </c>
      <c r="AS130" s="13" t="str">
        <f>IF(AS$4="Yes",INDEX(List!$E$2:$CD$173,MATCH('Selection Pane Data'!$B130,List!$E$2:$E$173,0),MATCH('Selection Pane Data'!AS$3,List!$E$2:$CD$2,0)),"")</f>
        <v/>
      </c>
      <c r="AT130" s="13" t="str">
        <f>IF(AT$4="Yes",INDEX(List!$E$2:$CD$173,MATCH('Selection Pane Data'!$B130,List!$E$2:$E$173,0),MATCH('Selection Pane Data'!AT$3,List!$E$2:$CD$2,0)),"")</f>
        <v/>
      </c>
      <c r="AU130" s="13" t="str">
        <f>IF(AU$4="Yes",INDEX(List!$E$2:$CD$173,MATCH('Selection Pane Data'!$B130,List!$E$2:$E$173,0),MATCH('Selection Pane Data'!AU$3,List!$E$2:$CD$2,0)),"")</f>
        <v/>
      </c>
      <c r="AV130" s="13" t="str">
        <f>IF(AV$4="Yes",INDEX(List!$E$2:$CD$173,MATCH('Selection Pane Data'!$B130,List!$E$2:$E$173,0),MATCH('Selection Pane Data'!AV$3,List!$E$2:$CD$2,0)),"")</f>
        <v/>
      </c>
      <c r="AW130" s="13" t="str">
        <f>IF(AW$4="Yes",INDEX(List!$E$2:$CD$173,MATCH('Selection Pane Data'!$B130,List!$E$2:$E$173,0),MATCH('Selection Pane Data'!AW$3,List!$E$2:$CD$2,0)),"")</f>
        <v/>
      </c>
      <c r="AX130" s="13" t="str">
        <f>IF(AX$4="Yes",INDEX(List!$E$2:$CD$173,MATCH('Selection Pane Data'!$B130,List!$E$2:$E$173,0),MATCH('Selection Pane Data'!AX$3,List!$E$2:$CD$2,0)),"")</f>
        <v/>
      </c>
      <c r="AY130" s="13" t="str">
        <f>IF(AY$4="Yes",INDEX(List!$E$2:$CD$173,MATCH('Selection Pane Data'!$B130,List!$E$2:$E$173,0),MATCH('Selection Pane Data'!AY$3,List!$E$2:$CD$2,0)),"")</f>
        <v/>
      </c>
      <c r="AZ130" s="13" t="str">
        <f>IF(AZ$4="Yes",INDEX(List!$E$2:$CD$173,MATCH('Selection Pane Data'!$B130,List!$E$2:$E$173,0),MATCH('Selection Pane Data'!AZ$3,List!$E$2:$CD$2,0)),"")</f>
        <v/>
      </c>
      <c r="BA130" s="13" t="str">
        <f>IF(BA$4="Yes",INDEX(List!$E$2:$CD$173,MATCH('Selection Pane Data'!$B130,List!$E$2:$E$173,0),MATCH('Selection Pane Data'!BA$3,List!$E$2:$CD$2,0)),"")</f>
        <v/>
      </c>
      <c r="BB130" s="13" t="str">
        <f>IF(BB$4="Yes",INDEX(List!$E$2:$CD$173,MATCH('Selection Pane Data'!$B130,List!$E$2:$E$173,0),MATCH('Selection Pane Data'!BB$3,List!$E$2:$CD$2,0)),"")</f>
        <v/>
      </c>
      <c r="BC130" s="13" t="str">
        <f>IF(BC$4="Yes",INDEX(List!$E$2:$CD$173,MATCH('Selection Pane Data'!$B130,List!$E$2:$E$173,0),MATCH('Selection Pane Data'!BC$3,List!$E$2:$CD$2,0)),"")</f>
        <v/>
      </c>
      <c r="BD130" s="13" t="str">
        <f>IF(BD$4="Yes",INDEX(List!$E$2:$CD$173,MATCH('Selection Pane Data'!$B130,List!$E$2:$E$173,0),MATCH('Selection Pane Data'!BD$3,List!$E$2:$CD$2,0)),"")</f>
        <v/>
      </c>
      <c r="BE130" s="13" t="str">
        <f>IF(BE$4="Yes",INDEX(List!$E$2:$CD$173,MATCH('Selection Pane Data'!$B130,List!$E$2:$E$173,0),MATCH('Selection Pane Data'!BE$3,List!$E$2:$CD$2,0)),"")</f>
        <v/>
      </c>
      <c r="BF130" s="13" t="str">
        <f>IF(BF$4="Yes",INDEX(List!$E$2:$CD$173,MATCH('Selection Pane Data'!$B130,List!$E$2:$E$173,0),MATCH('Selection Pane Data'!BF$3,List!$E$2:$CD$2,0)),"")</f>
        <v/>
      </c>
      <c r="BG130" s="13" t="str">
        <f>IF(BG$4="Yes",INDEX(List!$E$2:$CD$173,MATCH('Selection Pane Data'!$B130,List!$E$2:$E$173,0),MATCH('Selection Pane Data'!BG$3,List!$E$2:$CD$2,0)),"")</f>
        <v/>
      </c>
      <c r="BH130" s="13" t="str">
        <f>IF(BH$4="Yes",INDEX(List!$E$2:$CD$173,MATCH('Selection Pane Data'!$B130,List!$E$2:$E$173,0),MATCH('Selection Pane Data'!BH$3,List!$E$2:$CD$2,0)),"")</f>
        <v/>
      </c>
      <c r="BI130" s="13" t="str">
        <f>IF(BI$4="Yes",INDEX(List!$E$2:$CD$173,MATCH('Selection Pane Data'!$B130,List!$E$2:$E$173,0),MATCH('Selection Pane Data'!BI$3,List!$E$2:$CD$2,0)),"")</f>
        <v/>
      </c>
      <c r="BJ130" s="13" t="str">
        <f>IF(BJ$4="Yes",INDEX(List!$E$2:$CD$173,MATCH('Selection Pane Data'!$B130,List!$E$2:$E$173,0),MATCH('Selection Pane Data'!BJ$3,List!$E$2:$CD$2,0)),"")</f>
        <v/>
      </c>
      <c r="BK130" s="13" t="str">
        <f>IF(BK$4="Yes",INDEX(List!$E$2:$CD$173,MATCH('Selection Pane Data'!$B130,List!$E$2:$E$173,0),MATCH('Selection Pane Data'!BK$3,List!$E$2:$CD$2,0)),"")</f>
        <v/>
      </c>
      <c r="BL130" s="13" t="str">
        <f>IF(BL$4="Yes",INDEX(List!$E$2:$CD$173,MATCH('Selection Pane Data'!$B130,List!$E$2:$E$173,0),MATCH('Selection Pane Data'!BL$3,List!$E$2:$CD$2,0)),"")</f>
        <v/>
      </c>
      <c r="BM130" s="13" t="str">
        <f>IF(BM$4="Yes",INDEX(List!$E$2:$CD$173,MATCH('Selection Pane Data'!$B130,List!$E$2:$E$173,0),MATCH('Selection Pane Data'!BM$3,List!$E$2:$CD$2,0)),"")</f>
        <v/>
      </c>
      <c r="BN130" s="13" t="str">
        <f>IF(BN$4="Yes",INDEX(List!$E$2:$CD$173,MATCH('Selection Pane Data'!$B130,List!$E$2:$E$173,0),MATCH('Selection Pane Data'!BN$3,List!$E$2:$CD$2,0)),"")</f>
        <v/>
      </c>
      <c r="BO130" s="13" t="str">
        <f>IF(BO$4="Yes",INDEX(List!$E$2:$CD$173,MATCH('Selection Pane Data'!$B130,List!$E$2:$E$173,0),MATCH('Selection Pane Data'!BO$3,List!$E$2:$CD$2,0)),"")</f>
        <v/>
      </c>
      <c r="BP130" s="13" t="str">
        <f>IF(BP$4="Yes",INDEX(List!$E$2:$CD$173,MATCH('Selection Pane Data'!$B130,List!$E$2:$E$173,0),MATCH('Selection Pane Data'!BP$3,List!$E$2:$CD$2,0)),"")</f>
        <v/>
      </c>
      <c r="BQ130" s="13" t="str">
        <f>IF(BQ$4="Yes",INDEX(List!$E$2:$CD$173,MATCH('Selection Pane Data'!$B130,List!$E$2:$E$173,0),MATCH('Selection Pane Data'!BQ$3,List!$E$2:$CD$2,0)),"")</f>
        <v/>
      </c>
      <c r="BR130" s="13" t="str">
        <f>IF(BR$4="Yes",INDEX(List!$E$2:$CD$173,MATCH('Selection Pane Data'!$B130,List!$E$2:$E$173,0),MATCH('Selection Pane Data'!BR$3,List!$E$2:$CD$2,0)),"")</f>
        <v/>
      </c>
      <c r="BS130" s="13" t="str">
        <f>IF(BS$4="Yes",INDEX(List!$E$2:$CD$173,MATCH('Selection Pane Data'!$B130,List!$E$2:$E$173,0),MATCH('Selection Pane Data'!BS$3,List!$E$2:$CD$2,0)),"")</f>
        <v/>
      </c>
      <c r="BT130" s="13" t="str">
        <f>IF(BT$4="Yes",INDEX(List!$E$2:$CD$173,MATCH('Selection Pane Data'!$B130,List!$E$2:$E$173,0),MATCH('Selection Pane Data'!BT$3,List!$E$2:$CD$2,0)),"")</f>
        <v/>
      </c>
      <c r="BU130" s="13" t="str">
        <f>IF(BU$4="Yes",INDEX(List!$E$2:$CD$173,MATCH('Selection Pane Data'!$B130,List!$E$2:$E$173,0),MATCH('Selection Pane Data'!BU$3,List!$E$2:$CD$2,0)),"")</f>
        <v/>
      </c>
      <c r="BV130" s="13" t="str">
        <f>IF(BV$4="Yes",INDEX(List!$E$2:$CD$173,MATCH('Selection Pane Data'!$B130,List!$E$2:$E$173,0),MATCH('Selection Pane Data'!BV$3,List!$E$2:$CD$2,0)),"")</f>
        <v/>
      </c>
      <c r="BW130" s="13" t="str">
        <f>IF(BW$4="Yes",INDEX(List!$E$2:$CD$173,MATCH('Selection Pane Data'!$B130,List!$E$2:$E$173,0),MATCH('Selection Pane Data'!BW$3,List!$E$2:$CD$2,0)),"")</f>
        <v/>
      </c>
      <c r="BX130" s="13" t="str">
        <f>IF(BX$4="Yes",INDEX(List!$E$2:$CD$173,MATCH('Selection Pane Data'!$B130,List!$E$2:$E$173,0),MATCH('Selection Pane Data'!BX$3,List!$E$2:$CD$2,0)),"")</f>
        <v/>
      </c>
      <c r="BY130" s="13" t="str">
        <f>IF(BY$4="Yes",INDEX(List!$E$2:$CD$173,MATCH('Selection Pane Data'!$B130,List!$E$2:$E$173,0),MATCH('Selection Pane Data'!BY$3,List!$E$2:$CD$2,0)),"")</f>
        <v/>
      </c>
      <c r="BZ130" s="13" t="str">
        <f>IF(BZ$4="Yes",INDEX(List!$E$2:$CD$173,MATCH('Selection Pane Data'!$B130,List!$E$2:$E$173,0),MATCH('Selection Pane Data'!BZ$3,List!$E$2:$CD$2,0)),"")</f>
        <v/>
      </c>
      <c r="CA130" s="13" t="str">
        <f>IF(CA$4="Yes",INDEX(List!$E$2:$CD$173,MATCH('Selection Pane Data'!$B130,List!$E$2:$E$173,0),MATCH('Selection Pane Data'!CA$3,List!$E$2:$CD$2,0)),"")</f>
        <v/>
      </c>
      <c r="CB130" s="13" t="str">
        <f>IF(CB$4="Yes",INDEX(List!$E$2:$CD$173,MATCH('Selection Pane Data'!$B130,List!$E$2:$E$173,0),MATCH('Selection Pane Data'!CB$3,List!$E$2:$CD$2,0)),"")</f>
        <v/>
      </c>
      <c r="CC130" s="13" t="str">
        <f>IF(CC$4="Yes",INDEX(List!$E$2:$CD$173,MATCH('Selection Pane Data'!$B130,List!$E$2:$E$173,0),MATCH('Selection Pane Data'!CC$3,List!$E$2:$CD$2,0)),"")</f>
        <v/>
      </c>
      <c r="CD130" s="13" t="str">
        <f>IF(CD$4="Yes",INDEX(List!$E$2:$CD$173,MATCH('Selection Pane Data'!$B130,List!$E$2:$E$173,0),MATCH('Selection Pane Data'!CD$3,List!$E$2:$CD$2,0)),"")</f>
        <v/>
      </c>
      <c r="CE130" s="13" t="str">
        <f>IF(CE$4="Yes",INDEX(List!$E$2:$CD$173,MATCH('Selection Pane Data'!$B130,List!$E$2:$E$173,0),MATCH('Selection Pane Data'!CE$3,List!$E$2:$CD$2,0)),"")</f>
        <v/>
      </c>
    </row>
    <row r="131" spans="2:83" x14ac:dyDescent="0.35">
      <c r="B131" s="21" t="s">
        <v>418</v>
      </c>
      <c r="C131" s="126" t="str">
        <f>VLOOKUP(B131,List!$E$2:$G$173,2,FALSE)</f>
        <v>N/A</v>
      </c>
      <c r="D131" s="31" t="str">
        <f>List!G129</f>
        <v>Not Applicable</v>
      </c>
      <c r="E131" s="31" t="str">
        <f>IF(Placemat!$F$4="All Practices","All Practices",IF(VLOOKUP(B131,Table7[#All],6,FALSE)="No Mapping","New CMMC Practices","Practices with NIST 800-171 Mappings"))</f>
        <v>Practices with NIST 800-171 Mappings</v>
      </c>
      <c r="F131" t="str">
        <f>INDEX('CMMC Levels'!$A$1:$F$172,MATCH('Selection Pane Data'!$C131,'CMMC Levels'!$A$1:$A$172,0),MATCH(Placemat!$F$4,'CMMC Levels'!$A$1:$F$1,0))</f>
        <v>N/A</v>
      </c>
      <c r="G131" s="77" t="str">
        <f>IF((COUNTIF(List!H129:CE129,"P")+COUNTIF(List!H129:CE129,"S"))=0,"N",IF(COUNTIF(H131:CE131,"P"),"P",IF(COUNTIF(H131:CE131,"S"),"S","U")))</f>
        <v>N</v>
      </c>
      <c r="H131" s="13" t="str">
        <f>IF(H$4="Yes",INDEX(List!$E$2:$CD$173,MATCH('Selection Pane Data'!$B131,List!$E$2:$E$173,0),MATCH('Selection Pane Data'!H$3,List!$E$2:$CD$2,0)),"")</f>
        <v/>
      </c>
      <c r="I131" s="13" t="str">
        <f>IF(I$4="Yes",INDEX(List!$E$2:$CD$173,MATCH('Selection Pane Data'!$B131,List!$E$2:$E$173,0),MATCH('Selection Pane Data'!I$3,List!$E$2:$CD$2,0)),"")</f>
        <v/>
      </c>
      <c r="J131" s="13" t="e">
        <f>IF(J$4="Yes",INDEX(List!$E$2:$CD$173,MATCH('Selection Pane Data'!$B131,List!$E$2:$E$173,0),MATCH('Selection Pane Data'!J$3,List!$E$2:$CD$2,0)),"")</f>
        <v>#N/A</v>
      </c>
      <c r="K131" s="13" t="str">
        <f>IF(K$4="Yes",INDEX(List!$E$2:$CD$173,MATCH('Selection Pane Data'!$B131,List!$E$2:$E$173,0),MATCH('Selection Pane Data'!K$3,List!$E$2:$CD$2,0)),"")</f>
        <v/>
      </c>
      <c r="L131" s="13" t="str">
        <f>IF(L$4="Yes",INDEX(List!$E$2:$CD$173,MATCH('Selection Pane Data'!$B131,List!$E$2:$E$173,0),MATCH('Selection Pane Data'!L$3,List!$E$2:$CD$2,0)),"")</f>
        <v/>
      </c>
      <c r="M131" s="13" t="str">
        <f>IF(M$4="Yes",INDEX(List!$E$2:$CD$173,MATCH('Selection Pane Data'!$B131,List!$E$2:$E$173,0),MATCH('Selection Pane Data'!M$3,List!$E$2:$CD$2,0)),"")</f>
        <v/>
      </c>
      <c r="N131" s="13" t="str">
        <f>IF(N$4="Yes",INDEX(List!$E$2:$CD$173,MATCH('Selection Pane Data'!$B131,List!$E$2:$E$173,0),MATCH('Selection Pane Data'!N$3,List!$E$2:$CD$2,0)),"")</f>
        <v/>
      </c>
      <c r="O131" s="13" t="str">
        <f>IF(O$4="Yes",INDEX(List!$E$2:$CD$173,MATCH('Selection Pane Data'!$B131,List!$E$2:$E$173,0),MATCH('Selection Pane Data'!O$3,List!$E$2:$CD$2,0)),"")</f>
        <v/>
      </c>
      <c r="P131" s="13" t="str">
        <f>IF(P$4="Yes",INDEX(List!$E$2:$CD$173,MATCH('Selection Pane Data'!$B131,List!$E$2:$E$173,0),MATCH('Selection Pane Data'!P$3,List!$E$2:$CD$2,0)),"")</f>
        <v/>
      </c>
      <c r="Q131" s="13" t="str">
        <f>IF(Q$4="Yes",INDEX(List!$E$2:$CD$173,MATCH('Selection Pane Data'!$B131,List!$E$2:$E$173,0),MATCH('Selection Pane Data'!Q$3,List!$E$2:$CD$2,0)),"")</f>
        <v/>
      </c>
      <c r="R131" s="13" t="str">
        <f>IF(R$4="Yes",INDEX(List!$E$2:$CD$173,MATCH('Selection Pane Data'!$B131,List!$E$2:$E$173,0),MATCH('Selection Pane Data'!R$3,List!$E$2:$CD$2,0)),"")</f>
        <v/>
      </c>
      <c r="S131" s="13" t="str">
        <f>IF(S$4="Yes",INDEX(List!$E$2:$CD$173,MATCH('Selection Pane Data'!$B131,List!$E$2:$E$173,0),MATCH('Selection Pane Data'!S$3,List!$E$2:$CD$2,0)),"")</f>
        <v/>
      </c>
      <c r="T131" s="13" t="str">
        <f>IF(T$4="Yes",INDEX(List!$E$2:$CD$173,MATCH('Selection Pane Data'!$B131,List!$E$2:$E$173,0),MATCH('Selection Pane Data'!T$3,List!$E$2:$CD$2,0)),"")</f>
        <v/>
      </c>
      <c r="U131" s="13" t="str">
        <f>IF(U$4="Yes",INDEX(List!$E$2:$CD$173,MATCH('Selection Pane Data'!$B131,List!$E$2:$E$173,0),MATCH('Selection Pane Data'!U$3,List!$E$2:$CD$2,0)),"")</f>
        <v/>
      </c>
      <c r="V131" s="13" t="str">
        <f>IF(V$4="Yes",INDEX(List!$E$2:$CD$173,MATCH('Selection Pane Data'!$B131,List!$E$2:$E$173,0),MATCH('Selection Pane Data'!V$3,List!$E$2:$CD$2,0)),"")</f>
        <v/>
      </c>
      <c r="W131" s="13" t="str">
        <f>IF(W$4="Yes",INDEX(List!$E$2:$CD$173,MATCH('Selection Pane Data'!$B131,List!$E$2:$E$173,0),MATCH('Selection Pane Data'!W$3,List!$E$2:$CD$2,0)),"")</f>
        <v/>
      </c>
      <c r="X131" s="13" t="str">
        <f>IF(X$4="Yes",INDEX(List!$E$2:$CD$173,MATCH('Selection Pane Data'!$B131,List!$E$2:$E$173,0),MATCH('Selection Pane Data'!X$3,List!$E$2:$CD$2,0)),"")</f>
        <v/>
      </c>
      <c r="Y131" s="13" t="str">
        <f>IF(Y$4="Yes",INDEX(List!$E$2:$CD$173,MATCH('Selection Pane Data'!$B131,List!$E$2:$E$173,0),MATCH('Selection Pane Data'!Y$3,List!$E$2:$CD$2,0)),"")</f>
        <v/>
      </c>
      <c r="Z131" s="13" t="str">
        <f>IF(Z$4="Yes",INDEX(List!$E$2:$CD$173,MATCH('Selection Pane Data'!$B131,List!$E$2:$E$173,0),MATCH('Selection Pane Data'!Z$3,List!$E$2:$CD$2,0)),"")</f>
        <v/>
      </c>
      <c r="AA131" s="13" t="e">
        <f>IF(AA$4="Yes",INDEX(List!$E$2:$CD$173,MATCH('Selection Pane Data'!$B131,List!$E$2:$E$173,0),MATCH('Selection Pane Data'!AA$3,List!$E$2:$CD$2,0)),"")</f>
        <v>#N/A</v>
      </c>
      <c r="AB131" s="13" t="str">
        <f>IF(AB$4="Yes",INDEX(List!$E$2:$CD$173,MATCH('Selection Pane Data'!$B131,List!$E$2:$E$173,0),MATCH('Selection Pane Data'!AB$3,List!$E$2:$CD$2,0)),"")</f>
        <v/>
      </c>
      <c r="AC131" s="13" t="str">
        <f>IF(AC$4="Yes",INDEX(List!$E$2:$CD$173,MATCH('Selection Pane Data'!$B131,List!$E$2:$E$173,0),MATCH('Selection Pane Data'!AC$3,List!$E$2:$CD$2,0)),"")</f>
        <v/>
      </c>
      <c r="AD131" s="13" t="str">
        <f>IF(AD$4="Yes",INDEX(List!$E$2:$CD$173,MATCH('Selection Pane Data'!$B131,List!$E$2:$E$173,0),MATCH('Selection Pane Data'!AD$3,List!$E$2:$CD$2,0)),"")</f>
        <v/>
      </c>
      <c r="AE131" s="13" t="str">
        <f>IF(AE$4="Yes",INDEX(List!$E$2:$CD$173,MATCH('Selection Pane Data'!$B131,List!$E$2:$E$173,0),MATCH('Selection Pane Data'!AE$3,List!$E$2:$CD$2,0)),"")</f>
        <v/>
      </c>
      <c r="AF131" s="13" t="str">
        <f>IF(AF$4="Yes",INDEX(List!$E$2:$CD$173,MATCH('Selection Pane Data'!$B131,List!$E$2:$E$173,0),MATCH('Selection Pane Data'!AF$3,List!$E$2:$CD$2,0)),"")</f>
        <v/>
      </c>
      <c r="AG131" s="13" t="str">
        <f>IF(AG$4="Yes",INDEX(List!$E$2:$CD$173,MATCH('Selection Pane Data'!$B131,List!$E$2:$E$173,0),MATCH('Selection Pane Data'!AG$3,List!$E$2:$CD$2,0)),"")</f>
        <v/>
      </c>
      <c r="AH131" s="13" t="str">
        <f>IF(AH$4="Yes",INDEX(List!$E$2:$CD$173,MATCH('Selection Pane Data'!$B131,List!$E$2:$E$173,0),MATCH('Selection Pane Data'!AH$3,List!$E$2:$CD$2,0)),"")</f>
        <v/>
      </c>
      <c r="AI131" s="13" t="str">
        <f>IF(AI$4="Yes",INDEX(List!$E$2:$CD$173,MATCH('Selection Pane Data'!$B131,List!$E$2:$E$173,0),MATCH('Selection Pane Data'!AI$3,List!$E$2:$CD$2,0)),"")</f>
        <v/>
      </c>
      <c r="AJ131" s="13" t="str">
        <f>IF(AJ$4="Yes",INDEX(List!$E$2:$CD$173,MATCH('Selection Pane Data'!$B131,List!$E$2:$E$173,0),MATCH('Selection Pane Data'!AJ$3,List!$E$2:$CD$2,0)),"")</f>
        <v/>
      </c>
      <c r="AK131" s="13" t="str">
        <f>IF(AK$4="Yes",INDEX(List!$E$2:$CD$173,MATCH('Selection Pane Data'!$B131,List!$E$2:$E$173,0),MATCH('Selection Pane Data'!AK$3,List!$E$2:$CD$2,0)),"")</f>
        <v/>
      </c>
      <c r="AL131" s="13" t="str">
        <f>IF(AL$4="Yes",INDEX(List!$E$2:$CD$173,MATCH('Selection Pane Data'!$B131,List!$E$2:$E$173,0),MATCH('Selection Pane Data'!AL$3,List!$E$2:$CD$2,0)),"")</f>
        <v/>
      </c>
      <c r="AM131" s="13" t="str">
        <f>IF(AM$4="Yes",INDEX(List!$E$2:$CD$173,MATCH('Selection Pane Data'!$B131,List!$E$2:$E$173,0),MATCH('Selection Pane Data'!AM$3,List!$E$2:$CD$2,0)),"")</f>
        <v/>
      </c>
      <c r="AN131" s="13" t="str">
        <f>IF(AN$4="Yes",INDEX(List!$E$2:$CD$173,MATCH('Selection Pane Data'!$B131,List!$E$2:$E$173,0),MATCH('Selection Pane Data'!AN$3,List!$E$2:$CD$2,0)),"")</f>
        <v/>
      </c>
      <c r="AO131" s="13" t="str">
        <f>IF(AO$4="Yes",INDEX(List!$E$2:$CD$173,MATCH('Selection Pane Data'!$B131,List!$E$2:$E$173,0),MATCH('Selection Pane Data'!AO$3,List!$E$2:$CD$2,0)),"")</f>
        <v/>
      </c>
      <c r="AP131" s="13" t="str">
        <f>IF(AP$4="Yes",INDEX(List!$E$2:$CD$173,MATCH('Selection Pane Data'!$B131,List!$E$2:$E$173,0),MATCH('Selection Pane Data'!AP$3,List!$E$2:$CD$2,0)),"")</f>
        <v/>
      </c>
      <c r="AQ131" s="13" t="str">
        <f>IF(AQ$4="Yes",INDEX(List!$E$2:$CD$173,MATCH('Selection Pane Data'!$B131,List!$E$2:$E$173,0),MATCH('Selection Pane Data'!AQ$3,List!$E$2:$CD$2,0)),"")</f>
        <v/>
      </c>
      <c r="AR131" s="13" t="str">
        <f>IF(AR$4="Yes",INDEX(List!$E$2:$CD$173,MATCH('Selection Pane Data'!$B131,List!$E$2:$E$173,0),MATCH('Selection Pane Data'!AR$3,List!$E$2:$CD$2,0)),"")</f>
        <v/>
      </c>
      <c r="AS131" s="13" t="str">
        <f>IF(AS$4="Yes",INDEX(List!$E$2:$CD$173,MATCH('Selection Pane Data'!$B131,List!$E$2:$E$173,0),MATCH('Selection Pane Data'!AS$3,List!$E$2:$CD$2,0)),"")</f>
        <v/>
      </c>
      <c r="AT131" s="13" t="str">
        <f>IF(AT$4="Yes",INDEX(List!$E$2:$CD$173,MATCH('Selection Pane Data'!$B131,List!$E$2:$E$173,0),MATCH('Selection Pane Data'!AT$3,List!$E$2:$CD$2,0)),"")</f>
        <v/>
      </c>
      <c r="AU131" s="13" t="str">
        <f>IF(AU$4="Yes",INDEX(List!$E$2:$CD$173,MATCH('Selection Pane Data'!$B131,List!$E$2:$E$173,0),MATCH('Selection Pane Data'!AU$3,List!$E$2:$CD$2,0)),"")</f>
        <v/>
      </c>
      <c r="AV131" s="13" t="str">
        <f>IF(AV$4="Yes",INDEX(List!$E$2:$CD$173,MATCH('Selection Pane Data'!$B131,List!$E$2:$E$173,0),MATCH('Selection Pane Data'!AV$3,List!$E$2:$CD$2,0)),"")</f>
        <v/>
      </c>
      <c r="AW131" s="13" t="str">
        <f>IF(AW$4="Yes",INDEX(List!$E$2:$CD$173,MATCH('Selection Pane Data'!$B131,List!$E$2:$E$173,0),MATCH('Selection Pane Data'!AW$3,List!$E$2:$CD$2,0)),"")</f>
        <v/>
      </c>
      <c r="AX131" s="13" t="str">
        <f>IF(AX$4="Yes",INDEX(List!$E$2:$CD$173,MATCH('Selection Pane Data'!$B131,List!$E$2:$E$173,0),MATCH('Selection Pane Data'!AX$3,List!$E$2:$CD$2,0)),"")</f>
        <v/>
      </c>
      <c r="AY131" s="13" t="str">
        <f>IF(AY$4="Yes",INDEX(List!$E$2:$CD$173,MATCH('Selection Pane Data'!$B131,List!$E$2:$E$173,0),MATCH('Selection Pane Data'!AY$3,List!$E$2:$CD$2,0)),"")</f>
        <v/>
      </c>
      <c r="AZ131" s="13" t="str">
        <f>IF(AZ$4="Yes",INDEX(List!$E$2:$CD$173,MATCH('Selection Pane Data'!$B131,List!$E$2:$E$173,0),MATCH('Selection Pane Data'!AZ$3,List!$E$2:$CD$2,0)),"")</f>
        <v/>
      </c>
      <c r="BA131" s="13" t="str">
        <f>IF(BA$4="Yes",INDEX(List!$E$2:$CD$173,MATCH('Selection Pane Data'!$B131,List!$E$2:$E$173,0),MATCH('Selection Pane Data'!BA$3,List!$E$2:$CD$2,0)),"")</f>
        <v/>
      </c>
      <c r="BB131" s="13" t="str">
        <f>IF(BB$4="Yes",INDEX(List!$E$2:$CD$173,MATCH('Selection Pane Data'!$B131,List!$E$2:$E$173,0),MATCH('Selection Pane Data'!BB$3,List!$E$2:$CD$2,0)),"")</f>
        <v/>
      </c>
      <c r="BC131" s="13" t="str">
        <f>IF(BC$4="Yes",INDEX(List!$E$2:$CD$173,MATCH('Selection Pane Data'!$B131,List!$E$2:$E$173,0),MATCH('Selection Pane Data'!BC$3,List!$E$2:$CD$2,0)),"")</f>
        <v/>
      </c>
      <c r="BD131" s="13" t="str">
        <f>IF(BD$4="Yes",INDEX(List!$E$2:$CD$173,MATCH('Selection Pane Data'!$B131,List!$E$2:$E$173,0),MATCH('Selection Pane Data'!BD$3,List!$E$2:$CD$2,0)),"")</f>
        <v/>
      </c>
      <c r="BE131" s="13" t="str">
        <f>IF(BE$4="Yes",INDEX(List!$E$2:$CD$173,MATCH('Selection Pane Data'!$B131,List!$E$2:$E$173,0),MATCH('Selection Pane Data'!BE$3,List!$E$2:$CD$2,0)),"")</f>
        <v/>
      </c>
      <c r="BF131" s="13" t="str">
        <f>IF(BF$4="Yes",INDEX(List!$E$2:$CD$173,MATCH('Selection Pane Data'!$B131,List!$E$2:$E$173,0),MATCH('Selection Pane Data'!BF$3,List!$E$2:$CD$2,0)),"")</f>
        <v/>
      </c>
      <c r="BG131" s="13" t="str">
        <f>IF(BG$4="Yes",INDEX(List!$E$2:$CD$173,MATCH('Selection Pane Data'!$B131,List!$E$2:$E$173,0),MATCH('Selection Pane Data'!BG$3,List!$E$2:$CD$2,0)),"")</f>
        <v/>
      </c>
      <c r="BH131" s="13" t="str">
        <f>IF(BH$4="Yes",INDEX(List!$E$2:$CD$173,MATCH('Selection Pane Data'!$B131,List!$E$2:$E$173,0),MATCH('Selection Pane Data'!BH$3,List!$E$2:$CD$2,0)),"")</f>
        <v/>
      </c>
      <c r="BI131" s="13" t="str">
        <f>IF(BI$4="Yes",INDEX(List!$E$2:$CD$173,MATCH('Selection Pane Data'!$B131,List!$E$2:$E$173,0),MATCH('Selection Pane Data'!BI$3,List!$E$2:$CD$2,0)),"")</f>
        <v/>
      </c>
      <c r="BJ131" s="13" t="str">
        <f>IF(BJ$4="Yes",INDEX(List!$E$2:$CD$173,MATCH('Selection Pane Data'!$B131,List!$E$2:$E$173,0),MATCH('Selection Pane Data'!BJ$3,List!$E$2:$CD$2,0)),"")</f>
        <v/>
      </c>
      <c r="BK131" s="13" t="str">
        <f>IF(BK$4="Yes",INDEX(List!$E$2:$CD$173,MATCH('Selection Pane Data'!$B131,List!$E$2:$E$173,0),MATCH('Selection Pane Data'!BK$3,List!$E$2:$CD$2,0)),"")</f>
        <v/>
      </c>
      <c r="BL131" s="13" t="str">
        <f>IF(BL$4="Yes",INDEX(List!$E$2:$CD$173,MATCH('Selection Pane Data'!$B131,List!$E$2:$E$173,0),MATCH('Selection Pane Data'!BL$3,List!$E$2:$CD$2,0)),"")</f>
        <v/>
      </c>
      <c r="BM131" s="13" t="str">
        <f>IF(BM$4="Yes",INDEX(List!$E$2:$CD$173,MATCH('Selection Pane Data'!$B131,List!$E$2:$E$173,0),MATCH('Selection Pane Data'!BM$3,List!$E$2:$CD$2,0)),"")</f>
        <v/>
      </c>
      <c r="BN131" s="13" t="str">
        <f>IF(BN$4="Yes",INDEX(List!$E$2:$CD$173,MATCH('Selection Pane Data'!$B131,List!$E$2:$E$173,0),MATCH('Selection Pane Data'!BN$3,List!$E$2:$CD$2,0)),"")</f>
        <v/>
      </c>
      <c r="BO131" s="13" t="str">
        <f>IF(BO$4="Yes",INDEX(List!$E$2:$CD$173,MATCH('Selection Pane Data'!$B131,List!$E$2:$E$173,0),MATCH('Selection Pane Data'!BO$3,List!$E$2:$CD$2,0)),"")</f>
        <v/>
      </c>
      <c r="BP131" s="13" t="str">
        <f>IF(BP$4="Yes",INDEX(List!$E$2:$CD$173,MATCH('Selection Pane Data'!$B131,List!$E$2:$E$173,0),MATCH('Selection Pane Data'!BP$3,List!$E$2:$CD$2,0)),"")</f>
        <v/>
      </c>
      <c r="BQ131" s="13" t="str">
        <f>IF(BQ$4="Yes",INDEX(List!$E$2:$CD$173,MATCH('Selection Pane Data'!$B131,List!$E$2:$E$173,0),MATCH('Selection Pane Data'!BQ$3,List!$E$2:$CD$2,0)),"")</f>
        <v/>
      </c>
      <c r="BR131" s="13" t="str">
        <f>IF(BR$4="Yes",INDEX(List!$E$2:$CD$173,MATCH('Selection Pane Data'!$B131,List!$E$2:$E$173,0),MATCH('Selection Pane Data'!BR$3,List!$E$2:$CD$2,0)),"")</f>
        <v/>
      </c>
      <c r="BS131" s="13" t="str">
        <f>IF(BS$4="Yes",INDEX(List!$E$2:$CD$173,MATCH('Selection Pane Data'!$B131,List!$E$2:$E$173,0),MATCH('Selection Pane Data'!BS$3,List!$E$2:$CD$2,0)),"")</f>
        <v/>
      </c>
      <c r="BT131" s="13" t="str">
        <f>IF(BT$4="Yes",INDEX(List!$E$2:$CD$173,MATCH('Selection Pane Data'!$B131,List!$E$2:$E$173,0),MATCH('Selection Pane Data'!BT$3,List!$E$2:$CD$2,0)),"")</f>
        <v/>
      </c>
      <c r="BU131" s="13" t="str">
        <f>IF(BU$4="Yes",INDEX(List!$E$2:$CD$173,MATCH('Selection Pane Data'!$B131,List!$E$2:$E$173,0),MATCH('Selection Pane Data'!BU$3,List!$E$2:$CD$2,0)),"")</f>
        <v/>
      </c>
      <c r="BV131" s="13" t="str">
        <f>IF(BV$4="Yes",INDEX(List!$E$2:$CD$173,MATCH('Selection Pane Data'!$B131,List!$E$2:$E$173,0),MATCH('Selection Pane Data'!BV$3,List!$E$2:$CD$2,0)),"")</f>
        <v/>
      </c>
      <c r="BW131" s="13" t="str">
        <f>IF(BW$4="Yes",INDEX(List!$E$2:$CD$173,MATCH('Selection Pane Data'!$B131,List!$E$2:$E$173,0),MATCH('Selection Pane Data'!BW$3,List!$E$2:$CD$2,0)),"")</f>
        <v/>
      </c>
      <c r="BX131" s="13" t="str">
        <f>IF(BX$4="Yes",INDEX(List!$E$2:$CD$173,MATCH('Selection Pane Data'!$B131,List!$E$2:$E$173,0),MATCH('Selection Pane Data'!BX$3,List!$E$2:$CD$2,0)),"")</f>
        <v/>
      </c>
      <c r="BY131" s="13" t="str">
        <f>IF(BY$4="Yes",INDEX(List!$E$2:$CD$173,MATCH('Selection Pane Data'!$B131,List!$E$2:$E$173,0),MATCH('Selection Pane Data'!BY$3,List!$E$2:$CD$2,0)),"")</f>
        <v/>
      </c>
      <c r="BZ131" s="13" t="str">
        <f>IF(BZ$4="Yes",INDEX(List!$E$2:$CD$173,MATCH('Selection Pane Data'!$B131,List!$E$2:$E$173,0),MATCH('Selection Pane Data'!BZ$3,List!$E$2:$CD$2,0)),"")</f>
        <v/>
      </c>
      <c r="CA131" s="13" t="str">
        <f>IF(CA$4="Yes",INDEX(List!$E$2:$CD$173,MATCH('Selection Pane Data'!$B131,List!$E$2:$E$173,0),MATCH('Selection Pane Data'!CA$3,List!$E$2:$CD$2,0)),"")</f>
        <v/>
      </c>
      <c r="CB131" s="13" t="str">
        <f>IF(CB$4="Yes",INDEX(List!$E$2:$CD$173,MATCH('Selection Pane Data'!$B131,List!$E$2:$E$173,0),MATCH('Selection Pane Data'!CB$3,List!$E$2:$CD$2,0)),"")</f>
        <v/>
      </c>
      <c r="CC131" s="13" t="str">
        <f>IF(CC$4="Yes",INDEX(List!$E$2:$CD$173,MATCH('Selection Pane Data'!$B131,List!$E$2:$E$173,0),MATCH('Selection Pane Data'!CC$3,List!$E$2:$CD$2,0)),"")</f>
        <v/>
      </c>
      <c r="CD131" s="13" t="str">
        <f>IF(CD$4="Yes",INDEX(List!$E$2:$CD$173,MATCH('Selection Pane Data'!$B131,List!$E$2:$E$173,0),MATCH('Selection Pane Data'!CD$3,List!$E$2:$CD$2,0)),"")</f>
        <v/>
      </c>
      <c r="CE131" s="13" t="str">
        <f>IF(CE$4="Yes",INDEX(List!$E$2:$CD$173,MATCH('Selection Pane Data'!$B131,List!$E$2:$E$173,0),MATCH('Selection Pane Data'!CE$3,List!$E$2:$CD$2,0)),"")</f>
        <v/>
      </c>
    </row>
    <row r="132" spans="2:83" x14ac:dyDescent="0.35">
      <c r="B132" s="21" t="s">
        <v>419</v>
      </c>
      <c r="C132" s="126" t="str">
        <f>VLOOKUP(B132,List!$E$2:$G$173,2,FALSE)</f>
        <v>RA.L3-11</v>
      </c>
      <c r="D132" s="31" t="str">
        <f>List!G130</f>
        <v>Not Applicable</v>
      </c>
      <c r="E132" s="31" t="str">
        <f>IF(Placemat!$F$4="All Practices","All Practices",IF(VLOOKUP(B132,Table7[#All],6,FALSE)="No Mapping","New CMMC Practices","Practices with NIST 800-171 Mappings"))</f>
        <v>Practices with NIST 800-171 Mappings</v>
      </c>
      <c r="F132" t="str">
        <f>INDEX('CMMC Levels'!$A$1:$F$172,MATCH('Selection Pane Data'!$C132,'CMMC Levels'!$A$1:$A$172,0),MATCH(Placemat!$F$4,'CMMC Levels'!$A$1:$F$1,0))</f>
        <v>N/A</v>
      </c>
      <c r="G132" s="77" t="str">
        <f>IF((COUNTIF(List!H130:CE130,"P")+COUNTIF(List!H130:CE130,"S"))=0,"N",IF(COUNTIF(H132:CE132,"P"),"P",IF(COUNTIF(H132:CE132,"S"),"S","U")))</f>
        <v>N</v>
      </c>
      <c r="H132" s="13" t="str">
        <f>IF(H$4="Yes",INDEX(List!$E$2:$CD$173,MATCH('Selection Pane Data'!$B132,List!$E$2:$E$173,0),MATCH('Selection Pane Data'!H$3,List!$E$2:$CD$2,0)),"")</f>
        <v/>
      </c>
      <c r="I132" s="13" t="str">
        <f>IF(I$4="Yes",INDEX(List!$E$2:$CD$173,MATCH('Selection Pane Data'!$B132,List!$E$2:$E$173,0),MATCH('Selection Pane Data'!I$3,List!$E$2:$CD$2,0)),"")</f>
        <v/>
      </c>
      <c r="J132" s="13" t="str">
        <f>IF(J$4="Yes",INDEX(List!$E$2:$CD$173,MATCH('Selection Pane Data'!$B132,List!$E$2:$E$173,0),MATCH('Selection Pane Data'!J$3,List!$E$2:$CD$2,0)),"")</f>
        <v>N</v>
      </c>
      <c r="K132" s="13" t="str">
        <f>IF(K$4="Yes",INDEX(List!$E$2:$CD$173,MATCH('Selection Pane Data'!$B132,List!$E$2:$E$173,0),MATCH('Selection Pane Data'!K$3,List!$E$2:$CD$2,0)),"")</f>
        <v/>
      </c>
      <c r="L132" s="13" t="str">
        <f>IF(L$4="Yes",INDEX(List!$E$2:$CD$173,MATCH('Selection Pane Data'!$B132,List!$E$2:$E$173,0),MATCH('Selection Pane Data'!L$3,List!$E$2:$CD$2,0)),"")</f>
        <v/>
      </c>
      <c r="M132" s="13" t="str">
        <f>IF(M$4="Yes",INDEX(List!$E$2:$CD$173,MATCH('Selection Pane Data'!$B132,List!$E$2:$E$173,0),MATCH('Selection Pane Data'!M$3,List!$E$2:$CD$2,0)),"")</f>
        <v/>
      </c>
      <c r="N132" s="13" t="str">
        <f>IF(N$4="Yes",INDEX(List!$E$2:$CD$173,MATCH('Selection Pane Data'!$B132,List!$E$2:$E$173,0),MATCH('Selection Pane Data'!N$3,List!$E$2:$CD$2,0)),"")</f>
        <v/>
      </c>
      <c r="O132" s="13" t="str">
        <f>IF(O$4="Yes",INDEX(List!$E$2:$CD$173,MATCH('Selection Pane Data'!$B132,List!$E$2:$E$173,0),MATCH('Selection Pane Data'!O$3,List!$E$2:$CD$2,0)),"")</f>
        <v/>
      </c>
      <c r="P132" s="13" t="str">
        <f>IF(P$4="Yes",INDEX(List!$E$2:$CD$173,MATCH('Selection Pane Data'!$B132,List!$E$2:$E$173,0),MATCH('Selection Pane Data'!P$3,List!$E$2:$CD$2,0)),"")</f>
        <v/>
      </c>
      <c r="Q132" s="13" t="str">
        <f>IF(Q$4="Yes",INDEX(List!$E$2:$CD$173,MATCH('Selection Pane Data'!$B132,List!$E$2:$E$173,0),MATCH('Selection Pane Data'!Q$3,List!$E$2:$CD$2,0)),"")</f>
        <v/>
      </c>
      <c r="R132" s="13" t="str">
        <f>IF(R$4="Yes",INDEX(List!$E$2:$CD$173,MATCH('Selection Pane Data'!$B132,List!$E$2:$E$173,0),MATCH('Selection Pane Data'!R$3,List!$E$2:$CD$2,0)),"")</f>
        <v/>
      </c>
      <c r="S132" s="13" t="str">
        <f>IF(S$4="Yes",INDEX(List!$E$2:$CD$173,MATCH('Selection Pane Data'!$B132,List!$E$2:$E$173,0),MATCH('Selection Pane Data'!S$3,List!$E$2:$CD$2,0)),"")</f>
        <v/>
      </c>
      <c r="T132" s="13" t="str">
        <f>IF(T$4="Yes",INDEX(List!$E$2:$CD$173,MATCH('Selection Pane Data'!$B132,List!$E$2:$E$173,0),MATCH('Selection Pane Data'!T$3,List!$E$2:$CD$2,0)),"")</f>
        <v/>
      </c>
      <c r="U132" s="13" t="str">
        <f>IF(U$4="Yes",INDEX(List!$E$2:$CD$173,MATCH('Selection Pane Data'!$B132,List!$E$2:$E$173,0),MATCH('Selection Pane Data'!U$3,List!$E$2:$CD$2,0)),"")</f>
        <v/>
      </c>
      <c r="V132" s="13" t="str">
        <f>IF(V$4="Yes",INDEX(List!$E$2:$CD$173,MATCH('Selection Pane Data'!$B132,List!$E$2:$E$173,0),MATCH('Selection Pane Data'!V$3,List!$E$2:$CD$2,0)),"")</f>
        <v/>
      </c>
      <c r="W132" s="13" t="str">
        <f>IF(W$4="Yes",INDEX(List!$E$2:$CD$173,MATCH('Selection Pane Data'!$B132,List!$E$2:$E$173,0),MATCH('Selection Pane Data'!W$3,List!$E$2:$CD$2,0)),"")</f>
        <v/>
      </c>
      <c r="X132" s="13" t="str">
        <f>IF(X$4="Yes",INDEX(List!$E$2:$CD$173,MATCH('Selection Pane Data'!$B132,List!$E$2:$E$173,0),MATCH('Selection Pane Data'!X$3,List!$E$2:$CD$2,0)),"")</f>
        <v/>
      </c>
      <c r="Y132" s="13" t="str">
        <f>IF(Y$4="Yes",INDEX(List!$E$2:$CD$173,MATCH('Selection Pane Data'!$B132,List!$E$2:$E$173,0),MATCH('Selection Pane Data'!Y$3,List!$E$2:$CD$2,0)),"")</f>
        <v/>
      </c>
      <c r="Z132" s="13" t="str">
        <f>IF(Z$4="Yes",INDEX(List!$E$2:$CD$173,MATCH('Selection Pane Data'!$B132,List!$E$2:$E$173,0),MATCH('Selection Pane Data'!Z$3,List!$E$2:$CD$2,0)),"")</f>
        <v/>
      </c>
      <c r="AA132" s="13" t="str">
        <f>IF(AA$4="Yes",INDEX(List!$E$2:$CD$173,MATCH('Selection Pane Data'!$B132,List!$E$2:$E$173,0),MATCH('Selection Pane Data'!AA$3,List!$E$2:$CD$2,0)),"")</f>
        <v>N</v>
      </c>
      <c r="AB132" s="13" t="str">
        <f>IF(AB$4="Yes",INDEX(List!$E$2:$CD$173,MATCH('Selection Pane Data'!$B132,List!$E$2:$E$173,0),MATCH('Selection Pane Data'!AB$3,List!$E$2:$CD$2,0)),"")</f>
        <v/>
      </c>
      <c r="AC132" s="13" t="str">
        <f>IF(AC$4="Yes",INDEX(List!$E$2:$CD$173,MATCH('Selection Pane Data'!$B132,List!$E$2:$E$173,0),MATCH('Selection Pane Data'!AC$3,List!$E$2:$CD$2,0)),"")</f>
        <v/>
      </c>
      <c r="AD132" s="13" t="str">
        <f>IF(AD$4="Yes",INDEX(List!$E$2:$CD$173,MATCH('Selection Pane Data'!$B132,List!$E$2:$E$173,0),MATCH('Selection Pane Data'!AD$3,List!$E$2:$CD$2,0)),"")</f>
        <v/>
      </c>
      <c r="AE132" s="13" t="str">
        <f>IF(AE$4="Yes",INDEX(List!$E$2:$CD$173,MATCH('Selection Pane Data'!$B132,List!$E$2:$E$173,0),MATCH('Selection Pane Data'!AE$3,List!$E$2:$CD$2,0)),"")</f>
        <v/>
      </c>
      <c r="AF132" s="13" t="str">
        <f>IF(AF$4="Yes",INDEX(List!$E$2:$CD$173,MATCH('Selection Pane Data'!$B132,List!$E$2:$E$173,0),MATCH('Selection Pane Data'!AF$3,List!$E$2:$CD$2,0)),"")</f>
        <v/>
      </c>
      <c r="AG132" s="13" t="str">
        <f>IF(AG$4="Yes",INDEX(List!$E$2:$CD$173,MATCH('Selection Pane Data'!$B132,List!$E$2:$E$173,0),MATCH('Selection Pane Data'!AG$3,List!$E$2:$CD$2,0)),"")</f>
        <v/>
      </c>
      <c r="AH132" s="13" t="str">
        <f>IF(AH$4="Yes",INDEX(List!$E$2:$CD$173,MATCH('Selection Pane Data'!$B132,List!$E$2:$E$173,0),MATCH('Selection Pane Data'!AH$3,List!$E$2:$CD$2,0)),"")</f>
        <v/>
      </c>
      <c r="AI132" s="13" t="str">
        <f>IF(AI$4="Yes",INDEX(List!$E$2:$CD$173,MATCH('Selection Pane Data'!$B132,List!$E$2:$E$173,0),MATCH('Selection Pane Data'!AI$3,List!$E$2:$CD$2,0)),"")</f>
        <v/>
      </c>
      <c r="AJ132" s="13" t="str">
        <f>IF(AJ$4="Yes",INDEX(List!$E$2:$CD$173,MATCH('Selection Pane Data'!$B132,List!$E$2:$E$173,0),MATCH('Selection Pane Data'!AJ$3,List!$E$2:$CD$2,0)),"")</f>
        <v/>
      </c>
      <c r="AK132" s="13" t="str">
        <f>IF(AK$4="Yes",INDEX(List!$E$2:$CD$173,MATCH('Selection Pane Data'!$B132,List!$E$2:$E$173,0),MATCH('Selection Pane Data'!AK$3,List!$E$2:$CD$2,0)),"")</f>
        <v/>
      </c>
      <c r="AL132" s="13" t="str">
        <f>IF(AL$4="Yes",INDEX(List!$E$2:$CD$173,MATCH('Selection Pane Data'!$B132,List!$E$2:$E$173,0),MATCH('Selection Pane Data'!AL$3,List!$E$2:$CD$2,0)),"")</f>
        <v/>
      </c>
      <c r="AM132" s="13" t="str">
        <f>IF(AM$4="Yes",INDEX(List!$E$2:$CD$173,MATCH('Selection Pane Data'!$B132,List!$E$2:$E$173,0),MATCH('Selection Pane Data'!AM$3,List!$E$2:$CD$2,0)),"")</f>
        <v/>
      </c>
      <c r="AN132" s="13" t="str">
        <f>IF(AN$4="Yes",INDEX(List!$E$2:$CD$173,MATCH('Selection Pane Data'!$B132,List!$E$2:$E$173,0),MATCH('Selection Pane Data'!AN$3,List!$E$2:$CD$2,0)),"")</f>
        <v/>
      </c>
      <c r="AO132" s="13" t="str">
        <f>IF(AO$4="Yes",INDEX(List!$E$2:$CD$173,MATCH('Selection Pane Data'!$B132,List!$E$2:$E$173,0),MATCH('Selection Pane Data'!AO$3,List!$E$2:$CD$2,0)),"")</f>
        <v/>
      </c>
      <c r="AP132" s="13" t="str">
        <f>IF(AP$4="Yes",INDEX(List!$E$2:$CD$173,MATCH('Selection Pane Data'!$B132,List!$E$2:$E$173,0),MATCH('Selection Pane Data'!AP$3,List!$E$2:$CD$2,0)),"")</f>
        <v/>
      </c>
      <c r="AQ132" s="13" t="str">
        <f>IF(AQ$4="Yes",INDEX(List!$E$2:$CD$173,MATCH('Selection Pane Data'!$B132,List!$E$2:$E$173,0),MATCH('Selection Pane Data'!AQ$3,List!$E$2:$CD$2,0)),"")</f>
        <v/>
      </c>
      <c r="AR132" s="13" t="str">
        <f>IF(AR$4="Yes",INDEX(List!$E$2:$CD$173,MATCH('Selection Pane Data'!$B132,List!$E$2:$E$173,0),MATCH('Selection Pane Data'!AR$3,List!$E$2:$CD$2,0)),"")</f>
        <v/>
      </c>
      <c r="AS132" s="13" t="str">
        <f>IF(AS$4="Yes",INDEX(List!$E$2:$CD$173,MATCH('Selection Pane Data'!$B132,List!$E$2:$E$173,0),MATCH('Selection Pane Data'!AS$3,List!$E$2:$CD$2,0)),"")</f>
        <v/>
      </c>
      <c r="AT132" s="13" t="str">
        <f>IF(AT$4="Yes",INDEX(List!$E$2:$CD$173,MATCH('Selection Pane Data'!$B132,List!$E$2:$E$173,0),MATCH('Selection Pane Data'!AT$3,List!$E$2:$CD$2,0)),"")</f>
        <v/>
      </c>
      <c r="AU132" s="13" t="str">
        <f>IF(AU$4="Yes",INDEX(List!$E$2:$CD$173,MATCH('Selection Pane Data'!$B132,List!$E$2:$E$173,0),MATCH('Selection Pane Data'!AU$3,List!$E$2:$CD$2,0)),"")</f>
        <v/>
      </c>
      <c r="AV132" s="13" t="str">
        <f>IF(AV$4="Yes",INDEX(List!$E$2:$CD$173,MATCH('Selection Pane Data'!$B132,List!$E$2:$E$173,0),MATCH('Selection Pane Data'!AV$3,List!$E$2:$CD$2,0)),"")</f>
        <v/>
      </c>
      <c r="AW132" s="13" t="str">
        <f>IF(AW$4="Yes",INDEX(List!$E$2:$CD$173,MATCH('Selection Pane Data'!$B132,List!$E$2:$E$173,0),MATCH('Selection Pane Data'!AW$3,List!$E$2:$CD$2,0)),"")</f>
        <v/>
      </c>
      <c r="AX132" s="13" t="str">
        <f>IF(AX$4="Yes",INDEX(List!$E$2:$CD$173,MATCH('Selection Pane Data'!$B132,List!$E$2:$E$173,0),MATCH('Selection Pane Data'!AX$3,List!$E$2:$CD$2,0)),"")</f>
        <v/>
      </c>
      <c r="AY132" s="13" t="str">
        <f>IF(AY$4="Yes",INDEX(List!$E$2:$CD$173,MATCH('Selection Pane Data'!$B132,List!$E$2:$E$173,0),MATCH('Selection Pane Data'!AY$3,List!$E$2:$CD$2,0)),"")</f>
        <v/>
      </c>
      <c r="AZ132" s="13" t="str">
        <f>IF(AZ$4="Yes",INDEX(List!$E$2:$CD$173,MATCH('Selection Pane Data'!$B132,List!$E$2:$E$173,0),MATCH('Selection Pane Data'!AZ$3,List!$E$2:$CD$2,0)),"")</f>
        <v/>
      </c>
      <c r="BA132" s="13" t="str">
        <f>IF(BA$4="Yes",INDEX(List!$E$2:$CD$173,MATCH('Selection Pane Data'!$B132,List!$E$2:$E$173,0),MATCH('Selection Pane Data'!BA$3,List!$E$2:$CD$2,0)),"")</f>
        <v/>
      </c>
      <c r="BB132" s="13" t="str">
        <f>IF(BB$4="Yes",INDEX(List!$E$2:$CD$173,MATCH('Selection Pane Data'!$B132,List!$E$2:$E$173,0),MATCH('Selection Pane Data'!BB$3,List!$E$2:$CD$2,0)),"")</f>
        <v/>
      </c>
      <c r="BC132" s="13" t="str">
        <f>IF(BC$4="Yes",INDEX(List!$E$2:$CD$173,MATCH('Selection Pane Data'!$B132,List!$E$2:$E$173,0),MATCH('Selection Pane Data'!BC$3,List!$E$2:$CD$2,0)),"")</f>
        <v/>
      </c>
      <c r="BD132" s="13" t="str">
        <f>IF(BD$4="Yes",INDEX(List!$E$2:$CD$173,MATCH('Selection Pane Data'!$B132,List!$E$2:$E$173,0),MATCH('Selection Pane Data'!BD$3,List!$E$2:$CD$2,0)),"")</f>
        <v/>
      </c>
      <c r="BE132" s="13" t="str">
        <f>IF(BE$4="Yes",INDEX(List!$E$2:$CD$173,MATCH('Selection Pane Data'!$B132,List!$E$2:$E$173,0),MATCH('Selection Pane Data'!BE$3,List!$E$2:$CD$2,0)),"")</f>
        <v/>
      </c>
      <c r="BF132" s="13" t="str">
        <f>IF(BF$4="Yes",INDEX(List!$E$2:$CD$173,MATCH('Selection Pane Data'!$B132,List!$E$2:$E$173,0),MATCH('Selection Pane Data'!BF$3,List!$E$2:$CD$2,0)),"")</f>
        <v/>
      </c>
      <c r="BG132" s="13" t="str">
        <f>IF(BG$4="Yes",INDEX(List!$E$2:$CD$173,MATCH('Selection Pane Data'!$B132,List!$E$2:$E$173,0),MATCH('Selection Pane Data'!BG$3,List!$E$2:$CD$2,0)),"")</f>
        <v/>
      </c>
      <c r="BH132" s="13" t="str">
        <f>IF(BH$4="Yes",INDEX(List!$E$2:$CD$173,MATCH('Selection Pane Data'!$B132,List!$E$2:$E$173,0),MATCH('Selection Pane Data'!BH$3,List!$E$2:$CD$2,0)),"")</f>
        <v/>
      </c>
      <c r="BI132" s="13" t="str">
        <f>IF(BI$4="Yes",INDEX(List!$E$2:$CD$173,MATCH('Selection Pane Data'!$B132,List!$E$2:$E$173,0),MATCH('Selection Pane Data'!BI$3,List!$E$2:$CD$2,0)),"")</f>
        <v/>
      </c>
      <c r="BJ132" s="13" t="str">
        <f>IF(BJ$4="Yes",INDEX(List!$E$2:$CD$173,MATCH('Selection Pane Data'!$B132,List!$E$2:$E$173,0),MATCH('Selection Pane Data'!BJ$3,List!$E$2:$CD$2,0)),"")</f>
        <v/>
      </c>
      <c r="BK132" s="13" t="str">
        <f>IF(BK$4="Yes",INDEX(List!$E$2:$CD$173,MATCH('Selection Pane Data'!$B132,List!$E$2:$E$173,0),MATCH('Selection Pane Data'!BK$3,List!$E$2:$CD$2,0)),"")</f>
        <v/>
      </c>
      <c r="BL132" s="13" t="str">
        <f>IF(BL$4="Yes",INDEX(List!$E$2:$CD$173,MATCH('Selection Pane Data'!$B132,List!$E$2:$E$173,0),MATCH('Selection Pane Data'!BL$3,List!$E$2:$CD$2,0)),"")</f>
        <v/>
      </c>
      <c r="BM132" s="13" t="str">
        <f>IF(BM$4="Yes",INDEX(List!$E$2:$CD$173,MATCH('Selection Pane Data'!$B132,List!$E$2:$E$173,0),MATCH('Selection Pane Data'!BM$3,List!$E$2:$CD$2,0)),"")</f>
        <v/>
      </c>
      <c r="BN132" s="13" t="str">
        <f>IF(BN$4="Yes",INDEX(List!$E$2:$CD$173,MATCH('Selection Pane Data'!$B132,List!$E$2:$E$173,0),MATCH('Selection Pane Data'!BN$3,List!$E$2:$CD$2,0)),"")</f>
        <v/>
      </c>
      <c r="BO132" s="13" t="str">
        <f>IF(BO$4="Yes",INDEX(List!$E$2:$CD$173,MATCH('Selection Pane Data'!$B132,List!$E$2:$E$173,0),MATCH('Selection Pane Data'!BO$3,List!$E$2:$CD$2,0)),"")</f>
        <v/>
      </c>
      <c r="BP132" s="13" t="str">
        <f>IF(BP$4="Yes",INDEX(List!$E$2:$CD$173,MATCH('Selection Pane Data'!$B132,List!$E$2:$E$173,0),MATCH('Selection Pane Data'!BP$3,List!$E$2:$CD$2,0)),"")</f>
        <v/>
      </c>
      <c r="BQ132" s="13" t="str">
        <f>IF(BQ$4="Yes",INDEX(List!$E$2:$CD$173,MATCH('Selection Pane Data'!$B132,List!$E$2:$E$173,0),MATCH('Selection Pane Data'!BQ$3,List!$E$2:$CD$2,0)),"")</f>
        <v/>
      </c>
      <c r="BR132" s="13" t="str">
        <f>IF(BR$4="Yes",INDEX(List!$E$2:$CD$173,MATCH('Selection Pane Data'!$B132,List!$E$2:$E$173,0),MATCH('Selection Pane Data'!BR$3,List!$E$2:$CD$2,0)),"")</f>
        <v/>
      </c>
      <c r="BS132" s="13" t="str">
        <f>IF(BS$4="Yes",INDEX(List!$E$2:$CD$173,MATCH('Selection Pane Data'!$B132,List!$E$2:$E$173,0),MATCH('Selection Pane Data'!BS$3,List!$E$2:$CD$2,0)),"")</f>
        <v/>
      </c>
      <c r="BT132" s="13" t="str">
        <f>IF(BT$4="Yes",INDEX(List!$E$2:$CD$173,MATCH('Selection Pane Data'!$B132,List!$E$2:$E$173,0),MATCH('Selection Pane Data'!BT$3,List!$E$2:$CD$2,0)),"")</f>
        <v/>
      </c>
      <c r="BU132" s="13" t="str">
        <f>IF(BU$4="Yes",INDEX(List!$E$2:$CD$173,MATCH('Selection Pane Data'!$B132,List!$E$2:$E$173,0),MATCH('Selection Pane Data'!BU$3,List!$E$2:$CD$2,0)),"")</f>
        <v/>
      </c>
      <c r="BV132" s="13" t="str">
        <f>IF(BV$4="Yes",INDEX(List!$E$2:$CD$173,MATCH('Selection Pane Data'!$B132,List!$E$2:$E$173,0),MATCH('Selection Pane Data'!BV$3,List!$E$2:$CD$2,0)),"")</f>
        <v/>
      </c>
      <c r="BW132" s="13" t="str">
        <f>IF(BW$4="Yes",INDEX(List!$E$2:$CD$173,MATCH('Selection Pane Data'!$B132,List!$E$2:$E$173,0),MATCH('Selection Pane Data'!BW$3,List!$E$2:$CD$2,0)),"")</f>
        <v/>
      </c>
      <c r="BX132" s="13" t="str">
        <f>IF(BX$4="Yes",INDEX(List!$E$2:$CD$173,MATCH('Selection Pane Data'!$B132,List!$E$2:$E$173,0),MATCH('Selection Pane Data'!BX$3,List!$E$2:$CD$2,0)),"")</f>
        <v/>
      </c>
      <c r="BY132" s="13" t="str">
        <f>IF(BY$4="Yes",INDEX(List!$E$2:$CD$173,MATCH('Selection Pane Data'!$B132,List!$E$2:$E$173,0),MATCH('Selection Pane Data'!BY$3,List!$E$2:$CD$2,0)),"")</f>
        <v/>
      </c>
      <c r="BZ132" s="13" t="str">
        <f>IF(BZ$4="Yes",INDEX(List!$E$2:$CD$173,MATCH('Selection Pane Data'!$B132,List!$E$2:$E$173,0),MATCH('Selection Pane Data'!BZ$3,List!$E$2:$CD$2,0)),"")</f>
        <v/>
      </c>
      <c r="CA132" s="13" t="str">
        <f>IF(CA$4="Yes",INDEX(List!$E$2:$CD$173,MATCH('Selection Pane Data'!$B132,List!$E$2:$E$173,0),MATCH('Selection Pane Data'!CA$3,List!$E$2:$CD$2,0)),"")</f>
        <v/>
      </c>
      <c r="CB132" s="13" t="str">
        <f>IF(CB$4="Yes",INDEX(List!$E$2:$CD$173,MATCH('Selection Pane Data'!$B132,List!$E$2:$E$173,0),MATCH('Selection Pane Data'!CB$3,List!$E$2:$CD$2,0)),"")</f>
        <v/>
      </c>
      <c r="CC132" s="13" t="str">
        <f>IF(CC$4="Yes",INDEX(List!$E$2:$CD$173,MATCH('Selection Pane Data'!$B132,List!$E$2:$E$173,0),MATCH('Selection Pane Data'!CC$3,List!$E$2:$CD$2,0)),"")</f>
        <v/>
      </c>
      <c r="CD132" s="13" t="str">
        <f>IF(CD$4="Yes",INDEX(List!$E$2:$CD$173,MATCH('Selection Pane Data'!$B132,List!$E$2:$E$173,0),MATCH('Selection Pane Data'!CD$3,List!$E$2:$CD$2,0)),"")</f>
        <v/>
      </c>
      <c r="CE132" s="13" t="str">
        <f>IF(CE$4="Yes",INDEX(List!$E$2:$CD$173,MATCH('Selection Pane Data'!$B132,List!$E$2:$E$173,0),MATCH('Selection Pane Data'!CE$3,List!$E$2:$CD$2,0)),"")</f>
        <v/>
      </c>
    </row>
    <row r="133" spans="2:83" x14ac:dyDescent="0.35">
      <c r="B133" s="21" t="s">
        <v>420</v>
      </c>
      <c r="C133" s="126" t="str">
        <f>VLOOKUP(B133,List!$E$2:$G$173,2,FALSE)</f>
        <v>N/A</v>
      </c>
      <c r="D133" s="31" t="str">
        <f>List!G131</f>
        <v>Shared Coverage</v>
      </c>
      <c r="E133" s="31" t="str">
        <f>IF(Placemat!$F$4="All Practices","All Practices",IF(VLOOKUP(B133,Table7[#All],6,FALSE)="No Mapping","New CMMC Practices","Practices with NIST 800-171 Mappings"))</f>
        <v>Practices with NIST 800-171 Mappings</v>
      </c>
      <c r="F133" t="str">
        <f>INDEX('CMMC Levels'!$A$1:$F$172,MATCH('Selection Pane Data'!$C133,'CMMC Levels'!$A$1:$A$172,0),MATCH(Placemat!$F$4,'CMMC Levels'!$A$1:$F$1,0))</f>
        <v>N/A</v>
      </c>
      <c r="G133" s="77" t="str">
        <f>IF((COUNTIF(List!H131:CE131,"P")+COUNTIF(List!H131:CE131,"S"))=0,"N",IF(COUNTIF(H133:CE133,"P"),"P",IF(COUNTIF(H133:CE133,"S"),"S","U")))</f>
        <v>N</v>
      </c>
      <c r="H133" s="13" t="str">
        <f>IF(H$4="Yes",INDEX(List!$E$2:$CD$173,MATCH('Selection Pane Data'!$B133,List!$E$2:$E$173,0),MATCH('Selection Pane Data'!H$3,List!$E$2:$CD$2,0)),"")</f>
        <v/>
      </c>
      <c r="I133" s="13" t="str">
        <f>IF(I$4="Yes",INDEX(List!$E$2:$CD$173,MATCH('Selection Pane Data'!$B133,List!$E$2:$E$173,0),MATCH('Selection Pane Data'!I$3,List!$E$2:$CD$2,0)),"")</f>
        <v/>
      </c>
      <c r="J133" s="13" t="e">
        <f>IF(J$4="Yes",INDEX(List!$E$2:$CD$173,MATCH('Selection Pane Data'!$B133,List!$E$2:$E$173,0),MATCH('Selection Pane Data'!J$3,List!$E$2:$CD$2,0)),"")</f>
        <v>#N/A</v>
      </c>
      <c r="K133" s="13" t="str">
        <f>IF(K$4="Yes",INDEX(List!$E$2:$CD$173,MATCH('Selection Pane Data'!$B133,List!$E$2:$E$173,0),MATCH('Selection Pane Data'!K$3,List!$E$2:$CD$2,0)),"")</f>
        <v/>
      </c>
      <c r="L133" s="13" t="str">
        <f>IF(L$4="Yes",INDEX(List!$E$2:$CD$173,MATCH('Selection Pane Data'!$B133,List!$E$2:$E$173,0),MATCH('Selection Pane Data'!L$3,List!$E$2:$CD$2,0)),"")</f>
        <v/>
      </c>
      <c r="M133" s="13" t="str">
        <f>IF(M$4="Yes",INDEX(List!$E$2:$CD$173,MATCH('Selection Pane Data'!$B133,List!$E$2:$E$173,0),MATCH('Selection Pane Data'!M$3,List!$E$2:$CD$2,0)),"")</f>
        <v/>
      </c>
      <c r="N133" s="13" t="str">
        <f>IF(N$4="Yes",INDEX(List!$E$2:$CD$173,MATCH('Selection Pane Data'!$B133,List!$E$2:$E$173,0),MATCH('Selection Pane Data'!N$3,List!$E$2:$CD$2,0)),"")</f>
        <v/>
      </c>
      <c r="O133" s="13" t="str">
        <f>IF(O$4="Yes",INDEX(List!$E$2:$CD$173,MATCH('Selection Pane Data'!$B133,List!$E$2:$E$173,0),MATCH('Selection Pane Data'!O$3,List!$E$2:$CD$2,0)),"")</f>
        <v/>
      </c>
      <c r="P133" s="13" t="str">
        <f>IF(P$4="Yes",INDEX(List!$E$2:$CD$173,MATCH('Selection Pane Data'!$B133,List!$E$2:$E$173,0),MATCH('Selection Pane Data'!P$3,List!$E$2:$CD$2,0)),"")</f>
        <v/>
      </c>
      <c r="Q133" s="13" t="str">
        <f>IF(Q$4="Yes",INDEX(List!$E$2:$CD$173,MATCH('Selection Pane Data'!$B133,List!$E$2:$E$173,0),MATCH('Selection Pane Data'!Q$3,List!$E$2:$CD$2,0)),"")</f>
        <v/>
      </c>
      <c r="R133" s="13" t="str">
        <f>IF(R$4="Yes",INDEX(List!$E$2:$CD$173,MATCH('Selection Pane Data'!$B133,List!$E$2:$E$173,0),MATCH('Selection Pane Data'!R$3,List!$E$2:$CD$2,0)),"")</f>
        <v/>
      </c>
      <c r="S133" s="13" t="str">
        <f>IF(S$4="Yes",INDEX(List!$E$2:$CD$173,MATCH('Selection Pane Data'!$B133,List!$E$2:$E$173,0),MATCH('Selection Pane Data'!S$3,List!$E$2:$CD$2,0)),"")</f>
        <v/>
      </c>
      <c r="T133" s="13" t="str">
        <f>IF(T$4="Yes",INDEX(List!$E$2:$CD$173,MATCH('Selection Pane Data'!$B133,List!$E$2:$E$173,0),MATCH('Selection Pane Data'!T$3,List!$E$2:$CD$2,0)),"")</f>
        <v/>
      </c>
      <c r="U133" s="13" t="str">
        <f>IF(U$4="Yes",INDEX(List!$E$2:$CD$173,MATCH('Selection Pane Data'!$B133,List!$E$2:$E$173,0),MATCH('Selection Pane Data'!U$3,List!$E$2:$CD$2,0)),"")</f>
        <v/>
      </c>
      <c r="V133" s="13" t="str">
        <f>IF(V$4="Yes",INDEX(List!$E$2:$CD$173,MATCH('Selection Pane Data'!$B133,List!$E$2:$E$173,0),MATCH('Selection Pane Data'!V$3,List!$E$2:$CD$2,0)),"")</f>
        <v/>
      </c>
      <c r="W133" s="13" t="str">
        <f>IF(W$4="Yes",INDEX(List!$E$2:$CD$173,MATCH('Selection Pane Data'!$B133,List!$E$2:$E$173,0),MATCH('Selection Pane Data'!W$3,List!$E$2:$CD$2,0)),"")</f>
        <v/>
      </c>
      <c r="X133" s="13" t="str">
        <f>IF(X$4="Yes",INDEX(List!$E$2:$CD$173,MATCH('Selection Pane Data'!$B133,List!$E$2:$E$173,0),MATCH('Selection Pane Data'!X$3,List!$E$2:$CD$2,0)),"")</f>
        <v/>
      </c>
      <c r="Y133" s="13" t="str">
        <f>IF(Y$4="Yes",INDEX(List!$E$2:$CD$173,MATCH('Selection Pane Data'!$B133,List!$E$2:$E$173,0),MATCH('Selection Pane Data'!Y$3,List!$E$2:$CD$2,0)),"")</f>
        <v/>
      </c>
      <c r="Z133" s="13" t="str">
        <f>IF(Z$4="Yes",INDEX(List!$E$2:$CD$173,MATCH('Selection Pane Data'!$B133,List!$E$2:$E$173,0),MATCH('Selection Pane Data'!Z$3,List!$E$2:$CD$2,0)),"")</f>
        <v/>
      </c>
      <c r="AA133" s="13" t="e">
        <f>IF(AA$4="Yes",INDEX(List!$E$2:$CD$173,MATCH('Selection Pane Data'!$B133,List!$E$2:$E$173,0),MATCH('Selection Pane Data'!AA$3,List!$E$2:$CD$2,0)),"")</f>
        <v>#N/A</v>
      </c>
      <c r="AB133" s="13" t="str">
        <f>IF(AB$4="Yes",INDEX(List!$E$2:$CD$173,MATCH('Selection Pane Data'!$B133,List!$E$2:$E$173,0),MATCH('Selection Pane Data'!AB$3,List!$E$2:$CD$2,0)),"")</f>
        <v/>
      </c>
      <c r="AC133" s="13" t="str">
        <f>IF(AC$4="Yes",INDEX(List!$E$2:$CD$173,MATCH('Selection Pane Data'!$B133,List!$E$2:$E$173,0),MATCH('Selection Pane Data'!AC$3,List!$E$2:$CD$2,0)),"")</f>
        <v/>
      </c>
      <c r="AD133" s="13" t="str">
        <f>IF(AD$4="Yes",INDEX(List!$E$2:$CD$173,MATCH('Selection Pane Data'!$B133,List!$E$2:$E$173,0),MATCH('Selection Pane Data'!AD$3,List!$E$2:$CD$2,0)),"")</f>
        <v/>
      </c>
      <c r="AE133" s="13" t="str">
        <f>IF(AE$4="Yes",INDEX(List!$E$2:$CD$173,MATCH('Selection Pane Data'!$B133,List!$E$2:$E$173,0),MATCH('Selection Pane Data'!AE$3,List!$E$2:$CD$2,0)),"")</f>
        <v/>
      </c>
      <c r="AF133" s="13" t="str">
        <f>IF(AF$4="Yes",INDEX(List!$E$2:$CD$173,MATCH('Selection Pane Data'!$B133,List!$E$2:$E$173,0),MATCH('Selection Pane Data'!AF$3,List!$E$2:$CD$2,0)),"")</f>
        <v/>
      </c>
      <c r="AG133" s="13" t="str">
        <f>IF(AG$4="Yes",INDEX(List!$E$2:$CD$173,MATCH('Selection Pane Data'!$B133,List!$E$2:$E$173,0),MATCH('Selection Pane Data'!AG$3,List!$E$2:$CD$2,0)),"")</f>
        <v/>
      </c>
      <c r="AH133" s="13" t="str">
        <f>IF(AH$4="Yes",INDEX(List!$E$2:$CD$173,MATCH('Selection Pane Data'!$B133,List!$E$2:$E$173,0),MATCH('Selection Pane Data'!AH$3,List!$E$2:$CD$2,0)),"")</f>
        <v/>
      </c>
      <c r="AI133" s="13" t="str">
        <f>IF(AI$4="Yes",INDEX(List!$E$2:$CD$173,MATCH('Selection Pane Data'!$B133,List!$E$2:$E$173,0),MATCH('Selection Pane Data'!AI$3,List!$E$2:$CD$2,0)),"")</f>
        <v/>
      </c>
      <c r="AJ133" s="13" t="str">
        <f>IF(AJ$4="Yes",INDEX(List!$E$2:$CD$173,MATCH('Selection Pane Data'!$B133,List!$E$2:$E$173,0),MATCH('Selection Pane Data'!AJ$3,List!$E$2:$CD$2,0)),"")</f>
        <v/>
      </c>
      <c r="AK133" s="13" t="str">
        <f>IF(AK$4="Yes",INDEX(List!$E$2:$CD$173,MATCH('Selection Pane Data'!$B133,List!$E$2:$E$173,0),MATCH('Selection Pane Data'!AK$3,List!$E$2:$CD$2,0)),"")</f>
        <v/>
      </c>
      <c r="AL133" s="13" t="str">
        <f>IF(AL$4="Yes",INDEX(List!$E$2:$CD$173,MATCH('Selection Pane Data'!$B133,List!$E$2:$E$173,0),MATCH('Selection Pane Data'!AL$3,List!$E$2:$CD$2,0)),"")</f>
        <v/>
      </c>
      <c r="AM133" s="13" t="str">
        <f>IF(AM$4="Yes",INDEX(List!$E$2:$CD$173,MATCH('Selection Pane Data'!$B133,List!$E$2:$E$173,0),MATCH('Selection Pane Data'!AM$3,List!$E$2:$CD$2,0)),"")</f>
        <v/>
      </c>
      <c r="AN133" s="13" t="str">
        <f>IF(AN$4="Yes",INDEX(List!$E$2:$CD$173,MATCH('Selection Pane Data'!$B133,List!$E$2:$E$173,0),MATCH('Selection Pane Data'!AN$3,List!$E$2:$CD$2,0)),"")</f>
        <v/>
      </c>
      <c r="AO133" s="13" t="str">
        <f>IF(AO$4="Yes",INDEX(List!$E$2:$CD$173,MATCH('Selection Pane Data'!$B133,List!$E$2:$E$173,0),MATCH('Selection Pane Data'!AO$3,List!$E$2:$CD$2,0)),"")</f>
        <v/>
      </c>
      <c r="AP133" s="13" t="str">
        <f>IF(AP$4="Yes",INDEX(List!$E$2:$CD$173,MATCH('Selection Pane Data'!$B133,List!$E$2:$E$173,0),MATCH('Selection Pane Data'!AP$3,List!$E$2:$CD$2,0)),"")</f>
        <v/>
      </c>
      <c r="AQ133" s="13" t="str">
        <f>IF(AQ$4="Yes",INDEX(List!$E$2:$CD$173,MATCH('Selection Pane Data'!$B133,List!$E$2:$E$173,0),MATCH('Selection Pane Data'!AQ$3,List!$E$2:$CD$2,0)),"")</f>
        <v/>
      </c>
      <c r="AR133" s="13" t="str">
        <f>IF(AR$4="Yes",INDEX(List!$E$2:$CD$173,MATCH('Selection Pane Data'!$B133,List!$E$2:$E$173,0),MATCH('Selection Pane Data'!AR$3,List!$E$2:$CD$2,0)),"")</f>
        <v/>
      </c>
      <c r="AS133" s="13" t="str">
        <f>IF(AS$4="Yes",INDEX(List!$E$2:$CD$173,MATCH('Selection Pane Data'!$B133,List!$E$2:$E$173,0),MATCH('Selection Pane Data'!AS$3,List!$E$2:$CD$2,0)),"")</f>
        <v/>
      </c>
      <c r="AT133" s="13" t="str">
        <f>IF(AT$4="Yes",INDEX(List!$E$2:$CD$173,MATCH('Selection Pane Data'!$B133,List!$E$2:$E$173,0),MATCH('Selection Pane Data'!AT$3,List!$E$2:$CD$2,0)),"")</f>
        <v/>
      </c>
      <c r="AU133" s="13" t="str">
        <f>IF(AU$4="Yes",INDEX(List!$E$2:$CD$173,MATCH('Selection Pane Data'!$B133,List!$E$2:$E$173,0),MATCH('Selection Pane Data'!AU$3,List!$E$2:$CD$2,0)),"")</f>
        <v/>
      </c>
      <c r="AV133" s="13" t="str">
        <f>IF(AV$4="Yes",INDEX(List!$E$2:$CD$173,MATCH('Selection Pane Data'!$B133,List!$E$2:$E$173,0),MATCH('Selection Pane Data'!AV$3,List!$E$2:$CD$2,0)),"")</f>
        <v/>
      </c>
      <c r="AW133" s="13" t="str">
        <f>IF(AW$4="Yes",INDEX(List!$E$2:$CD$173,MATCH('Selection Pane Data'!$B133,List!$E$2:$E$173,0),MATCH('Selection Pane Data'!AW$3,List!$E$2:$CD$2,0)),"")</f>
        <v/>
      </c>
      <c r="AX133" s="13" t="str">
        <f>IF(AX$4="Yes",INDEX(List!$E$2:$CD$173,MATCH('Selection Pane Data'!$B133,List!$E$2:$E$173,0),MATCH('Selection Pane Data'!AX$3,List!$E$2:$CD$2,0)),"")</f>
        <v/>
      </c>
      <c r="AY133" s="13" t="str">
        <f>IF(AY$4="Yes",INDEX(List!$E$2:$CD$173,MATCH('Selection Pane Data'!$B133,List!$E$2:$E$173,0),MATCH('Selection Pane Data'!AY$3,List!$E$2:$CD$2,0)),"")</f>
        <v/>
      </c>
      <c r="AZ133" s="13" t="str">
        <f>IF(AZ$4="Yes",INDEX(List!$E$2:$CD$173,MATCH('Selection Pane Data'!$B133,List!$E$2:$E$173,0),MATCH('Selection Pane Data'!AZ$3,List!$E$2:$CD$2,0)),"")</f>
        <v/>
      </c>
      <c r="BA133" s="13" t="str">
        <f>IF(BA$4="Yes",INDEX(List!$E$2:$CD$173,MATCH('Selection Pane Data'!$B133,List!$E$2:$E$173,0),MATCH('Selection Pane Data'!BA$3,List!$E$2:$CD$2,0)),"")</f>
        <v/>
      </c>
      <c r="BB133" s="13" t="str">
        <f>IF(BB$4="Yes",INDEX(List!$E$2:$CD$173,MATCH('Selection Pane Data'!$B133,List!$E$2:$E$173,0),MATCH('Selection Pane Data'!BB$3,List!$E$2:$CD$2,0)),"")</f>
        <v/>
      </c>
      <c r="BC133" s="13" t="str">
        <f>IF(BC$4="Yes",INDEX(List!$E$2:$CD$173,MATCH('Selection Pane Data'!$B133,List!$E$2:$E$173,0),MATCH('Selection Pane Data'!BC$3,List!$E$2:$CD$2,0)),"")</f>
        <v/>
      </c>
      <c r="BD133" s="13" t="str">
        <f>IF(BD$4="Yes",INDEX(List!$E$2:$CD$173,MATCH('Selection Pane Data'!$B133,List!$E$2:$E$173,0),MATCH('Selection Pane Data'!BD$3,List!$E$2:$CD$2,0)),"")</f>
        <v/>
      </c>
      <c r="BE133" s="13" t="str">
        <f>IF(BE$4="Yes",INDEX(List!$E$2:$CD$173,MATCH('Selection Pane Data'!$B133,List!$E$2:$E$173,0),MATCH('Selection Pane Data'!BE$3,List!$E$2:$CD$2,0)),"")</f>
        <v/>
      </c>
      <c r="BF133" s="13" t="str">
        <f>IF(BF$4="Yes",INDEX(List!$E$2:$CD$173,MATCH('Selection Pane Data'!$B133,List!$E$2:$E$173,0),MATCH('Selection Pane Data'!BF$3,List!$E$2:$CD$2,0)),"")</f>
        <v/>
      </c>
      <c r="BG133" s="13" t="str">
        <f>IF(BG$4="Yes",INDEX(List!$E$2:$CD$173,MATCH('Selection Pane Data'!$B133,List!$E$2:$E$173,0),MATCH('Selection Pane Data'!BG$3,List!$E$2:$CD$2,0)),"")</f>
        <v/>
      </c>
      <c r="BH133" s="13" t="str">
        <f>IF(BH$4="Yes",INDEX(List!$E$2:$CD$173,MATCH('Selection Pane Data'!$B133,List!$E$2:$E$173,0),MATCH('Selection Pane Data'!BH$3,List!$E$2:$CD$2,0)),"")</f>
        <v/>
      </c>
      <c r="BI133" s="13" t="str">
        <f>IF(BI$4="Yes",INDEX(List!$E$2:$CD$173,MATCH('Selection Pane Data'!$B133,List!$E$2:$E$173,0),MATCH('Selection Pane Data'!BI$3,List!$E$2:$CD$2,0)),"")</f>
        <v/>
      </c>
      <c r="BJ133" s="13" t="str">
        <f>IF(BJ$4="Yes",INDEX(List!$E$2:$CD$173,MATCH('Selection Pane Data'!$B133,List!$E$2:$E$173,0),MATCH('Selection Pane Data'!BJ$3,List!$E$2:$CD$2,0)),"")</f>
        <v/>
      </c>
      <c r="BK133" s="13" t="str">
        <f>IF(BK$4="Yes",INDEX(List!$E$2:$CD$173,MATCH('Selection Pane Data'!$B133,List!$E$2:$E$173,0),MATCH('Selection Pane Data'!BK$3,List!$E$2:$CD$2,0)),"")</f>
        <v/>
      </c>
      <c r="BL133" s="13" t="str">
        <f>IF(BL$4="Yes",INDEX(List!$E$2:$CD$173,MATCH('Selection Pane Data'!$B133,List!$E$2:$E$173,0),MATCH('Selection Pane Data'!BL$3,List!$E$2:$CD$2,0)),"")</f>
        <v/>
      </c>
      <c r="BM133" s="13" t="str">
        <f>IF(BM$4="Yes",INDEX(List!$E$2:$CD$173,MATCH('Selection Pane Data'!$B133,List!$E$2:$E$173,0),MATCH('Selection Pane Data'!BM$3,List!$E$2:$CD$2,0)),"")</f>
        <v/>
      </c>
      <c r="BN133" s="13" t="str">
        <f>IF(BN$4="Yes",INDEX(List!$E$2:$CD$173,MATCH('Selection Pane Data'!$B133,List!$E$2:$E$173,0),MATCH('Selection Pane Data'!BN$3,List!$E$2:$CD$2,0)),"")</f>
        <v/>
      </c>
      <c r="BO133" s="13" t="str">
        <f>IF(BO$4="Yes",INDEX(List!$E$2:$CD$173,MATCH('Selection Pane Data'!$B133,List!$E$2:$E$173,0),MATCH('Selection Pane Data'!BO$3,List!$E$2:$CD$2,0)),"")</f>
        <v/>
      </c>
      <c r="BP133" s="13" t="str">
        <f>IF(BP$4="Yes",INDEX(List!$E$2:$CD$173,MATCH('Selection Pane Data'!$B133,List!$E$2:$E$173,0),MATCH('Selection Pane Data'!BP$3,List!$E$2:$CD$2,0)),"")</f>
        <v/>
      </c>
      <c r="BQ133" s="13" t="str">
        <f>IF(BQ$4="Yes",INDEX(List!$E$2:$CD$173,MATCH('Selection Pane Data'!$B133,List!$E$2:$E$173,0),MATCH('Selection Pane Data'!BQ$3,List!$E$2:$CD$2,0)),"")</f>
        <v/>
      </c>
      <c r="BR133" s="13" t="str">
        <f>IF(BR$4="Yes",INDEX(List!$E$2:$CD$173,MATCH('Selection Pane Data'!$B133,List!$E$2:$E$173,0),MATCH('Selection Pane Data'!BR$3,List!$E$2:$CD$2,0)),"")</f>
        <v/>
      </c>
      <c r="BS133" s="13" t="str">
        <f>IF(BS$4="Yes",INDEX(List!$E$2:$CD$173,MATCH('Selection Pane Data'!$B133,List!$E$2:$E$173,0),MATCH('Selection Pane Data'!BS$3,List!$E$2:$CD$2,0)),"")</f>
        <v/>
      </c>
      <c r="BT133" s="13" t="str">
        <f>IF(BT$4="Yes",INDEX(List!$E$2:$CD$173,MATCH('Selection Pane Data'!$B133,List!$E$2:$E$173,0),MATCH('Selection Pane Data'!BT$3,List!$E$2:$CD$2,0)),"")</f>
        <v/>
      </c>
      <c r="BU133" s="13" t="str">
        <f>IF(BU$4="Yes",INDEX(List!$E$2:$CD$173,MATCH('Selection Pane Data'!$B133,List!$E$2:$E$173,0),MATCH('Selection Pane Data'!BU$3,List!$E$2:$CD$2,0)),"")</f>
        <v/>
      </c>
      <c r="BV133" s="13" t="str">
        <f>IF(BV$4="Yes",INDEX(List!$E$2:$CD$173,MATCH('Selection Pane Data'!$B133,List!$E$2:$E$173,0),MATCH('Selection Pane Data'!BV$3,List!$E$2:$CD$2,0)),"")</f>
        <v/>
      </c>
      <c r="BW133" s="13" t="str">
        <f>IF(BW$4="Yes",INDEX(List!$E$2:$CD$173,MATCH('Selection Pane Data'!$B133,List!$E$2:$E$173,0),MATCH('Selection Pane Data'!BW$3,List!$E$2:$CD$2,0)),"")</f>
        <v/>
      </c>
      <c r="BX133" s="13" t="str">
        <f>IF(BX$4="Yes",INDEX(List!$E$2:$CD$173,MATCH('Selection Pane Data'!$B133,List!$E$2:$E$173,0),MATCH('Selection Pane Data'!BX$3,List!$E$2:$CD$2,0)),"")</f>
        <v/>
      </c>
      <c r="BY133" s="13" t="str">
        <f>IF(BY$4="Yes",INDEX(List!$E$2:$CD$173,MATCH('Selection Pane Data'!$B133,List!$E$2:$E$173,0),MATCH('Selection Pane Data'!BY$3,List!$E$2:$CD$2,0)),"")</f>
        <v/>
      </c>
      <c r="BZ133" s="13" t="str">
        <f>IF(BZ$4="Yes",INDEX(List!$E$2:$CD$173,MATCH('Selection Pane Data'!$B133,List!$E$2:$E$173,0),MATCH('Selection Pane Data'!BZ$3,List!$E$2:$CD$2,0)),"")</f>
        <v/>
      </c>
      <c r="CA133" s="13" t="str">
        <f>IF(CA$4="Yes",INDEX(List!$E$2:$CD$173,MATCH('Selection Pane Data'!$B133,List!$E$2:$E$173,0),MATCH('Selection Pane Data'!CA$3,List!$E$2:$CD$2,0)),"")</f>
        <v/>
      </c>
      <c r="CB133" s="13" t="str">
        <f>IF(CB$4="Yes",INDEX(List!$E$2:$CD$173,MATCH('Selection Pane Data'!$B133,List!$E$2:$E$173,0),MATCH('Selection Pane Data'!CB$3,List!$E$2:$CD$2,0)),"")</f>
        <v/>
      </c>
      <c r="CC133" s="13" t="str">
        <f>IF(CC$4="Yes",INDEX(List!$E$2:$CD$173,MATCH('Selection Pane Data'!$B133,List!$E$2:$E$173,0),MATCH('Selection Pane Data'!CC$3,List!$E$2:$CD$2,0)),"")</f>
        <v/>
      </c>
      <c r="CD133" s="13" t="str">
        <f>IF(CD$4="Yes",INDEX(List!$E$2:$CD$173,MATCH('Selection Pane Data'!$B133,List!$E$2:$E$173,0),MATCH('Selection Pane Data'!CD$3,List!$E$2:$CD$2,0)),"")</f>
        <v/>
      </c>
      <c r="CE133" s="13" t="str">
        <f>IF(CE$4="Yes",INDEX(List!$E$2:$CD$173,MATCH('Selection Pane Data'!$B133,List!$E$2:$E$173,0),MATCH('Selection Pane Data'!CE$3,List!$E$2:$CD$2,0)),"")</f>
        <v/>
      </c>
    </row>
    <row r="134" spans="2:83" x14ac:dyDescent="0.35">
      <c r="B134" s="21" t="s">
        <v>421</v>
      </c>
      <c r="C134" s="126" t="str">
        <f>VLOOKUP(B134,List!$E$2:$G$173,2,FALSE)</f>
        <v>N/A</v>
      </c>
      <c r="D134" s="31" t="str">
        <f>List!G132</f>
        <v>Not Applicable</v>
      </c>
      <c r="E134" s="31" t="str">
        <f>IF(Placemat!$F$4="All Practices","All Practices",IF(VLOOKUP(B134,Table7[#All],6,FALSE)="No Mapping","New CMMC Practices","Practices with NIST 800-171 Mappings"))</f>
        <v>Practices with NIST 800-171 Mappings</v>
      </c>
      <c r="F134" t="str">
        <f>INDEX('CMMC Levels'!$A$1:$F$172,MATCH('Selection Pane Data'!$C134,'CMMC Levels'!$A$1:$A$172,0),MATCH(Placemat!$F$4,'CMMC Levels'!$A$1:$F$1,0))</f>
        <v>N/A</v>
      </c>
      <c r="G134" s="77" t="str">
        <f>IF((COUNTIF(List!H132:CE132,"P")+COUNTIF(List!H132:CE132,"S"))=0,"N",IF(COUNTIF(H134:CE134,"P"),"P",IF(COUNTIF(H134:CE134,"S"),"S","U")))</f>
        <v>N</v>
      </c>
      <c r="H134" s="13" t="str">
        <f>IF(H$4="Yes",INDEX(List!$E$2:$CD$173,MATCH('Selection Pane Data'!$B134,List!$E$2:$E$173,0),MATCH('Selection Pane Data'!H$3,List!$E$2:$CD$2,0)),"")</f>
        <v/>
      </c>
      <c r="I134" s="13" t="str">
        <f>IF(I$4="Yes",INDEX(List!$E$2:$CD$173,MATCH('Selection Pane Data'!$B134,List!$E$2:$E$173,0),MATCH('Selection Pane Data'!I$3,List!$E$2:$CD$2,0)),"")</f>
        <v/>
      </c>
      <c r="J134" s="13" t="e">
        <f>IF(J$4="Yes",INDEX(List!$E$2:$CD$173,MATCH('Selection Pane Data'!$B134,List!$E$2:$E$173,0),MATCH('Selection Pane Data'!J$3,List!$E$2:$CD$2,0)),"")</f>
        <v>#N/A</v>
      </c>
      <c r="K134" s="13" t="str">
        <f>IF(K$4="Yes",INDEX(List!$E$2:$CD$173,MATCH('Selection Pane Data'!$B134,List!$E$2:$E$173,0),MATCH('Selection Pane Data'!K$3,List!$E$2:$CD$2,0)),"")</f>
        <v/>
      </c>
      <c r="L134" s="13" t="str">
        <f>IF(L$4="Yes",INDEX(List!$E$2:$CD$173,MATCH('Selection Pane Data'!$B134,List!$E$2:$E$173,0),MATCH('Selection Pane Data'!L$3,List!$E$2:$CD$2,0)),"")</f>
        <v/>
      </c>
      <c r="M134" s="13" t="str">
        <f>IF(M$4="Yes",INDEX(List!$E$2:$CD$173,MATCH('Selection Pane Data'!$B134,List!$E$2:$E$173,0),MATCH('Selection Pane Data'!M$3,List!$E$2:$CD$2,0)),"")</f>
        <v/>
      </c>
      <c r="N134" s="13" t="str">
        <f>IF(N$4="Yes",INDEX(List!$E$2:$CD$173,MATCH('Selection Pane Data'!$B134,List!$E$2:$E$173,0),MATCH('Selection Pane Data'!N$3,List!$E$2:$CD$2,0)),"")</f>
        <v/>
      </c>
      <c r="O134" s="13" t="str">
        <f>IF(O$4="Yes",INDEX(List!$E$2:$CD$173,MATCH('Selection Pane Data'!$B134,List!$E$2:$E$173,0),MATCH('Selection Pane Data'!O$3,List!$E$2:$CD$2,0)),"")</f>
        <v/>
      </c>
      <c r="P134" s="13" t="str">
        <f>IF(P$4="Yes",INDEX(List!$E$2:$CD$173,MATCH('Selection Pane Data'!$B134,List!$E$2:$E$173,0),MATCH('Selection Pane Data'!P$3,List!$E$2:$CD$2,0)),"")</f>
        <v/>
      </c>
      <c r="Q134" s="13" t="str">
        <f>IF(Q$4="Yes",INDEX(List!$E$2:$CD$173,MATCH('Selection Pane Data'!$B134,List!$E$2:$E$173,0),MATCH('Selection Pane Data'!Q$3,List!$E$2:$CD$2,0)),"")</f>
        <v/>
      </c>
      <c r="R134" s="13" t="str">
        <f>IF(R$4="Yes",INDEX(List!$E$2:$CD$173,MATCH('Selection Pane Data'!$B134,List!$E$2:$E$173,0),MATCH('Selection Pane Data'!R$3,List!$E$2:$CD$2,0)),"")</f>
        <v/>
      </c>
      <c r="S134" s="13" t="str">
        <f>IF(S$4="Yes",INDEX(List!$E$2:$CD$173,MATCH('Selection Pane Data'!$B134,List!$E$2:$E$173,0),MATCH('Selection Pane Data'!S$3,List!$E$2:$CD$2,0)),"")</f>
        <v/>
      </c>
      <c r="T134" s="13" t="str">
        <f>IF(T$4="Yes",INDEX(List!$E$2:$CD$173,MATCH('Selection Pane Data'!$B134,List!$E$2:$E$173,0),MATCH('Selection Pane Data'!T$3,List!$E$2:$CD$2,0)),"")</f>
        <v/>
      </c>
      <c r="U134" s="13" t="str">
        <f>IF(U$4="Yes",INDEX(List!$E$2:$CD$173,MATCH('Selection Pane Data'!$B134,List!$E$2:$E$173,0),MATCH('Selection Pane Data'!U$3,List!$E$2:$CD$2,0)),"")</f>
        <v/>
      </c>
      <c r="V134" s="13" t="str">
        <f>IF(V$4="Yes",INDEX(List!$E$2:$CD$173,MATCH('Selection Pane Data'!$B134,List!$E$2:$E$173,0),MATCH('Selection Pane Data'!V$3,List!$E$2:$CD$2,0)),"")</f>
        <v/>
      </c>
      <c r="W134" s="13" t="str">
        <f>IF(W$4="Yes",INDEX(List!$E$2:$CD$173,MATCH('Selection Pane Data'!$B134,List!$E$2:$E$173,0),MATCH('Selection Pane Data'!W$3,List!$E$2:$CD$2,0)),"")</f>
        <v/>
      </c>
      <c r="X134" s="13" t="str">
        <f>IF(X$4="Yes",INDEX(List!$E$2:$CD$173,MATCH('Selection Pane Data'!$B134,List!$E$2:$E$173,0),MATCH('Selection Pane Data'!X$3,List!$E$2:$CD$2,0)),"")</f>
        <v/>
      </c>
      <c r="Y134" s="13" t="str">
        <f>IF(Y$4="Yes",INDEX(List!$E$2:$CD$173,MATCH('Selection Pane Data'!$B134,List!$E$2:$E$173,0),MATCH('Selection Pane Data'!Y$3,List!$E$2:$CD$2,0)),"")</f>
        <v/>
      </c>
      <c r="Z134" s="13" t="str">
        <f>IF(Z$4="Yes",INDEX(List!$E$2:$CD$173,MATCH('Selection Pane Data'!$B134,List!$E$2:$E$173,0),MATCH('Selection Pane Data'!Z$3,List!$E$2:$CD$2,0)),"")</f>
        <v/>
      </c>
      <c r="AA134" s="13" t="e">
        <f>IF(AA$4="Yes",INDEX(List!$E$2:$CD$173,MATCH('Selection Pane Data'!$B134,List!$E$2:$E$173,0),MATCH('Selection Pane Data'!AA$3,List!$E$2:$CD$2,0)),"")</f>
        <v>#N/A</v>
      </c>
      <c r="AB134" s="13" t="str">
        <f>IF(AB$4="Yes",INDEX(List!$E$2:$CD$173,MATCH('Selection Pane Data'!$B134,List!$E$2:$E$173,0),MATCH('Selection Pane Data'!AB$3,List!$E$2:$CD$2,0)),"")</f>
        <v/>
      </c>
      <c r="AC134" s="13" t="str">
        <f>IF(AC$4="Yes",INDEX(List!$E$2:$CD$173,MATCH('Selection Pane Data'!$B134,List!$E$2:$E$173,0),MATCH('Selection Pane Data'!AC$3,List!$E$2:$CD$2,0)),"")</f>
        <v/>
      </c>
      <c r="AD134" s="13" t="str">
        <f>IF(AD$4="Yes",INDEX(List!$E$2:$CD$173,MATCH('Selection Pane Data'!$B134,List!$E$2:$E$173,0),MATCH('Selection Pane Data'!AD$3,List!$E$2:$CD$2,0)),"")</f>
        <v/>
      </c>
      <c r="AE134" s="13" t="str">
        <f>IF(AE$4="Yes",INDEX(List!$E$2:$CD$173,MATCH('Selection Pane Data'!$B134,List!$E$2:$E$173,0),MATCH('Selection Pane Data'!AE$3,List!$E$2:$CD$2,0)),"")</f>
        <v/>
      </c>
      <c r="AF134" s="13" t="str">
        <f>IF(AF$4="Yes",INDEX(List!$E$2:$CD$173,MATCH('Selection Pane Data'!$B134,List!$E$2:$E$173,0),MATCH('Selection Pane Data'!AF$3,List!$E$2:$CD$2,0)),"")</f>
        <v/>
      </c>
      <c r="AG134" s="13" t="str">
        <f>IF(AG$4="Yes",INDEX(List!$E$2:$CD$173,MATCH('Selection Pane Data'!$B134,List!$E$2:$E$173,0),MATCH('Selection Pane Data'!AG$3,List!$E$2:$CD$2,0)),"")</f>
        <v/>
      </c>
      <c r="AH134" s="13" t="str">
        <f>IF(AH$4="Yes",INDEX(List!$E$2:$CD$173,MATCH('Selection Pane Data'!$B134,List!$E$2:$E$173,0),MATCH('Selection Pane Data'!AH$3,List!$E$2:$CD$2,0)),"")</f>
        <v/>
      </c>
      <c r="AI134" s="13" t="str">
        <f>IF(AI$4="Yes",INDEX(List!$E$2:$CD$173,MATCH('Selection Pane Data'!$B134,List!$E$2:$E$173,0),MATCH('Selection Pane Data'!AI$3,List!$E$2:$CD$2,0)),"")</f>
        <v/>
      </c>
      <c r="AJ134" s="13" t="str">
        <f>IF(AJ$4="Yes",INDEX(List!$E$2:$CD$173,MATCH('Selection Pane Data'!$B134,List!$E$2:$E$173,0),MATCH('Selection Pane Data'!AJ$3,List!$E$2:$CD$2,0)),"")</f>
        <v/>
      </c>
      <c r="AK134" s="13" t="str">
        <f>IF(AK$4="Yes",INDEX(List!$E$2:$CD$173,MATCH('Selection Pane Data'!$B134,List!$E$2:$E$173,0),MATCH('Selection Pane Data'!AK$3,List!$E$2:$CD$2,0)),"")</f>
        <v/>
      </c>
      <c r="AL134" s="13" t="str">
        <f>IF(AL$4="Yes",INDEX(List!$E$2:$CD$173,MATCH('Selection Pane Data'!$B134,List!$E$2:$E$173,0),MATCH('Selection Pane Data'!AL$3,List!$E$2:$CD$2,0)),"")</f>
        <v/>
      </c>
      <c r="AM134" s="13" t="str">
        <f>IF(AM$4="Yes",INDEX(List!$E$2:$CD$173,MATCH('Selection Pane Data'!$B134,List!$E$2:$E$173,0),MATCH('Selection Pane Data'!AM$3,List!$E$2:$CD$2,0)),"")</f>
        <v/>
      </c>
      <c r="AN134" s="13" t="str">
        <f>IF(AN$4="Yes",INDEX(List!$E$2:$CD$173,MATCH('Selection Pane Data'!$B134,List!$E$2:$E$173,0),MATCH('Selection Pane Data'!AN$3,List!$E$2:$CD$2,0)),"")</f>
        <v/>
      </c>
      <c r="AO134" s="13" t="str">
        <f>IF(AO$4="Yes",INDEX(List!$E$2:$CD$173,MATCH('Selection Pane Data'!$B134,List!$E$2:$E$173,0),MATCH('Selection Pane Data'!AO$3,List!$E$2:$CD$2,0)),"")</f>
        <v/>
      </c>
      <c r="AP134" s="13" t="str">
        <f>IF(AP$4="Yes",INDEX(List!$E$2:$CD$173,MATCH('Selection Pane Data'!$B134,List!$E$2:$E$173,0),MATCH('Selection Pane Data'!AP$3,List!$E$2:$CD$2,0)),"")</f>
        <v/>
      </c>
      <c r="AQ134" s="13" t="str">
        <f>IF(AQ$4="Yes",INDEX(List!$E$2:$CD$173,MATCH('Selection Pane Data'!$B134,List!$E$2:$E$173,0),MATCH('Selection Pane Data'!AQ$3,List!$E$2:$CD$2,0)),"")</f>
        <v/>
      </c>
      <c r="AR134" s="13" t="str">
        <f>IF(AR$4="Yes",INDEX(List!$E$2:$CD$173,MATCH('Selection Pane Data'!$B134,List!$E$2:$E$173,0),MATCH('Selection Pane Data'!AR$3,List!$E$2:$CD$2,0)),"")</f>
        <v/>
      </c>
      <c r="AS134" s="13" t="str">
        <f>IF(AS$4="Yes",INDEX(List!$E$2:$CD$173,MATCH('Selection Pane Data'!$B134,List!$E$2:$E$173,0),MATCH('Selection Pane Data'!AS$3,List!$E$2:$CD$2,0)),"")</f>
        <v/>
      </c>
      <c r="AT134" s="13" t="str">
        <f>IF(AT$4="Yes",INDEX(List!$E$2:$CD$173,MATCH('Selection Pane Data'!$B134,List!$E$2:$E$173,0),MATCH('Selection Pane Data'!AT$3,List!$E$2:$CD$2,0)),"")</f>
        <v/>
      </c>
      <c r="AU134" s="13" t="str">
        <f>IF(AU$4="Yes",INDEX(List!$E$2:$CD$173,MATCH('Selection Pane Data'!$B134,List!$E$2:$E$173,0),MATCH('Selection Pane Data'!AU$3,List!$E$2:$CD$2,0)),"")</f>
        <v/>
      </c>
      <c r="AV134" s="13" t="str">
        <f>IF(AV$4="Yes",INDEX(List!$E$2:$CD$173,MATCH('Selection Pane Data'!$B134,List!$E$2:$E$173,0),MATCH('Selection Pane Data'!AV$3,List!$E$2:$CD$2,0)),"")</f>
        <v/>
      </c>
      <c r="AW134" s="13" t="str">
        <f>IF(AW$4="Yes",INDEX(List!$E$2:$CD$173,MATCH('Selection Pane Data'!$B134,List!$E$2:$E$173,0),MATCH('Selection Pane Data'!AW$3,List!$E$2:$CD$2,0)),"")</f>
        <v/>
      </c>
      <c r="AX134" s="13" t="str">
        <f>IF(AX$4="Yes",INDEX(List!$E$2:$CD$173,MATCH('Selection Pane Data'!$B134,List!$E$2:$E$173,0),MATCH('Selection Pane Data'!AX$3,List!$E$2:$CD$2,0)),"")</f>
        <v/>
      </c>
      <c r="AY134" s="13" t="str">
        <f>IF(AY$4="Yes",INDEX(List!$E$2:$CD$173,MATCH('Selection Pane Data'!$B134,List!$E$2:$E$173,0),MATCH('Selection Pane Data'!AY$3,List!$E$2:$CD$2,0)),"")</f>
        <v/>
      </c>
      <c r="AZ134" s="13" t="str">
        <f>IF(AZ$4="Yes",INDEX(List!$E$2:$CD$173,MATCH('Selection Pane Data'!$B134,List!$E$2:$E$173,0),MATCH('Selection Pane Data'!AZ$3,List!$E$2:$CD$2,0)),"")</f>
        <v/>
      </c>
      <c r="BA134" s="13" t="str">
        <f>IF(BA$4="Yes",INDEX(List!$E$2:$CD$173,MATCH('Selection Pane Data'!$B134,List!$E$2:$E$173,0),MATCH('Selection Pane Data'!BA$3,List!$E$2:$CD$2,0)),"")</f>
        <v/>
      </c>
      <c r="BB134" s="13" t="str">
        <f>IF(BB$4="Yes",INDEX(List!$E$2:$CD$173,MATCH('Selection Pane Data'!$B134,List!$E$2:$E$173,0),MATCH('Selection Pane Data'!BB$3,List!$E$2:$CD$2,0)),"")</f>
        <v/>
      </c>
      <c r="BC134" s="13" t="str">
        <f>IF(BC$4="Yes",INDEX(List!$E$2:$CD$173,MATCH('Selection Pane Data'!$B134,List!$E$2:$E$173,0),MATCH('Selection Pane Data'!BC$3,List!$E$2:$CD$2,0)),"")</f>
        <v/>
      </c>
      <c r="BD134" s="13" t="str">
        <f>IF(BD$4="Yes",INDEX(List!$E$2:$CD$173,MATCH('Selection Pane Data'!$B134,List!$E$2:$E$173,0),MATCH('Selection Pane Data'!BD$3,List!$E$2:$CD$2,0)),"")</f>
        <v/>
      </c>
      <c r="BE134" s="13" t="str">
        <f>IF(BE$4="Yes",INDEX(List!$E$2:$CD$173,MATCH('Selection Pane Data'!$B134,List!$E$2:$E$173,0),MATCH('Selection Pane Data'!BE$3,List!$E$2:$CD$2,0)),"")</f>
        <v/>
      </c>
      <c r="BF134" s="13" t="str">
        <f>IF(BF$4="Yes",INDEX(List!$E$2:$CD$173,MATCH('Selection Pane Data'!$B134,List!$E$2:$E$173,0),MATCH('Selection Pane Data'!BF$3,List!$E$2:$CD$2,0)),"")</f>
        <v/>
      </c>
      <c r="BG134" s="13" t="str">
        <f>IF(BG$4="Yes",INDEX(List!$E$2:$CD$173,MATCH('Selection Pane Data'!$B134,List!$E$2:$E$173,0),MATCH('Selection Pane Data'!BG$3,List!$E$2:$CD$2,0)),"")</f>
        <v/>
      </c>
      <c r="BH134" s="13" t="str">
        <f>IF(BH$4="Yes",INDEX(List!$E$2:$CD$173,MATCH('Selection Pane Data'!$B134,List!$E$2:$E$173,0),MATCH('Selection Pane Data'!BH$3,List!$E$2:$CD$2,0)),"")</f>
        <v/>
      </c>
      <c r="BI134" s="13" t="str">
        <f>IF(BI$4="Yes",INDEX(List!$E$2:$CD$173,MATCH('Selection Pane Data'!$B134,List!$E$2:$E$173,0),MATCH('Selection Pane Data'!BI$3,List!$E$2:$CD$2,0)),"")</f>
        <v/>
      </c>
      <c r="BJ134" s="13" t="str">
        <f>IF(BJ$4="Yes",INDEX(List!$E$2:$CD$173,MATCH('Selection Pane Data'!$B134,List!$E$2:$E$173,0),MATCH('Selection Pane Data'!BJ$3,List!$E$2:$CD$2,0)),"")</f>
        <v/>
      </c>
      <c r="BK134" s="13" t="str">
        <f>IF(BK$4="Yes",INDEX(List!$E$2:$CD$173,MATCH('Selection Pane Data'!$B134,List!$E$2:$E$173,0),MATCH('Selection Pane Data'!BK$3,List!$E$2:$CD$2,0)),"")</f>
        <v/>
      </c>
      <c r="BL134" s="13" t="str">
        <f>IF(BL$4="Yes",INDEX(List!$E$2:$CD$173,MATCH('Selection Pane Data'!$B134,List!$E$2:$E$173,0),MATCH('Selection Pane Data'!BL$3,List!$E$2:$CD$2,0)),"")</f>
        <v/>
      </c>
      <c r="BM134" s="13" t="str">
        <f>IF(BM$4="Yes",INDEX(List!$E$2:$CD$173,MATCH('Selection Pane Data'!$B134,List!$E$2:$E$173,0),MATCH('Selection Pane Data'!BM$3,List!$E$2:$CD$2,0)),"")</f>
        <v/>
      </c>
      <c r="BN134" s="13" t="str">
        <f>IF(BN$4="Yes",INDEX(List!$E$2:$CD$173,MATCH('Selection Pane Data'!$B134,List!$E$2:$E$173,0),MATCH('Selection Pane Data'!BN$3,List!$E$2:$CD$2,0)),"")</f>
        <v/>
      </c>
      <c r="BO134" s="13" t="str">
        <f>IF(BO$4="Yes",INDEX(List!$E$2:$CD$173,MATCH('Selection Pane Data'!$B134,List!$E$2:$E$173,0),MATCH('Selection Pane Data'!BO$3,List!$E$2:$CD$2,0)),"")</f>
        <v/>
      </c>
      <c r="BP134" s="13" t="str">
        <f>IF(BP$4="Yes",INDEX(List!$E$2:$CD$173,MATCH('Selection Pane Data'!$B134,List!$E$2:$E$173,0),MATCH('Selection Pane Data'!BP$3,List!$E$2:$CD$2,0)),"")</f>
        <v/>
      </c>
      <c r="BQ134" s="13" t="str">
        <f>IF(BQ$4="Yes",INDEX(List!$E$2:$CD$173,MATCH('Selection Pane Data'!$B134,List!$E$2:$E$173,0),MATCH('Selection Pane Data'!BQ$3,List!$E$2:$CD$2,0)),"")</f>
        <v/>
      </c>
      <c r="BR134" s="13" t="str">
        <f>IF(BR$4="Yes",INDEX(List!$E$2:$CD$173,MATCH('Selection Pane Data'!$B134,List!$E$2:$E$173,0),MATCH('Selection Pane Data'!BR$3,List!$E$2:$CD$2,0)),"")</f>
        <v/>
      </c>
      <c r="BS134" s="13" t="str">
        <f>IF(BS$4="Yes",INDEX(List!$E$2:$CD$173,MATCH('Selection Pane Data'!$B134,List!$E$2:$E$173,0),MATCH('Selection Pane Data'!BS$3,List!$E$2:$CD$2,0)),"")</f>
        <v/>
      </c>
      <c r="BT134" s="13" t="str">
        <f>IF(BT$4="Yes",INDEX(List!$E$2:$CD$173,MATCH('Selection Pane Data'!$B134,List!$E$2:$E$173,0),MATCH('Selection Pane Data'!BT$3,List!$E$2:$CD$2,0)),"")</f>
        <v/>
      </c>
      <c r="BU134" s="13" t="str">
        <f>IF(BU$4="Yes",INDEX(List!$E$2:$CD$173,MATCH('Selection Pane Data'!$B134,List!$E$2:$E$173,0),MATCH('Selection Pane Data'!BU$3,List!$E$2:$CD$2,0)),"")</f>
        <v/>
      </c>
      <c r="BV134" s="13" t="str">
        <f>IF(BV$4="Yes",INDEX(List!$E$2:$CD$173,MATCH('Selection Pane Data'!$B134,List!$E$2:$E$173,0),MATCH('Selection Pane Data'!BV$3,List!$E$2:$CD$2,0)),"")</f>
        <v/>
      </c>
      <c r="BW134" s="13" t="str">
        <f>IF(BW$4="Yes",INDEX(List!$E$2:$CD$173,MATCH('Selection Pane Data'!$B134,List!$E$2:$E$173,0),MATCH('Selection Pane Data'!BW$3,List!$E$2:$CD$2,0)),"")</f>
        <v/>
      </c>
      <c r="BX134" s="13" t="str">
        <f>IF(BX$4="Yes",INDEX(List!$E$2:$CD$173,MATCH('Selection Pane Data'!$B134,List!$E$2:$E$173,0),MATCH('Selection Pane Data'!BX$3,List!$E$2:$CD$2,0)),"")</f>
        <v/>
      </c>
      <c r="BY134" s="13" t="str">
        <f>IF(BY$4="Yes",INDEX(List!$E$2:$CD$173,MATCH('Selection Pane Data'!$B134,List!$E$2:$E$173,0),MATCH('Selection Pane Data'!BY$3,List!$E$2:$CD$2,0)),"")</f>
        <v/>
      </c>
      <c r="BZ134" s="13" t="str">
        <f>IF(BZ$4="Yes",INDEX(List!$E$2:$CD$173,MATCH('Selection Pane Data'!$B134,List!$E$2:$E$173,0),MATCH('Selection Pane Data'!BZ$3,List!$E$2:$CD$2,0)),"")</f>
        <v/>
      </c>
      <c r="CA134" s="13" t="str">
        <f>IF(CA$4="Yes",INDEX(List!$E$2:$CD$173,MATCH('Selection Pane Data'!$B134,List!$E$2:$E$173,0),MATCH('Selection Pane Data'!CA$3,List!$E$2:$CD$2,0)),"")</f>
        <v/>
      </c>
      <c r="CB134" s="13" t="str">
        <f>IF(CB$4="Yes",INDEX(List!$E$2:$CD$173,MATCH('Selection Pane Data'!$B134,List!$E$2:$E$173,0),MATCH('Selection Pane Data'!CB$3,List!$E$2:$CD$2,0)),"")</f>
        <v/>
      </c>
      <c r="CC134" s="13" t="str">
        <f>IF(CC$4="Yes",INDEX(List!$E$2:$CD$173,MATCH('Selection Pane Data'!$B134,List!$E$2:$E$173,0),MATCH('Selection Pane Data'!CC$3,List!$E$2:$CD$2,0)),"")</f>
        <v/>
      </c>
      <c r="CD134" s="13" t="str">
        <f>IF(CD$4="Yes",INDEX(List!$E$2:$CD$173,MATCH('Selection Pane Data'!$B134,List!$E$2:$E$173,0),MATCH('Selection Pane Data'!CD$3,List!$E$2:$CD$2,0)),"")</f>
        <v/>
      </c>
      <c r="CE134" s="13" t="str">
        <f>IF(CE$4="Yes",INDEX(List!$E$2:$CD$173,MATCH('Selection Pane Data'!$B134,List!$E$2:$E$173,0),MATCH('Selection Pane Data'!CE$3,List!$E$2:$CD$2,0)),"")</f>
        <v/>
      </c>
    </row>
    <row r="135" spans="2:83" x14ac:dyDescent="0.35">
      <c r="B135" s="21" t="s">
        <v>422</v>
      </c>
      <c r="C135" s="126" t="str">
        <f>VLOOKUP(B135,List!$E$2:$G$173,2,FALSE)</f>
        <v>N/A</v>
      </c>
      <c r="D135" s="31" t="str">
        <f>List!G133</f>
        <v>Not Applicable</v>
      </c>
      <c r="E135" s="31" t="str">
        <f>IF(Placemat!$F$4="All Practices","All Practices",IF(VLOOKUP(B135,Table7[#All],6,FALSE)="No Mapping","New CMMC Practices","Practices with NIST 800-171 Mappings"))</f>
        <v>Practices with NIST 800-171 Mappings</v>
      </c>
      <c r="F135" t="str">
        <f>INDEX('CMMC Levels'!$A$1:$F$172,MATCH('Selection Pane Data'!$C135,'CMMC Levels'!$A$1:$A$172,0),MATCH(Placemat!$F$4,'CMMC Levels'!$A$1:$F$1,0))</f>
        <v>N/A</v>
      </c>
      <c r="G135" s="77" t="str">
        <f>IF((COUNTIF(List!H133:CE133,"P")+COUNTIF(List!H133:CE133,"S"))=0,"N",IF(COUNTIF(H135:CE135,"P"),"P",IF(COUNTIF(H135:CE135,"S"),"S","U")))</f>
        <v>N</v>
      </c>
      <c r="H135" s="13" t="str">
        <f>IF(H$4="Yes",INDEX(List!$E$2:$CD$173,MATCH('Selection Pane Data'!$B135,List!$E$2:$E$173,0),MATCH('Selection Pane Data'!H$3,List!$E$2:$CD$2,0)),"")</f>
        <v/>
      </c>
      <c r="I135" s="13" t="str">
        <f>IF(I$4="Yes",INDEX(List!$E$2:$CD$173,MATCH('Selection Pane Data'!$B135,List!$E$2:$E$173,0),MATCH('Selection Pane Data'!I$3,List!$E$2:$CD$2,0)),"")</f>
        <v/>
      </c>
      <c r="J135" s="13" t="e">
        <f>IF(J$4="Yes",INDEX(List!$E$2:$CD$173,MATCH('Selection Pane Data'!$B135,List!$E$2:$E$173,0),MATCH('Selection Pane Data'!J$3,List!$E$2:$CD$2,0)),"")</f>
        <v>#N/A</v>
      </c>
      <c r="K135" s="13" t="str">
        <f>IF(K$4="Yes",INDEX(List!$E$2:$CD$173,MATCH('Selection Pane Data'!$B135,List!$E$2:$E$173,0),MATCH('Selection Pane Data'!K$3,List!$E$2:$CD$2,0)),"")</f>
        <v/>
      </c>
      <c r="L135" s="13" t="str">
        <f>IF(L$4="Yes",INDEX(List!$E$2:$CD$173,MATCH('Selection Pane Data'!$B135,List!$E$2:$E$173,0),MATCH('Selection Pane Data'!L$3,List!$E$2:$CD$2,0)),"")</f>
        <v/>
      </c>
      <c r="M135" s="13" t="str">
        <f>IF(M$4="Yes",INDEX(List!$E$2:$CD$173,MATCH('Selection Pane Data'!$B135,List!$E$2:$E$173,0),MATCH('Selection Pane Data'!M$3,List!$E$2:$CD$2,0)),"")</f>
        <v/>
      </c>
      <c r="N135" s="13" t="str">
        <f>IF(N$4="Yes",INDEX(List!$E$2:$CD$173,MATCH('Selection Pane Data'!$B135,List!$E$2:$E$173,0),MATCH('Selection Pane Data'!N$3,List!$E$2:$CD$2,0)),"")</f>
        <v/>
      </c>
      <c r="O135" s="13" t="str">
        <f>IF(O$4="Yes",INDEX(List!$E$2:$CD$173,MATCH('Selection Pane Data'!$B135,List!$E$2:$E$173,0),MATCH('Selection Pane Data'!O$3,List!$E$2:$CD$2,0)),"")</f>
        <v/>
      </c>
      <c r="P135" s="13" t="str">
        <f>IF(P$4="Yes",INDEX(List!$E$2:$CD$173,MATCH('Selection Pane Data'!$B135,List!$E$2:$E$173,0),MATCH('Selection Pane Data'!P$3,List!$E$2:$CD$2,0)),"")</f>
        <v/>
      </c>
      <c r="Q135" s="13" t="str">
        <f>IF(Q$4="Yes",INDEX(List!$E$2:$CD$173,MATCH('Selection Pane Data'!$B135,List!$E$2:$E$173,0),MATCH('Selection Pane Data'!Q$3,List!$E$2:$CD$2,0)),"")</f>
        <v/>
      </c>
      <c r="R135" s="13" t="str">
        <f>IF(R$4="Yes",INDEX(List!$E$2:$CD$173,MATCH('Selection Pane Data'!$B135,List!$E$2:$E$173,0),MATCH('Selection Pane Data'!R$3,List!$E$2:$CD$2,0)),"")</f>
        <v/>
      </c>
      <c r="S135" s="13" t="str">
        <f>IF(S$4="Yes",INDEX(List!$E$2:$CD$173,MATCH('Selection Pane Data'!$B135,List!$E$2:$E$173,0),MATCH('Selection Pane Data'!S$3,List!$E$2:$CD$2,0)),"")</f>
        <v/>
      </c>
      <c r="T135" s="13" t="str">
        <f>IF(T$4="Yes",INDEX(List!$E$2:$CD$173,MATCH('Selection Pane Data'!$B135,List!$E$2:$E$173,0),MATCH('Selection Pane Data'!T$3,List!$E$2:$CD$2,0)),"")</f>
        <v/>
      </c>
      <c r="U135" s="13" t="str">
        <f>IF(U$4="Yes",INDEX(List!$E$2:$CD$173,MATCH('Selection Pane Data'!$B135,List!$E$2:$E$173,0),MATCH('Selection Pane Data'!U$3,List!$E$2:$CD$2,0)),"")</f>
        <v/>
      </c>
      <c r="V135" s="13" t="str">
        <f>IF(V$4="Yes",INDEX(List!$E$2:$CD$173,MATCH('Selection Pane Data'!$B135,List!$E$2:$E$173,0),MATCH('Selection Pane Data'!V$3,List!$E$2:$CD$2,0)),"")</f>
        <v/>
      </c>
      <c r="W135" s="13" t="str">
        <f>IF(W$4="Yes",INDEX(List!$E$2:$CD$173,MATCH('Selection Pane Data'!$B135,List!$E$2:$E$173,0),MATCH('Selection Pane Data'!W$3,List!$E$2:$CD$2,0)),"")</f>
        <v/>
      </c>
      <c r="X135" s="13" t="str">
        <f>IF(X$4="Yes",INDEX(List!$E$2:$CD$173,MATCH('Selection Pane Data'!$B135,List!$E$2:$E$173,0),MATCH('Selection Pane Data'!X$3,List!$E$2:$CD$2,0)),"")</f>
        <v/>
      </c>
      <c r="Y135" s="13" t="str">
        <f>IF(Y$4="Yes",INDEX(List!$E$2:$CD$173,MATCH('Selection Pane Data'!$B135,List!$E$2:$E$173,0),MATCH('Selection Pane Data'!Y$3,List!$E$2:$CD$2,0)),"")</f>
        <v/>
      </c>
      <c r="Z135" s="13" t="str">
        <f>IF(Z$4="Yes",INDEX(List!$E$2:$CD$173,MATCH('Selection Pane Data'!$B135,List!$E$2:$E$173,0),MATCH('Selection Pane Data'!Z$3,List!$E$2:$CD$2,0)),"")</f>
        <v/>
      </c>
      <c r="AA135" s="13" t="e">
        <f>IF(AA$4="Yes",INDEX(List!$E$2:$CD$173,MATCH('Selection Pane Data'!$B135,List!$E$2:$E$173,0),MATCH('Selection Pane Data'!AA$3,List!$E$2:$CD$2,0)),"")</f>
        <v>#N/A</v>
      </c>
      <c r="AB135" s="13" t="str">
        <f>IF(AB$4="Yes",INDEX(List!$E$2:$CD$173,MATCH('Selection Pane Data'!$B135,List!$E$2:$E$173,0),MATCH('Selection Pane Data'!AB$3,List!$E$2:$CD$2,0)),"")</f>
        <v/>
      </c>
      <c r="AC135" s="13" t="str">
        <f>IF(AC$4="Yes",INDEX(List!$E$2:$CD$173,MATCH('Selection Pane Data'!$B135,List!$E$2:$E$173,0),MATCH('Selection Pane Data'!AC$3,List!$E$2:$CD$2,0)),"")</f>
        <v/>
      </c>
      <c r="AD135" s="13" t="str">
        <f>IF(AD$4="Yes",INDEX(List!$E$2:$CD$173,MATCH('Selection Pane Data'!$B135,List!$E$2:$E$173,0),MATCH('Selection Pane Data'!AD$3,List!$E$2:$CD$2,0)),"")</f>
        <v/>
      </c>
      <c r="AE135" s="13" t="str">
        <f>IF(AE$4="Yes",INDEX(List!$E$2:$CD$173,MATCH('Selection Pane Data'!$B135,List!$E$2:$E$173,0),MATCH('Selection Pane Data'!AE$3,List!$E$2:$CD$2,0)),"")</f>
        <v/>
      </c>
      <c r="AF135" s="13" t="str">
        <f>IF(AF$4="Yes",INDEX(List!$E$2:$CD$173,MATCH('Selection Pane Data'!$B135,List!$E$2:$E$173,0),MATCH('Selection Pane Data'!AF$3,List!$E$2:$CD$2,0)),"")</f>
        <v/>
      </c>
      <c r="AG135" s="13" t="str">
        <f>IF(AG$4="Yes",INDEX(List!$E$2:$CD$173,MATCH('Selection Pane Data'!$B135,List!$E$2:$E$173,0),MATCH('Selection Pane Data'!AG$3,List!$E$2:$CD$2,0)),"")</f>
        <v/>
      </c>
      <c r="AH135" s="13" t="str">
        <f>IF(AH$4="Yes",INDEX(List!$E$2:$CD$173,MATCH('Selection Pane Data'!$B135,List!$E$2:$E$173,0),MATCH('Selection Pane Data'!AH$3,List!$E$2:$CD$2,0)),"")</f>
        <v/>
      </c>
      <c r="AI135" s="13" t="str">
        <f>IF(AI$4="Yes",INDEX(List!$E$2:$CD$173,MATCH('Selection Pane Data'!$B135,List!$E$2:$E$173,0),MATCH('Selection Pane Data'!AI$3,List!$E$2:$CD$2,0)),"")</f>
        <v/>
      </c>
      <c r="AJ135" s="13" t="str">
        <f>IF(AJ$4="Yes",INDEX(List!$E$2:$CD$173,MATCH('Selection Pane Data'!$B135,List!$E$2:$E$173,0),MATCH('Selection Pane Data'!AJ$3,List!$E$2:$CD$2,0)),"")</f>
        <v/>
      </c>
      <c r="AK135" s="13" t="str">
        <f>IF(AK$4="Yes",INDEX(List!$E$2:$CD$173,MATCH('Selection Pane Data'!$B135,List!$E$2:$E$173,0),MATCH('Selection Pane Data'!AK$3,List!$E$2:$CD$2,0)),"")</f>
        <v/>
      </c>
      <c r="AL135" s="13" t="str">
        <f>IF(AL$4="Yes",INDEX(List!$E$2:$CD$173,MATCH('Selection Pane Data'!$B135,List!$E$2:$E$173,0),MATCH('Selection Pane Data'!AL$3,List!$E$2:$CD$2,0)),"")</f>
        <v/>
      </c>
      <c r="AM135" s="13" t="str">
        <f>IF(AM$4="Yes",INDEX(List!$E$2:$CD$173,MATCH('Selection Pane Data'!$B135,List!$E$2:$E$173,0),MATCH('Selection Pane Data'!AM$3,List!$E$2:$CD$2,0)),"")</f>
        <v/>
      </c>
      <c r="AN135" s="13" t="str">
        <f>IF(AN$4="Yes",INDEX(List!$E$2:$CD$173,MATCH('Selection Pane Data'!$B135,List!$E$2:$E$173,0),MATCH('Selection Pane Data'!AN$3,List!$E$2:$CD$2,0)),"")</f>
        <v/>
      </c>
      <c r="AO135" s="13" t="str">
        <f>IF(AO$4="Yes",INDEX(List!$E$2:$CD$173,MATCH('Selection Pane Data'!$B135,List!$E$2:$E$173,0),MATCH('Selection Pane Data'!AO$3,List!$E$2:$CD$2,0)),"")</f>
        <v/>
      </c>
      <c r="AP135" s="13" t="str">
        <f>IF(AP$4="Yes",INDEX(List!$E$2:$CD$173,MATCH('Selection Pane Data'!$B135,List!$E$2:$E$173,0),MATCH('Selection Pane Data'!AP$3,List!$E$2:$CD$2,0)),"")</f>
        <v/>
      </c>
      <c r="AQ135" s="13" t="str">
        <f>IF(AQ$4="Yes",INDEX(List!$E$2:$CD$173,MATCH('Selection Pane Data'!$B135,List!$E$2:$E$173,0),MATCH('Selection Pane Data'!AQ$3,List!$E$2:$CD$2,0)),"")</f>
        <v/>
      </c>
      <c r="AR135" s="13" t="str">
        <f>IF(AR$4="Yes",INDEX(List!$E$2:$CD$173,MATCH('Selection Pane Data'!$B135,List!$E$2:$E$173,0),MATCH('Selection Pane Data'!AR$3,List!$E$2:$CD$2,0)),"")</f>
        <v/>
      </c>
      <c r="AS135" s="13" t="str">
        <f>IF(AS$4="Yes",INDEX(List!$E$2:$CD$173,MATCH('Selection Pane Data'!$B135,List!$E$2:$E$173,0),MATCH('Selection Pane Data'!AS$3,List!$E$2:$CD$2,0)),"")</f>
        <v/>
      </c>
      <c r="AT135" s="13" t="str">
        <f>IF(AT$4="Yes",INDEX(List!$E$2:$CD$173,MATCH('Selection Pane Data'!$B135,List!$E$2:$E$173,0),MATCH('Selection Pane Data'!AT$3,List!$E$2:$CD$2,0)),"")</f>
        <v/>
      </c>
      <c r="AU135" s="13" t="str">
        <f>IF(AU$4="Yes",INDEX(List!$E$2:$CD$173,MATCH('Selection Pane Data'!$B135,List!$E$2:$E$173,0),MATCH('Selection Pane Data'!AU$3,List!$E$2:$CD$2,0)),"")</f>
        <v/>
      </c>
      <c r="AV135" s="13" t="str">
        <f>IF(AV$4="Yes",INDEX(List!$E$2:$CD$173,MATCH('Selection Pane Data'!$B135,List!$E$2:$E$173,0),MATCH('Selection Pane Data'!AV$3,List!$E$2:$CD$2,0)),"")</f>
        <v/>
      </c>
      <c r="AW135" s="13" t="str">
        <f>IF(AW$4="Yes",INDEX(List!$E$2:$CD$173,MATCH('Selection Pane Data'!$B135,List!$E$2:$E$173,0),MATCH('Selection Pane Data'!AW$3,List!$E$2:$CD$2,0)),"")</f>
        <v/>
      </c>
      <c r="AX135" s="13" t="str">
        <f>IF(AX$4="Yes",INDEX(List!$E$2:$CD$173,MATCH('Selection Pane Data'!$B135,List!$E$2:$E$173,0),MATCH('Selection Pane Data'!AX$3,List!$E$2:$CD$2,0)),"")</f>
        <v/>
      </c>
      <c r="AY135" s="13" t="str">
        <f>IF(AY$4="Yes",INDEX(List!$E$2:$CD$173,MATCH('Selection Pane Data'!$B135,List!$E$2:$E$173,0),MATCH('Selection Pane Data'!AY$3,List!$E$2:$CD$2,0)),"")</f>
        <v/>
      </c>
      <c r="AZ135" s="13" t="str">
        <f>IF(AZ$4="Yes",INDEX(List!$E$2:$CD$173,MATCH('Selection Pane Data'!$B135,List!$E$2:$E$173,0),MATCH('Selection Pane Data'!AZ$3,List!$E$2:$CD$2,0)),"")</f>
        <v/>
      </c>
      <c r="BA135" s="13" t="str">
        <f>IF(BA$4="Yes",INDEX(List!$E$2:$CD$173,MATCH('Selection Pane Data'!$B135,List!$E$2:$E$173,0),MATCH('Selection Pane Data'!BA$3,List!$E$2:$CD$2,0)),"")</f>
        <v/>
      </c>
      <c r="BB135" s="13" t="str">
        <f>IF(BB$4="Yes",INDEX(List!$E$2:$CD$173,MATCH('Selection Pane Data'!$B135,List!$E$2:$E$173,0),MATCH('Selection Pane Data'!BB$3,List!$E$2:$CD$2,0)),"")</f>
        <v/>
      </c>
      <c r="BC135" s="13" t="str">
        <f>IF(BC$4="Yes",INDEX(List!$E$2:$CD$173,MATCH('Selection Pane Data'!$B135,List!$E$2:$E$173,0),MATCH('Selection Pane Data'!BC$3,List!$E$2:$CD$2,0)),"")</f>
        <v/>
      </c>
      <c r="BD135" s="13" t="str">
        <f>IF(BD$4="Yes",INDEX(List!$E$2:$CD$173,MATCH('Selection Pane Data'!$B135,List!$E$2:$E$173,0),MATCH('Selection Pane Data'!BD$3,List!$E$2:$CD$2,0)),"")</f>
        <v/>
      </c>
      <c r="BE135" s="13" t="str">
        <f>IF(BE$4="Yes",INDEX(List!$E$2:$CD$173,MATCH('Selection Pane Data'!$B135,List!$E$2:$E$173,0),MATCH('Selection Pane Data'!BE$3,List!$E$2:$CD$2,0)),"")</f>
        <v/>
      </c>
      <c r="BF135" s="13" t="str">
        <f>IF(BF$4="Yes",INDEX(List!$E$2:$CD$173,MATCH('Selection Pane Data'!$B135,List!$E$2:$E$173,0),MATCH('Selection Pane Data'!BF$3,List!$E$2:$CD$2,0)),"")</f>
        <v/>
      </c>
      <c r="BG135" s="13" t="str">
        <f>IF(BG$4="Yes",INDEX(List!$E$2:$CD$173,MATCH('Selection Pane Data'!$B135,List!$E$2:$E$173,0),MATCH('Selection Pane Data'!BG$3,List!$E$2:$CD$2,0)),"")</f>
        <v/>
      </c>
      <c r="BH135" s="13" t="str">
        <f>IF(BH$4="Yes",INDEX(List!$E$2:$CD$173,MATCH('Selection Pane Data'!$B135,List!$E$2:$E$173,0),MATCH('Selection Pane Data'!BH$3,List!$E$2:$CD$2,0)),"")</f>
        <v/>
      </c>
      <c r="BI135" s="13" t="str">
        <f>IF(BI$4="Yes",INDEX(List!$E$2:$CD$173,MATCH('Selection Pane Data'!$B135,List!$E$2:$E$173,0),MATCH('Selection Pane Data'!BI$3,List!$E$2:$CD$2,0)),"")</f>
        <v/>
      </c>
      <c r="BJ135" s="13" t="str">
        <f>IF(BJ$4="Yes",INDEX(List!$E$2:$CD$173,MATCH('Selection Pane Data'!$B135,List!$E$2:$E$173,0),MATCH('Selection Pane Data'!BJ$3,List!$E$2:$CD$2,0)),"")</f>
        <v/>
      </c>
      <c r="BK135" s="13" t="str">
        <f>IF(BK$4="Yes",INDEX(List!$E$2:$CD$173,MATCH('Selection Pane Data'!$B135,List!$E$2:$E$173,0),MATCH('Selection Pane Data'!BK$3,List!$E$2:$CD$2,0)),"")</f>
        <v/>
      </c>
      <c r="BL135" s="13" t="str">
        <f>IF(BL$4="Yes",INDEX(List!$E$2:$CD$173,MATCH('Selection Pane Data'!$B135,List!$E$2:$E$173,0),MATCH('Selection Pane Data'!BL$3,List!$E$2:$CD$2,0)),"")</f>
        <v/>
      </c>
      <c r="BM135" s="13" t="str">
        <f>IF(BM$4="Yes",INDEX(List!$E$2:$CD$173,MATCH('Selection Pane Data'!$B135,List!$E$2:$E$173,0),MATCH('Selection Pane Data'!BM$3,List!$E$2:$CD$2,0)),"")</f>
        <v/>
      </c>
      <c r="BN135" s="13" t="str">
        <f>IF(BN$4="Yes",INDEX(List!$E$2:$CD$173,MATCH('Selection Pane Data'!$B135,List!$E$2:$E$173,0),MATCH('Selection Pane Data'!BN$3,List!$E$2:$CD$2,0)),"")</f>
        <v/>
      </c>
      <c r="BO135" s="13" t="str">
        <f>IF(BO$4="Yes",INDEX(List!$E$2:$CD$173,MATCH('Selection Pane Data'!$B135,List!$E$2:$E$173,0),MATCH('Selection Pane Data'!BO$3,List!$E$2:$CD$2,0)),"")</f>
        <v/>
      </c>
      <c r="BP135" s="13" t="str">
        <f>IF(BP$4="Yes",INDEX(List!$E$2:$CD$173,MATCH('Selection Pane Data'!$B135,List!$E$2:$E$173,0),MATCH('Selection Pane Data'!BP$3,List!$E$2:$CD$2,0)),"")</f>
        <v/>
      </c>
      <c r="BQ135" s="13" t="str">
        <f>IF(BQ$4="Yes",INDEX(List!$E$2:$CD$173,MATCH('Selection Pane Data'!$B135,List!$E$2:$E$173,0),MATCH('Selection Pane Data'!BQ$3,List!$E$2:$CD$2,0)),"")</f>
        <v/>
      </c>
      <c r="BR135" s="13" t="str">
        <f>IF(BR$4="Yes",INDEX(List!$E$2:$CD$173,MATCH('Selection Pane Data'!$B135,List!$E$2:$E$173,0),MATCH('Selection Pane Data'!BR$3,List!$E$2:$CD$2,0)),"")</f>
        <v/>
      </c>
      <c r="BS135" s="13" t="str">
        <f>IF(BS$4="Yes",INDEX(List!$E$2:$CD$173,MATCH('Selection Pane Data'!$B135,List!$E$2:$E$173,0),MATCH('Selection Pane Data'!BS$3,List!$E$2:$CD$2,0)),"")</f>
        <v/>
      </c>
      <c r="BT135" s="13" t="str">
        <f>IF(BT$4="Yes",INDEX(List!$E$2:$CD$173,MATCH('Selection Pane Data'!$B135,List!$E$2:$E$173,0),MATCH('Selection Pane Data'!BT$3,List!$E$2:$CD$2,0)),"")</f>
        <v/>
      </c>
      <c r="BU135" s="13" t="str">
        <f>IF(BU$4="Yes",INDEX(List!$E$2:$CD$173,MATCH('Selection Pane Data'!$B135,List!$E$2:$E$173,0),MATCH('Selection Pane Data'!BU$3,List!$E$2:$CD$2,0)),"")</f>
        <v/>
      </c>
      <c r="BV135" s="13" t="str">
        <f>IF(BV$4="Yes",INDEX(List!$E$2:$CD$173,MATCH('Selection Pane Data'!$B135,List!$E$2:$E$173,0),MATCH('Selection Pane Data'!BV$3,List!$E$2:$CD$2,0)),"")</f>
        <v/>
      </c>
      <c r="BW135" s="13" t="str">
        <f>IF(BW$4="Yes",INDEX(List!$E$2:$CD$173,MATCH('Selection Pane Data'!$B135,List!$E$2:$E$173,0),MATCH('Selection Pane Data'!BW$3,List!$E$2:$CD$2,0)),"")</f>
        <v/>
      </c>
      <c r="BX135" s="13" t="str">
        <f>IF(BX$4="Yes",INDEX(List!$E$2:$CD$173,MATCH('Selection Pane Data'!$B135,List!$E$2:$E$173,0),MATCH('Selection Pane Data'!BX$3,List!$E$2:$CD$2,0)),"")</f>
        <v/>
      </c>
      <c r="BY135" s="13" t="str">
        <f>IF(BY$4="Yes",INDEX(List!$E$2:$CD$173,MATCH('Selection Pane Data'!$B135,List!$E$2:$E$173,0),MATCH('Selection Pane Data'!BY$3,List!$E$2:$CD$2,0)),"")</f>
        <v/>
      </c>
      <c r="BZ135" s="13" t="str">
        <f>IF(BZ$4="Yes",INDEX(List!$E$2:$CD$173,MATCH('Selection Pane Data'!$B135,List!$E$2:$E$173,0),MATCH('Selection Pane Data'!BZ$3,List!$E$2:$CD$2,0)),"")</f>
        <v/>
      </c>
      <c r="CA135" s="13" t="str">
        <f>IF(CA$4="Yes",INDEX(List!$E$2:$CD$173,MATCH('Selection Pane Data'!$B135,List!$E$2:$E$173,0),MATCH('Selection Pane Data'!CA$3,List!$E$2:$CD$2,0)),"")</f>
        <v/>
      </c>
      <c r="CB135" s="13" t="str">
        <f>IF(CB$4="Yes",INDEX(List!$E$2:$CD$173,MATCH('Selection Pane Data'!$B135,List!$E$2:$E$173,0),MATCH('Selection Pane Data'!CB$3,List!$E$2:$CD$2,0)),"")</f>
        <v/>
      </c>
      <c r="CC135" s="13" t="str">
        <f>IF(CC$4="Yes",INDEX(List!$E$2:$CD$173,MATCH('Selection Pane Data'!$B135,List!$E$2:$E$173,0),MATCH('Selection Pane Data'!CC$3,List!$E$2:$CD$2,0)),"")</f>
        <v/>
      </c>
      <c r="CD135" s="13" t="str">
        <f>IF(CD$4="Yes",INDEX(List!$E$2:$CD$173,MATCH('Selection Pane Data'!$B135,List!$E$2:$E$173,0),MATCH('Selection Pane Data'!CD$3,List!$E$2:$CD$2,0)),"")</f>
        <v/>
      </c>
      <c r="CE135" s="13" t="str">
        <f>IF(CE$4="Yes",INDEX(List!$E$2:$CD$173,MATCH('Selection Pane Data'!$B135,List!$E$2:$E$173,0),MATCH('Selection Pane Data'!CE$3,List!$E$2:$CD$2,0)),"")</f>
        <v/>
      </c>
    </row>
    <row r="136" spans="2:83" x14ac:dyDescent="0.35">
      <c r="B136" s="21" t="s">
        <v>423</v>
      </c>
      <c r="C136" s="126" t="str">
        <f>VLOOKUP(B136,List!$E$2:$G$173,2,FALSE)</f>
        <v>SC.L1-3.13.1</v>
      </c>
      <c r="D136" s="31" t="str">
        <f>List!G134</f>
        <v>Shared Coverage</v>
      </c>
      <c r="E136" s="31" t="str">
        <f>IF(Placemat!$F$4="All Practices","All Practices",IF(VLOOKUP(B136,Table7[#All],6,FALSE)="No Mapping","New CMMC Practices","Practices with NIST 800-171 Mappings"))</f>
        <v>Practices with NIST 800-171 Mappings</v>
      </c>
      <c r="F136" t="str">
        <f>INDEX('CMMC Levels'!$A$1:$F$172,MATCH('Selection Pane Data'!$C136,'CMMC Levels'!$A$1:$A$172,0),MATCH(Placemat!$F$4,'CMMC Levels'!$A$1:$F$1,0))</f>
        <v>X</v>
      </c>
      <c r="G136" s="77" t="str">
        <f>IF((COUNTIF(List!H134:CE134,"P")+COUNTIF(List!H134:CE134,"S"))=0,"N",IF(COUNTIF(H136:CE136,"P"),"P",IF(COUNTIF(H136:CE136,"S"),"S","U")))</f>
        <v>S</v>
      </c>
      <c r="H136" s="13" t="str">
        <f>IF(H$4="Yes",INDEX(List!$E$2:$CD$173,MATCH('Selection Pane Data'!$B136,List!$E$2:$E$173,0),MATCH('Selection Pane Data'!H$3,List!$E$2:$CD$2,0)),"")</f>
        <v/>
      </c>
      <c r="I136" s="13" t="str">
        <f>IF(I$4="Yes",INDEX(List!$E$2:$CD$173,MATCH('Selection Pane Data'!$B136,List!$E$2:$E$173,0),MATCH('Selection Pane Data'!I$3,List!$E$2:$CD$2,0)),"")</f>
        <v/>
      </c>
      <c r="J136" s="13" t="str">
        <f>IF(J$4="Yes",INDEX(List!$E$2:$CD$173,MATCH('Selection Pane Data'!$B136,List!$E$2:$E$173,0),MATCH('Selection Pane Data'!J$3,List!$E$2:$CD$2,0)),"")</f>
        <v>N</v>
      </c>
      <c r="K136" s="13" t="str">
        <f>IF(K$4="Yes",INDEX(List!$E$2:$CD$173,MATCH('Selection Pane Data'!$B136,List!$E$2:$E$173,0),MATCH('Selection Pane Data'!K$3,List!$E$2:$CD$2,0)),"")</f>
        <v/>
      </c>
      <c r="L136" s="13" t="str">
        <f>IF(L$4="Yes",INDEX(List!$E$2:$CD$173,MATCH('Selection Pane Data'!$B136,List!$E$2:$E$173,0),MATCH('Selection Pane Data'!L$3,List!$E$2:$CD$2,0)),"")</f>
        <v/>
      </c>
      <c r="M136" s="13" t="str">
        <f>IF(M$4="Yes",INDEX(List!$E$2:$CD$173,MATCH('Selection Pane Data'!$B136,List!$E$2:$E$173,0),MATCH('Selection Pane Data'!M$3,List!$E$2:$CD$2,0)),"")</f>
        <v/>
      </c>
      <c r="N136" s="13" t="str">
        <f>IF(N$4="Yes",INDEX(List!$E$2:$CD$173,MATCH('Selection Pane Data'!$B136,List!$E$2:$E$173,0),MATCH('Selection Pane Data'!N$3,List!$E$2:$CD$2,0)),"")</f>
        <v/>
      </c>
      <c r="O136" s="13" t="str">
        <f>IF(O$4="Yes",INDEX(List!$E$2:$CD$173,MATCH('Selection Pane Data'!$B136,List!$E$2:$E$173,0),MATCH('Selection Pane Data'!O$3,List!$E$2:$CD$2,0)),"")</f>
        <v/>
      </c>
      <c r="P136" s="13" t="str">
        <f>IF(P$4="Yes",INDEX(List!$E$2:$CD$173,MATCH('Selection Pane Data'!$B136,List!$E$2:$E$173,0),MATCH('Selection Pane Data'!P$3,List!$E$2:$CD$2,0)),"")</f>
        <v/>
      </c>
      <c r="Q136" s="13" t="str">
        <f>IF(Q$4="Yes",INDEX(List!$E$2:$CD$173,MATCH('Selection Pane Data'!$B136,List!$E$2:$E$173,0),MATCH('Selection Pane Data'!Q$3,List!$E$2:$CD$2,0)),"")</f>
        <v/>
      </c>
      <c r="R136" s="13" t="str">
        <f>IF(R$4="Yes",INDEX(List!$E$2:$CD$173,MATCH('Selection Pane Data'!$B136,List!$E$2:$E$173,0),MATCH('Selection Pane Data'!R$3,List!$E$2:$CD$2,0)),"")</f>
        <v/>
      </c>
      <c r="S136" s="13" t="str">
        <f>IF(S$4="Yes",INDEX(List!$E$2:$CD$173,MATCH('Selection Pane Data'!$B136,List!$E$2:$E$173,0),MATCH('Selection Pane Data'!S$3,List!$E$2:$CD$2,0)),"")</f>
        <v/>
      </c>
      <c r="T136" s="13" t="str">
        <f>IF(T$4="Yes",INDEX(List!$E$2:$CD$173,MATCH('Selection Pane Data'!$B136,List!$E$2:$E$173,0),MATCH('Selection Pane Data'!T$3,List!$E$2:$CD$2,0)),"")</f>
        <v/>
      </c>
      <c r="U136" s="13" t="str">
        <f>IF(U$4="Yes",INDEX(List!$E$2:$CD$173,MATCH('Selection Pane Data'!$B136,List!$E$2:$E$173,0),MATCH('Selection Pane Data'!U$3,List!$E$2:$CD$2,0)),"")</f>
        <v/>
      </c>
      <c r="V136" s="13" t="str">
        <f>IF(V$4="Yes",INDEX(List!$E$2:$CD$173,MATCH('Selection Pane Data'!$B136,List!$E$2:$E$173,0),MATCH('Selection Pane Data'!V$3,List!$E$2:$CD$2,0)),"")</f>
        <v/>
      </c>
      <c r="W136" s="13" t="str">
        <f>IF(W$4="Yes",INDEX(List!$E$2:$CD$173,MATCH('Selection Pane Data'!$B136,List!$E$2:$E$173,0),MATCH('Selection Pane Data'!W$3,List!$E$2:$CD$2,0)),"")</f>
        <v/>
      </c>
      <c r="X136" s="13" t="str">
        <f>IF(X$4="Yes",INDEX(List!$E$2:$CD$173,MATCH('Selection Pane Data'!$B136,List!$E$2:$E$173,0),MATCH('Selection Pane Data'!X$3,List!$E$2:$CD$2,0)),"")</f>
        <v/>
      </c>
      <c r="Y136" s="13" t="str">
        <f>IF(Y$4="Yes",INDEX(List!$E$2:$CD$173,MATCH('Selection Pane Data'!$B136,List!$E$2:$E$173,0),MATCH('Selection Pane Data'!Y$3,List!$E$2:$CD$2,0)),"")</f>
        <v/>
      </c>
      <c r="Z136" s="13" t="str">
        <f>IF(Z$4="Yes",INDEX(List!$E$2:$CD$173,MATCH('Selection Pane Data'!$B136,List!$E$2:$E$173,0),MATCH('Selection Pane Data'!Z$3,List!$E$2:$CD$2,0)),"")</f>
        <v/>
      </c>
      <c r="AA136" s="13" t="str">
        <f>IF(AA$4="Yes",INDEX(List!$E$2:$CD$173,MATCH('Selection Pane Data'!$B136,List!$E$2:$E$173,0),MATCH('Selection Pane Data'!AA$3,List!$E$2:$CD$2,0)),"")</f>
        <v>S</v>
      </c>
      <c r="AB136" s="13" t="str">
        <f>IF(AB$4="Yes",INDEX(List!$E$2:$CD$173,MATCH('Selection Pane Data'!$B136,List!$E$2:$E$173,0),MATCH('Selection Pane Data'!AB$3,List!$E$2:$CD$2,0)),"")</f>
        <v/>
      </c>
      <c r="AC136" s="13" t="str">
        <f>IF(AC$4="Yes",INDEX(List!$E$2:$CD$173,MATCH('Selection Pane Data'!$B136,List!$E$2:$E$173,0),MATCH('Selection Pane Data'!AC$3,List!$E$2:$CD$2,0)),"")</f>
        <v/>
      </c>
      <c r="AD136" s="13" t="str">
        <f>IF(AD$4="Yes",INDEX(List!$E$2:$CD$173,MATCH('Selection Pane Data'!$B136,List!$E$2:$E$173,0),MATCH('Selection Pane Data'!AD$3,List!$E$2:$CD$2,0)),"")</f>
        <v/>
      </c>
      <c r="AE136" s="13" t="str">
        <f>IF(AE$4="Yes",INDEX(List!$E$2:$CD$173,MATCH('Selection Pane Data'!$B136,List!$E$2:$E$173,0),MATCH('Selection Pane Data'!AE$3,List!$E$2:$CD$2,0)),"")</f>
        <v/>
      </c>
      <c r="AF136" s="13" t="str">
        <f>IF(AF$4="Yes",INDEX(List!$E$2:$CD$173,MATCH('Selection Pane Data'!$B136,List!$E$2:$E$173,0),MATCH('Selection Pane Data'!AF$3,List!$E$2:$CD$2,0)),"")</f>
        <v/>
      </c>
      <c r="AG136" s="13" t="str">
        <f>IF(AG$4="Yes",INDEX(List!$E$2:$CD$173,MATCH('Selection Pane Data'!$B136,List!$E$2:$E$173,0),MATCH('Selection Pane Data'!AG$3,List!$E$2:$CD$2,0)),"")</f>
        <v/>
      </c>
      <c r="AH136" s="13" t="str">
        <f>IF(AH$4="Yes",INDEX(List!$E$2:$CD$173,MATCH('Selection Pane Data'!$B136,List!$E$2:$E$173,0),MATCH('Selection Pane Data'!AH$3,List!$E$2:$CD$2,0)),"")</f>
        <v/>
      </c>
      <c r="AI136" s="13" t="str">
        <f>IF(AI$4="Yes",INDEX(List!$E$2:$CD$173,MATCH('Selection Pane Data'!$B136,List!$E$2:$E$173,0),MATCH('Selection Pane Data'!AI$3,List!$E$2:$CD$2,0)),"")</f>
        <v/>
      </c>
      <c r="AJ136" s="13" t="str">
        <f>IF(AJ$4="Yes",INDEX(List!$E$2:$CD$173,MATCH('Selection Pane Data'!$B136,List!$E$2:$E$173,0),MATCH('Selection Pane Data'!AJ$3,List!$E$2:$CD$2,0)),"")</f>
        <v/>
      </c>
      <c r="AK136" s="13" t="str">
        <f>IF(AK$4="Yes",INDEX(List!$E$2:$CD$173,MATCH('Selection Pane Data'!$B136,List!$E$2:$E$173,0),MATCH('Selection Pane Data'!AK$3,List!$E$2:$CD$2,0)),"")</f>
        <v/>
      </c>
      <c r="AL136" s="13" t="str">
        <f>IF(AL$4="Yes",INDEX(List!$E$2:$CD$173,MATCH('Selection Pane Data'!$B136,List!$E$2:$E$173,0),MATCH('Selection Pane Data'!AL$3,List!$E$2:$CD$2,0)),"")</f>
        <v/>
      </c>
      <c r="AM136" s="13" t="str">
        <f>IF(AM$4="Yes",INDEX(List!$E$2:$CD$173,MATCH('Selection Pane Data'!$B136,List!$E$2:$E$173,0),MATCH('Selection Pane Data'!AM$3,List!$E$2:$CD$2,0)),"")</f>
        <v/>
      </c>
      <c r="AN136" s="13" t="str">
        <f>IF(AN$4="Yes",INDEX(List!$E$2:$CD$173,MATCH('Selection Pane Data'!$B136,List!$E$2:$E$173,0),MATCH('Selection Pane Data'!AN$3,List!$E$2:$CD$2,0)),"")</f>
        <v/>
      </c>
      <c r="AO136" s="13" t="str">
        <f>IF(AO$4="Yes",INDEX(List!$E$2:$CD$173,MATCH('Selection Pane Data'!$B136,List!$E$2:$E$173,0),MATCH('Selection Pane Data'!AO$3,List!$E$2:$CD$2,0)),"")</f>
        <v/>
      </c>
      <c r="AP136" s="13" t="str">
        <f>IF(AP$4="Yes",INDEX(List!$E$2:$CD$173,MATCH('Selection Pane Data'!$B136,List!$E$2:$E$173,0),MATCH('Selection Pane Data'!AP$3,List!$E$2:$CD$2,0)),"")</f>
        <v/>
      </c>
      <c r="AQ136" s="13" t="str">
        <f>IF(AQ$4="Yes",INDEX(List!$E$2:$CD$173,MATCH('Selection Pane Data'!$B136,List!$E$2:$E$173,0),MATCH('Selection Pane Data'!AQ$3,List!$E$2:$CD$2,0)),"")</f>
        <v/>
      </c>
      <c r="AR136" s="13" t="str">
        <f>IF(AR$4="Yes",INDEX(List!$E$2:$CD$173,MATCH('Selection Pane Data'!$B136,List!$E$2:$E$173,0),MATCH('Selection Pane Data'!AR$3,List!$E$2:$CD$2,0)),"")</f>
        <v/>
      </c>
      <c r="AS136" s="13" t="str">
        <f>IF(AS$4="Yes",INDEX(List!$E$2:$CD$173,MATCH('Selection Pane Data'!$B136,List!$E$2:$E$173,0),MATCH('Selection Pane Data'!AS$3,List!$E$2:$CD$2,0)),"")</f>
        <v/>
      </c>
      <c r="AT136" s="13" t="str">
        <f>IF(AT$4="Yes",INDEX(List!$E$2:$CD$173,MATCH('Selection Pane Data'!$B136,List!$E$2:$E$173,0),MATCH('Selection Pane Data'!AT$3,List!$E$2:$CD$2,0)),"")</f>
        <v/>
      </c>
      <c r="AU136" s="13" t="str">
        <f>IF(AU$4="Yes",INDEX(List!$E$2:$CD$173,MATCH('Selection Pane Data'!$B136,List!$E$2:$E$173,0),MATCH('Selection Pane Data'!AU$3,List!$E$2:$CD$2,0)),"")</f>
        <v/>
      </c>
      <c r="AV136" s="13" t="str">
        <f>IF(AV$4="Yes",INDEX(List!$E$2:$CD$173,MATCH('Selection Pane Data'!$B136,List!$E$2:$E$173,0),MATCH('Selection Pane Data'!AV$3,List!$E$2:$CD$2,0)),"")</f>
        <v/>
      </c>
      <c r="AW136" s="13" t="str">
        <f>IF(AW$4="Yes",INDEX(List!$E$2:$CD$173,MATCH('Selection Pane Data'!$B136,List!$E$2:$E$173,0),MATCH('Selection Pane Data'!AW$3,List!$E$2:$CD$2,0)),"")</f>
        <v/>
      </c>
      <c r="AX136" s="13" t="str">
        <f>IF(AX$4="Yes",INDEX(List!$E$2:$CD$173,MATCH('Selection Pane Data'!$B136,List!$E$2:$E$173,0),MATCH('Selection Pane Data'!AX$3,List!$E$2:$CD$2,0)),"")</f>
        <v/>
      </c>
      <c r="AY136" s="13" t="str">
        <f>IF(AY$4="Yes",INDEX(List!$E$2:$CD$173,MATCH('Selection Pane Data'!$B136,List!$E$2:$E$173,0),MATCH('Selection Pane Data'!AY$3,List!$E$2:$CD$2,0)),"")</f>
        <v/>
      </c>
      <c r="AZ136" s="13" t="str">
        <f>IF(AZ$4="Yes",INDEX(List!$E$2:$CD$173,MATCH('Selection Pane Data'!$B136,List!$E$2:$E$173,0),MATCH('Selection Pane Data'!AZ$3,List!$E$2:$CD$2,0)),"")</f>
        <v/>
      </c>
      <c r="BA136" s="13" t="str">
        <f>IF(BA$4="Yes",INDEX(List!$E$2:$CD$173,MATCH('Selection Pane Data'!$B136,List!$E$2:$E$173,0),MATCH('Selection Pane Data'!BA$3,List!$E$2:$CD$2,0)),"")</f>
        <v/>
      </c>
      <c r="BB136" s="13" t="str">
        <f>IF(BB$4="Yes",INDEX(List!$E$2:$CD$173,MATCH('Selection Pane Data'!$B136,List!$E$2:$E$173,0),MATCH('Selection Pane Data'!BB$3,List!$E$2:$CD$2,0)),"")</f>
        <v/>
      </c>
      <c r="BC136" s="13" t="str">
        <f>IF(BC$4="Yes",INDEX(List!$E$2:$CD$173,MATCH('Selection Pane Data'!$B136,List!$E$2:$E$173,0),MATCH('Selection Pane Data'!BC$3,List!$E$2:$CD$2,0)),"")</f>
        <v/>
      </c>
      <c r="BD136" s="13" t="str">
        <f>IF(BD$4="Yes",INDEX(List!$E$2:$CD$173,MATCH('Selection Pane Data'!$B136,List!$E$2:$E$173,0),MATCH('Selection Pane Data'!BD$3,List!$E$2:$CD$2,0)),"")</f>
        <v/>
      </c>
      <c r="BE136" s="13" t="str">
        <f>IF(BE$4="Yes",INDEX(List!$E$2:$CD$173,MATCH('Selection Pane Data'!$B136,List!$E$2:$E$173,0),MATCH('Selection Pane Data'!BE$3,List!$E$2:$CD$2,0)),"")</f>
        <v/>
      </c>
      <c r="BF136" s="13" t="str">
        <f>IF(BF$4="Yes",INDEX(List!$E$2:$CD$173,MATCH('Selection Pane Data'!$B136,List!$E$2:$E$173,0),MATCH('Selection Pane Data'!BF$3,List!$E$2:$CD$2,0)),"")</f>
        <v/>
      </c>
      <c r="BG136" s="13" t="str">
        <f>IF(BG$4="Yes",INDEX(List!$E$2:$CD$173,MATCH('Selection Pane Data'!$B136,List!$E$2:$E$173,0),MATCH('Selection Pane Data'!BG$3,List!$E$2:$CD$2,0)),"")</f>
        <v/>
      </c>
      <c r="BH136" s="13" t="str">
        <f>IF(BH$4="Yes",INDEX(List!$E$2:$CD$173,MATCH('Selection Pane Data'!$B136,List!$E$2:$E$173,0),MATCH('Selection Pane Data'!BH$3,List!$E$2:$CD$2,0)),"")</f>
        <v/>
      </c>
      <c r="BI136" s="13" t="str">
        <f>IF(BI$4="Yes",INDEX(List!$E$2:$CD$173,MATCH('Selection Pane Data'!$B136,List!$E$2:$E$173,0),MATCH('Selection Pane Data'!BI$3,List!$E$2:$CD$2,0)),"")</f>
        <v/>
      </c>
      <c r="BJ136" s="13" t="str">
        <f>IF(BJ$4="Yes",INDEX(List!$E$2:$CD$173,MATCH('Selection Pane Data'!$B136,List!$E$2:$E$173,0),MATCH('Selection Pane Data'!BJ$3,List!$E$2:$CD$2,0)),"")</f>
        <v/>
      </c>
      <c r="BK136" s="13" t="str">
        <f>IF(BK$4="Yes",INDEX(List!$E$2:$CD$173,MATCH('Selection Pane Data'!$B136,List!$E$2:$E$173,0),MATCH('Selection Pane Data'!BK$3,List!$E$2:$CD$2,0)),"")</f>
        <v/>
      </c>
      <c r="BL136" s="13" t="str">
        <f>IF(BL$4="Yes",INDEX(List!$E$2:$CD$173,MATCH('Selection Pane Data'!$B136,List!$E$2:$E$173,0),MATCH('Selection Pane Data'!BL$3,List!$E$2:$CD$2,0)),"")</f>
        <v/>
      </c>
      <c r="BM136" s="13" t="str">
        <f>IF(BM$4="Yes",INDEX(List!$E$2:$CD$173,MATCH('Selection Pane Data'!$B136,List!$E$2:$E$173,0),MATCH('Selection Pane Data'!BM$3,List!$E$2:$CD$2,0)),"")</f>
        <v/>
      </c>
      <c r="BN136" s="13" t="str">
        <f>IF(BN$4="Yes",INDEX(List!$E$2:$CD$173,MATCH('Selection Pane Data'!$B136,List!$E$2:$E$173,0),MATCH('Selection Pane Data'!BN$3,List!$E$2:$CD$2,0)),"")</f>
        <v/>
      </c>
      <c r="BO136" s="13" t="str">
        <f>IF(BO$4="Yes",INDEX(List!$E$2:$CD$173,MATCH('Selection Pane Data'!$B136,List!$E$2:$E$173,0),MATCH('Selection Pane Data'!BO$3,List!$E$2:$CD$2,0)),"")</f>
        <v/>
      </c>
      <c r="BP136" s="13" t="str">
        <f>IF(BP$4="Yes",INDEX(List!$E$2:$CD$173,MATCH('Selection Pane Data'!$B136,List!$E$2:$E$173,0),MATCH('Selection Pane Data'!BP$3,List!$E$2:$CD$2,0)),"")</f>
        <v/>
      </c>
      <c r="BQ136" s="13" t="str">
        <f>IF(BQ$4="Yes",INDEX(List!$E$2:$CD$173,MATCH('Selection Pane Data'!$B136,List!$E$2:$E$173,0),MATCH('Selection Pane Data'!BQ$3,List!$E$2:$CD$2,0)),"")</f>
        <v/>
      </c>
      <c r="BR136" s="13" t="str">
        <f>IF(BR$4="Yes",INDEX(List!$E$2:$CD$173,MATCH('Selection Pane Data'!$B136,List!$E$2:$E$173,0),MATCH('Selection Pane Data'!BR$3,List!$E$2:$CD$2,0)),"")</f>
        <v/>
      </c>
      <c r="BS136" s="13" t="str">
        <f>IF(BS$4="Yes",INDEX(List!$E$2:$CD$173,MATCH('Selection Pane Data'!$B136,List!$E$2:$E$173,0),MATCH('Selection Pane Data'!BS$3,List!$E$2:$CD$2,0)),"")</f>
        <v/>
      </c>
      <c r="BT136" s="13" t="str">
        <f>IF(BT$4="Yes",INDEX(List!$E$2:$CD$173,MATCH('Selection Pane Data'!$B136,List!$E$2:$E$173,0),MATCH('Selection Pane Data'!BT$3,List!$E$2:$CD$2,0)),"")</f>
        <v/>
      </c>
      <c r="BU136" s="13" t="str">
        <f>IF(BU$4="Yes",INDEX(List!$E$2:$CD$173,MATCH('Selection Pane Data'!$B136,List!$E$2:$E$173,0),MATCH('Selection Pane Data'!BU$3,List!$E$2:$CD$2,0)),"")</f>
        <v/>
      </c>
      <c r="BV136" s="13" t="str">
        <f>IF(BV$4="Yes",INDEX(List!$E$2:$CD$173,MATCH('Selection Pane Data'!$B136,List!$E$2:$E$173,0),MATCH('Selection Pane Data'!BV$3,List!$E$2:$CD$2,0)),"")</f>
        <v/>
      </c>
      <c r="BW136" s="13" t="str">
        <f>IF(BW$4="Yes",INDEX(List!$E$2:$CD$173,MATCH('Selection Pane Data'!$B136,List!$E$2:$E$173,0),MATCH('Selection Pane Data'!BW$3,List!$E$2:$CD$2,0)),"")</f>
        <v/>
      </c>
      <c r="BX136" s="13" t="str">
        <f>IF(BX$4="Yes",INDEX(List!$E$2:$CD$173,MATCH('Selection Pane Data'!$B136,List!$E$2:$E$173,0),MATCH('Selection Pane Data'!BX$3,List!$E$2:$CD$2,0)),"")</f>
        <v/>
      </c>
      <c r="BY136" s="13" t="str">
        <f>IF(BY$4="Yes",INDEX(List!$E$2:$CD$173,MATCH('Selection Pane Data'!$B136,List!$E$2:$E$173,0),MATCH('Selection Pane Data'!BY$3,List!$E$2:$CD$2,0)),"")</f>
        <v/>
      </c>
      <c r="BZ136" s="13" t="str">
        <f>IF(BZ$4="Yes",INDEX(List!$E$2:$CD$173,MATCH('Selection Pane Data'!$B136,List!$E$2:$E$173,0),MATCH('Selection Pane Data'!BZ$3,List!$E$2:$CD$2,0)),"")</f>
        <v/>
      </c>
      <c r="CA136" s="13" t="str">
        <f>IF(CA$4="Yes",INDEX(List!$E$2:$CD$173,MATCH('Selection Pane Data'!$B136,List!$E$2:$E$173,0),MATCH('Selection Pane Data'!CA$3,List!$E$2:$CD$2,0)),"")</f>
        <v/>
      </c>
      <c r="CB136" s="13" t="str">
        <f>IF(CB$4="Yes",INDEX(List!$E$2:$CD$173,MATCH('Selection Pane Data'!$B136,List!$E$2:$E$173,0),MATCH('Selection Pane Data'!CB$3,List!$E$2:$CD$2,0)),"")</f>
        <v/>
      </c>
      <c r="CC136" s="13" t="str">
        <f>IF(CC$4="Yes",INDEX(List!$E$2:$CD$173,MATCH('Selection Pane Data'!$B136,List!$E$2:$E$173,0),MATCH('Selection Pane Data'!CC$3,List!$E$2:$CD$2,0)),"")</f>
        <v/>
      </c>
      <c r="CD136" s="13" t="str">
        <f>IF(CD$4="Yes",INDEX(List!$E$2:$CD$173,MATCH('Selection Pane Data'!$B136,List!$E$2:$E$173,0),MATCH('Selection Pane Data'!CD$3,List!$E$2:$CD$2,0)),"")</f>
        <v/>
      </c>
      <c r="CE136" s="13" t="str">
        <f>IF(CE$4="Yes",INDEX(List!$E$2:$CD$173,MATCH('Selection Pane Data'!$B136,List!$E$2:$E$173,0),MATCH('Selection Pane Data'!CE$3,List!$E$2:$CD$2,0)),"")</f>
        <v/>
      </c>
    </row>
    <row r="137" spans="2:83" x14ac:dyDescent="0.35">
      <c r="B137" s="21" t="s">
        <v>424</v>
      </c>
      <c r="C137" s="126" t="str">
        <f>VLOOKUP(B137,List!$E$2:$G$173,2,FALSE)</f>
        <v>SC.L1-3.13.5</v>
      </c>
      <c r="D137" s="31" t="str">
        <f>List!G135</f>
        <v>Shared Coverage</v>
      </c>
      <c r="E137" s="31" t="str">
        <f>IF(Placemat!$F$4="All Practices","All Practices",IF(VLOOKUP(B137,Table7[#All],6,FALSE)="No Mapping","New CMMC Practices","Practices with NIST 800-171 Mappings"))</f>
        <v>Practices with NIST 800-171 Mappings</v>
      </c>
      <c r="F137" t="str">
        <f>INDEX('CMMC Levels'!$A$1:$F$172,MATCH('Selection Pane Data'!$C137,'CMMC Levels'!$A$1:$A$172,0),MATCH(Placemat!$F$4,'CMMC Levels'!$A$1:$F$1,0))</f>
        <v>X</v>
      </c>
      <c r="G137" s="77" t="str">
        <f>IF((COUNTIF(List!H135:CE135,"P")+COUNTIF(List!H135:CE135,"S"))=0,"N",IF(COUNTIF(H137:CE137,"P"),"P",IF(COUNTIF(H137:CE137,"S"),"S","U")))</f>
        <v>U</v>
      </c>
      <c r="H137" s="13" t="str">
        <f>IF(H$4="Yes",INDEX(List!$E$2:$CD$173,MATCH('Selection Pane Data'!$B137,List!$E$2:$E$173,0),MATCH('Selection Pane Data'!H$3,List!$E$2:$CD$2,0)),"")</f>
        <v/>
      </c>
      <c r="I137" s="13" t="str">
        <f>IF(I$4="Yes",INDEX(List!$E$2:$CD$173,MATCH('Selection Pane Data'!$B137,List!$E$2:$E$173,0),MATCH('Selection Pane Data'!I$3,List!$E$2:$CD$2,0)),"")</f>
        <v/>
      </c>
      <c r="J137" s="13" t="str">
        <f>IF(J$4="Yes",INDEX(List!$E$2:$CD$173,MATCH('Selection Pane Data'!$B137,List!$E$2:$E$173,0),MATCH('Selection Pane Data'!J$3,List!$E$2:$CD$2,0)),"")</f>
        <v>N</v>
      </c>
      <c r="K137" s="13" t="str">
        <f>IF(K$4="Yes",INDEX(List!$E$2:$CD$173,MATCH('Selection Pane Data'!$B137,List!$E$2:$E$173,0),MATCH('Selection Pane Data'!K$3,List!$E$2:$CD$2,0)),"")</f>
        <v/>
      </c>
      <c r="L137" s="13" t="str">
        <f>IF(L$4="Yes",INDEX(List!$E$2:$CD$173,MATCH('Selection Pane Data'!$B137,List!$E$2:$E$173,0),MATCH('Selection Pane Data'!L$3,List!$E$2:$CD$2,0)),"")</f>
        <v/>
      </c>
      <c r="M137" s="13" t="str">
        <f>IF(M$4="Yes",INDEX(List!$E$2:$CD$173,MATCH('Selection Pane Data'!$B137,List!$E$2:$E$173,0),MATCH('Selection Pane Data'!M$3,List!$E$2:$CD$2,0)),"")</f>
        <v/>
      </c>
      <c r="N137" s="13" t="str">
        <f>IF(N$4="Yes",INDEX(List!$E$2:$CD$173,MATCH('Selection Pane Data'!$B137,List!$E$2:$E$173,0),MATCH('Selection Pane Data'!N$3,List!$E$2:$CD$2,0)),"")</f>
        <v/>
      </c>
      <c r="O137" s="13" t="str">
        <f>IF(O$4="Yes",INDEX(List!$E$2:$CD$173,MATCH('Selection Pane Data'!$B137,List!$E$2:$E$173,0),MATCH('Selection Pane Data'!O$3,List!$E$2:$CD$2,0)),"")</f>
        <v/>
      </c>
      <c r="P137" s="13" t="str">
        <f>IF(P$4="Yes",INDEX(List!$E$2:$CD$173,MATCH('Selection Pane Data'!$B137,List!$E$2:$E$173,0),MATCH('Selection Pane Data'!P$3,List!$E$2:$CD$2,0)),"")</f>
        <v/>
      </c>
      <c r="Q137" s="13" t="str">
        <f>IF(Q$4="Yes",INDEX(List!$E$2:$CD$173,MATCH('Selection Pane Data'!$B137,List!$E$2:$E$173,0),MATCH('Selection Pane Data'!Q$3,List!$E$2:$CD$2,0)),"")</f>
        <v/>
      </c>
      <c r="R137" s="13" t="str">
        <f>IF(R$4="Yes",INDEX(List!$E$2:$CD$173,MATCH('Selection Pane Data'!$B137,List!$E$2:$E$173,0),MATCH('Selection Pane Data'!R$3,List!$E$2:$CD$2,0)),"")</f>
        <v/>
      </c>
      <c r="S137" s="13" t="str">
        <f>IF(S$4="Yes",INDEX(List!$E$2:$CD$173,MATCH('Selection Pane Data'!$B137,List!$E$2:$E$173,0),MATCH('Selection Pane Data'!S$3,List!$E$2:$CD$2,0)),"")</f>
        <v/>
      </c>
      <c r="T137" s="13" t="str">
        <f>IF(T$4="Yes",INDEX(List!$E$2:$CD$173,MATCH('Selection Pane Data'!$B137,List!$E$2:$E$173,0),MATCH('Selection Pane Data'!T$3,List!$E$2:$CD$2,0)),"")</f>
        <v/>
      </c>
      <c r="U137" s="13" t="str">
        <f>IF(U$4="Yes",INDEX(List!$E$2:$CD$173,MATCH('Selection Pane Data'!$B137,List!$E$2:$E$173,0),MATCH('Selection Pane Data'!U$3,List!$E$2:$CD$2,0)),"")</f>
        <v/>
      </c>
      <c r="V137" s="13" t="str">
        <f>IF(V$4="Yes",INDEX(List!$E$2:$CD$173,MATCH('Selection Pane Data'!$B137,List!$E$2:$E$173,0),MATCH('Selection Pane Data'!V$3,List!$E$2:$CD$2,0)),"")</f>
        <v/>
      </c>
      <c r="W137" s="13" t="str">
        <f>IF(W$4="Yes",INDEX(List!$E$2:$CD$173,MATCH('Selection Pane Data'!$B137,List!$E$2:$E$173,0),MATCH('Selection Pane Data'!W$3,List!$E$2:$CD$2,0)),"")</f>
        <v/>
      </c>
      <c r="X137" s="13" t="str">
        <f>IF(X$4="Yes",INDEX(List!$E$2:$CD$173,MATCH('Selection Pane Data'!$B137,List!$E$2:$E$173,0),MATCH('Selection Pane Data'!X$3,List!$E$2:$CD$2,0)),"")</f>
        <v/>
      </c>
      <c r="Y137" s="13" t="str">
        <f>IF(Y$4="Yes",INDEX(List!$E$2:$CD$173,MATCH('Selection Pane Data'!$B137,List!$E$2:$E$173,0),MATCH('Selection Pane Data'!Y$3,List!$E$2:$CD$2,0)),"")</f>
        <v/>
      </c>
      <c r="Z137" s="13" t="str">
        <f>IF(Z$4="Yes",INDEX(List!$E$2:$CD$173,MATCH('Selection Pane Data'!$B137,List!$E$2:$E$173,0),MATCH('Selection Pane Data'!Z$3,List!$E$2:$CD$2,0)),"")</f>
        <v/>
      </c>
      <c r="AA137" s="13" t="str">
        <f>IF(AA$4="Yes",INDEX(List!$E$2:$CD$173,MATCH('Selection Pane Data'!$B137,List!$E$2:$E$173,0),MATCH('Selection Pane Data'!AA$3,List!$E$2:$CD$2,0)),"")</f>
        <v>N</v>
      </c>
      <c r="AB137" s="13" t="str">
        <f>IF(AB$4="Yes",INDEX(List!$E$2:$CD$173,MATCH('Selection Pane Data'!$B137,List!$E$2:$E$173,0),MATCH('Selection Pane Data'!AB$3,List!$E$2:$CD$2,0)),"")</f>
        <v/>
      </c>
      <c r="AC137" s="13" t="str">
        <f>IF(AC$4="Yes",INDEX(List!$E$2:$CD$173,MATCH('Selection Pane Data'!$B137,List!$E$2:$E$173,0),MATCH('Selection Pane Data'!AC$3,List!$E$2:$CD$2,0)),"")</f>
        <v/>
      </c>
      <c r="AD137" s="13" t="str">
        <f>IF(AD$4="Yes",INDEX(List!$E$2:$CD$173,MATCH('Selection Pane Data'!$B137,List!$E$2:$E$173,0),MATCH('Selection Pane Data'!AD$3,List!$E$2:$CD$2,0)),"")</f>
        <v/>
      </c>
      <c r="AE137" s="13" t="str">
        <f>IF(AE$4="Yes",INDEX(List!$E$2:$CD$173,MATCH('Selection Pane Data'!$B137,List!$E$2:$E$173,0),MATCH('Selection Pane Data'!AE$3,List!$E$2:$CD$2,0)),"")</f>
        <v/>
      </c>
      <c r="AF137" s="13" t="str">
        <f>IF(AF$4="Yes",INDEX(List!$E$2:$CD$173,MATCH('Selection Pane Data'!$B137,List!$E$2:$E$173,0),MATCH('Selection Pane Data'!AF$3,List!$E$2:$CD$2,0)),"")</f>
        <v/>
      </c>
      <c r="AG137" s="13" t="str">
        <f>IF(AG$4="Yes",INDEX(List!$E$2:$CD$173,MATCH('Selection Pane Data'!$B137,List!$E$2:$E$173,0),MATCH('Selection Pane Data'!AG$3,List!$E$2:$CD$2,0)),"")</f>
        <v/>
      </c>
      <c r="AH137" s="13" t="str">
        <f>IF(AH$4="Yes",INDEX(List!$E$2:$CD$173,MATCH('Selection Pane Data'!$B137,List!$E$2:$E$173,0),MATCH('Selection Pane Data'!AH$3,List!$E$2:$CD$2,0)),"")</f>
        <v/>
      </c>
      <c r="AI137" s="13" t="str">
        <f>IF(AI$4="Yes",INDEX(List!$E$2:$CD$173,MATCH('Selection Pane Data'!$B137,List!$E$2:$E$173,0),MATCH('Selection Pane Data'!AI$3,List!$E$2:$CD$2,0)),"")</f>
        <v/>
      </c>
      <c r="AJ137" s="13" t="str">
        <f>IF(AJ$4="Yes",INDEX(List!$E$2:$CD$173,MATCH('Selection Pane Data'!$B137,List!$E$2:$E$173,0),MATCH('Selection Pane Data'!AJ$3,List!$E$2:$CD$2,0)),"")</f>
        <v/>
      </c>
      <c r="AK137" s="13" t="str">
        <f>IF(AK$4="Yes",INDEX(List!$E$2:$CD$173,MATCH('Selection Pane Data'!$B137,List!$E$2:$E$173,0),MATCH('Selection Pane Data'!AK$3,List!$E$2:$CD$2,0)),"")</f>
        <v/>
      </c>
      <c r="AL137" s="13" t="str">
        <f>IF(AL$4="Yes",INDEX(List!$E$2:$CD$173,MATCH('Selection Pane Data'!$B137,List!$E$2:$E$173,0),MATCH('Selection Pane Data'!AL$3,List!$E$2:$CD$2,0)),"")</f>
        <v/>
      </c>
      <c r="AM137" s="13" t="str">
        <f>IF(AM$4="Yes",INDEX(List!$E$2:$CD$173,MATCH('Selection Pane Data'!$B137,List!$E$2:$E$173,0),MATCH('Selection Pane Data'!AM$3,List!$E$2:$CD$2,0)),"")</f>
        <v/>
      </c>
      <c r="AN137" s="13" t="str">
        <f>IF(AN$4="Yes",INDEX(List!$E$2:$CD$173,MATCH('Selection Pane Data'!$B137,List!$E$2:$E$173,0),MATCH('Selection Pane Data'!AN$3,List!$E$2:$CD$2,0)),"")</f>
        <v/>
      </c>
      <c r="AO137" s="13" t="str">
        <f>IF(AO$4="Yes",INDEX(List!$E$2:$CD$173,MATCH('Selection Pane Data'!$B137,List!$E$2:$E$173,0),MATCH('Selection Pane Data'!AO$3,List!$E$2:$CD$2,0)),"")</f>
        <v/>
      </c>
      <c r="AP137" s="13" t="str">
        <f>IF(AP$4="Yes",INDEX(List!$E$2:$CD$173,MATCH('Selection Pane Data'!$B137,List!$E$2:$E$173,0),MATCH('Selection Pane Data'!AP$3,List!$E$2:$CD$2,0)),"")</f>
        <v/>
      </c>
      <c r="AQ137" s="13" t="str">
        <f>IF(AQ$4="Yes",INDEX(List!$E$2:$CD$173,MATCH('Selection Pane Data'!$B137,List!$E$2:$E$173,0),MATCH('Selection Pane Data'!AQ$3,List!$E$2:$CD$2,0)),"")</f>
        <v/>
      </c>
      <c r="AR137" s="13" t="str">
        <f>IF(AR$4="Yes",INDEX(List!$E$2:$CD$173,MATCH('Selection Pane Data'!$B137,List!$E$2:$E$173,0),MATCH('Selection Pane Data'!AR$3,List!$E$2:$CD$2,0)),"")</f>
        <v/>
      </c>
      <c r="AS137" s="13" t="str">
        <f>IF(AS$4="Yes",INDEX(List!$E$2:$CD$173,MATCH('Selection Pane Data'!$B137,List!$E$2:$E$173,0),MATCH('Selection Pane Data'!AS$3,List!$E$2:$CD$2,0)),"")</f>
        <v/>
      </c>
      <c r="AT137" s="13" t="str">
        <f>IF(AT$4="Yes",INDEX(List!$E$2:$CD$173,MATCH('Selection Pane Data'!$B137,List!$E$2:$E$173,0),MATCH('Selection Pane Data'!AT$3,List!$E$2:$CD$2,0)),"")</f>
        <v/>
      </c>
      <c r="AU137" s="13" t="str">
        <f>IF(AU$4="Yes",INDEX(List!$E$2:$CD$173,MATCH('Selection Pane Data'!$B137,List!$E$2:$E$173,0),MATCH('Selection Pane Data'!AU$3,List!$E$2:$CD$2,0)),"")</f>
        <v/>
      </c>
      <c r="AV137" s="13" t="str">
        <f>IF(AV$4="Yes",INDEX(List!$E$2:$CD$173,MATCH('Selection Pane Data'!$B137,List!$E$2:$E$173,0),MATCH('Selection Pane Data'!AV$3,List!$E$2:$CD$2,0)),"")</f>
        <v/>
      </c>
      <c r="AW137" s="13" t="str">
        <f>IF(AW$4="Yes",INDEX(List!$E$2:$CD$173,MATCH('Selection Pane Data'!$B137,List!$E$2:$E$173,0),MATCH('Selection Pane Data'!AW$3,List!$E$2:$CD$2,0)),"")</f>
        <v/>
      </c>
      <c r="AX137" s="13" t="str">
        <f>IF(AX$4="Yes",INDEX(List!$E$2:$CD$173,MATCH('Selection Pane Data'!$B137,List!$E$2:$E$173,0),MATCH('Selection Pane Data'!AX$3,List!$E$2:$CD$2,0)),"")</f>
        <v/>
      </c>
      <c r="AY137" s="13" t="str">
        <f>IF(AY$4="Yes",INDEX(List!$E$2:$CD$173,MATCH('Selection Pane Data'!$B137,List!$E$2:$E$173,0),MATCH('Selection Pane Data'!AY$3,List!$E$2:$CD$2,0)),"")</f>
        <v/>
      </c>
      <c r="AZ137" s="13" t="str">
        <f>IF(AZ$4="Yes",INDEX(List!$E$2:$CD$173,MATCH('Selection Pane Data'!$B137,List!$E$2:$E$173,0),MATCH('Selection Pane Data'!AZ$3,List!$E$2:$CD$2,0)),"")</f>
        <v/>
      </c>
      <c r="BA137" s="13" t="str">
        <f>IF(BA$4="Yes",INDEX(List!$E$2:$CD$173,MATCH('Selection Pane Data'!$B137,List!$E$2:$E$173,0),MATCH('Selection Pane Data'!BA$3,List!$E$2:$CD$2,0)),"")</f>
        <v/>
      </c>
      <c r="BB137" s="13" t="str">
        <f>IF(BB$4="Yes",INDEX(List!$E$2:$CD$173,MATCH('Selection Pane Data'!$B137,List!$E$2:$E$173,0),MATCH('Selection Pane Data'!BB$3,List!$E$2:$CD$2,0)),"")</f>
        <v/>
      </c>
      <c r="BC137" s="13" t="str">
        <f>IF(BC$4="Yes",INDEX(List!$E$2:$CD$173,MATCH('Selection Pane Data'!$B137,List!$E$2:$E$173,0),MATCH('Selection Pane Data'!BC$3,List!$E$2:$CD$2,0)),"")</f>
        <v/>
      </c>
      <c r="BD137" s="13" t="str">
        <f>IF(BD$4="Yes",INDEX(List!$E$2:$CD$173,MATCH('Selection Pane Data'!$B137,List!$E$2:$E$173,0),MATCH('Selection Pane Data'!BD$3,List!$E$2:$CD$2,0)),"")</f>
        <v/>
      </c>
      <c r="BE137" s="13" t="str">
        <f>IF(BE$4="Yes",INDEX(List!$E$2:$CD$173,MATCH('Selection Pane Data'!$B137,List!$E$2:$E$173,0),MATCH('Selection Pane Data'!BE$3,List!$E$2:$CD$2,0)),"")</f>
        <v/>
      </c>
      <c r="BF137" s="13" t="str">
        <f>IF(BF$4="Yes",INDEX(List!$E$2:$CD$173,MATCH('Selection Pane Data'!$B137,List!$E$2:$E$173,0),MATCH('Selection Pane Data'!BF$3,List!$E$2:$CD$2,0)),"")</f>
        <v/>
      </c>
      <c r="BG137" s="13" t="str">
        <f>IF(BG$4="Yes",INDEX(List!$E$2:$CD$173,MATCH('Selection Pane Data'!$B137,List!$E$2:$E$173,0),MATCH('Selection Pane Data'!BG$3,List!$E$2:$CD$2,0)),"")</f>
        <v/>
      </c>
      <c r="BH137" s="13" t="str">
        <f>IF(BH$4="Yes",INDEX(List!$E$2:$CD$173,MATCH('Selection Pane Data'!$B137,List!$E$2:$E$173,0),MATCH('Selection Pane Data'!BH$3,List!$E$2:$CD$2,0)),"")</f>
        <v/>
      </c>
      <c r="BI137" s="13" t="str">
        <f>IF(BI$4="Yes",INDEX(List!$E$2:$CD$173,MATCH('Selection Pane Data'!$B137,List!$E$2:$E$173,0),MATCH('Selection Pane Data'!BI$3,List!$E$2:$CD$2,0)),"")</f>
        <v/>
      </c>
      <c r="BJ137" s="13" t="str">
        <f>IF(BJ$4="Yes",INDEX(List!$E$2:$CD$173,MATCH('Selection Pane Data'!$B137,List!$E$2:$E$173,0),MATCH('Selection Pane Data'!BJ$3,List!$E$2:$CD$2,0)),"")</f>
        <v/>
      </c>
      <c r="BK137" s="13" t="str">
        <f>IF(BK$4="Yes",INDEX(List!$E$2:$CD$173,MATCH('Selection Pane Data'!$B137,List!$E$2:$E$173,0),MATCH('Selection Pane Data'!BK$3,List!$E$2:$CD$2,0)),"")</f>
        <v/>
      </c>
      <c r="BL137" s="13" t="str">
        <f>IF(BL$4="Yes",INDEX(List!$E$2:$CD$173,MATCH('Selection Pane Data'!$B137,List!$E$2:$E$173,0),MATCH('Selection Pane Data'!BL$3,List!$E$2:$CD$2,0)),"")</f>
        <v/>
      </c>
      <c r="BM137" s="13" t="str">
        <f>IF(BM$4="Yes",INDEX(List!$E$2:$CD$173,MATCH('Selection Pane Data'!$B137,List!$E$2:$E$173,0),MATCH('Selection Pane Data'!BM$3,List!$E$2:$CD$2,0)),"")</f>
        <v/>
      </c>
      <c r="BN137" s="13" t="str">
        <f>IF(BN$4="Yes",INDEX(List!$E$2:$CD$173,MATCH('Selection Pane Data'!$B137,List!$E$2:$E$173,0),MATCH('Selection Pane Data'!BN$3,List!$E$2:$CD$2,0)),"")</f>
        <v/>
      </c>
      <c r="BO137" s="13" t="str">
        <f>IF(BO$4="Yes",INDEX(List!$E$2:$CD$173,MATCH('Selection Pane Data'!$B137,List!$E$2:$E$173,0),MATCH('Selection Pane Data'!BO$3,List!$E$2:$CD$2,0)),"")</f>
        <v/>
      </c>
      <c r="BP137" s="13" t="str">
        <f>IF(BP$4="Yes",INDEX(List!$E$2:$CD$173,MATCH('Selection Pane Data'!$B137,List!$E$2:$E$173,0),MATCH('Selection Pane Data'!BP$3,List!$E$2:$CD$2,0)),"")</f>
        <v/>
      </c>
      <c r="BQ137" s="13" t="str">
        <f>IF(BQ$4="Yes",INDEX(List!$E$2:$CD$173,MATCH('Selection Pane Data'!$B137,List!$E$2:$E$173,0),MATCH('Selection Pane Data'!BQ$3,List!$E$2:$CD$2,0)),"")</f>
        <v/>
      </c>
      <c r="BR137" s="13" t="str">
        <f>IF(BR$4="Yes",INDEX(List!$E$2:$CD$173,MATCH('Selection Pane Data'!$B137,List!$E$2:$E$173,0),MATCH('Selection Pane Data'!BR$3,List!$E$2:$CD$2,0)),"")</f>
        <v/>
      </c>
      <c r="BS137" s="13" t="str">
        <f>IF(BS$4="Yes",INDEX(List!$E$2:$CD$173,MATCH('Selection Pane Data'!$B137,List!$E$2:$E$173,0),MATCH('Selection Pane Data'!BS$3,List!$E$2:$CD$2,0)),"")</f>
        <v/>
      </c>
      <c r="BT137" s="13" t="str">
        <f>IF(BT$4="Yes",INDEX(List!$E$2:$CD$173,MATCH('Selection Pane Data'!$B137,List!$E$2:$E$173,0),MATCH('Selection Pane Data'!BT$3,List!$E$2:$CD$2,0)),"")</f>
        <v/>
      </c>
      <c r="BU137" s="13" t="str">
        <f>IF(BU$4="Yes",INDEX(List!$E$2:$CD$173,MATCH('Selection Pane Data'!$B137,List!$E$2:$E$173,0),MATCH('Selection Pane Data'!BU$3,List!$E$2:$CD$2,0)),"")</f>
        <v/>
      </c>
      <c r="BV137" s="13" t="str">
        <f>IF(BV$4="Yes",INDEX(List!$E$2:$CD$173,MATCH('Selection Pane Data'!$B137,List!$E$2:$E$173,0),MATCH('Selection Pane Data'!BV$3,List!$E$2:$CD$2,0)),"")</f>
        <v/>
      </c>
      <c r="BW137" s="13" t="str">
        <f>IF(BW$4="Yes",INDEX(List!$E$2:$CD$173,MATCH('Selection Pane Data'!$B137,List!$E$2:$E$173,0),MATCH('Selection Pane Data'!BW$3,List!$E$2:$CD$2,0)),"")</f>
        <v/>
      </c>
      <c r="BX137" s="13" t="str">
        <f>IF(BX$4="Yes",INDEX(List!$E$2:$CD$173,MATCH('Selection Pane Data'!$B137,List!$E$2:$E$173,0),MATCH('Selection Pane Data'!BX$3,List!$E$2:$CD$2,0)),"")</f>
        <v/>
      </c>
      <c r="BY137" s="13" t="str">
        <f>IF(BY$4="Yes",INDEX(List!$E$2:$CD$173,MATCH('Selection Pane Data'!$B137,List!$E$2:$E$173,0),MATCH('Selection Pane Data'!BY$3,List!$E$2:$CD$2,0)),"")</f>
        <v/>
      </c>
      <c r="BZ137" s="13" t="str">
        <f>IF(BZ$4="Yes",INDEX(List!$E$2:$CD$173,MATCH('Selection Pane Data'!$B137,List!$E$2:$E$173,0),MATCH('Selection Pane Data'!BZ$3,List!$E$2:$CD$2,0)),"")</f>
        <v/>
      </c>
      <c r="CA137" s="13" t="str">
        <f>IF(CA$4="Yes",INDEX(List!$E$2:$CD$173,MATCH('Selection Pane Data'!$B137,List!$E$2:$E$173,0),MATCH('Selection Pane Data'!CA$3,List!$E$2:$CD$2,0)),"")</f>
        <v/>
      </c>
      <c r="CB137" s="13" t="str">
        <f>IF(CB$4="Yes",INDEX(List!$E$2:$CD$173,MATCH('Selection Pane Data'!$B137,List!$E$2:$E$173,0),MATCH('Selection Pane Data'!CB$3,List!$E$2:$CD$2,0)),"")</f>
        <v/>
      </c>
      <c r="CC137" s="13" t="str">
        <f>IF(CC$4="Yes",INDEX(List!$E$2:$CD$173,MATCH('Selection Pane Data'!$B137,List!$E$2:$E$173,0),MATCH('Selection Pane Data'!CC$3,List!$E$2:$CD$2,0)),"")</f>
        <v/>
      </c>
      <c r="CD137" s="13" t="str">
        <f>IF(CD$4="Yes",INDEX(List!$E$2:$CD$173,MATCH('Selection Pane Data'!$B137,List!$E$2:$E$173,0),MATCH('Selection Pane Data'!CD$3,List!$E$2:$CD$2,0)),"")</f>
        <v/>
      </c>
      <c r="CE137" s="13" t="str">
        <f>IF(CE$4="Yes",INDEX(List!$E$2:$CD$173,MATCH('Selection Pane Data'!$B137,List!$E$2:$E$173,0),MATCH('Selection Pane Data'!CE$3,List!$E$2:$CD$2,0)),"")</f>
        <v/>
      </c>
    </row>
    <row r="138" spans="2:83" x14ac:dyDescent="0.35">
      <c r="B138" s="21" t="s">
        <v>425</v>
      </c>
      <c r="C138" s="126" t="str">
        <f>VLOOKUP(B138,List!$E$2:$G$173,2,FALSE)</f>
        <v>SC.L2-3.13.12</v>
      </c>
      <c r="D138" s="31" t="str">
        <f>List!G136</f>
        <v>Shared Coverage</v>
      </c>
      <c r="E138" s="31" t="str">
        <f>IF(Placemat!$F$4="All Practices","All Practices",IF(VLOOKUP(B138,Table7[#All],6,FALSE)="No Mapping","New CMMC Practices","Practices with NIST 800-171 Mappings"))</f>
        <v>Practices with NIST 800-171 Mappings</v>
      </c>
      <c r="F138" t="str">
        <f>INDEX('CMMC Levels'!$A$1:$F$172,MATCH('Selection Pane Data'!$C138,'CMMC Levels'!$A$1:$A$172,0),MATCH(Placemat!$F$4,'CMMC Levels'!$A$1:$F$1,0))</f>
        <v>X</v>
      </c>
      <c r="G138" s="77" t="str">
        <f>IF((COUNTIF(List!H136:CE136,"P")+COUNTIF(List!H136:CE136,"S"))=0,"N",IF(COUNTIF(H138:CE138,"P"),"P",IF(COUNTIF(H138:CE138,"S"),"S","U")))</f>
        <v>U</v>
      </c>
      <c r="H138" s="13" t="str">
        <f>IF(H$4="Yes",INDEX(List!$E$2:$CD$173,MATCH('Selection Pane Data'!$B138,List!$E$2:$E$173,0),MATCH('Selection Pane Data'!H$3,List!$E$2:$CD$2,0)),"")</f>
        <v/>
      </c>
      <c r="I138" s="13" t="str">
        <f>IF(I$4="Yes",INDEX(List!$E$2:$CD$173,MATCH('Selection Pane Data'!$B138,List!$E$2:$E$173,0),MATCH('Selection Pane Data'!I$3,List!$E$2:$CD$2,0)),"")</f>
        <v/>
      </c>
      <c r="J138" s="13" t="str">
        <f>IF(J$4="Yes",INDEX(List!$E$2:$CD$173,MATCH('Selection Pane Data'!$B138,List!$E$2:$E$173,0),MATCH('Selection Pane Data'!J$3,List!$E$2:$CD$2,0)),"")</f>
        <v>N</v>
      </c>
      <c r="K138" s="13" t="str">
        <f>IF(K$4="Yes",INDEX(List!$E$2:$CD$173,MATCH('Selection Pane Data'!$B138,List!$E$2:$E$173,0),MATCH('Selection Pane Data'!K$3,List!$E$2:$CD$2,0)),"")</f>
        <v/>
      </c>
      <c r="L138" s="13" t="str">
        <f>IF(L$4="Yes",INDEX(List!$E$2:$CD$173,MATCH('Selection Pane Data'!$B138,List!$E$2:$E$173,0),MATCH('Selection Pane Data'!L$3,List!$E$2:$CD$2,0)),"")</f>
        <v/>
      </c>
      <c r="M138" s="13" t="str">
        <f>IF(M$4="Yes",INDEX(List!$E$2:$CD$173,MATCH('Selection Pane Data'!$B138,List!$E$2:$E$173,0),MATCH('Selection Pane Data'!M$3,List!$E$2:$CD$2,0)),"")</f>
        <v/>
      </c>
      <c r="N138" s="13" t="str">
        <f>IF(N$4="Yes",INDEX(List!$E$2:$CD$173,MATCH('Selection Pane Data'!$B138,List!$E$2:$E$173,0),MATCH('Selection Pane Data'!N$3,List!$E$2:$CD$2,0)),"")</f>
        <v/>
      </c>
      <c r="O138" s="13" t="str">
        <f>IF(O$4="Yes",INDEX(List!$E$2:$CD$173,MATCH('Selection Pane Data'!$B138,List!$E$2:$E$173,0),MATCH('Selection Pane Data'!O$3,List!$E$2:$CD$2,0)),"")</f>
        <v/>
      </c>
      <c r="P138" s="13" t="str">
        <f>IF(P$4="Yes",INDEX(List!$E$2:$CD$173,MATCH('Selection Pane Data'!$B138,List!$E$2:$E$173,0),MATCH('Selection Pane Data'!P$3,List!$E$2:$CD$2,0)),"")</f>
        <v/>
      </c>
      <c r="Q138" s="13" t="str">
        <f>IF(Q$4="Yes",INDEX(List!$E$2:$CD$173,MATCH('Selection Pane Data'!$B138,List!$E$2:$E$173,0),MATCH('Selection Pane Data'!Q$3,List!$E$2:$CD$2,0)),"")</f>
        <v/>
      </c>
      <c r="R138" s="13" t="str">
        <f>IF(R$4="Yes",INDEX(List!$E$2:$CD$173,MATCH('Selection Pane Data'!$B138,List!$E$2:$E$173,0),MATCH('Selection Pane Data'!R$3,List!$E$2:$CD$2,0)),"")</f>
        <v/>
      </c>
      <c r="S138" s="13" t="str">
        <f>IF(S$4="Yes",INDEX(List!$E$2:$CD$173,MATCH('Selection Pane Data'!$B138,List!$E$2:$E$173,0),MATCH('Selection Pane Data'!S$3,List!$E$2:$CD$2,0)),"")</f>
        <v/>
      </c>
      <c r="T138" s="13" t="str">
        <f>IF(T$4="Yes",INDEX(List!$E$2:$CD$173,MATCH('Selection Pane Data'!$B138,List!$E$2:$E$173,0),MATCH('Selection Pane Data'!T$3,List!$E$2:$CD$2,0)),"")</f>
        <v/>
      </c>
      <c r="U138" s="13" t="str">
        <f>IF(U$4="Yes",INDEX(List!$E$2:$CD$173,MATCH('Selection Pane Data'!$B138,List!$E$2:$E$173,0),MATCH('Selection Pane Data'!U$3,List!$E$2:$CD$2,0)),"")</f>
        <v/>
      </c>
      <c r="V138" s="13" t="str">
        <f>IF(V$4="Yes",INDEX(List!$E$2:$CD$173,MATCH('Selection Pane Data'!$B138,List!$E$2:$E$173,0),MATCH('Selection Pane Data'!V$3,List!$E$2:$CD$2,0)),"")</f>
        <v/>
      </c>
      <c r="W138" s="13" t="str">
        <f>IF(W$4="Yes",INDEX(List!$E$2:$CD$173,MATCH('Selection Pane Data'!$B138,List!$E$2:$E$173,0),MATCH('Selection Pane Data'!W$3,List!$E$2:$CD$2,0)),"")</f>
        <v/>
      </c>
      <c r="X138" s="13" t="str">
        <f>IF(X$4="Yes",INDEX(List!$E$2:$CD$173,MATCH('Selection Pane Data'!$B138,List!$E$2:$E$173,0),MATCH('Selection Pane Data'!X$3,List!$E$2:$CD$2,0)),"")</f>
        <v/>
      </c>
      <c r="Y138" s="13" t="str">
        <f>IF(Y$4="Yes",INDEX(List!$E$2:$CD$173,MATCH('Selection Pane Data'!$B138,List!$E$2:$E$173,0),MATCH('Selection Pane Data'!Y$3,List!$E$2:$CD$2,0)),"")</f>
        <v/>
      </c>
      <c r="Z138" s="13" t="str">
        <f>IF(Z$4="Yes",INDEX(List!$E$2:$CD$173,MATCH('Selection Pane Data'!$B138,List!$E$2:$E$173,0),MATCH('Selection Pane Data'!Z$3,List!$E$2:$CD$2,0)),"")</f>
        <v/>
      </c>
      <c r="AA138" s="13" t="str">
        <f>IF(AA$4="Yes",INDEX(List!$E$2:$CD$173,MATCH('Selection Pane Data'!$B138,List!$E$2:$E$173,0),MATCH('Selection Pane Data'!AA$3,List!$E$2:$CD$2,0)),"")</f>
        <v>N</v>
      </c>
      <c r="AB138" s="13" t="str">
        <f>IF(AB$4="Yes",INDEX(List!$E$2:$CD$173,MATCH('Selection Pane Data'!$B138,List!$E$2:$E$173,0),MATCH('Selection Pane Data'!AB$3,List!$E$2:$CD$2,0)),"")</f>
        <v/>
      </c>
      <c r="AC138" s="13" t="str">
        <f>IF(AC$4="Yes",INDEX(List!$E$2:$CD$173,MATCH('Selection Pane Data'!$B138,List!$E$2:$E$173,0),MATCH('Selection Pane Data'!AC$3,List!$E$2:$CD$2,0)),"")</f>
        <v/>
      </c>
      <c r="AD138" s="13" t="str">
        <f>IF(AD$4="Yes",INDEX(List!$E$2:$CD$173,MATCH('Selection Pane Data'!$B138,List!$E$2:$E$173,0),MATCH('Selection Pane Data'!AD$3,List!$E$2:$CD$2,0)),"")</f>
        <v/>
      </c>
      <c r="AE138" s="13" t="str">
        <f>IF(AE$4="Yes",INDEX(List!$E$2:$CD$173,MATCH('Selection Pane Data'!$B138,List!$E$2:$E$173,0),MATCH('Selection Pane Data'!AE$3,List!$E$2:$CD$2,0)),"")</f>
        <v/>
      </c>
      <c r="AF138" s="13" t="str">
        <f>IF(AF$4="Yes",INDEX(List!$E$2:$CD$173,MATCH('Selection Pane Data'!$B138,List!$E$2:$E$173,0),MATCH('Selection Pane Data'!AF$3,List!$E$2:$CD$2,0)),"")</f>
        <v/>
      </c>
      <c r="AG138" s="13" t="str">
        <f>IF(AG$4="Yes",INDEX(List!$E$2:$CD$173,MATCH('Selection Pane Data'!$B138,List!$E$2:$E$173,0),MATCH('Selection Pane Data'!AG$3,List!$E$2:$CD$2,0)),"")</f>
        <v/>
      </c>
      <c r="AH138" s="13" t="str">
        <f>IF(AH$4="Yes",INDEX(List!$E$2:$CD$173,MATCH('Selection Pane Data'!$B138,List!$E$2:$E$173,0),MATCH('Selection Pane Data'!AH$3,List!$E$2:$CD$2,0)),"")</f>
        <v/>
      </c>
      <c r="AI138" s="13" t="str">
        <f>IF(AI$4="Yes",INDEX(List!$E$2:$CD$173,MATCH('Selection Pane Data'!$B138,List!$E$2:$E$173,0),MATCH('Selection Pane Data'!AI$3,List!$E$2:$CD$2,0)),"")</f>
        <v/>
      </c>
      <c r="AJ138" s="13" t="str">
        <f>IF(AJ$4="Yes",INDEX(List!$E$2:$CD$173,MATCH('Selection Pane Data'!$B138,List!$E$2:$E$173,0),MATCH('Selection Pane Data'!AJ$3,List!$E$2:$CD$2,0)),"")</f>
        <v/>
      </c>
      <c r="AK138" s="13" t="str">
        <f>IF(AK$4="Yes",INDEX(List!$E$2:$CD$173,MATCH('Selection Pane Data'!$B138,List!$E$2:$E$173,0),MATCH('Selection Pane Data'!AK$3,List!$E$2:$CD$2,0)),"")</f>
        <v/>
      </c>
      <c r="AL138" s="13" t="str">
        <f>IF(AL$4="Yes",INDEX(List!$E$2:$CD$173,MATCH('Selection Pane Data'!$B138,List!$E$2:$E$173,0),MATCH('Selection Pane Data'!AL$3,List!$E$2:$CD$2,0)),"")</f>
        <v/>
      </c>
      <c r="AM138" s="13" t="str">
        <f>IF(AM$4="Yes",INDEX(List!$E$2:$CD$173,MATCH('Selection Pane Data'!$B138,List!$E$2:$E$173,0),MATCH('Selection Pane Data'!AM$3,List!$E$2:$CD$2,0)),"")</f>
        <v/>
      </c>
      <c r="AN138" s="13" t="str">
        <f>IF(AN$4="Yes",INDEX(List!$E$2:$CD$173,MATCH('Selection Pane Data'!$B138,List!$E$2:$E$173,0),MATCH('Selection Pane Data'!AN$3,List!$E$2:$CD$2,0)),"")</f>
        <v/>
      </c>
      <c r="AO138" s="13" t="str">
        <f>IF(AO$4="Yes",INDEX(List!$E$2:$CD$173,MATCH('Selection Pane Data'!$B138,List!$E$2:$E$173,0),MATCH('Selection Pane Data'!AO$3,List!$E$2:$CD$2,0)),"")</f>
        <v/>
      </c>
      <c r="AP138" s="13" t="str">
        <f>IF(AP$4="Yes",INDEX(List!$E$2:$CD$173,MATCH('Selection Pane Data'!$B138,List!$E$2:$E$173,0),MATCH('Selection Pane Data'!AP$3,List!$E$2:$CD$2,0)),"")</f>
        <v/>
      </c>
      <c r="AQ138" s="13" t="str">
        <f>IF(AQ$4="Yes",INDEX(List!$E$2:$CD$173,MATCH('Selection Pane Data'!$B138,List!$E$2:$E$173,0),MATCH('Selection Pane Data'!AQ$3,List!$E$2:$CD$2,0)),"")</f>
        <v/>
      </c>
      <c r="AR138" s="13" t="str">
        <f>IF(AR$4="Yes",INDEX(List!$E$2:$CD$173,MATCH('Selection Pane Data'!$B138,List!$E$2:$E$173,0),MATCH('Selection Pane Data'!AR$3,List!$E$2:$CD$2,0)),"")</f>
        <v/>
      </c>
      <c r="AS138" s="13" t="str">
        <f>IF(AS$4="Yes",INDEX(List!$E$2:$CD$173,MATCH('Selection Pane Data'!$B138,List!$E$2:$E$173,0),MATCH('Selection Pane Data'!AS$3,List!$E$2:$CD$2,0)),"")</f>
        <v/>
      </c>
      <c r="AT138" s="13" t="str">
        <f>IF(AT$4="Yes",INDEX(List!$E$2:$CD$173,MATCH('Selection Pane Data'!$B138,List!$E$2:$E$173,0),MATCH('Selection Pane Data'!AT$3,List!$E$2:$CD$2,0)),"")</f>
        <v/>
      </c>
      <c r="AU138" s="13" t="str">
        <f>IF(AU$4="Yes",INDEX(List!$E$2:$CD$173,MATCH('Selection Pane Data'!$B138,List!$E$2:$E$173,0),MATCH('Selection Pane Data'!AU$3,List!$E$2:$CD$2,0)),"")</f>
        <v/>
      </c>
      <c r="AV138" s="13" t="str">
        <f>IF(AV$4="Yes",INDEX(List!$E$2:$CD$173,MATCH('Selection Pane Data'!$B138,List!$E$2:$E$173,0),MATCH('Selection Pane Data'!AV$3,List!$E$2:$CD$2,0)),"")</f>
        <v/>
      </c>
      <c r="AW138" s="13" t="str">
        <f>IF(AW$4="Yes",INDEX(List!$E$2:$CD$173,MATCH('Selection Pane Data'!$B138,List!$E$2:$E$173,0),MATCH('Selection Pane Data'!AW$3,List!$E$2:$CD$2,0)),"")</f>
        <v/>
      </c>
      <c r="AX138" s="13" t="str">
        <f>IF(AX$4="Yes",INDEX(List!$E$2:$CD$173,MATCH('Selection Pane Data'!$B138,List!$E$2:$E$173,0),MATCH('Selection Pane Data'!AX$3,List!$E$2:$CD$2,0)),"")</f>
        <v/>
      </c>
      <c r="AY138" s="13" t="str">
        <f>IF(AY$4="Yes",INDEX(List!$E$2:$CD$173,MATCH('Selection Pane Data'!$B138,List!$E$2:$E$173,0),MATCH('Selection Pane Data'!AY$3,List!$E$2:$CD$2,0)),"")</f>
        <v/>
      </c>
      <c r="AZ138" s="13" t="str">
        <f>IF(AZ$4="Yes",INDEX(List!$E$2:$CD$173,MATCH('Selection Pane Data'!$B138,List!$E$2:$E$173,0),MATCH('Selection Pane Data'!AZ$3,List!$E$2:$CD$2,0)),"")</f>
        <v/>
      </c>
      <c r="BA138" s="13" t="str">
        <f>IF(BA$4="Yes",INDEX(List!$E$2:$CD$173,MATCH('Selection Pane Data'!$B138,List!$E$2:$E$173,0),MATCH('Selection Pane Data'!BA$3,List!$E$2:$CD$2,0)),"")</f>
        <v/>
      </c>
      <c r="BB138" s="13" t="str">
        <f>IF(BB$4="Yes",INDEX(List!$E$2:$CD$173,MATCH('Selection Pane Data'!$B138,List!$E$2:$E$173,0),MATCH('Selection Pane Data'!BB$3,List!$E$2:$CD$2,0)),"")</f>
        <v/>
      </c>
      <c r="BC138" s="13" t="str">
        <f>IF(BC$4="Yes",INDEX(List!$E$2:$CD$173,MATCH('Selection Pane Data'!$B138,List!$E$2:$E$173,0),MATCH('Selection Pane Data'!BC$3,List!$E$2:$CD$2,0)),"")</f>
        <v/>
      </c>
      <c r="BD138" s="13" t="str">
        <f>IF(BD$4="Yes",INDEX(List!$E$2:$CD$173,MATCH('Selection Pane Data'!$B138,List!$E$2:$E$173,0),MATCH('Selection Pane Data'!BD$3,List!$E$2:$CD$2,0)),"")</f>
        <v/>
      </c>
      <c r="BE138" s="13" t="str">
        <f>IF(BE$4="Yes",INDEX(List!$E$2:$CD$173,MATCH('Selection Pane Data'!$B138,List!$E$2:$E$173,0),MATCH('Selection Pane Data'!BE$3,List!$E$2:$CD$2,0)),"")</f>
        <v/>
      </c>
      <c r="BF138" s="13" t="str">
        <f>IF(BF$4="Yes",INDEX(List!$E$2:$CD$173,MATCH('Selection Pane Data'!$B138,List!$E$2:$E$173,0),MATCH('Selection Pane Data'!BF$3,List!$E$2:$CD$2,0)),"")</f>
        <v/>
      </c>
      <c r="BG138" s="13" t="str">
        <f>IF(BG$4="Yes",INDEX(List!$E$2:$CD$173,MATCH('Selection Pane Data'!$B138,List!$E$2:$E$173,0),MATCH('Selection Pane Data'!BG$3,List!$E$2:$CD$2,0)),"")</f>
        <v/>
      </c>
      <c r="BH138" s="13" t="str">
        <f>IF(BH$4="Yes",INDEX(List!$E$2:$CD$173,MATCH('Selection Pane Data'!$B138,List!$E$2:$E$173,0),MATCH('Selection Pane Data'!BH$3,List!$E$2:$CD$2,0)),"")</f>
        <v/>
      </c>
      <c r="BI138" s="13" t="str">
        <f>IF(BI$4="Yes",INDEX(List!$E$2:$CD$173,MATCH('Selection Pane Data'!$B138,List!$E$2:$E$173,0),MATCH('Selection Pane Data'!BI$3,List!$E$2:$CD$2,0)),"")</f>
        <v/>
      </c>
      <c r="BJ138" s="13" t="str">
        <f>IF(BJ$4="Yes",INDEX(List!$E$2:$CD$173,MATCH('Selection Pane Data'!$B138,List!$E$2:$E$173,0),MATCH('Selection Pane Data'!BJ$3,List!$E$2:$CD$2,0)),"")</f>
        <v/>
      </c>
      <c r="BK138" s="13" t="str">
        <f>IF(BK$4="Yes",INDEX(List!$E$2:$CD$173,MATCH('Selection Pane Data'!$B138,List!$E$2:$E$173,0),MATCH('Selection Pane Data'!BK$3,List!$E$2:$CD$2,0)),"")</f>
        <v/>
      </c>
      <c r="BL138" s="13" t="str">
        <f>IF(BL$4="Yes",INDEX(List!$E$2:$CD$173,MATCH('Selection Pane Data'!$B138,List!$E$2:$E$173,0),MATCH('Selection Pane Data'!BL$3,List!$E$2:$CD$2,0)),"")</f>
        <v/>
      </c>
      <c r="BM138" s="13" t="str">
        <f>IF(BM$4="Yes",INDEX(List!$E$2:$CD$173,MATCH('Selection Pane Data'!$B138,List!$E$2:$E$173,0),MATCH('Selection Pane Data'!BM$3,List!$E$2:$CD$2,0)),"")</f>
        <v/>
      </c>
      <c r="BN138" s="13" t="str">
        <f>IF(BN$4="Yes",INDEX(List!$E$2:$CD$173,MATCH('Selection Pane Data'!$B138,List!$E$2:$E$173,0),MATCH('Selection Pane Data'!BN$3,List!$E$2:$CD$2,0)),"")</f>
        <v/>
      </c>
      <c r="BO138" s="13" t="str">
        <f>IF(BO$4="Yes",INDEX(List!$E$2:$CD$173,MATCH('Selection Pane Data'!$B138,List!$E$2:$E$173,0),MATCH('Selection Pane Data'!BO$3,List!$E$2:$CD$2,0)),"")</f>
        <v/>
      </c>
      <c r="BP138" s="13" t="str">
        <f>IF(BP$4="Yes",INDEX(List!$E$2:$CD$173,MATCH('Selection Pane Data'!$B138,List!$E$2:$E$173,0),MATCH('Selection Pane Data'!BP$3,List!$E$2:$CD$2,0)),"")</f>
        <v/>
      </c>
      <c r="BQ138" s="13" t="str">
        <f>IF(BQ$4="Yes",INDEX(List!$E$2:$CD$173,MATCH('Selection Pane Data'!$B138,List!$E$2:$E$173,0),MATCH('Selection Pane Data'!BQ$3,List!$E$2:$CD$2,0)),"")</f>
        <v/>
      </c>
      <c r="BR138" s="13" t="str">
        <f>IF(BR$4="Yes",INDEX(List!$E$2:$CD$173,MATCH('Selection Pane Data'!$B138,List!$E$2:$E$173,0),MATCH('Selection Pane Data'!BR$3,List!$E$2:$CD$2,0)),"")</f>
        <v/>
      </c>
      <c r="BS138" s="13" t="str">
        <f>IF(BS$4="Yes",INDEX(List!$E$2:$CD$173,MATCH('Selection Pane Data'!$B138,List!$E$2:$E$173,0),MATCH('Selection Pane Data'!BS$3,List!$E$2:$CD$2,0)),"")</f>
        <v/>
      </c>
      <c r="BT138" s="13" t="str">
        <f>IF(BT$4="Yes",INDEX(List!$E$2:$CD$173,MATCH('Selection Pane Data'!$B138,List!$E$2:$E$173,0),MATCH('Selection Pane Data'!BT$3,List!$E$2:$CD$2,0)),"")</f>
        <v/>
      </c>
      <c r="BU138" s="13" t="str">
        <f>IF(BU$4="Yes",INDEX(List!$E$2:$CD$173,MATCH('Selection Pane Data'!$B138,List!$E$2:$E$173,0),MATCH('Selection Pane Data'!BU$3,List!$E$2:$CD$2,0)),"")</f>
        <v/>
      </c>
      <c r="BV138" s="13" t="str">
        <f>IF(BV$4="Yes",INDEX(List!$E$2:$CD$173,MATCH('Selection Pane Data'!$B138,List!$E$2:$E$173,0),MATCH('Selection Pane Data'!BV$3,List!$E$2:$CD$2,0)),"")</f>
        <v/>
      </c>
      <c r="BW138" s="13" t="str">
        <f>IF(BW$4="Yes",INDEX(List!$E$2:$CD$173,MATCH('Selection Pane Data'!$B138,List!$E$2:$E$173,0),MATCH('Selection Pane Data'!BW$3,List!$E$2:$CD$2,0)),"")</f>
        <v/>
      </c>
      <c r="BX138" s="13" t="str">
        <f>IF(BX$4="Yes",INDEX(List!$E$2:$CD$173,MATCH('Selection Pane Data'!$B138,List!$E$2:$E$173,0),MATCH('Selection Pane Data'!BX$3,List!$E$2:$CD$2,0)),"")</f>
        <v/>
      </c>
      <c r="BY138" s="13" t="str">
        <f>IF(BY$4="Yes",INDEX(List!$E$2:$CD$173,MATCH('Selection Pane Data'!$B138,List!$E$2:$E$173,0),MATCH('Selection Pane Data'!BY$3,List!$E$2:$CD$2,0)),"")</f>
        <v/>
      </c>
      <c r="BZ138" s="13" t="str">
        <f>IF(BZ$4="Yes",INDEX(List!$E$2:$CD$173,MATCH('Selection Pane Data'!$B138,List!$E$2:$E$173,0),MATCH('Selection Pane Data'!BZ$3,List!$E$2:$CD$2,0)),"")</f>
        <v/>
      </c>
      <c r="CA138" s="13" t="str">
        <f>IF(CA$4="Yes",INDEX(List!$E$2:$CD$173,MATCH('Selection Pane Data'!$B138,List!$E$2:$E$173,0),MATCH('Selection Pane Data'!CA$3,List!$E$2:$CD$2,0)),"")</f>
        <v/>
      </c>
      <c r="CB138" s="13" t="str">
        <f>IF(CB$4="Yes",INDEX(List!$E$2:$CD$173,MATCH('Selection Pane Data'!$B138,List!$E$2:$E$173,0),MATCH('Selection Pane Data'!CB$3,List!$E$2:$CD$2,0)),"")</f>
        <v/>
      </c>
      <c r="CC138" s="13" t="str">
        <f>IF(CC$4="Yes",INDEX(List!$E$2:$CD$173,MATCH('Selection Pane Data'!$B138,List!$E$2:$E$173,0),MATCH('Selection Pane Data'!CC$3,List!$E$2:$CD$2,0)),"")</f>
        <v/>
      </c>
      <c r="CD138" s="13" t="str">
        <f>IF(CD$4="Yes",INDEX(List!$E$2:$CD$173,MATCH('Selection Pane Data'!$B138,List!$E$2:$E$173,0),MATCH('Selection Pane Data'!CD$3,List!$E$2:$CD$2,0)),"")</f>
        <v/>
      </c>
      <c r="CE138" s="13" t="str">
        <f>IF(CE$4="Yes",INDEX(List!$E$2:$CD$173,MATCH('Selection Pane Data'!$B138,List!$E$2:$E$173,0),MATCH('Selection Pane Data'!CE$3,List!$E$2:$CD$2,0)),"")</f>
        <v/>
      </c>
    </row>
    <row r="139" spans="2:83" x14ac:dyDescent="0.35">
      <c r="B139" s="21" t="s">
        <v>426</v>
      </c>
      <c r="C139" s="126" t="str">
        <f>VLOOKUP(B139,List!$E$2:$G$173,2,FALSE)</f>
        <v>N/A</v>
      </c>
      <c r="D139" s="31" t="str">
        <f>List!G137</f>
        <v>Shared Coverage</v>
      </c>
      <c r="E139" s="31" t="str">
        <f>IF(Placemat!$F$4="All Practices","All Practices",IF(VLOOKUP(B139,Table7[#All],6,FALSE)="No Mapping","New CMMC Practices","Practices with NIST 800-171 Mappings"))</f>
        <v>Practices with NIST 800-171 Mappings</v>
      </c>
      <c r="F139" t="str">
        <f>INDEX('CMMC Levels'!$A$1:$F$172,MATCH('Selection Pane Data'!$C139,'CMMC Levels'!$A$1:$A$172,0),MATCH(Placemat!$F$4,'CMMC Levels'!$A$1:$F$1,0))</f>
        <v>N/A</v>
      </c>
      <c r="G139" s="77" t="str">
        <f>IF((COUNTIF(List!H137:CE137,"P")+COUNTIF(List!H137:CE137,"S"))=0,"N",IF(COUNTIF(H139:CE139,"P"),"P",IF(COUNTIF(H139:CE139,"S"),"S","U")))</f>
        <v>N</v>
      </c>
      <c r="H139" s="13" t="str">
        <f>IF(H$4="Yes",INDEX(List!$E$2:$CD$173,MATCH('Selection Pane Data'!$B139,List!$E$2:$E$173,0),MATCH('Selection Pane Data'!H$3,List!$E$2:$CD$2,0)),"")</f>
        <v/>
      </c>
      <c r="I139" s="13" t="str">
        <f>IF(I$4="Yes",INDEX(List!$E$2:$CD$173,MATCH('Selection Pane Data'!$B139,List!$E$2:$E$173,0),MATCH('Selection Pane Data'!I$3,List!$E$2:$CD$2,0)),"")</f>
        <v/>
      </c>
      <c r="J139" s="13" t="e">
        <f>IF(J$4="Yes",INDEX(List!$E$2:$CD$173,MATCH('Selection Pane Data'!$B139,List!$E$2:$E$173,0),MATCH('Selection Pane Data'!J$3,List!$E$2:$CD$2,0)),"")</f>
        <v>#N/A</v>
      </c>
      <c r="K139" s="13" t="str">
        <f>IF(K$4="Yes",INDEX(List!$E$2:$CD$173,MATCH('Selection Pane Data'!$B139,List!$E$2:$E$173,0),MATCH('Selection Pane Data'!K$3,List!$E$2:$CD$2,0)),"")</f>
        <v/>
      </c>
      <c r="L139" s="13" t="str">
        <f>IF(L$4="Yes",INDEX(List!$E$2:$CD$173,MATCH('Selection Pane Data'!$B139,List!$E$2:$E$173,0),MATCH('Selection Pane Data'!L$3,List!$E$2:$CD$2,0)),"")</f>
        <v/>
      </c>
      <c r="M139" s="13" t="str">
        <f>IF(M$4="Yes",INDEX(List!$E$2:$CD$173,MATCH('Selection Pane Data'!$B139,List!$E$2:$E$173,0),MATCH('Selection Pane Data'!M$3,List!$E$2:$CD$2,0)),"")</f>
        <v/>
      </c>
      <c r="N139" s="13" t="str">
        <f>IF(N$4="Yes",INDEX(List!$E$2:$CD$173,MATCH('Selection Pane Data'!$B139,List!$E$2:$E$173,0),MATCH('Selection Pane Data'!N$3,List!$E$2:$CD$2,0)),"")</f>
        <v/>
      </c>
      <c r="O139" s="13" t="str">
        <f>IF(O$4="Yes",INDEX(List!$E$2:$CD$173,MATCH('Selection Pane Data'!$B139,List!$E$2:$E$173,0),MATCH('Selection Pane Data'!O$3,List!$E$2:$CD$2,0)),"")</f>
        <v/>
      </c>
      <c r="P139" s="13" t="str">
        <f>IF(P$4="Yes",INDEX(List!$E$2:$CD$173,MATCH('Selection Pane Data'!$B139,List!$E$2:$E$173,0),MATCH('Selection Pane Data'!P$3,List!$E$2:$CD$2,0)),"")</f>
        <v/>
      </c>
      <c r="Q139" s="13" t="str">
        <f>IF(Q$4="Yes",INDEX(List!$E$2:$CD$173,MATCH('Selection Pane Data'!$B139,List!$E$2:$E$173,0),MATCH('Selection Pane Data'!Q$3,List!$E$2:$CD$2,0)),"")</f>
        <v/>
      </c>
      <c r="R139" s="13" t="str">
        <f>IF(R$4="Yes",INDEX(List!$E$2:$CD$173,MATCH('Selection Pane Data'!$B139,List!$E$2:$E$173,0),MATCH('Selection Pane Data'!R$3,List!$E$2:$CD$2,0)),"")</f>
        <v/>
      </c>
      <c r="S139" s="13" t="str">
        <f>IF(S$4="Yes",INDEX(List!$E$2:$CD$173,MATCH('Selection Pane Data'!$B139,List!$E$2:$E$173,0),MATCH('Selection Pane Data'!S$3,List!$E$2:$CD$2,0)),"")</f>
        <v/>
      </c>
      <c r="T139" s="13" t="str">
        <f>IF(T$4="Yes",INDEX(List!$E$2:$CD$173,MATCH('Selection Pane Data'!$B139,List!$E$2:$E$173,0),MATCH('Selection Pane Data'!T$3,List!$E$2:$CD$2,0)),"")</f>
        <v/>
      </c>
      <c r="U139" s="13" t="str">
        <f>IF(U$4="Yes",INDEX(List!$E$2:$CD$173,MATCH('Selection Pane Data'!$B139,List!$E$2:$E$173,0),MATCH('Selection Pane Data'!U$3,List!$E$2:$CD$2,0)),"")</f>
        <v/>
      </c>
      <c r="V139" s="13" t="str">
        <f>IF(V$4="Yes",INDEX(List!$E$2:$CD$173,MATCH('Selection Pane Data'!$B139,List!$E$2:$E$173,0),MATCH('Selection Pane Data'!V$3,List!$E$2:$CD$2,0)),"")</f>
        <v/>
      </c>
      <c r="W139" s="13" t="str">
        <f>IF(W$4="Yes",INDEX(List!$E$2:$CD$173,MATCH('Selection Pane Data'!$B139,List!$E$2:$E$173,0),MATCH('Selection Pane Data'!W$3,List!$E$2:$CD$2,0)),"")</f>
        <v/>
      </c>
      <c r="X139" s="13" t="str">
        <f>IF(X$4="Yes",INDEX(List!$E$2:$CD$173,MATCH('Selection Pane Data'!$B139,List!$E$2:$E$173,0),MATCH('Selection Pane Data'!X$3,List!$E$2:$CD$2,0)),"")</f>
        <v/>
      </c>
      <c r="Y139" s="13" t="str">
        <f>IF(Y$4="Yes",INDEX(List!$E$2:$CD$173,MATCH('Selection Pane Data'!$B139,List!$E$2:$E$173,0),MATCH('Selection Pane Data'!Y$3,List!$E$2:$CD$2,0)),"")</f>
        <v/>
      </c>
      <c r="Z139" s="13" t="str">
        <f>IF(Z$4="Yes",INDEX(List!$E$2:$CD$173,MATCH('Selection Pane Data'!$B139,List!$E$2:$E$173,0),MATCH('Selection Pane Data'!Z$3,List!$E$2:$CD$2,0)),"")</f>
        <v/>
      </c>
      <c r="AA139" s="13" t="e">
        <f>IF(AA$4="Yes",INDEX(List!$E$2:$CD$173,MATCH('Selection Pane Data'!$B139,List!$E$2:$E$173,0),MATCH('Selection Pane Data'!AA$3,List!$E$2:$CD$2,0)),"")</f>
        <v>#N/A</v>
      </c>
      <c r="AB139" s="13" t="str">
        <f>IF(AB$4="Yes",INDEX(List!$E$2:$CD$173,MATCH('Selection Pane Data'!$B139,List!$E$2:$E$173,0),MATCH('Selection Pane Data'!AB$3,List!$E$2:$CD$2,0)),"")</f>
        <v/>
      </c>
      <c r="AC139" s="13" t="str">
        <f>IF(AC$4="Yes",INDEX(List!$E$2:$CD$173,MATCH('Selection Pane Data'!$B139,List!$E$2:$E$173,0),MATCH('Selection Pane Data'!AC$3,List!$E$2:$CD$2,0)),"")</f>
        <v/>
      </c>
      <c r="AD139" s="13" t="str">
        <f>IF(AD$4="Yes",INDEX(List!$E$2:$CD$173,MATCH('Selection Pane Data'!$B139,List!$E$2:$E$173,0),MATCH('Selection Pane Data'!AD$3,List!$E$2:$CD$2,0)),"")</f>
        <v/>
      </c>
      <c r="AE139" s="13" t="str">
        <f>IF(AE$4="Yes",INDEX(List!$E$2:$CD$173,MATCH('Selection Pane Data'!$B139,List!$E$2:$E$173,0),MATCH('Selection Pane Data'!AE$3,List!$E$2:$CD$2,0)),"")</f>
        <v/>
      </c>
      <c r="AF139" s="13" t="str">
        <f>IF(AF$4="Yes",INDEX(List!$E$2:$CD$173,MATCH('Selection Pane Data'!$B139,List!$E$2:$E$173,0),MATCH('Selection Pane Data'!AF$3,List!$E$2:$CD$2,0)),"")</f>
        <v/>
      </c>
      <c r="AG139" s="13" t="str">
        <f>IF(AG$4="Yes",INDEX(List!$E$2:$CD$173,MATCH('Selection Pane Data'!$B139,List!$E$2:$E$173,0),MATCH('Selection Pane Data'!AG$3,List!$E$2:$CD$2,0)),"")</f>
        <v/>
      </c>
      <c r="AH139" s="13" t="str">
        <f>IF(AH$4="Yes",INDEX(List!$E$2:$CD$173,MATCH('Selection Pane Data'!$B139,List!$E$2:$E$173,0),MATCH('Selection Pane Data'!AH$3,List!$E$2:$CD$2,0)),"")</f>
        <v/>
      </c>
      <c r="AI139" s="13" t="str">
        <f>IF(AI$4="Yes",INDEX(List!$E$2:$CD$173,MATCH('Selection Pane Data'!$B139,List!$E$2:$E$173,0),MATCH('Selection Pane Data'!AI$3,List!$E$2:$CD$2,0)),"")</f>
        <v/>
      </c>
      <c r="AJ139" s="13" t="str">
        <f>IF(AJ$4="Yes",INDEX(List!$E$2:$CD$173,MATCH('Selection Pane Data'!$B139,List!$E$2:$E$173,0),MATCH('Selection Pane Data'!AJ$3,List!$E$2:$CD$2,0)),"")</f>
        <v/>
      </c>
      <c r="AK139" s="13" t="str">
        <f>IF(AK$4="Yes",INDEX(List!$E$2:$CD$173,MATCH('Selection Pane Data'!$B139,List!$E$2:$E$173,0),MATCH('Selection Pane Data'!AK$3,List!$E$2:$CD$2,0)),"")</f>
        <v/>
      </c>
      <c r="AL139" s="13" t="str">
        <f>IF(AL$4="Yes",INDEX(List!$E$2:$CD$173,MATCH('Selection Pane Data'!$B139,List!$E$2:$E$173,0),MATCH('Selection Pane Data'!AL$3,List!$E$2:$CD$2,0)),"")</f>
        <v/>
      </c>
      <c r="AM139" s="13" t="str">
        <f>IF(AM$4="Yes",INDEX(List!$E$2:$CD$173,MATCH('Selection Pane Data'!$B139,List!$E$2:$E$173,0),MATCH('Selection Pane Data'!AM$3,List!$E$2:$CD$2,0)),"")</f>
        <v/>
      </c>
      <c r="AN139" s="13" t="str">
        <f>IF(AN$4="Yes",INDEX(List!$E$2:$CD$173,MATCH('Selection Pane Data'!$B139,List!$E$2:$E$173,0),MATCH('Selection Pane Data'!AN$3,List!$E$2:$CD$2,0)),"")</f>
        <v/>
      </c>
      <c r="AO139" s="13" t="str">
        <f>IF(AO$4="Yes",INDEX(List!$E$2:$CD$173,MATCH('Selection Pane Data'!$B139,List!$E$2:$E$173,0),MATCH('Selection Pane Data'!AO$3,List!$E$2:$CD$2,0)),"")</f>
        <v/>
      </c>
      <c r="AP139" s="13" t="str">
        <f>IF(AP$4="Yes",INDEX(List!$E$2:$CD$173,MATCH('Selection Pane Data'!$B139,List!$E$2:$E$173,0),MATCH('Selection Pane Data'!AP$3,List!$E$2:$CD$2,0)),"")</f>
        <v/>
      </c>
      <c r="AQ139" s="13" t="str">
        <f>IF(AQ$4="Yes",INDEX(List!$E$2:$CD$173,MATCH('Selection Pane Data'!$B139,List!$E$2:$E$173,0),MATCH('Selection Pane Data'!AQ$3,List!$E$2:$CD$2,0)),"")</f>
        <v/>
      </c>
      <c r="AR139" s="13" t="str">
        <f>IF(AR$4="Yes",INDEX(List!$E$2:$CD$173,MATCH('Selection Pane Data'!$B139,List!$E$2:$E$173,0),MATCH('Selection Pane Data'!AR$3,List!$E$2:$CD$2,0)),"")</f>
        <v/>
      </c>
      <c r="AS139" s="13" t="str">
        <f>IF(AS$4="Yes",INDEX(List!$E$2:$CD$173,MATCH('Selection Pane Data'!$B139,List!$E$2:$E$173,0),MATCH('Selection Pane Data'!AS$3,List!$E$2:$CD$2,0)),"")</f>
        <v/>
      </c>
      <c r="AT139" s="13" t="str">
        <f>IF(AT$4="Yes",INDEX(List!$E$2:$CD$173,MATCH('Selection Pane Data'!$B139,List!$E$2:$E$173,0),MATCH('Selection Pane Data'!AT$3,List!$E$2:$CD$2,0)),"")</f>
        <v/>
      </c>
      <c r="AU139" s="13" t="str">
        <f>IF(AU$4="Yes",INDEX(List!$E$2:$CD$173,MATCH('Selection Pane Data'!$B139,List!$E$2:$E$173,0),MATCH('Selection Pane Data'!AU$3,List!$E$2:$CD$2,0)),"")</f>
        <v/>
      </c>
      <c r="AV139" s="13" t="str">
        <f>IF(AV$4="Yes",INDEX(List!$E$2:$CD$173,MATCH('Selection Pane Data'!$B139,List!$E$2:$E$173,0),MATCH('Selection Pane Data'!AV$3,List!$E$2:$CD$2,0)),"")</f>
        <v/>
      </c>
      <c r="AW139" s="13" t="str">
        <f>IF(AW$4="Yes",INDEX(List!$E$2:$CD$173,MATCH('Selection Pane Data'!$B139,List!$E$2:$E$173,0),MATCH('Selection Pane Data'!AW$3,List!$E$2:$CD$2,0)),"")</f>
        <v/>
      </c>
      <c r="AX139" s="13" t="str">
        <f>IF(AX$4="Yes",INDEX(List!$E$2:$CD$173,MATCH('Selection Pane Data'!$B139,List!$E$2:$E$173,0),MATCH('Selection Pane Data'!AX$3,List!$E$2:$CD$2,0)),"")</f>
        <v/>
      </c>
      <c r="AY139" s="13" t="str">
        <f>IF(AY$4="Yes",INDEX(List!$E$2:$CD$173,MATCH('Selection Pane Data'!$B139,List!$E$2:$E$173,0),MATCH('Selection Pane Data'!AY$3,List!$E$2:$CD$2,0)),"")</f>
        <v/>
      </c>
      <c r="AZ139" s="13" t="str">
        <f>IF(AZ$4="Yes",INDEX(List!$E$2:$CD$173,MATCH('Selection Pane Data'!$B139,List!$E$2:$E$173,0),MATCH('Selection Pane Data'!AZ$3,List!$E$2:$CD$2,0)),"")</f>
        <v/>
      </c>
      <c r="BA139" s="13" t="str">
        <f>IF(BA$4="Yes",INDEX(List!$E$2:$CD$173,MATCH('Selection Pane Data'!$B139,List!$E$2:$E$173,0),MATCH('Selection Pane Data'!BA$3,List!$E$2:$CD$2,0)),"")</f>
        <v/>
      </c>
      <c r="BB139" s="13" t="str">
        <f>IF(BB$4="Yes",INDEX(List!$E$2:$CD$173,MATCH('Selection Pane Data'!$B139,List!$E$2:$E$173,0),MATCH('Selection Pane Data'!BB$3,List!$E$2:$CD$2,0)),"")</f>
        <v/>
      </c>
      <c r="BC139" s="13" t="str">
        <f>IF(BC$4="Yes",INDEX(List!$E$2:$CD$173,MATCH('Selection Pane Data'!$B139,List!$E$2:$E$173,0),MATCH('Selection Pane Data'!BC$3,List!$E$2:$CD$2,0)),"")</f>
        <v/>
      </c>
      <c r="BD139" s="13" t="str">
        <f>IF(BD$4="Yes",INDEX(List!$E$2:$CD$173,MATCH('Selection Pane Data'!$B139,List!$E$2:$E$173,0),MATCH('Selection Pane Data'!BD$3,List!$E$2:$CD$2,0)),"")</f>
        <v/>
      </c>
      <c r="BE139" s="13" t="str">
        <f>IF(BE$4="Yes",INDEX(List!$E$2:$CD$173,MATCH('Selection Pane Data'!$B139,List!$E$2:$E$173,0),MATCH('Selection Pane Data'!BE$3,List!$E$2:$CD$2,0)),"")</f>
        <v/>
      </c>
      <c r="BF139" s="13" t="str">
        <f>IF(BF$4="Yes",INDEX(List!$E$2:$CD$173,MATCH('Selection Pane Data'!$B139,List!$E$2:$E$173,0),MATCH('Selection Pane Data'!BF$3,List!$E$2:$CD$2,0)),"")</f>
        <v/>
      </c>
      <c r="BG139" s="13" t="str">
        <f>IF(BG$4="Yes",INDEX(List!$E$2:$CD$173,MATCH('Selection Pane Data'!$B139,List!$E$2:$E$173,0),MATCH('Selection Pane Data'!BG$3,List!$E$2:$CD$2,0)),"")</f>
        <v/>
      </c>
      <c r="BH139" s="13" t="str">
        <f>IF(BH$4="Yes",INDEX(List!$E$2:$CD$173,MATCH('Selection Pane Data'!$B139,List!$E$2:$E$173,0),MATCH('Selection Pane Data'!BH$3,List!$E$2:$CD$2,0)),"")</f>
        <v/>
      </c>
      <c r="BI139" s="13" t="str">
        <f>IF(BI$4="Yes",INDEX(List!$E$2:$CD$173,MATCH('Selection Pane Data'!$B139,List!$E$2:$E$173,0),MATCH('Selection Pane Data'!BI$3,List!$E$2:$CD$2,0)),"")</f>
        <v/>
      </c>
      <c r="BJ139" s="13" t="str">
        <f>IF(BJ$4="Yes",INDEX(List!$E$2:$CD$173,MATCH('Selection Pane Data'!$B139,List!$E$2:$E$173,0),MATCH('Selection Pane Data'!BJ$3,List!$E$2:$CD$2,0)),"")</f>
        <v/>
      </c>
      <c r="BK139" s="13" t="str">
        <f>IF(BK$4="Yes",INDEX(List!$E$2:$CD$173,MATCH('Selection Pane Data'!$B139,List!$E$2:$E$173,0),MATCH('Selection Pane Data'!BK$3,List!$E$2:$CD$2,0)),"")</f>
        <v/>
      </c>
      <c r="BL139" s="13" t="str">
        <f>IF(BL$4="Yes",INDEX(List!$E$2:$CD$173,MATCH('Selection Pane Data'!$B139,List!$E$2:$E$173,0),MATCH('Selection Pane Data'!BL$3,List!$E$2:$CD$2,0)),"")</f>
        <v/>
      </c>
      <c r="BM139" s="13" t="str">
        <f>IF(BM$4="Yes",INDEX(List!$E$2:$CD$173,MATCH('Selection Pane Data'!$B139,List!$E$2:$E$173,0),MATCH('Selection Pane Data'!BM$3,List!$E$2:$CD$2,0)),"")</f>
        <v/>
      </c>
      <c r="BN139" s="13" t="str">
        <f>IF(BN$4="Yes",INDEX(List!$E$2:$CD$173,MATCH('Selection Pane Data'!$B139,List!$E$2:$E$173,0),MATCH('Selection Pane Data'!BN$3,List!$E$2:$CD$2,0)),"")</f>
        <v/>
      </c>
      <c r="BO139" s="13" t="str">
        <f>IF(BO$4="Yes",INDEX(List!$E$2:$CD$173,MATCH('Selection Pane Data'!$B139,List!$E$2:$E$173,0),MATCH('Selection Pane Data'!BO$3,List!$E$2:$CD$2,0)),"")</f>
        <v/>
      </c>
      <c r="BP139" s="13" t="str">
        <f>IF(BP$4="Yes",INDEX(List!$E$2:$CD$173,MATCH('Selection Pane Data'!$B139,List!$E$2:$E$173,0),MATCH('Selection Pane Data'!BP$3,List!$E$2:$CD$2,0)),"")</f>
        <v/>
      </c>
      <c r="BQ139" s="13" t="str">
        <f>IF(BQ$4="Yes",INDEX(List!$E$2:$CD$173,MATCH('Selection Pane Data'!$B139,List!$E$2:$E$173,0),MATCH('Selection Pane Data'!BQ$3,List!$E$2:$CD$2,0)),"")</f>
        <v/>
      </c>
      <c r="BR139" s="13" t="str">
        <f>IF(BR$4="Yes",INDEX(List!$E$2:$CD$173,MATCH('Selection Pane Data'!$B139,List!$E$2:$E$173,0),MATCH('Selection Pane Data'!BR$3,List!$E$2:$CD$2,0)),"")</f>
        <v/>
      </c>
      <c r="BS139" s="13" t="str">
        <f>IF(BS$4="Yes",INDEX(List!$E$2:$CD$173,MATCH('Selection Pane Data'!$B139,List!$E$2:$E$173,0),MATCH('Selection Pane Data'!BS$3,List!$E$2:$CD$2,0)),"")</f>
        <v/>
      </c>
      <c r="BT139" s="13" t="str">
        <f>IF(BT$4="Yes",INDEX(List!$E$2:$CD$173,MATCH('Selection Pane Data'!$B139,List!$E$2:$E$173,0),MATCH('Selection Pane Data'!BT$3,List!$E$2:$CD$2,0)),"")</f>
        <v/>
      </c>
      <c r="BU139" s="13" t="str">
        <f>IF(BU$4="Yes",INDEX(List!$E$2:$CD$173,MATCH('Selection Pane Data'!$B139,List!$E$2:$E$173,0),MATCH('Selection Pane Data'!BU$3,List!$E$2:$CD$2,0)),"")</f>
        <v/>
      </c>
      <c r="BV139" s="13" t="str">
        <f>IF(BV$4="Yes",INDEX(List!$E$2:$CD$173,MATCH('Selection Pane Data'!$B139,List!$E$2:$E$173,0),MATCH('Selection Pane Data'!BV$3,List!$E$2:$CD$2,0)),"")</f>
        <v/>
      </c>
      <c r="BW139" s="13" t="str">
        <f>IF(BW$4="Yes",INDEX(List!$E$2:$CD$173,MATCH('Selection Pane Data'!$B139,List!$E$2:$E$173,0),MATCH('Selection Pane Data'!BW$3,List!$E$2:$CD$2,0)),"")</f>
        <v/>
      </c>
      <c r="BX139" s="13" t="str">
        <f>IF(BX$4="Yes",INDEX(List!$E$2:$CD$173,MATCH('Selection Pane Data'!$B139,List!$E$2:$E$173,0),MATCH('Selection Pane Data'!BX$3,List!$E$2:$CD$2,0)),"")</f>
        <v/>
      </c>
      <c r="BY139" s="13" t="str">
        <f>IF(BY$4="Yes",INDEX(List!$E$2:$CD$173,MATCH('Selection Pane Data'!$B139,List!$E$2:$E$173,0),MATCH('Selection Pane Data'!BY$3,List!$E$2:$CD$2,0)),"")</f>
        <v/>
      </c>
      <c r="BZ139" s="13" t="str">
        <f>IF(BZ$4="Yes",INDEX(List!$E$2:$CD$173,MATCH('Selection Pane Data'!$B139,List!$E$2:$E$173,0),MATCH('Selection Pane Data'!BZ$3,List!$E$2:$CD$2,0)),"")</f>
        <v/>
      </c>
      <c r="CA139" s="13" t="str">
        <f>IF(CA$4="Yes",INDEX(List!$E$2:$CD$173,MATCH('Selection Pane Data'!$B139,List!$E$2:$E$173,0),MATCH('Selection Pane Data'!CA$3,List!$E$2:$CD$2,0)),"")</f>
        <v/>
      </c>
      <c r="CB139" s="13" t="str">
        <f>IF(CB$4="Yes",INDEX(List!$E$2:$CD$173,MATCH('Selection Pane Data'!$B139,List!$E$2:$E$173,0),MATCH('Selection Pane Data'!CB$3,List!$E$2:$CD$2,0)),"")</f>
        <v/>
      </c>
      <c r="CC139" s="13" t="str">
        <f>IF(CC$4="Yes",INDEX(List!$E$2:$CD$173,MATCH('Selection Pane Data'!$B139,List!$E$2:$E$173,0),MATCH('Selection Pane Data'!CC$3,List!$E$2:$CD$2,0)),"")</f>
        <v/>
      </c>
      <c r="CD139" s="13" t="str">
        <f>IF(CD$4="Yes",INDEX(List!$E$2:$CD$173,MATCH('Selection Pane Data'!$B139,List!$E$2:$E$173,0),MATCH('Selection Pane Data'!CD$3,List!$E$2:$CD$2,0)),"")</f>
        <v/>
      </c>
      <c r="CE139" s="13" t="str">
        <f>IF(CE$4="Yes",INDEX(List!$E$2:$CD$173,MATCH('Selection Pane Data'!$B139,List!$E$2:$E$173,0),MATCH('Selection Pane Data'!CE$3,List!$E$2:$CD$2,0)),"")</f>
        <v/>
      </c>
    </row>
    <row r="140" spans="2:83" x14ac:dyDescent="0.35">
      <c r="B140" s="21" t="s">
        <v>427</v>
      </c>
      <c r="C140" s="126" t="str">
        <f>VLOOKUP(B140,List!$E$2:$G$173,2,FALSE)</f>
        <v>SC.L2-3.13.11</v>
      </c>
      <c r="D140" s="31" t="str">
        <f>List!G138</f>
        <v>Microsoft Coverage</v>
      </c>
      <c r="E140" s="31" t="str">
        <f>IF(Placemat!$F$4="All Practices","All Practices",IF(VLOOKUP(B140,Table7[#All],6,FALSE)="No Mapping","New CMMC Practices","Practices with NIST 800-171 Mappings"))</f>
        <v>Practices with NIST 800-171 Mappings</v>
      </c>
      <c r="F140" t="str">
        <f>INDEX('CMMC Levels'!$A$1:$F$172,MATCH('Selection Pane Data'!$C140,'CMMC Levels'!$A$1:$A$172,0),MATCH(Placemat!$F$4,'CMMC Levels'!$A$1:$F$1,0))</f>
        <v>X</v>
      </c>
      <c r="G140" s="77" t="str">
        <f>IF((COUNTIF(List!H138:CE138,"P")+COUNTIF(List!H138:CE138,"S"))=0,"N",IF(COUNTIF(H140:CE140,"P"),"P",IF(COUNTIF(H140:CE140,"S"),"S","U")))</f>
        <v>S</v>
      </c>
      <c r="H140" s="13" t="str">
        <f>IF(H$4="Yes",INDEX(List!$E$2:$CD$173,MATCH('Selection Pane Data'!$B140,List!$E$2:$E$173,0),MATCH('Selection Pane Data'!H$3,List!$E$2:$CD$2,0)),"")</f>
        <v/>
      </c>
      <c r="I140" s="13" t="str">
        <f>IF(I$4="Yes",INDEX(List!$E$2:$CD$173,MATCH('Selection Pane Data'!$B140,List!$E$2:$E$173,0),MATCH('Selection Pane Data'!I$3,List!$E$2:$CD$2,0)),"")</f>
        <v/>
      </c>
      <c r="J140" s="13" t="str">
        <f>IF(J$4="Yes",INDEX(List!$E$2:$CD$173,MATCH('Selection Pane Data'!$B140,List!$E$2:$E$173,0),MATCH('Selection Pane Data'!J$3,List!$E$2:$CD$2,0)),"")</f>
        <v>N</v>
      </c>
      <c r="K140" s="13" t="str">
        <f>IF(K$4="Yes",INDEX(List!$E$2:$CD$173,MATCH('Selection Pane Data'!$B140,List!$E$2:$E$173,0),MATCH('Selection Pane Data'!K$3,List!$E$2:$CD$2,0)),"")</f>
        <v/>
      </c>
      <c r="L140" s="13" t="str">
        <f>IF(L$4="Yes",INDEX(List!$E$2:$CD$173,MATCH('Selection Pane Data'!$B140,List!$E$2:$E$173,0),MATCH('Selection Pane Data'!L$3,List!$E$2:$CD$2,0)),"")</f>
        <v/>
      </c>
      <c r="M140" s="13" t="str">
        <f>IF(M$4="Yes",INDEX(List!$E$2:$CD$173,MATCH('Selection Pane Data'!$B140,List!$E$2:$E$173,0),MATCH('Selection Pane Data'!M$3,List!$E$2:$CD$2,0)),"")</f>
        <v/>
      </c>
      <c r="N140" s="13" t="str">
        <f>IF(N$4="Yes",INDEX(List!$E$2:$CD$173,MATCH('Selection Pane Data'!$B140,List!$E$2:$E$173,0),MATCH('Selection Pane Data'!N$3,List!$E$2:$CD$2,0)),"")</f>
        <v/>
      </c>
      <c r="O140" s="13" t="str">
        <f>IF(O$4="Yes",INDEX(List!$E$2:$CD$173,MATCH('Selection Pane Data'!$B140,List!$E$2:$E$173,0),MATCH('Selection Pane Data'!O$3,List!$E$2:$CD$2,0)),"")</f>
        <v/>
      </c>
      <c r="P140" s="13" t="str">
        <f>IF(P$4="Yes",INDEX(List!$E$2:$CD$173,MATCH('Selection Pane Data'!$B140,List!$E$2:$E$173,0),MATCH('Selection Pane Data'!P$3,List!$E$2:$CD$2,0)),"")</f>
        <v/>
      </c>
      <c r="Q140" s="13" t="str">
        <f>IF(Q$4="Yes",INDEX(List!$E$2:$CD$173,MATCH('Selection Pane Data'!$B140,List!$E$2:$E$173,0),MATCH('Selection Pane Data'!Q$3,List!$E$2:$CD$2,0)),"")</f>
        <v/>
      </c>
      <c r="R140" s="13" t="str">
        <f>IF(R$4="Yes",INDEX(List!$E$2:$CD$173,MATCH('Selection Pane Data'!$B140,List!$E$2:$E$173,0),MATCH('Selection Pane Data'!R$3,List!$E$2:$CD$2,0)),"")</f>
        <v/>
      </c>
      <c r="S140" s="13" t="str">
        <f>IF(S$4="Yes",INDEX(List!$E$2:$CD$173,MATCH('Selection Pane Data'!$B140,List!$E$2:$E$173,0),MATCH('Selection Pane Data'!S$3,List!$E$2:$CD$2,0)),"")</f>
        <v/>
      </c>
      <c r="T140" s="13" t="str">
        <f>IF(T$4="Yes",INDEX(List!$E$2:$CD$173,MATCH('Selection Pane Data'!$B140,List!$E$2:$E$173,0),MATCH('Selection Pane Data'!T$3,List!$E$2:$CD$2,0)),"")</f>
        <v/>
      </c>
      <c r="U140" s="13" t="str">
        <f>IF(U$4="Yes",INDEX(List!$E$2:$CD$173,MATCH('Selection Pane Data'!$B140,List!$E$2:$E$173,0),MATCH('Selection Pane Data'!U$3,List!$E$2:$CD$2,0)),"")</f>
        <v/>
      </c>
      <c r="V140" s="13" t="str">
        <f>IF(V$4="Yes",INDEX(List!$E$2:$CD$173,MATCH('Selection Pane Data'!$B140,List!$E$2:$E$173,0),MATCH('Selection Pane Data'!V$3,List!$E$2:$CD$2,0)),"")</f>
        <v/>
      </c>
      <c r="W140" s="13" t="str">
        <f>IF(W$4="Yes",INDEX(List!$E$2:$CD$173,MATCH('Selection Pane Data'!$B140,List!$E$2:$E$173,0),MATCH('Selection Pane Data'!W$3,List!$E$2:$CD$2,0)),"")</f>
        <v/>
      </c>
      <c r="X140" s="13" t="str">
        <f>IF(X$4="Yes",INDEX(List!$E$2:$CD$173,MATCH('Selection Pane Data'!$B140,List!$E$2:$E$173,0),MATCH('Selection Pane Data'!X$3,List!$E$2:$CD$2,0)),"")</f>
        <v/>
      </c>
      <c r="Y140" s="13" t="str">
        <f>IF(Y$4="Yes",INDEX(List!$E$2:$CD$173,MATCH('Selection Pane Data'!$B140,List!$E$2:$E$173,0),MATCH('Selection Pane Data'!Y$3,List!$E$2:$CD$2,0)),"")</f>
        <v/>
      </c>
      <c r="Z140" s="13" t="str">
        <f>IF(Z$4="Yes",INDEX(List!$E$2:$CD$173,MATCH('Selection Pane Data'!$B140,List!$E$2:$E$173,0),MATCH('Selection Pane Data'!Z$3,List!$E$2:$CD$2,0)),"")</f>
        <v/>
      </c>
      <c r="AA140" s="13" t="str">
        <f>IF(AA$4="Yes",INDEX(List!$E$2:$CD$173,MATCH('Selection Pane Data'!$B140,List!$E$2:$E$173,0),MATCH('Selection Pane Data'!AA$3,List!$E$2:$CD$2,0)),"")</f>
        <v>S</v>
      </c>
      <c r="AB140" s="13" t="str">
        <f>IF(AB$4="Yes",INDEX(List!$E$2:$CD$173,MATCH('Selection Pane Data'!$B140,List!$E$2:$E$173,0),MATCH('Selection Pane Data'!AB$3,List!$E$2:$CD$2,0)),"")</f>
        <v/>
      </c>
      <c r="AC140" s="13" t="str">
        <f>IF(AC$4="Yes",INDEX(List!$E$2:$CD$173,MATCH('Selection Pane Data'!$B140,List!$E$2:$E$173,0),MATCH('Selection Pane Data'!AC$3,List!$E$2:$CD$2,0)),"")</f>
        <v/>
      </c>
      <c r="AD140" s="13" t="str">
        <f>IF(AD$4="Yes",INDEX(List!$E$2:$CD$173,MATCH('Selection Pane Data'!$B140,List!$E$2:$E$173,0),MATCH('Selection Pane Data'!AD$3,List!$E$2:$CD$2,0)),"")</f>
        <v/>
      </c>
      <c r="AE140" s="13" t="str">
        <f>IF(AE$4="Yes",INDEX(List!$E$2:$CD$173,MATCH('Selection Pane Data'!$B140,List!$E$2:$E$173,0),MATCH('Selection Pane Data'!AE$3,List!$E$2:$CD$2,0)),"")</f>
        <v/>
      </c>
      <c r="AF140" s="13" t="str">
        <f>IF(AF$4="Yes",INDEX(List!$E$2:$CD$173,MATCH('Selection Pane Data'!$B140,List!$E$2:$E$173,0),MATCH('Selection Pane Data'!AF$3,List!$E$2:$CD$2,0)),"")</f>
        <v/>
      </c>
      <c r="AG140" s="13" t="str">
        <f>IF(AG$4="Yes",INDEX(List!$E$2:$CD$173,MATCH('Selection Pane Data'!$B140,List!$E$2:$E$173,0),MATCH('Selection Pane Data'!AG$3,List!$E$2:$CD$2,0)),"")</f>
        <v/>
      </c>
      <c r="AH140" s="13" t="str">
        <f>IF(AH$4="Yes",INDEX(List!$E$2:$CD$173,MATCH('Selection Pane Data'!$B140,List!$E$2:$E$173,0),MATCH('Selection Pane Data'!AH$3,List!$E$2:$CD$2,0)),"")</f>
        <v/>
      </c>
      <c r="AI140" s="13" t="str">
        <f>IF(AI$4="Yes",INDEX(List!$E$2:$CD$173,MATCH('Selection Pane Data'!$B140,List!$E$2:$E$173,0),MATCH('Selection Pane Data'!AI$3,List!$E$2:$CD$2,0)),"")</f>
        <v/>
      </c>
      <c r="AJ140" s="13" t="str">
        <f>IF(AJ$4="Yes",INDEX(List!$E$2:$CD$173,MATCH('Selection Pane Data'!$B140,List!$E$2:$E$173,0),MATCH('Selection Pane Data'!AJ$3,List!$E$2:$CD$2,0)),"")</f>
        <v/>
      </c>
      <c r="AK140" s="13" t="str">
        <f>IF(AK$4="Yes",INDEX(List!$E$2:$CD$173,MATCH('Selection Pane Data'!$B140,List!$E$2:$E$173,0),MATCH('Selection Pane Data'!AK$3,List!$E$2:$CD$2,0)),"")</f>
        <v/>
      </c>
      <c r="AL140" s="13" t="str">
        <f>IF(AL$4="Yes",INDEX(List!$E$2:$CD$173,MATCH('Selection Pane Data'!$B140,List!$E$2:$E$173,0),MATCH('Selection Pane Data'!AL$3,List!$E$2:$CD$2,0)),"")</f>
        <v/>
      </c>
      <c r="AM140" s="13" t="str">
        <f>IF(AM$4="Yes",INDEX(List!$E$2:$CD$173,MATCH('Selection Pane Data'!$B140,List!$E$2:$E$173,0),MATCH('Selection Pane Data'!AM$3,List!$E$2:$CD$2,0)),"")</f>
        <v/>
      </c>
      <c r="AN140" s="13" t="str">
        <f>IF(AN$4="Yes",INDEX(List!$E$2:$CD$173,MATCH('Selection Pane Data'!$B140,List!$E$2:$E$173,0),MATCH('Selection Pane Data'!AN$3,List!$E$2:$CD$2,0)),"")</f>
        <v/>
      </c>
      <c r="AO140" s="13" t="str">
        <f>IF(AO$4="Yes",INDEX(List!$E$2:$CD$173,MATCH('Selection Pane Data'!$B140,List!$E$2:$E$173,0),MATCH('Selection Pane Data'!AO$3,List!$E$2:$CD$2,0)),"")</f>
        <v/>
      </c>
      <c r="AP140" s="13" t="str">
        <f>IF(AP$4="Yes",INDEX(List!$E$2:$CD$173,MATCH('Selection Pane Data'!$B140,List!$E$2:$E$173,0),MATCH('Selection Pane Data'!AP$3,List!$E$2:$CD$2,0)),"")</f>
        <v/>
      </c>
      <c r="AQ140" s="13" t="str">
        <f>IF(AQ$4="Yes",INDEX(List!$E$2:$CD$173,MATCH('Selection Pane Data'!$B140,List!$E$2:$E$173,0),MATCH('Selection Pane Data'!AQ$3,List!$E$2:$CD$2,0)),"")</f>
        <v/>
      </c>
      <c r="AR140" s="13" t="str">
        <f>IF(AR$4="Yes",INDEX(List!$E$2:$CD$173,MATCH('Selection Pane Data'!$B140,List!$E$2:$E$173,0),MATCH('Selection Pane Data'!AR$3,List!$E$2:$CD$2,0)),"")</f>
        <v/>
      </c>
      <c r="AS140" s="13" t="str">
        <f>IF(AS$4="Yes",INDEX(List!$E$2:$CD$173,MATCH('Selection Pane Data'!$B140,List!$E$2:$E$173,0),MATCH('Selection Pane Data'!AS$3,List!$E$2:$CD$2,0)),"")</f>
        <v/>
      </c>
      <c r="AT140" s="13" t="str">
        <f>IF(AT$4="Yes",INDEX(List!$E$2:$CD$173,MATCH('Selection Pane Data'!$B140,List!$E$2:$E$173,0),MATCH('Selection Pane Data'!AT$3,List!$E$2:$CD$2,0)),"")</f>
        <v/>
      </c>
      <c r="AU140" s="13" t="str">
        <f>IF(AU$4="Yes",INDEX(List!$E$2:$CD$173,MATCH('Selection Pane Data'!$B140,List!$E$2:$E$173,0),MATCH('Selection Pane Data'!AU$3,List!$E$2:$CD$2,0)),"")</f>
        <v/>
      </c>
      <c r="AV140" s="13" t="str">
        <f>IF(AV$4="Yes",INDEX(List!$E$2:$CD$173,MATCH('Selection Pane Data'!$B140,List!$E$2:$E$173,0),MATCH('Selection Pane Data'!AV$3,List!$E$2:$CD$2,0)),"")</f>
        <v/>
      </c>
      <c r="AW140" s="13" t="str">
        <f>IF(AW$4="Yes",INDEX(List!$E$2:$CD$173,MATCH('Selection Pane Data'!$B140,List!$E$2:$E$173,0),MATCH('Selection Pane Data'!AW$3,List!$E$2:$CD$2,0)),"")</f>
        <v/>
      </c>
      <c r="AX140" s="13" t="str">
        <f>IF(AX$4="Yes",INDEX(List!$E$2:$CD$173,MATCH('Selection Pane Data'!$B140,List!$E$2:$E$173,0),MATCH('Selection Pane Data'!AX$3,List!$E$2:$CD$2,0)),"")</f>
        <v/>
      </c>
      <c r="AY140" s="13" t="str">
        <f>IF(AY$4="Yes",INDEX(List!$E$2:$CD$173,MATCH('Selection Pane Data'!$B140,List!$E$2:$E$173,0),MATCH('Selection Pane Data'!AY$3,List!$E$2:$CD$2,0)),"")</f>
        <v/>
      </c>
      <c r="AZ140" s="13" t="str">
        <f>IF(AZ$4="Yes",INDEX(List!$E$2:$CD$173,MATCH('Selection Pane Data'!$B140,List!$E$2:$E$173,0),MATCH('Selection Pane Data'!AZ$3,List!$E$2:$CD$2,0)),"")</f>
        <v/>
      </c>
      <c r="BA140" s="13" t="str">
        <f>IF(BA$4="Yes",INDEX(List!$E$2:$CD$173,MATCH('Selection Pane Data'!$B140,List!$E$2:$E$173,0),MATCH('Selection Pane Data'!BA$3,List!$E$2:$CD$2,0)),"")</f>
        <v/>
      </c>
      <c r="BB140" s="13" t="str">
        <f>IF(BB$4="Yes",INDEX(List!$E$2:$CD$173,MATCH('Selection Pane Data'!$B140,List!$E$2:$E$173,0),MATCH('Selection Pane Data'!BB$3,List!$E$2:$CD$2,0)),"")</f>
        <v/>
      </c>
      <c r="BC140" s="13" t="str">
        <f>IF(BC$4="Yes",INDEX(List!$E$2:$CD$173,MATCH('Selection Pane Data'!$B140,List!$E$2:$E$173,0),MATCH('Selection Pane Data'!BC$3,List!$E$2:$CD$2,0)),"")</f>
        <v/>
      </c>
      <c r="BD140" s="13" t="str">
        <f>IF(BD$4="Yes",INDEX(List!$E$2:$CD$173,MATCH('Selection Pane Data'!$B140,List!$E$2:$E$173,0),MATCH('Selection Pane Data'!BD$3,List!$E$2:$CD$2,0)),"")</f>
        <v/>
      </c>
      <c r="BE140" s="13" t="str">
        <f>IF(BE$4="Yes",INDEX(List!$E$2:$CD$173,MATCH('Selection Pane Data'!$B140,List!$E$2:$E$173,0),MATCH('Selection Pane Data'!BE$3,List!$E$2:$CD$2,0)),"")</f>
        <v/>
      </c>
      <c r="BF140" s="13" t="str">
        <f>IF(BF$4="Yes",INDEX(List!$E$2:$CD$173,MATCH('Selection Pane Data'!$B140,List!$E$2:$E$173,0),MATCH('Selection Pane Data'!BF$3,List!$E$2:$CD$2,0)),"")</f>
        <v/>
      </c>
      <c r="BG140" s="13" t="str">
        <f>IF(BG$4="Yes",INDEX(List!$E$2:$CD$173,MATCH('Selection Pane Data'!$B140,List!$E$2:$E$173,0),MATCH('Selection Pane Data'!BG$3,List!$E$2:$CD$2,0)),"")</f>
        <v/>
      </c>
      <c r="BH140" s="13" t="str">
        <f>IF(BH$4="Yes",INDEX(List!$E$2:$CD$173,MATCH('Selection Pane Data'!$B140,List!$E$2:$E$173,0),MATCH('Selection Pane Data'!BH$3,List!$E$2:$CD$2,0)),"")</f>
        <v/>
      </c>
      <c r="BI140" s="13" t="str">
        <f>IF(BI$4="Yes",INDEX(List!$E$2:$CD$173,MATCH('Selection Pane Data'!$B140,List!$E$2:$E$173,0),MATCH('Selection Pane Data'!BI$3,List!$E$2:$CD$2,0)),"")</f>
        <v/>
      </c>
      <c r="BJ140" s="13" t="str">
        <f>IF(BJ$4="Yes",INDEX(List!$E$2:$CD$173,MATCH('Selection Pane Data'!$B140,List!$E$2:$E$173,0),MATCH('Selection Pane Data'!BJ$3,List!$E$2:$CD$2,0)),"")</f>
        <v/>
      </c>
      <c r="BK140" s="13" t="str">
        <f>IF(BK$4="Yes",INDEX(List!$E$2:$CD$173,MATCH('Selection Pane Data'!$B140,List!$E$2:$E$173,0),MATCH('Selection Pane Data'!BK$3,List!$E$2:$CD$2,0)),"")</f>
        <v/>
      </c>
      <c r="BL140" s="13" t="str">
        <f>IF(BL$4="Yes",INDEX(List!$E$2:$CD$173,MATCH('Selection Pane Data'!$B140,List!$E$2:$E$173,0),MATCH('Selection Pane Data'!BL$3,List!$E$2:$CD$2,0)),"")</f>
        <v/>
      </c>
      <c r="BM140" s="13" t="str">
        <f>IF(BM$4="Yes",INDEX(List!$E$2:$CD$173,MATCH('Selection Pane Data'!$B140,List!$E$2:$E$173,0),MATCH('Selection Pane Data'!BM$3,List!$E$2:$CD$2,0)),"")</f>
        <v/>
      </c>
      <c r="BN140" s="13" t="str">
        <f>IF(BN$4="Yes",INDEX(List!$E$2:$CD$173,MATCH('Selection Pane Data'!$B140,List!$E$2:$E$173,0),MATCH('Selection Pane Data'!BN$3,List!$E$2:$CD$2,0)),"")</f>
        <v/>
      </c>
      <c r="BO140" s="13" t="str">
        <f>IF(BO$4="Yes",INDEX(List!$E$2:$CD$173,MATCH('Selection Pane Data'!$B140,List!$E$2:$E$173,0),MATCH('Selection Pane Data'!BO$3,List!$E$2:$CD$2,0)),"")</f>
        <v/>
      </c>
      <c r="BP140" s="13" t="str">
        <f>IF(BP$4="Yes",INDEX(List!$E$2:$CD$173,MATCH('Selection Pane Data'!$B140,List!$E$2:$E$173,0),MATCH('Selection Pane Data'!BP$3,List!$E$2:$CD$2,0)),"")</f>
        <v/>
      </c>
      <c r="BQ140" s="13" t="str">
        <f>IF(BQ$4="Yes",INDEX(List!$E$2:$CD$173,MATCH('Selection Pane Data'!$B140,List!$E$2:$E$173,0),MATCH('Selection Pane Data'!BQ$3,List!$E$2:$CD$2,0)),"")</f>
        <v/>
      </c>
      <c r="BR140" s="13" t="str">
        <f>IF(BR$4="Yes",INDEX(List!$E$2:$CD$173,MATCH('Selection Pane Data'!$B140,List!$E$2:$E$173,0),MATCH('Selection Pane Data'!BR$3,List!$E$2:$CD$2,0)),"")</f>
        <v/>
      </c>
      <c r="BS140" s="13" t="str">
        <f>IF(BS$4="Yes",INDEX(List!$E$2:$CD$173,MATCH('Selection Pane Data'!$B140,List!$E$2:$E$173,0),MATCH('Selection Pane Data'!BS$3,List!$E$2:$CD$2,0)),"")</f>
        <v/>
      </c>
      <c r="BT140" s="13" t="str">
        <f>IF(BT$4="Yes",INDEX(List!$E$2:$CD$173,MATCH('Selection Pane Data'!$B140,List!$E$2:$E$173,0),MATCH('Selection Pane Data'!BT$3,List!$E$2:$CD$2,0)),"")</f>
        <v/>
      </c>
      <c r="BU140" s="13" t="str">
        <f>IF(BU$4="Yes",INDEX(List!$E$2:$CD$173,MATCH('Selection Pane Data'!$B140,List!$E$2:$E$173,0),MATCH('Selection Pane Data'!BU$3,List!$E$2:$CD$2,0)),"")</f>
        <v/>
      </c>
      <c r="BV140" s="13" t="str">
        <f>IF(BV$4="Yes",INDEX(List!$E$2:$CD$173,MATCH('Selection Pane Data'!$B140,List!$E$2:$E$173,0),MATCH('Selection Pane Data'!BV$3,List!$E$2:$CD$2,0)),"")</f>
        <v/>
      </c>
      <c r="BW140" s="13" t="str">
        <f>IF(BW$4="Yes",INDEX(List!$E$2:$CD$173,MATCH('Selection Pane Data'!$B140,List!$E$2:$E$173,0),MATCH('Selection Pane Data'!BW$3,List!$E$2:$CD$2,0)),"")</f>
        <v/>
      </c>
      <c r="BX140" s="13" t="str">
        <f>IF(BX$4="Yes",INDEX(List!$E$2:$CD$173,MATCH('Selection Pane Data'!$B140,List!$E$2:$E$173,0),MATCH('Selection Pane Data'!BX$3,List!$E$2:$CD$2,0)),"")</f>
        <v/>
      </c>
      <c r="BY140" s="13" t="str">
        <f>IF(BY$4="Yes",INDEX(List!$E$2:$CD$173,MATCH('Selection Pane Data'!$B140,List!$E$2:$E$173,0),MATCH('Selection Pane Data'!BY$3,List!$E$2:$CD$2,0)),"")</f>
        <v/>
      </c>
      <c r="BZ140" s="13" t="str">
        <f>IF(BZ$4="Yes",INDEX(List!$E$2:$CD$173,MATCH('Selection Pane Data'!$B140,List!$E$2:$E$173,0),MATCH('Selection Pane Data'!BZ$3,List!$E$2:$CD$2,0)),"")</f>
        <v/>
      </c>
      <c r="CA140" s="13" t="str">
        <f>IF(CA$4="Yes",INDEX(List!$E$2:$CD$173,MATCH('Selection Pane Data'!$B140,List!$E$2:$E$173,0),MATCH('Selection Pane Data'!CA$3,List!$E$2:$CD$2,0)),"")</f>
        <v/>
      </c>
      <c r="CB140" s="13" t="str">
        <f>IF(CB$4="Yes",INDEX(List!$E$2:$CD$173,MATCH('Selection Pane Data'!$B140,List!$E$2:$E$173,0),MATCH('Selection Pane Data'!CB$3,List!$E$2:$CD$2,0)),"")</f>
        <v/>
      </c>
      <c r="CC140" s="13" t="str">
        <f>IF(CC$4="Yes",INDEX(List!$E$2:$CD$173,MATCH('Selection Pane Data'!$B140,List!$E$2:$E$173,0),MATCH('Selection Pane Data'!CC$3,List!$E$2:$CD$2,0)),"")</f>
        <v/>
      </c>
      <c r="CD140" s="13" t="str">
        <f>IF(CD$4="Yes",INDEX(List!$E$2:$CD$173,MATCH('Selection Pane Data'!$B140,List!$E$2:$E$173,0),MATCH('Selection Pane Data'!CD$3,List!$E$2:$CD$2,0)),"")</f>
        <v/>
      </c>
      <c r="CE140" s="13" t="str">
        <f>IF(CE$4="Yes",INDEX(List!$E$2:$CD$173,MATCH('Selection Pane Data'!$B140,List!$E$2:$E$173,0),MATCH('Selection Pane Data'!CE$3,List!$E$2:$CD$2,0)),"")</f>
        <v/>
      </c>
    </row>
    <row r="141" spans="2:83" x14ac:dyDescent="0.35">
      <c r="B141" s="21" t="s">
        <v>428</v>
      </c>
      <c r="C141" s="126" t="str">
        <f>VLOOKUP(B141,List!$E$2:$G$173,2,FALSE)</f>
        <v>SC.L2-3.13.2</v>
      </c>
      <c r="D141" s="31" t="str">
        <f>List!G139</f>
        <v>Shared Coverage</v>
      </c>
      <c r="E141" s="31" t="str">
        <f>IF(Placemat!$F$4="All Practices","All Practices",IF(VLOOKUP(B141,Table7[#All],6,FALSE)="No Mapping","New CMMC Practices","Practices with NIST 800-171 Mappings"))</f>
        <v>Practices with NIST 800-171 Mappings</v>
      </c>
      <c r="F141" t="str">
        <f>INDEX('CMMC Levels'!$A$1:$F$172,MATCH('Selection Pane Data'!$C141,'CMMC Levels'!$A$1:$A$172,0),MATCH(Placemat!$F$4,'CMMC Levels'!$A$1:$F$1,0))</f>
        <v>X</v>
      </c>
      <c r="G141" s="77" t="str">
        <f>IF((COUNTIF(List!H139:CE139,"P")+COUNTIF(List!H139:CE139,"S"))=0,"N",IF(COUNTIF(H141:CE141,"P"),"P",IF(COUNTIF(H141:CE141,"S"),"S","U")))</f>
        <v>U</v>
      </c>
      <c r="H141" s="13" t="str">
        <f>IF(H$4="Yes",INDEX(List!$E$2:$CD$173,MATCH('Selection Pane Data'!$B141,List!$E$2:$E$173,0),MATCH('Selection Pane Data'!H$3,List!$E$2:$CD$2,0)),"")</f>
        <v/>
      </c>
      <c r="I141" s="13" t="str">
        <f>IF(I$4="Yes",INDEX(List!$E$2:$CD$173,MATCH('Selection Pane Data'!$B141,List!$E$2:$E$173,0),MATCH('Selection Pane Data'!I$3,List!$E$2:$CD$2,0)),"")</f>
        <v/>
      </c>
      <c r="J141" s="13" t="str">
        <f>IF(J$4="Yes",INDEX(List!$E$2:$CD$173,MATCH('Selection Pane Data'!$B141,List!$E$2:$E$173,0),MATCH('Selection Pane Data'!J$3,List!$E$2:$CD$2,0)),"")</f>
        <v>N</v>
      </c>
      <c r="K141" s="13" t="str">
        <f>IF(K$4="Yes",INDEX(List!$E$2:$CD$173,MATCH('Selection Pane Data'!$B141,List!$E$2:$E$173,0),MATCH('Selection Pane Data'!K$3,List!$E$2:$CD$2,0)),"")</f>
        <v/>
      </c>
      <c r="L141" s="13" t="str">
        <f>IF(L$4="Yes",INDEX(List!$E$2:$CD$173,MATCH('Selection Pane Data'!$B141,List!$E$2:$E$173,0),MATCH('Selection Pane Data'!L$3,List!$E$2:$CD$2,0)),"")</f>
        <v/>
      </c>
      <c r="M141" s="13" t="str">
        <f>IF(M$4="Yes",INDEX(List!$E$2:$CD$173,MATCH('Selection Pane Data'!$B141,List!$E$2:$E$173,0),MATCH('Selection Pane Data'!M$3,List!$E$2:$CD$2,0)),"")</f>
        <v/>
      </c>
      <c r="N141" s="13" t="str">
        <f>IF(N$4="Yes",INDEX(List!$E$2:$CD$173,MATCH('Selection Pane Data'!$B141,List!$E$2:$E$173,0),MATCH('Selection Pane Data'!N$3,List!$E$2:$CD$2,0)),"")</f>
        <v/>
      </c>
      <c r="O141" s="13" t="str">
        <f>IF(O$4="Yes",INDEX(List!$E$2:$CD$173,MATCH('Selection Pane Data'!$B141,List!$E$2:$E$173,0),MATCH('Selection Pane Data'!O$3,List!$E$2:$CD$2,0)),"")</f>
        <v/>
      </c>
      <c r="P141" s="13" t="str">
        <f>IF(P$4="Yes",INDEX(List!$E$2:$CD$173,MATCH('Selection Pane Data'!$B141,List!$E$2:$E$173,0),MATCH('Selection Pane Data'!P$3,List!$E$2:$CD$2,0)),"")</f>
        <v/>
      </c>
      <c r="Q141" s="13" t="str">
        <f>IF(Q$4="Yes",INDEX(List!$E$2:$CD$173,MATCH('Selection Pane Data'!$B141,List!$E$2:$E$173,0),MATCH('Selection Pane Data'!Q$3,List!$E$2:$CD$2,0)),"")</f>
        <v/>
      </c>
      <c r="R141" s="13" t="str">
        <f>IF(R$4="Yes",INDEX(List!$E$2:$CD$173,MATCH('Selection Pane Data'!$B141,List!$E$2:$E$173,0),MATCH('Selection Pane Data'!R$3,List!$E$2:$CD$2,0)),"")</f>
        <v/>
      </c>
      <c r="S141" s="13" t="str">
        <f>IF(S$4="Yes",INDEX(List!$E$2:$CD$173,MATCH('Selection Pane Data'!$B141,List!$E$2:$E$173,0),MATCH('Selection Pane Data'!S$3,List!$E$2:$CD$2,0)),"")</f>
        <v/>
      </c>
      <c r="T141" s="13" t="str">
        <f>IF(T$4="Yes",INDEX(List!$E$2:$CD$173,MATCH('Selection Pane Data'!$B141,List!$E$2:$E$173,0),MATCH('Selection Pane Data'!T$3,List!$E$2:$CD$2,0)),"")</f>
        <v/>
      </c>
      <c r="U141" s="13" t="str">
        <f>IF(U$4="Yes",INDEX(List!$E$2:$CD$173,MATCH('Selection Pane Data'!$B141,List!$E$2:$E$173,0),MATCH('Selection Pane Data'!U$3,List!$E$2:$CD$2,0)),"")</f>
        <v/>
      </c>
      <c r="V141" s="13" t="str">
        <f>IF(V$4="Yes",INDEX(List!$E$2:$CD$173,MATCH('Selection Pane Data'!$B141,List!$E$2:$E$173,0),MATCH('Selection Pane Data'!V$3,List!$E$2:$CD$2,0)),"")</f>
        <v/>
      </c>
      <c r="W141" s="13" t="str">
        <f>IF(W$4="Yes",INDEX(List!$E$2:$CD$173,MATCH('Selection Pane Data'!$B141,List!$E$2:$E$173,0),MATCH('Selection Pane Data'!W$3,List!$E$2:$CD$2,0)),"")</f>
        <v/>
      </c>
      <c r="X141" s="13" t="str">
        <f>IF(X$4="Yes",INDEX(List!$E$2:$CD$173,MATCH('Selection Pane Data'!$B141,List!$E$2:$E$173,0),MATCH('Selection Pane Data'!X$3,List!$E$2:$CD$2,0)),"")</f>
        <v/>
      </c>
      <c r="Y141" s="13" t="str">
        <f>IF(Y$4="Yes",INDEX(List!$E$2:$CD$173,MATCH('Selection Pane Data'!$B141,List!$E$2:$E$173,0),MATCH('Selection Pane Data'!Y$3,List!$E$2:$CD$2,0)),"")</f>
        <v/>
      </c>
      <c r="Z141" s="13" t="str">
        <f>IF(Z$4="Yes",INDEX(List!$E$2:$CD$173,MATCH('Selection Pane Data'!$B141,List!$E$2:$E$173,0),MATCH('Selection Pane Data'!Z$3,List!$E$2:$CD$2,0)),"")</f>
        <v/>
      </c>
      <c r="AA141" s="13" t="str">
        <f>IF(AA$4="Yes",INDEX(List!$E$2:$CD$173,MATCH('Selection Pane Data'!$B141,List!$E$2:$E$173,0),MATCH('Selection Pane Data'!AA$3,List!$E$2:$CD$2,0)),"")</f>
        <v>N</v>
      </c>
      <c r="AB141" s="13" t="str">
        <f>IF(AB$4="Yes",INDEX(List!$E$2:$CD$173,MATCH('Selection Pane Data'!$B141,List!$E$2:$E$173,0),MATCH('Selection Pane Data'!AB$3,List!$E$2:$CD$2,0)),"")</f>
        <v/>
      </c>
      <c r="AC141" s="13" t="str">
        <f>IF(AC$4="Yes",INDEX(List!$E$2:$CD$173,MATCH('Selection Pane Data'!$B141,List!$E$2:$E$173,0),MATCH('Selection Pane Data'!AC$3,List!$E$2:$CD$2,0)),"")</f>
        <v/>
      </c>
      <c r="AD141" s="13" t="str">
        <f>IF(AD$4="Yes",INDEX(List!$E$2:$CD$173,MATCH('Selection Pane Data'!$B141,List!$E$2:$E$173,0),MATCH('Selection Pane Data'!AD$3,List!$E$2:$CD$2,0)),"")</f>
        <v/>
      </c>
      <c r="AE141" s="13" t="str">
        <f>IF(AE$4="Yes",INDEX(List!$E$2:$CD$173,MATCH('Selection Pane Data'!$B141,List!$E$2:$E$173,0),MATCH('Selection Pane Data'!AE$3,List!$E$2:$CD$2,0)),"")</f>
        <v/>
      </c>
      <c r="AF141" s="13" t="str">
        <f>IF(AF$4="Yes",INDEX(List!$E$2:$CD$173,MATCH('Selection Pane Data'!$B141,List!$E$2:$E$173,0),MATCH('Selection Pane Data'!AF$3,List!$E$2:$CD$2,0)),"")</f>
        <v/>
      </c>
      <c r="AG141" s="13" t="str">
        <f>IF(AG$4="Yes",INDEX(List!$E$2:$CD$173,MATCH('Selection Pane Data'!$B141,List!$E$2:$E$173,0),MATCH('Selection Pane Data'!AG$3,List!$E$2:$CD$2,0)),"")</f>
        <v/>
      </c>
      <c r="AH141" s="13" t="str">
        <f>IF(AH$4="Yes",INDEX(List!$E$2:$CD$173,MATCH('Selection Pane Data'!$B141,List!$E$2:$E$173,0),MATCH('Selection Pane Data'!AH$3,List!$E$2:$CD$2,0)),"")</f>
        <v/>
      </c>
      <c r="AI141" s="13" t="str">
        <f>IF(AI$4="Yes",INDEX(List!$E$2:$CD$173,MATCH('Selection Pane Data'!$B141,List!$E$2:$E$173,0),MATCH('Selection Pane Data'!AI$3,List!$E$2:$CD$2,0)),"")</f>
        <v/>
      </c>
      <c r="AJ141" s="13" t="str">
        <f>IF(AJ$4="Yes",INDEX(List!$E$2:$CD$173,MATCH('Selection Pane Data'!$B141,List!$E$2:$E$173,0),MATCH('Selection Pane Data'!AJ$3,List!$E$2:$CD$2,0)),"")</f>
        <v/>
      </c>
      <c r="AK141" s="13" t="str">
        <f>IF(AK$4="Yes",INDEX(List!$E$2:$CD$173,MATCH('Selection Pane Data'!$B141,List!$E$2:$E$173,0),MATCH('Selection Pane Data'!AK$3,List!$E$2:$CD$2,0)),"")</f>
        <v/>
      </c>
      <c r="AL141" s="13" t="str">
        <f>IF(AL$4="Yes",INDEX(List!$E$2:$CD$173,MATCH('Selection Pane Data'!$B141,List!$E$2:$E$173,0),MATCH('Selection Pane Data'!AL$3,List!$E$2:$CD$2,0)),"")</f>
        <v/>
      </c>
      <c r="AM141" s="13" t="str">
        <f>IF(AM$4="Yes",INDEX(List!$E$2:$CD$173,MATCH('Selection Pane Data'!$B141,List!$E$2:$E$173,0),MATCH('Selection Pane Data'!AM$3,List!$E$2:$CD$2,0)),"")</f>
        <v/>
      </c>
      <c r="AN141" s="13" t="str">
        <f>IF(AN$4="Yes",INDEX(List!$E$2:$CD$173,MATCH('Selection Pane Data'!$B141,List!$E$2:$E$173,0),MATCH('Selection Pane Data'!AN$3,List!$E$2:$CD$2,0)),"")</f>
        <v/>
      </c>
      <c r="AO141" s="13" t="str">
        <f>IF(AO$4="Yes",INDEX(List!$E$2:$CD$173,MATCH('Selection Pane Data'!$B141,List!$E$2:$E$173,0),MATCH('Selection Pane Data'!AO$3,List!$E$2:$CD$2,0)),"")</f>
        <v/>
      </c>
      <c r="AP141" s="13" t="str">
        <f>IF(AP$4="Yes",INDEX(List!$E$2:$CD$173,MATCH('Selection Pane Data'!$B141,List!$E$2:$E$173,0),MATCH('Selection Pane Data'!AP$3,List!$E$2:$CD$2,0)),"")</f>
        <v/>
      </c>
      <c r="AQ141" s="13" t="str">
        <f>IF(AQ$4="Yes",INDEX(List!$E$2:$CD$173,MATCH('Selection Pane Data'!$B141,List!$E$2:$E$173,0),MATCH('Selection Pane Data'!AQ$3,List!$E$2:$CD$2,0)),"")</f>
        <v/>
      </c>
      <c r="AR141" s="13" t="str">
        <f>IF(AR$4="Yes",INDEX(List!$E$2:$CD$173,MATCH('Selection Pane Data'!$B141,List!$E$2:$E$173,0),MATCH('Selection Pane Data'!AR$3,List!$E$2:$CD$2,0)),"")</f>
        <v/>
      </c>
      <c r="AS141" s="13" t="str">
        <f>IF(AS$4="Yes",INDEX(List!$E$2:$CD$173,MATCH('Selection Pane Data'!$B141,List!$E$2:$E$173,0),MATCH('Selection Pane Data'!AS$3,List!$E$2:$CD$2,0)),"")</f>
        <v/>
      </c>
      <c r="AT141" s="13" t="str">
        <f>IF(AT$4="Yes",INDEX(List!$E$2:$CD$173,MATCH('Selection Pane Data'!$B141,List!$E$2:$E$173,0),MATCH('Selection Pane Data'!AT$3,List!$E$2:$CD$2,0)),"")</f>
        <v/>
      </c>
      <c r="AU141" s="13" t="str">
        <f>IF(AU$4="Yes",INDEX(List!$E$2:$CD$173,MATCH('Selection Pane Data'!$B141,List!$E$2:$E$173,0),MATCH('Selection Pane Data'!AU$3,List!$E$2:$CD$2,0)),"")</f>
        <v/>
      </c>
      <c r="AV141" s="13" t="str">
        <f>IF(AV$4="Yes",INDEX(List!$E$2:$CD$173,MATCH('Selection Pane Data'!$B141,List!$E$2:$E$173,0),MATCH('Selection Pane Data'!AV$3,List!$E$2:$CD$2,0)),"")</f>
        <v/>
      </c>
      <c r="AW141" s="13" t="str">
        <f>IF(AW$4="Yes",INDEX(List!$E$2:$CD$173,MATCH('Selection Pane Data'!$B141,List!$E$2:$E$173,0),MATCH('Selection Pane Data'!AW$3,List!$E$2:$CD$2,0)),"")</f>
        <v/>
      </c>
      <c r="AX141" s="13" t="str">
        <f>IF(AX$4="Yes",INDEX(List!$E$2:$CD$173,MATCH('Selection Pane Data'!$B141,List!$E$2:$E$173,0),MATCH('Selection Pane Data'!AX$3,List!$E$2:$CD$2,0)),"")</f>
        <v/>
      </c>
      <c r="AY141" s="13" t="str">
        <f>IF(AY$4="Yes",INDEX(List!$E$2:$CD$173,MATCH('Selection Pane Data'!$B141,List!$E$2:$E$173,0),MATCH('Selection Pane Data'!AY$3,List!$E$2:$CD$2,0)),"")</f>
        <v/>
      </c>
      <c r="AZ141" s="13" t="str">
        <f>IF(AZ$4="Yes",INDEX(List!$E$2:$CD$173,MATCH('Selection Pane Data'!$B141,List!$E$2:$E$173,0),MATCH('Selection Pane Data'!AZ$3,List!$E$2:$CD$2,0)),"")</f>
        <v/>
      </c>
      <c r="BA141" s="13" t="str">
        <f>IF(BA$4="Yes",INDEX(List!$E$2:$CD$173,MATCH('Selection Pane Data'!$B141,List!$E$2:$E$173,0),MATCH('Selection Pane Data'!BA$3,List!$E$2:$CD$2,0)),"")</f>
        <v/>
      </c>
      <c r="BB141" s="13" t="str">
        <f>IF(BB$4="Yes",INDEX(List!$E$2:$CD$173,MATCH('Selection Pane Data'!$B141,List!$E$2:$E$173,0),MATCH('Selection Pane Data'!BB$3,List!$E$2:$CD$2,0)),"")</f>
        <v/>
      </c>
      <c r="BC141" s="13" t="str">
        <f>IF(BC$4="Yes",INDEX(List!$E$2:$CD$173,MATCH('Selection Pane Data'!$B141,List!$E$2:$E$173,0),MATCH('Selection Pane Data'!BC$3,List!$E$2:$CD$2,0)),"")</f>
        <v/>
      </c>
      <c r="BD141" s="13" t="str">
        <f>IF(BD$4="Yes",INDEX(List!$E$2:$CD$173,MATCH('Selection Pane Data'!$B141,List!$E$2:$E$173,0),MATCH('Selection Pane Data'!BD$3,List!$E$2:$CD$2,0)),"")</f>
        <v/>
      </c>
      <c r="BE141" s="13" t="str">
        <f>IF(BE$4="Yes",INDEX(List!$E$2:$CD$173,MATCH('Selection Pane Data'!$B141,List!$E$2:$E$173,0),MATCH('Selection Pane Data'!BE$3,List!$E$2:$CD$2,0)),"")</f>
        <v/>
      </c>
      <c r="BF141" s="13" t="str">
        <f>IF(BF$4="Yes",INDEX(List!$E$2:$CD$173,MATCH('Selection Pane Data'!$B141,List!$E$2:$E$173,0),MATCH('Selection Pane Data'!BF$3,List!$E$2:$CD$2,0)),"")</f>
        <v/>
      </c>
      <c r="BG141" s="13" t="str">
        <f>IF(BG$4="Yes",INDEX(List!$E$2:$CD$173,MATCH('Selection Pane Data'!$B141,List!$E$2:$E$173,0),MATCH('Selection Pane Data'!BG$3,List!$E$2:$CD$2,0)),"")</f>
        <v/>
      </c>
      <c r="BH141" s="13" t="str">
        <f>IF(BH$4="Yes",INDEX(List!$E$2:$CD$173,MATCH('Selection Pane Data'!$B141,List!$E$2:$E$173,0),MATCH('Selection Pane Data'!BH$3,List!$E$2:$CD$2,0)),"")</f>
        <v/>
      </c>
      <c r="BI141" s="13" t="str">
        <f>IF(BI$4="Yes",INDEX(List!$E$2:$CD$173,MATCH('Selection Pane Data'!$B141,List!$E$2:$E$173,0),MATCH('Selection Pane Data'!BI$3,List!$E$2:$CD$2,0)),"")</f>
        <v/>
      </c>
      <c r="BJ141" s="13" t="str">
        <f>IF(BJ$4="Yes",INDEX(List!$E$2:$CD$173,MATCH('Selection Pane Data'!$B141,List!$E$2:$E$173,0),MATCH('Selection Pane Data'!BJ$3,List!$E$2:$CD$2,0)),"")</f>
        <v/>
      </c>
      <c r="BK141" s="13" t="str">
        <f>IF(BK$4="Yes",INDEX(List!$E$2:$CD$173,MATCH('Selection Pane Data'!$B141,List!$E$2:$E$173,0),MATCH('Selection Pane Data'!BK$3,List!$E$2:$CD$2,0)),"")</f>
        <v/>
      </c>
      <c r="BL141" s="13" t="str">
        <f>IF(BL$4="Yes",INDEX(List!$E$2:$CD$173,MATCH('Selection Pane Data'!$B141,List!$E$2:$E$173,0),MATCH('Selection Pane Data'!BL$3,List!$E$2:$CD$2,0)),"")</f>
        <v/>
      </c>
      <c r="BM141" s="13" t="str">
        <f>IF(BM$4="Yes",INDEX(List!$E$2:$CD$173,MATCH('Selection Pane Data'!$B141,List!$E$2:$E$173,0),MATCH('Selection Pane Data'!BM$3,List!$E$2:$CD$2,0)),"")</f>
        <v/>
      </c>
      <c r="BN141" s="13" t="str">
        <f>IF(BN$4="Yes",INDEX(List!$E$2:$CD$173,MATCH('Selection Pane Data'!$B141,List!$E$2:$E$173,0),MATCH('Selection Pane Data'!BN$3,List!$E$2:$CD$2,0)),"")</f>
        <v/>
      </c>
      <c r="BO141" s="13" t="str">
        <f>IF(BO$4="Yes",INDEX(List!$E$2:$CD$173,MATCH('Selection Pane Data'!$B141,List!$E$2:$E$173,0),MATCH('Selection Pane Data'!BO$3,List!$E$2:$CD$2,0)),"")</f>
        <v/>
      </c>
      <c r="BP141" s="13" t="str">
        <f>IF(BP$4="Yes",INDEX(List!$E$2:$CD$173,MATCH('Selection Pane Data'!$B141,List!$E$2:$E$173,0),MATCH('Selection Pane Data'!BP$3,List!$E$2:$CD$2,0)),"")</f>
        <v/>
      </c>
      <c r="BQ141" s="13" t="str">
        <f>IF(BQ$4="Yes",INDEX(List!$E$2:$CD$173,MATCH('Selection Pane Data'!$B141,List!$E$2:$E$173,0),MATCH('Selection Pane Data'!BQ$3,List!$E$2:$CD$2,0)),"")</f>
        <v/>
      </c>
      <c r="BR141" s="13" t="str">
        <f>IF(BR$4="Yes",INDEX(List!$E$2:$CD$173,MATCH('Selection Pane Data'!$B141,List!$E$2:$E$173,0),MATCH('Selection Pane Data'!BR$3,List!$E$2:$CD$2,0)),"")</f>
        <v/>
      </c>
      <c r="BS141" s="13" t="str">
        <f>IF(BS$4="Yes",INDEX(List!$E$2:$CD$173,MATCH('Selection Pane Data'!$B141,List!$E$2:$E$173,0),MATCH('Selection Pane Data'!BS$3,List!$E$2:$CD$2,0)),"")</f>
        <v/>
      </c>
      <c r="BT141" s="13" t="str">
        <f>IF(BT$4="Yes",INDEX(List!$E$2:$CD$173,MATCH('Selection Pane Data'!$B141,List!$E$2:$E$173,0),MATCH('Selection Pane Data'!BT$3,List!$E$2:$CD$2,0)),"")</f>
        <v/>
      </c>
      <c r="BU141" s="13" t="str">
        <f>IF(BU$4="Yes",INDEX(List!$E$2:$CD$173,MATCH('Selection Pane Data'!$B141,List!$E$2:$E$173,0),MATCH('Selection Pane Data'!BU$3,List!$E$2:$CD$2,0)),"")</f>
        <v/>
      </c>
      <c r="BV141" s="13" t="str">
        <f>IF(BV$4="Yes",INDEX(List!$E$2:$CD$173,MATCH('Selection Pane Data'!$B141,List!$E$2:$E$173,0),MATCH('Selection Pane Data'!BV$3,List!$E$2:$CD$2,0)),"")</f>
        <v/>
      </c>
      <c r="BW141" s="13" t="str">
        <f>IF(BW$4="Yes",INDEX(List!$E$2:$CD$173,MATCH('Selection Pane Data'!$B141,List!$E$2:$E$173,0),MATCH('Selection Pane Data'!BW$3,List!$E$2:$CD$2,0)),"")</f>
        <v/>
      </c>
      <c r="BX141" s="13" t="str">
        <f>IF(BX$4="Yes",INDEX(List!$E$2:$CD$173,MATCH('Selection Pane Data'!$B141,List!$E$2:$E$173,0),MATCH('Selection Pane Data'!BX$3,List!$E$2:$CD$2,0)),"")</f>
        <v/>
      </c>
      <c r="BY141" s="13" t="str">
        <f>IF(BY$4="Yes",INDEX(List!$E$2:$CD$173,MATCH('Selection Pane Data'!$B141,List!$E$2:$E$173,0),MATCH('Selection Pane Data'!BY$3,List!$E$2:$CD$2,0)),"")</f>
        <v/>
      </c>
      <c r="BZ141" s="13" t="str">
        <f>IF(BZ$4="Yes",INDEX(List!$E$2:$CD$173,MATCH('Selection Pane Data'!$B141,List!$E$2:$E$173,0),MATCH('Selection Pane Data'!BZ$3,List!$E$2:$CD$2,0)),"")</f>
        <v/>
      </c>
      <c r="CA141" s="13" t="str">
        <f>IF(CA$4="Yes",INDEX(List!$E$2:$CD$173,MATCH('Selection Pane Data'!$B141,List!$E$2:$E$173,0),MATCH('Selection Pane Data'!CA$3,List!$E$2:$CD$2,0)),"")</f>
        <v/>
      </c>
      <c r="CB141" s="13" t="str">
        <f>IF(CB$4="Yes",INDEX(List!$E$2:$CD$173,MATCH('Selection Pane Data'!$B141,List!$E$2:$E$173,0),MATCH('Selection Pane Data'!CB$3,List!$E$2:$CD$2,0)),"")</f>
        <v/>
      </c>
      <c r="CC141" s="13" t="str">
        <f>IF(CC$4="Yes",INDEX(List!$E$2:$CD$173,MATCH('Selection Pane Data'!$B141,List!$E$2:$E$173,0),MATCH('Selection Pane Data'!CC$3,List!$E$2:$CD$2,0)),"")</f>
        <v/>
      </c>
      <c r="CD141" s="13" t="str">
        <f>IF(CD$4="Yes",INDEX(List!$E$2:$CD$173,MATCH('Selection Pane Data'!$B141,List!$E$2:$E$173,0),MATCH('Selection Pane Data'!CD$3,List!$E$2:$CD$2,0)),"")</f>
        <v/>
      </c>
      <c r="CE141" s="13" t="str">
        <f>IF(CE$4="Yes",INDEX(List!$E$2:$CD$173,MATCH('Selection Pane Data'!$B141,List!$E$2:$E$173,0),MATCH('Selection Pane Data'!CE$3,List!$E$2:$CD$2,0)),"")</f>
        <v/>
      </c>
    </row>
    <row r="142" spans="2:83" x14ac:dyDescent="0.35">
      <c r="B142" s="21" t="s">
        <v>429</v>
      </c>
      <c r="C142" s="126" t="str">
        <f>VLOOKUP(B142,List!$E$2:$G$173,2,FALSE)</f>
        <v>SC.L2-3.13.3</v>
      </c>
      <c r="D142" s="31" t="str">
        <f>List!G140</f>
        <v>Shared Coverage</v>
      </c>
      <c r="E142" s="31" t="str">
        <f>IF(Placemat!$F$4="All Practices","All Practices",IF(VLOOKUP(B142,Table7[#All],6,FALSE)="No Mapping","New CMMC Practices","Practices with NIST 800-171 Mappings"))</f>
        <v>Practices with NIST 800-171 Mappings</v>
      </c>
      <c r="F142" t="str">
        <f>INDEX('CMMC Levels'!$A$1:$F$172,MATCH('Selection Pane Data'!$C142,'CMMC Levels'!$A$1:$A$172,0),MATCH(Placemat!$F$4,'CMMC Levels'!$A$1:$F$1,0))</f>
        <v>X</v>
      </c>
      <c r="G142" s="77" t="str">
        <f>IF((COUNTIF(List!H140:CE140,"P")+COUNTIF(List!H140:CE140,"S"))=0,"N",IF(COUNTIF(H142:CE142,"P"),"P",IF(COUNTIF(H142:CE142,"S"),"S","U")))</f>
        <v>U</v>
      </c>
      <c r="H142" s="13" t="str">
        <f>IF(H$4="Yes",INDEX(List!$E$2:$CD$173,MATCH('Selection Pane Data'!$B142,List!$E$2:$E$173,0),MATCH('Selection Pane Data'!H$3,List!$E$2:$CD$2,0)),"")</f>
        <v/>
      </c>
      <c r="I142" s="13" t="str">
        <f>IF(I$4="Yes",INDEX(List!$E$2:$CD$173,MATCH('Selection Pane Data'!$B142,List!$E$2:$E$173,0),MATCH('Selection Pane Data'!I$3,List!$E$2:$CD$2,0)),"")</f>
        <v/>
      </c>
      <c r="J142" s="13" t="str">
        <f>IF(J$4="Yes",INDEX(List!$E$2:$CD$173,MATCH('Selection Pane Data'!$B142,List!$E$2:$E$173,0),MATCH('Selection Pane Data'!J$3,List!$E$2:$CD$2,0)),"")</f>
        <v>N</v>
      </c>
      <c r="K142" s="13" t="str">
        <f>IF(K$4="Yes",INDEX(List!$E$2:$CD$173,MATCH('Selection Pane Data'!$B142,List!$E$2:$E$173,0),MATCH('Selection Pane Data'!K$3,List!$E$2:$CD$2,0)),"")</f>
        <v/>
      </c>
      <c r="L142" s="13" t="str">
        <f>IF(L$4="Yes",INDEX(List!$E$2:$CD$173,MATCH('Selection Pane Data'!$B142,List!$E$2:$E$173,0),MATCH('Selection Pane Data'!L$3,List!$E$2:$CD$2,0)),"")</f>
        <v/>
      </c>
      <c r="M142" s="13" t="str">
        <f>IF(M$4="Yes",INDEX(List!$E$2:$CD$173,MATCH('Selection Pane Data'!$B142,List!$E$2:$E$173,0),MATCH('Selection Pane Data'!M$3,List!$E$2:$CD$2,0)),"")</f>
        <v/>
      </c>
      <c r="N142" s="13" t="str">
        <f>IF(N$4="Yes",INDEX(List!$E$2:$CD$173,MATCH('Selection Pane Data'!$B142,List!$E$2:$E$173,0),MATCH('Selection Pane Data'!N$3,List!$E$2:$CD$2,0)),"")</f>
        <v/>
      </c>
      <c r="O142" s="13" t="str">
        <f>IF(O$4="Yes",INDEX(List!$E$2:$CD$173,MATCH('Selection Pane Data'!$B142,List!$E$2:$E$173,0),MATCH('Selection Pane Data'!O$3,List!$E$2:$CD$2,0)),"")</f>
        <v/>
      </c>
      <c r="P142" s="13" t="str">
        <f>IF(P$4="Yes",INDEX(List!$E$2:$CD$173,MATCH('Selection Pane Data'!$B142,List!$E$2:$E$173,0),MATCH('Selection Pane Data'!P$3,List!$E$2:$CD$2,0)),"")</f>
        <v/>
      </c>
      <c r="Q142" s="13" t="str">
        <f>IF(Q$4="Yes",INDEX(List!$E$2:$CD$173,MATCH('Selection Pane Data'!$B142,List!$E$2:$E$173,0),MATCH('Selection Pane Data'!Q$3,List!$E$2:$CD$2,0)),"")</f>
        <v/>
      </c>
      <c r="R142" s="13" t="str">
        <f>IF(R$4="Yes",INDEX(List!$E$2:$CD$173,MATCH('Selection Pane Data'!$B142,List!$E$2:$E$173,0),MATCH('Selection Pane Data'!R$3,List!$E$2:$CD$2,0)),"")</f>
        <v/>
      </c>
      <c r="S142" s="13" t="str">
        <f>IF(S$4="Yes",INDEX(List!$E$2:$CD$173,MATCH('Selection Pane Data'!$B142,List!$E$2:$E$173,0),MATCH('Selection Pane Data'!S$3,List!$E$2:$CD$2,0)),"")</f>
        <v/>
      </c>
      <c r="T142" s="13" t="str">
        <f>IF(T$4="Yes",INDEX(List!$E$2:$CD$173,MATCH('Selection Pane Data'!$B142,List!$E$2:$E$173,0),MATCH('Selection Pane Data'!T$3,List!$E$2:$CD$2,0)),"")</f>
        <v/>
      </c>
      <c r="U142" s="13" t="str">
        <f>IF(U$4="Yes",INDEX(List!$E$2:$CD$173,MATCH('Selection Pane Data'!$B142,List!$E$2:$E$173,0),MATCH('Selection Pane Data'!U$3,List!$E$2:$CD$2,0)),"")</f>
        <v/>
      </c>
      <c r="V142" s="13" t="str">
        <f>IF(V$4="Yes",INDEX(List!$E$2:$CD$173,MATCH('Selection Pane Data'!$B142,List!$E$2:$E$173,0),MATCH('Selection Pane Data'!V$3,List!$E$2:$CD$2,0)),"")</f>
        <v/>
      </c>
      <c r="W142" s="13" t="str">
        <f>IF(W$4="Yes",INDEX(List!$E$2:$CD$173,MATCH('Selection Pane Data'!$B142,List!$E$2:$E$173,0),MATCH('Selection Pane Data'!W$3,List!$E$2:$CD$2,0)),"")</f>
        <v/>
      </c>
      <c r="X142" s="13" t="str">
        <f>IF(X$4="Yes",INDEX(List!$E$2:$CD$173,MATCH('Selection Pane Data'!$B142,List!$E$2:$E$173,0),MATCH('Selection Pane Data'!X$3,List!$E$2:$CD$2,0)),"")</f>
        <v/>
      </c>
      <c r="Y142" s="13" t="str">
        <f>IF(Y$4="Yes",INDEX(List!$E$2:$CD$173,MATCH('Selection Pane Data'!$B142,List!$E$2:$E$173,0),MATCH('Selection Pane Data'!Y$3,List!$E$2:$CD$2,0)),"")</f>
        <v/>
      </c>
      <c r="Z142" s="13" t="str">
        <f>IF(Z$4="Yes",INDEX(List!$E$2:$CD$173,MATCH('Selection Pane Data'!$B142,List!$E$2:$E$173,0),MATCH('Selection Pane Data'!Z$3,List!$E$2:$CD$2,0)),"")</f>
        <v/>
      </c>
      <c r="AA142" s="13" t="str">
        <f>IF(AA$4="Yes",INDEX(List!$E$2:$CD$173,MATCH('Selection Pane Data'!$B142,List!$E$2:$E$173,0),MATCH('Selection Pane Data'!AA$3,List!$E$2:$CD$2,0)),"")</f>
        <v>N</v>
      </c>
      <c r="AB142" s="13" t="str">
        <f>IF(AB$4="Yes",INDEX(List!$E$2:$CD$173,MATCH('Selection Pane Data'!$B142,List!$E$2:$E$173,0),MATCH('Selection Pane Data'!AB$3,List!$E$2:$CD$2,0)),"")</f>
        <v/>
      </c>
      <c r="AC142" s="13" t="str">
        <f>IF(AC$4="Yes",INDEX(List!$E$2:$CD$173,MATCH('Selection Pane Data'!$B142,List!$E$2:$E$173,0),MATCH('Selection Pane Data'!AC$3,List!$E$2:$CD$2,0)),"")</f>
        <v/>
      </c>
      <c r="AD142" s="13" t="str">
        <f>IF(AD$4="Yes",INDEX(List!$E$2:$CD$173,MATCH('Selection Pane Data'!$B142,List!$E$2:$E$173,0),MATCH('Selection Pane Data'!AD$3,List!$E$2:$CD$2,0)),"")</f>
        <v/>
      </c>
      <c r="AE142" s="13" t="str">
        <f>IF(AE$4="Yes",INDEX(List!$E$2:$CD$173,MATCH('Selection Pane Data'!$B142,List!$E$2:$E$173,0),MATCH('Selection Pane Data'!AE$3,List!$E$2:$CD$2,0)),"")</f>
        <v/>
      </c>
      <c r="AF142" s="13" t="str">
        <f>IF(AF$4="Yes",INDEX(List!$E$2:$CD$173,MATCH('Selection Pane Data'!$B142,List!$E$2:$E$173,0),MATCH('Selection Pane Data'!AF$3,List!$E$2:$CD$2,0)),"")</f>
        <v/>
      </c>
      <c r="AG142" s="13" t="str">
        <f>IF(AG$4="Yes",INDEX(List!$E$2:$CD$173,MATCH('Selection Pane Data'!$B142,List!$E$2:$E$173,0),MATCH('Selection Pane Data'!AG$3,List!$E$2:$CD$2,0)),"")</f>
        <v/>
      </c>
      <c r="AH142" s="13" t="str">
        <f>IF(AH$4="Yes",INDEX(List!$E$2:$CD$173,MATCH('Selection Pane Data'!$B142,List!$E$2:$E$173,0),MATCH('Selection Pane Data'!AH$3,List!$E$2:$CD$2,0)),"")</f>
        <v/>
      </c>
      <c r="AI142" s="13" t="str">
        <f>IF(AI$4="Yes",INDEX(List!$E$2:$CD$173,MATCH('Selection Pane Data'!$B142,List!$E$2:$E$173,0),MATCH('Selection Pane Data'!AI$3,List!$E$2:$CD$2,0)),"")</f>
        <v/>
      </c>
      <c r="AJ142" s="13" t="str">
        <f>IF(AJ$4="Yes",INDEX(List!$E$2:$CD$173,MATCH('Selection Pane Data'!$B142,List!$E$2:$E$173,0),MATCH('Selection Pane Data'!AJ$3,List!$E$2:$CD$2,0)),"")</f>
        <v/>
      </c>
      <c r="AK142" s="13" t="str">
        <f>IF(AK$4="Yes",INDEX(List!$E$2:$CD$173,MATCH('Selection Pane Data'!$B142,List!$E$2:$E$173,0),MATCH('Selection Pane Data'!AK$3,List!$E$2:$CD$2,0)),"")</f>
        <v/>
      </c>
      <c r="AL142" s="13" t="str">
        <f>IF(AL$4="Yes",INDEX(List!$E$2:$CD$173,MATCH('Selection Pane Data'!$B142,List!$E$2:$E$173,0),MATCH('Selection Pane Data'!AL$3,List!$E$2:$CD$2,0)),"")</f>
        <v/>
      </c>
      <c r="AM142" s="13" t="str">
        <f>IF(AM$4="Yes",INDEX(List!$E$2:$CD$173,MATCH('Selection Pane Data'!$B142,List!$E$2:$E$173,0),MATCH('Selection Pane Data'!AM$3,List!$E$2:$CD$2,0)),"")</f>
        <v/>
      </c>
      <c r="AN142" s="13" t="str">
        <f>IF(AN$4="Yes",INDEX(List!$E$2:$CD$173,MATCH('Selection Pane Data'!$B142,List!$E$2:$E$173,0),MATCH('Selection Pane Data'!AN$3,List!$E$2:$CD$2,0)),"")</f>
        <v/>
      </c>
      <c r="AO142" s="13" t="str">
        <f>IF(AO$4="Yes",INDEX(List!$E$2:$CD$173,MATCH('Selection Pane Data'!$B142,List!$E$2:$E$173,0),MATCH('Selection Pane Data'!AO$3,List!$E$2:$CD$2,0)),"")</f>
        <v/>
      </c>
      <c r="AP142" s="13" t="str">
        <f>IF(AP$4="Yes",INDEX(List!$E$2:$CD$173,MATCH('Selection Pane Data'!$B142,List!$E$2:$E$173,0),MATCH('Selection Pane Data'!AP$3,List!$E$2:$CD$2,0)),"")</f>
        <v/>
      </c>
      <c r="AQ142" s="13" t="str">
        <f>IF(AQ$4="Yes",INDEX(List!$E$2:$CD$173,MATCH('Selection Pane Data'!$B142,List!$E$2:$E$173,0),MATCH('Selection Pane Data'!AQ$3,List!$E$2:$CD$2,0)),"")</f>
        <v/>
      </c>
      <c r="AR142" s="13" t="str">
        <f>IF(AR$4="Yes",INDEX(List!$E$2:$CD$173,MATCH('Selection Pane Data'!$B142,List!$E$2:$E$173,0),MATCH('Selection Pane Data'!AR$3,List!$E$2:$CD$2,0)),"")</f>
        <v/>
      </c>
      <c r="AS142" s="13" t="str">
        <f>IF(AS$4="Yes",INDEX(List!$E$2:$CD$173,MATCH('Selection Pane Data'!$B142,List!$E$2:$E$173,0),MATCH('Selection Pane Data'!AS$3,List!$E$2:$CD$2,0)),"")</f>
        <v/>
      </c>
      <c r="AT142" s="13" t="str">
        <f>IF(AT$4="Yes",INDEX(List!$E$2:$CD$173,MATCH('Selection Pane Data'!$B142,List!$E$2:$E$173,0),MATCH('Selection Pane Data'!AT$3,List!$E$2:$CD$2,0)),"")</f>
        <v/>
      </c>
      <c r="AU142" s="13" t="str">
        <f>IF(AU$4="Yes",INDEX(List!$E$2:$CD$173,MATCH('Selection Pane Data'!$B142,List!$E$2:$E$173,0),MATCH('Selection Pane Data'!AU$3,List!$E$2:$CD$2,0)),"")</f>
        <v/>
      </c>
      <c r="AV142" s="13" t="str">
        <f>IF(AV$4="Yes",INDEX(List!$E$2:$CD$173,MATCH('Selection Pane Data'!$B142,List!$E$2:$E$173,0),MATCH('Selection Pane Data'!AV$3,List!$E$2:$CD$2,0)),"")</f>
        <v/>
      </c>
      <c r="AW142" s="13" t="str">
        <f>IF(AW$4="Yes",INDEX(List!$E$2:$CD$173,MATCH('Selection Pane Data'!$B142,List!$E$2:$E$173,0),MATCH('Selection Pane Data'!AW$3,List!$E$2:$CD$2,0)),"")</f>
        <v/>
      </c>
      <c r="AX142" s="13" t="str">
        <f>IF(AX$4="Yes",INDEX(List!$E$2:$CD$173,MATCH('Selection Pane Data'!$B142,List!$E$2:$E$173,0),MATCH('Selection Pane Data'!AX$3,List!$E$2:$CD$2,0)),"")</f>
        <v/>
      </c>
      <c r="AY142" s="13" t="str">
        <f>IF(AY$4="Yes",INDEX(List!$E$2:$CD$173,MATCH('Selection Pane Data'!$B142,List!$E$2:$E$173,0),MATCH('Selection Pane Data'!AY$3,List!$E$2:$CD$2,0)),"")</f>
        <v/>
      </c>
      <c r="AZ142" s="13" t="str">
        <f>IF(AZ$4="Yes",INDEX(List!$E$2:$CD$173,MATCH('Selection Pane Data'!$B142,List!$E$2:$E$173,0),MATCH('Selection Pane Data'!AZ$3,List!$E$2:$CD$2,0)),"")</f>
        <v/>
      </c>
      <c r="BA142" s="13" t="str">
        <f>IF(BA$4="Yes",INDEX(List!$E$2:$CD$173,MATCH('Selection Pane Data'!$B142,List!$E$2:$E$173,0),MATCH('Selection Pane Data'!BA$3,List!$E$2:$CD$2,0)),"")</f>
        <v/>
      </c>
      <c r="BB142" s="13" t="str">
        <f>IF(BB$4="Yes",INDEX(List!$E$2:$CD$173,MATCH('Selection Pane Data'!$B142,List!$E$2:$E$173,0),MATCH('Selection Pane Data'!BB$3,List!$E$2:$CD$2,0)),"")</f>
        <v/>
      </c>
      <c r="BC142" s="13" t="str">
        <f>IF(BC$4="Yes",INDEX(List!$E$2:$CD$173,MATCH('Selection Pane Data'!$B142,List!$E$2:$E$173,0),MATCH('Selection Pane Data'!BC$3,List!$E$2:$CD$2,0)),"")</f>
        <v/>
      </c>
      <c r="BD142" s="13" t="str">
        <f>IF(BD$4="Yes",INDEX(List!$E$2:$CD$173,MATCH('Selection Pane Data'!$B142,List!$E$2:$E$173,0),MATCH('Selection Pane Data'!BD$3,List!$E$2:$CD$2,0)),"")</f>
        <v/>
      </c>
      <c r="BE142" s="13" t="str">
        <f>IF(BE$4="Yes",INDEX(List!$E$2:$CD$173,MATCH('Selection Pane Data'!$B142,List!$E$2:$E$173,0),MATCH('Selection Pane Data'!BE$3,List!$E$2:$CD$2,0)),"")</f>
        <v/>
      </c>
      <c r="BF142" s="13" t="str">
        <f>IF(BF$4="Yes",INDEX(List!$E$2:$CD$173,MATCH('Selection Pane Data'!$B142,List!$E$2:$E$173,0),MATCH('Selection Pane Data'!BF$3,List!$E$2:$CD$2,0)),"")</f>
        <v/>
      </c>
      <c r="BG142" s="13" t="str">
        <f>IF(BG$4="Yes",INDEX(List!$E$2:$CD$173,MATCH('Selection Pane Data'!$B142,List!$E$2:$E$173,0),MATCH('Selection Pane Data'!BG$3,List!$E$2:$CD$2,0)),"")</f>
        <v/>
      </c>
      <c r="BH142" s="13" t="str">
        <f>IF(BH$4="Yes",INDEX(List!$E$2:$CD$173,MATCH('Selection Pane Data'!$B142,List!$E$2:$E$173,0),MATCH('Selection Pane Data'!BH$3,List!$E$2:$CD$2,0)),"")</f>
        <v/>
      </c>
      <c r="BI142" s="13" t="str">
        <f>IF(BI$4="Yes",INDEX(List!$E$2:$CD$173,MATCH('Selection Pane Data'!$B142,List!$E$2:$E$173,0),MATCH('Selection Pane Data'!BI$3,List!$E$2:$CD$2,0)),"")</f>
        <v/>
      </c>
      <c r="BJ142" s="13" t="str">
        <f>IF(BJ$4="Yes",INDEX(List!$E$2:$CD$173,MATCH('Selection Pane Data'!$B142,List!$E$2:$E$173,0),MATCH('Selection Pane Data'!BJ$3,List!$E$2:$CD$2,0)),"")</f>
        <v/>
      </c>
      <c r="BK142" s="13" t="str">
        <f>IF(BK$4="Yes",INDEX(List!$E$2:$CD$173,MATCH('Selection Pane Data'!$B142,List!$E$2:$E$173,0),MATCH('Selection Pane Data'!BK$3,List!$E$2:$CD$2,0)),"")</f>
        <v/>
      </c>
      <c r="BL142" s="13" t="str">
        <f>IF(BL$4="Yes",INDEX(List!$E$2:$CD$173,MATCH('Selection Pane Data'!$B142,List!$E$2:$E$173,0),MATCH('Selection Pane Data'!BL$3,List!$E$2:$CD$2,0)),"")</f>
        <v/>
      </c>
      <c r="BM142" s="13" t="str">
        <f>IF(BM$4="Yes",INDEX(List!$E$2:$CD$173,MATCH('Selection Pane Data'!$B142,List!$E$2:$E$173,0),MATCH('Selection Pane Data'!BM$3,List!$E$2:$CD$2,0)),"")</f>
        <v/>
      </c>
      <c r="BN142" s="13" t="str">
        <f>IF(BN$4="Yes",INDEX(List!$E$2:$CD$173,MATCH('Selection Pane Data'!$B142,List!$E$2:$E$173,0),MATCH('Selection Pane Data'!BN$3,List!$E$2:$CD$2,0)),"")</f>
        <v/>
      </c>
      <c r="BO142" s="13" t="str">
        <f>IF(BO$4="Yes",INDEX(List!$E$2:$CD$173,MATCH('Selection Pane Data'!$B142,List!$E$2:$E$173,0),MATCH('Selection Pane Data'!BO$3,List!$E$2:$CD$2,0)),"")</f>
        <v/>
      </c>
      <c r="BP142" s="13" t="str">
        <f>IF(BP$4="Yes",INDEX(List!$E$2:$CD$173,MATCH('Selection Pane Data'!$B142,List!$E$2:$E$173,0),MATCH('Selection Pane Data'!BP$3,List!$E$2:$CD$2,0)),"")</f>
        <v/>
      </c>
      <c r="BQ142" s="13" t="str">
        <f>IF(BQ$4="Yes",INDEX(List!$E$2:$CD$173,MATCH('Selection Pane Data'!$B142,List!$E$2:$E$173,0),MATCH('Selection Pane Data'!BQ$3,List!$E$2:$CD$2,0)),"")</f>
        <v/>
      </c>
      <c r="BR142" s="13" t="str">
        <f>IF(BR$4="Yes",INDEX(List!$E$2:$CD$173,MATCH('Selection Pane Data'!$B142,List!$E$2:$E$173,0),MATCH('Selection Pane Data'!BR$3,List!$E$2:$CD$2,0)),"")</f>
        <v/>
      </c>
      <c r="BS142" s="13" t="str">
        <f>IF(BS$4="Yes",INDEX(List!$E$2:$CD$173,MATCH('Selection Pane Data'!$B142,List!$E$2:$E$173,0),MATCH('Selection Pane Data'!BS$3,List!$E$2:$CD$2,0)),"")</f>
        <v/>
      </c>
      <c r="BT142" s="13" t="str">
        <f>IF(BT$4="Yes",INDEX(List!$E$2:$CD$173,MATCH('Selection Pane Data'!$B142,List!$E$2:$E$173,0),MATCH('Selection Pane Data'!BT$3,List!$E$2:$CD$2,0)),"")</f>
        <v/>
      </c>
      <c r="BU142" s="13" t="str">
        <f>IF(BU$4="Yes",INDEX(List!$E$2:$CD$173,MATCH('Selection Pane Data'!$B142,List!$E$2:$E$173,0),MATCH('Selection Pane Data'!BU$3,List!$E$2:$CD$2,0)),"")</f>
        <v/>
      </c>
      <c r="BV142" s="13" t="str">
        <f>IF(BV$4="Yes",INDEX(List!$E$2:$CD$173,MATCH('Selection Pane Data'!$B142,List!$E$2:$E$173,0),MATCH('Selection Pane Data'!BV$3,List!$E$2:$CD$2,0)),"")</f>
        <v/>
      </c>
      <c r="BW142" s="13" t="str">
        <f>IF(BW$4="Yes",INDEX(List!$E$2:$CD$173,MATCH('Selection Pane Data'!$B142,List!$E$2:$E$173,0),MATCH('Selection Pane Data'!BW$3,List!$E$2:$CD$2,0)),"")</f>
        <v/>
      </c>
      <c r="BX142" s="13" t="str">
        <f>IF(BX$4="Yes",INDEX(List!$E$2:$CD$173,MATCH('Selection Pane Data'!$B142,List!$E$2:$E$173,0),MATCH('Selection Pane Data'!BX$3,List!$E$2:$CD$2,0)),"")</f>
        <v/>
      </c>
      <c r="BY142" s="13" t="str">
        <f>IF(BY$4="Yes",INDEX(List!$E$2:$CD$173,MATCH('Selection Pane Data'!$B142,List!$E$2:$E$173,0),MATCH('Selection Pane Data'!BY$3,List!$E$2:$CD$2,0)),"")</f>
        <v/>
      </c>
      <c r="BZ142" s="13" t="str">
        <f>IF(BZ$4="Yes",INDEX(List!$E$2:$CD$173,MATCH('Selection Pane Data'!$B142,List!$E$2:$E$173,0),MATCH('Selection Pane Data'!BZ$3,List!$E$2:$CD$2,0)),"")</f>
        <v/>
      </c>
      <c r="CA142" s="13" t="str">
        <f>IF(CA$4="Yes",INDEX(List!$E$2:$CD$173,MATCH('Selection Pane Data'!$B142,List!$E$2:$E$173,0),MATCH('Selection Pane Data'!CA$3,List!$E$2:$CD$2,0)),"")</f>
        <v/>
      </c>
      <c r="CB142" s="13" t="str">
        <f>IF(CB$4="Yes",INDEX(List!$E$2:$CD$173,MATCH('Selection Pane Data'!$B142,List!$E$2:$E$173,0),MATCH('Selection Pane Data'!CB$3,List!$E$2:$CD$2,0)),"")</f>
        <v/>
      </c>
      <c r="CC142" s="13" t="str">
        <f>IF(CC$4="Yes",INDEX(List!$E$2:$CD$173,MATCH('Selection Pane Data'!$B142,List!$E$2:$E$173,0),MATCH('Selection Pane Data'!CC$3,List!$E$2:$CD$2,0)),"")</f>
        <v/>
      </c>
      <c r="CD142" s="13" t="str">
        <f>IF(CD$4="Yes",INDEX(List!$E$2:$CD$173,MATCH('Selection Pane Data'!$B142,List!$E$2:$E$173,0),MATCH('Selection Pane Data'!CD$3,List!$E$2:$CD$2,0)),"")</f>
        <v/>
      </c>
      <c r="CE142" s="13" t="str">
        <f>IF(CE$4="Yes",INDEX(List!$E$2:$CD$173,MATCH('Selection Pane Data'!$B142,List!$E$2:$E$173,0),MATCH('Selection Pane Data'!CE$3,List!$E$2:$CD$2,0)),"")</f>
        <v/>
      </c>
    </row>
    <row r="143" spans="2:83" x14ac:dyDescent="0.35">
      <c r="B143" s="21" t="s">
        <v>430</v>
      </c>
      <c r="C143" s="126" t="str">
        <f>VLOOKUP(B143,List!$E$2:$G$173,2,FALSE)</f>
        <v>SC.L2-3.13.4</v>
      </c>
      <c r="D143" s="31" t="str">
        <f>List!G141</f>
        <v>Shared Coverage</v>
      </c>
      <c r="E143" s="31" t="str">
        <f>IF(Placemat!$F$4="All Practices","All Practices",IF(VLOOKUP(B143,Table7[#All],6,FALSE)="No Mapping","New CMMC Practices","Practices with NIST 800-171 Mappings"))</f>
        <v>Practices with NIST 800-171 Mappings</v>
      </c>
      <c r="F143" t="str">
        <f>INDEX('CMMC Levels'!$A$1:$F$172,MATCH('Selection Pane Data'!$C143,'CMMC Levels'!$A$1:$A$172,0),MATCH(Placemat!$F$4,'CMMC Levels'!$A$1:$F$1,0))</f>
        <v>X</v>
      </c>
      <c r="G143" s="77" t="str">
        <f>IF((COUNTIF(List!H141:CE141,"P")+COUNTIF(List!H141:CE141,"S"))=0,"N",IF(COUNTIF(H143:CE143,"P"),"P",IF(COUNTIF(H143:CE143,"S"),"S","U")))</f>
        <v>U</v>
      </c>
      <c r="H143" s="13" t="str">
        <f>IF(H$4="Yes",INDEX(List!$E$2:$CD$173,MATCH('Selection Pane Data'!$B143,List!$E$2:$E$173,0),MATCH('Selection Pane Data'!H$3,List!$E$2:$CD$2,0)),"")</f>
        <v/>
      </c>
      <c r="I143" s="13" t="str">
        <f>IF(I$4="Yes",INDEX(List!$E$2:$CD$173,MATCH('Selection Pane Data'!$B143,List!$E$2:$E$173,0),MATCH('Selection Pane Data'!I$3,List!$E$2:$CD$2,0)),"")</f>
        <v/>
      </c>
      <c r="J143" s="13" t="str">
        <f>IF(J$4="Yes",INDEX(List!$E$2:$CD$173,MATCH('Selection Pane Data'!$B143,List!$E$2:$E$173,0),MATCH('Selection Pane Data'!J$3,List!$E$2:$CD$2,0)),"")</f>
        <v>N</v>
      </c>
      <c r="K143" s="13" t="str">
        <f>IF(K$4="Yes",INDEX(List!$E$2:$CD$173,MATCH('Selection Pane Data'!$B143,List!$E$2:$E$173,0),MATCH('Selection Pane Data'!K$3,List!$E$2:$CD$2,0)),"")</f>
        <v/>
      </c>
      <c r="L143" s="13" t="str">
        <f>IF(L$4="Yes",INDEX(List!$E$2:$CD$173,MATCH('Selection Pane Data'!$B143,List!$E$2:$E$173,0),MATCH('Selection Pane Data'!L$3,List!$E$2:$CD$2,0)),"")</f>
        <v/>
      </c>
      <c r="M143" s="13" t="str">
        <f>IF(M$4="Yes",INDEX(List!$E$2:$CD$173,MATCH('Selection Pane Data'!$B143,List!$E$2:$E$173,0),MATCH('Selection Pane Data'!M$3,List!$E$2:$CD$2,0)),"")</f>
        <v/>
      </c>
      <c r="N143" s="13" t="str">
        <f>IF(N$4="Yes",INDEX(List!$E$2:$CD$173,MATCH('Selection Pane Data'!$B143,List!$E$2:$E$173,0),MATCH('Selection Pane Data'!N$3,List!$E$2:$CD$2,0)),"")</f>
        <v/>
      </c>
      <c r="O143" s="13" t="str">
        <f>IF(O$4="Yes",INDEX(List!$E$2:$CD$173,MATCH('Selection Pane Data'!$B143,List!$E$2:$E$173,0),MATCH('Selection Pane Data'!O$3,List!$E$2:$CD$2,0)),"")</f>
        <v/>
      </c>
      <c r="P143" s="13" t="str">
        <f>IF(P$4="Yes",INDEX(List!$E$2:$CD$173,MATCH('Selection Pane Data'!$B143,List!$E$2:$E$173,0),MATCH('Selection Pane Data'!P$3,List!$E$2:$CD$2,0)),"")</f>
        <v/>
      </c>
      <c r="Q143" s="13" t="str">
        <f>IF(Q$4="Yes",INDEX(List!$E$2:$CD$173,MATCH('Selection Pane Data'!$B143,List!$E$2:$E$173,0),MATCH('Selection Pane Data'!Q$3,List!$E$2:$CD$2,0)),"")</f>
        <v/>
      </c>
      <c r="R143" s="13" t="str">
        <f>IF(R$4="Yes",INDEX(List!$E$2:$CD$173,MATCH('Selection Pane Data'!$B143,List!$E$2:$E$173,0),MATCH('Selection Pane Data'!R$3,List!$E$2:$CD$2,0)),"")</f>
        <v/>
      </c>
      <c r="S143" s="13" t="str">
        <f>IF(S$4="Yes",INDEX(List!$E$2:$CD$173,MATCH('Selection Pane Data'!$B143,List!$E$2:$E$173,0),MATCH('Selection Pane Data'!S$3,List!$E$2:$CD$2,0)),"")</f>
        <v/>
      </c>
      <c r="T143" s="13" t="str">
        <f>IF(T$4="Yes",INDEX(List!$E$2:$CD$173,MATCH('Selection Pane Data'!$B143,List!$E$2:$E$173,0),MATCH('Selection Pane Data'!T$3,List!$E$2:$CD$2,0)),"")</f>
        <v/>
      </c>
      <c r="U143" s="13" t="str">
        <f>IF(U$4="Yes",INDEX(List!$E$2:$CD$173,MATCH('Selection Pane Data'!$B143,List!$E$2:$E$173,0),MATCH('Selection Pane Data'!U$3,List!$E$2:$CD$2,0)),"")</f>
        <v/>
      </c>
      <c r="V143" s="13" t="str">
        <f>IF(V$4="Yes",INDEX(List!$E$2:$CD$173,MATCH('Selection Pane Data'!$B143,List!$E$2:$E$173,0),MATCH('Selection Pane Data'!V$3,List!$E$2:$CD$2,0)),"")</f>
        <v/>
      </c>
      <c r="W143" s="13" t="str">
        <f>IF(W$4="Yes",INDEX(List!$E$2:$CD$173,MATCH('Selection Pane Data'!$B143,List!$E$2:$E$173,0),MATCH('Selection Pane Data'!W$3,List!$E$2:$CD$2,0)),"")</f>
        <v/>
      </c>
      <c r="X143" s="13" t="str">
        <f>IF(X$4="Yes",INDEX(List!$E$2:$CD$173,MATCH('Selection Pane Data'!$B143,List!$E$2:$E$173,0),MATCH('Selection Pane Data'!X$3,List!$E$2:$CD$2,0)),"")</f>
        <v/>
      </c>
      <c r="Y143" s="13" t="str">
        <f>IF(Y$4="Yes",INDEX(List!$E$2:$CD$173,MATCH('Selection Pane Data'!$B143,List!$E$2:$E$173,0),MATCH('Selection Pane Data'!Y$3,List!$E$2:$CD$2,0)),"")</f>
        <v/>
      </c>
      <c r="Z143" s="13" t="str">
        <f>IF(Z$4="Yes",INDEX(List!$E$2:$CD$173,MATCH('Selection Pane Data'!$B143,List!$E$2:$E$173,0),MATCH('Selection Pane Data'!Z$3,List!$E$2:$CD$2,0)),"")</f>
        <v/>
      </c>
      <c r="AA143" s="13" t="str">
        <f>IF(AA$4="Yes",INDEX(List!$E$2:$CD$173,MATCH('Selection Pane Data'!$B143,List!$E$2:$E$173,0),MATCH('Selection Pane Data'!AA$3,List!$E$2:$CD$2,0)),"")</f>
        <v>N</v>
      </c>
      <c r="AB143" s="13" t="str">
        <f>IF(AB$4="Yes",INDEX(List!$E$2:$CD$173,MATCH('Selection Pane Data'!$B143,List!$E$2:$E$173,0),MATCH('Selection Pane Data'!AB$3,List!$E$2:$CD$2,0)),"")</f>
        <v/>
      </c>
      <c r="AC143" s="13" t="str">
        <f>IF(AC$4="Yes",INDEX(List!$E$2:$CD$173,MATCH('Selection Pane Data'!$B143,List!$E$2:$E$173,0),MATCH('Selection Pane Data'!AC$3,List!$E$2:$CD$2,0)),"")</f>
        <v/>
      </c>
      <c r="AD143" s="13" t="str">
        <f>IF(AD$4="Yes",INDEX(List!$E$2:$CD$173,MATCH('Selection Pane Data'!$B143,List!$E$2:$E$173,0),MATCH('Selection Pane Data'!AD$3,List!$E$2:$CD$2,0)),"")</f>
        <v/>
      </c>
      <c r="AE143" s="13" t="str">
        <f>IF(AE$4="Yes",INDEX(List!$E$2:$CD$173,MATCH('Selection Pane Data'!$B143,List!$E$2:$E$173,0),MATCH('Selection Pane Data'!AE$3,List!$E$2:$CD$2,0)),"")</f>
        <v/>
      </c>
      <c r="AF143" s="13" t="str">
        <f>IF(AF$4="Yes",INDEX(List!$E$2:$CD$173,MATCH('Selection Pane Data'!$B143,List!$E$2:$E$173,0),MATCH('Selection Pane Data'!AF$3,List!$E$2:$CD$2,0)),"")</f>
        <v/>
      </c>
      <c r="AG143" s="13" t="str">
        <f>IF(AG$4="Yes",INDEX(List!$E$2:$CD$173,MATCH('Selection Pane Data'!$B143,List!$E$2:$E$173,0),MATCH('Selection Pane Data'!AG$3,List!$E$2:$CD$2,0)),"")</f>
        <v/>
      </c>
      <c r="AH143" s="13" t="str">
        <f>IF(AH$4="Yes",INDEX(List!$E$2:$CD$173,MATCH('Selection Pane Data'!$B143,List!$E$2:$E$173,0),MATCH('Selection Pane Data'!AH$3,List!$E$2:$CD$2,0)),"")</f>
        <v/>
      </c>
      <c r="AI143" s="13" t="str">
        <f>IF(AI$4="Yes",INDEX(List!$E$2:$CD$173,MATCH('Selection Pane Data'!$B143,List!$E$2:$E$173,0),MATCH('Selection Pane Data'!AI$3,List!$E$2:$CD$2,0)),"")</f>
        <v/>
      </c>
      <c r="AJ143" s="13" t="str">
        <f>IF(AJ$4="Yes",INDEX(List!$E$2:$CD$173,MATCH('Selection Pane Data'!$B143,List!$E$2:$E$173,0),MATCH('Selection Pane Data'!AJ$3,List!$E$2:$CD$2,0)),"")</f>
        <v/>
      </c>
      <c r="AK143" s="13" t="str">
        <f>IF(AK$4="Yes",INDEX(List!$E$2:$CD$173,MATCH('Selection Pane Data'!$B143,List!$E$2:$E$173,0),MATCH('Selection Pane Data'!AK$3,List!$E$2:$CD$2,0)),"")</f>
        <v/>
      </c>
      <c r="AL143" s="13" t="str">
        <f>IF(AL$4="Yes",INDEX(List!$E$2:$CD$173,MATCH('Selection Pane Data'!$B143,List!$E$2:$E$173,0),MATCH('Selection Pane Data'!AL$3,List!$E$2:$CD$2,0)),"")</f>
        <v/>
      </c>
      <c r="AM143" s="13" t="str">
        <f>IF(AM$4="Yes",INDEX(List!$E$2:$CD$173,MATCH('Selection Pane Data'!$B143,List!$E$2:$E$173,0),MATCH('Selection Pane Data'!AM$3,List!$E$2:$CD$2,0)),"")</f>
        <v/>
      </c>
      <c r="AN143" s="13" t="str">
        <f>IF(AN$4="Yes",INDEX(List!$E$2:$CD$173,MATCH('Selection Pane Data'!$B143,List!$E$2:$E$173,0),MATCH('Selection Pane Data'!AN$3,List!$E$2:$CD$2,0)),"")</f>
        <v/>
      </c>
      <c r="AO143" s="13" t="str">
        <f>IF(AO$4="Yes",INDEX(List!$E$2:$CD$173,MATCH('Selection Pane Data'!$B143,List!$E$2:$E$173,0),MATCH('Selection Pane Data'!AO$3,List!$E$2:$CD$2,0)),"")</f>
        <v/>
      </c>
      <c r="AP143" s="13" t="str">
        <f>IF(AP$4="Yes",INDEX(List!$E$2:$CD$173,MATCH('Selection Pane Data'!$B143,List!$E$2:$E$173,0),MATCH('Selection Pane Data'!AP$3,List!$E$2:$CD$2,0)),"")</f>
        <v/>
      </c>
      <c r="AQ143" s="13" t="str">
        <f>IF(AQ$4="Yes",INDEX(List!$E$2:$CD$173,MATCH('Selection Pane Data'!$B143,List!$E$2:$E$173,0),MATCH('Selection Pane Data'!AQ$3,List!$E$2:$CD$2,0)),"")</f>
        <v/>
      </c>
      <c r="AR143" s="13" t="str">
        <f>IF(AR$4="Yes",INDEX(List!$E$2:$CD$173,MATCH('Selection Pane Data'!$B143,List!$E$2:$E$173,0),MATCH('Selection Pane Data'!AR$3,List!$E$2:$CD$2,0)),"")</f>
        <v/>
      </c>
      <c r="AS143" s="13" t="str">
        <f>IF(AS$4="Yes",INDEX(List!$E$2:$CD$173,MATCH('Selection Pane Data'!$B143,List!$E$2:$E$173,0),MATCH('Selection Pane Data'!AS$3,List!$E$2:$CD$2,0)),"")</f>
        <v/>
      </c>
      <c r="AT143" s="13" t="str">
        <f>IF(AT$4="Yes",INDEX(List!$E$2:$CD$173,MATCH('Selection Pane Data'!$B143,List!$E$2:$E$173,0),MATCH('Selection Pane Data'!AT$3,List!$E$2:$CD$2,0)),"")</f>
        <v/>
      </c>
      <c r="AU143" s="13" t="str">
        <f>IF(AU$4="Yes",INDEX(List!$E$2:$CD$173,MATCH('Selection Pane Data'!$B143,List!$E$2:$E$173,0),MATCH('Selection Pane Data'!AU$3,List!$E$2:$CD$2,0)),"")</f>
        <v/>
      </c>
      <c r="AV143" s="13" t="str">
        <f>IF(AV$4="Yes",INDEX(List!$E$2:$CD$173,MATCH('Selection Pane Data'!$B143,List!$E$2:$E$173,0),MATCH('Selection Pane Data'!AV$3,List!$E$2:$CD$2,0)),"")</f>
        <v/>
      </c>
      <c r="AW143" s="13" t="str">
        <f>IF(AW$4="Yes",INDEX(List!$E$2:$CD$173,MATCH('Selection Pane Data'!$B143,List!$E$2:$E$173,0),MATCH('Selection Pane Data'!AW$3,List!$E$2:$CD$2,0)),"")</f>
        <v/>
      </c>
      <c r="AX143" s="13" t="str">
        <f>IF(AX$4="Yes",INDEX(List!$E$2:$CD$173,MATCH('Selection Pane Data'!$B143,List!$E$2:$E$173,0),MATCH('Selection Pane Data'!AX$3,List!$E$2:$CD$2,0)),"")</f>
        <v/>
      </c>
      <c r="AY143" s="13" t="str">
        <f>IF(AY$4="Yes",INDEX(List!$E$2:$CD$173,MATCH('Selection Pane Data'!$B143,List!$E$2:$E$173,0),MATCH('Selection Pane Data'!AY$3,List!$E$2:$CD$2,0)),"")</f>
        <v/>
      </c>
      <c r="AZ143" s="13" t="str">
        <f>IF(AZ$4="Yes",INDEX(List!$E$2:$CD$173,MATCH('Selection Pane Data'!$B143,List!$E$2:$E$173,0),MATCH('Selection Pane Data'!AZ$3,List!$E$2:$CD$2,0)),"")</f>
        <v/>
      </c>
      <c r="BA143" s="13" t="str">
        <f>IF(BA$4="Yes",INDEX(List!$E$2:$CD$173,MATCH('Selection Pane Data'!$B143,List!$E$2:$E$173,0),MATCH('Selection Pane Data'!BA$3,List!$E$2:$CD$2,0)),"")</f>
        <v/>
      </c>
      <c r="BB143" s="13" t="str">
        <f>IF(BB$4="Yes",INDEX(List!$E$2:$CD$173,MATCH('Selection Pane Data'!$B143,List!$E$2:$E$173,0),MATCH('Selection Pane Data'!BB$3,List!$E$2:$CD$2,0)),"")</f>
        <v/>
      </c>
      <c r="BC143" s="13" t="str">
        <f>IF(BC$4="Yes",INDEX(List!$E$2:$CD$173,MATCH('Selection Pane Data'!$B143,List!$E$2:$E$173,0),MATCH('Selection Pane Data'!BC$3,List!$E$2:$CD$2,0)),"")</f>
        <v/>
      </c>
      <c r="BD143" s="13" t="str">
        <f>IF(BD$4="Yes",INDEX(List!$E$2:$CD$173,MATCH('Selection Pane Data'!$B143,List!$E$2:$E$173,0),MATCH('Selection Pane Data'!BD$3,List!$E$2:$CD$2,0)),"")</f>
        <v/>
      </c>
      <c r="BE143" s="13" t="str">
        <f>IF(BE$4="Yes",INDEX(List!$E$2:$CD$173,MATCH('Selection Pane Data'!$B143,List!$E$2:$E$173,0),MATCH('Selection Pane Data'!BE$3,List!$E$2:$CD$2,0)),"")</f>
        <v/>
      </c>
      <c r="BF143" s="13" t="str">
        <f>IF(BF$4="Yes",INDEX(List!$E$2:$CD$173,MATCH('Selection Pane Data'!$B143,List!$E$2:$E$173,0),MATCH('Selection Pane Data'!BF$3,List!$E$2:$CD$2,0)),"")</f>
        <v/>
      </c>
      <c r="BG143" s="13" t="str">
        <f>IF(BG$4="Yes",INDEX(List!$E$2:$CD$173,MATCH('Selection Pane Data'!$B143,List!$E$2:$E$173,0),MATCH('Selection Pane Data'!BG$3,List!$E$2:$CD$2,0)),"")</f>
        <v/>
      </c>
      <c r="BH143" s="13" t="str">
        <f>IF(BH$4="Yes",INDEX(List!$E$2:$CD$173,MATCH('Selection Pane Data'!$B143,List!$E$2:$E$173,0),MATCH('Selection Pane Data'!BH$3,List!$E$2:$CD$2,0)),"")</f>
        <v/>
      </c>
      <c r="BI143" s="13" t="str">
        <f>IF(BI$4="Yes",INDEX(List!$E$2:$CD$173,MATCH('Selection Pane Data'!$B143,List!$E$2:$E$173,0),MATCH('Selection Pane Data'!BI$3,List!$E$2:$CD$2,0)),"")</f>
        <v/>
      </c>
      <c r="BJ143" s="13" t="str">
        <f>IF(BJ$4="Yes",INDEX(List!$E$2:$CD$173,MATCH('Selection Pane Data'!$B143,List!$E$2:$E$173,0),MATCH('Selection Pane Data'!BJ$3,List!$E$2:$CD$2,0)),"")</f>
        <v/>
      </c>
      <c r="BK143" s="13" t="str">
        <f>IF(BK$4="Yes",INDEX(List!$E$2:$CD$173,MATCH('Selection Pane Data'!$B143,List!$E$2:$E$173,0),MATCH('Selection Pane Data'!BK$3,List!$E$2:$CD$2,0)),"")</f>
        <v/>
      </c>
      <c r="BL143" s="13" t="str">
        <f>IF(BL$4="Yes",INDEX(List!$E$2:$CD$173,MATCH('Selection Pane Data'!$B143,List!$E$2:$E$173,0),MATCH('Selection Pane Data'!BL$3,List!$E$2:$CD$2,0)),"")</f>
        <v/>
      </c>
      <c r="BM143" s="13" t="str">
        <f>IF(BM$4="Yes",INDEX(List!$E$2:$CD$173,MATCH('Selection Pane Data'!$B143,List!$E$2:$E$173,0),MATCH('Selection Pane Data'!BM$3,List!$E$2:$CD$2,0)),"")</f>
        <v/>
      </c>
      <c r="BN143" s="13" t="str">
        <f>IF(BN$4="Yes",INDEX(List!$E$2:$CD$173,MATCH('Selection Pane Data'!$B143,List!$E$2:$E$173,0),MATCH('Selection Pane Data'!BN$3,List!$E$2:$CD$2,0)),"")</f>
        <v/>
      </c>
      <c r="BO143" s="13" t="str">
        <f>IF(BO$4="Yes",INDEX(List!$E$2:$CD$173,MATCH('Selection Pane Data'!$B143,List!$E$2:$E$173,0),MATCH('Selection Pane Data'!BO$3,List!$E$2:$CD$2,0)),"")</f>
        <v/>
      </c>
      <c r="BP143" s="13" t="str">
        <f>IF(BP$4="Yes",INDEX(List!$E$2:$CD$173,MATCH('Selection Pane Data'!$B143,List!$E$2:$E$173,0),MATCH('Selection Pane Data'!BP$3,List!$E$2:$CD$2,0)),"")</f>
        <v/>
      </c>
      <c r="BQ143" s="13" t="str">
        <f>IF(BQ$4="Yes",INDEX(List!$E$2:$CD$173,MATCH('Selection Pane Data'!$B143,List!$E$2:$E$173,0),MATCH('Selection Pane Data'!BQ$3,List!$E$2:$CD$2,0)),"")</f>
        <v/>
      </c>
      <c r="BR143" s="13" t="str">
        <f>IF(BR$4="Yes",INDEX(List!$E$2:$CD$173,MATCH('Selection Pane Data'!$B143,List!$E$2:$E$173,0),MATCH('Selection Pane Data'!BR$3,List!$E$2:$CD$2,0)),"")</f>
        <v/>
      </c>
      <c r="BS143" s="13" t="str">
        <f>IF(BS$4="Yes",INDEX(List!$E$2:$CD$173,MATCH('Selection Pane Data'!$B143,List!$E$2:$E$173,0),MATCH('Selection Pane Data'!BS$3,List!$E$2:$CD$2,0)),"")</f>
        <v/>
      </c>
      <c r="BT143" s="13" t="str">
        <f>IF(BT$4="Yes",INDEX(List!$E$2:$CD$173,MATCH('Selection Pane Data'!$B143,List!$E$2:$E$173,0),MATCH('Selection Pane Data'!BT$3,List!$E$2:$CD$2,0)),"")</f>
        <v/>
      </c>
      <c r="BU143" s="13" t="str">
        <f>IF(BU$4="Yes",INDEX(List!$E$2:$CD$173,MATCH('Selection Pane Data'!$B143,List!$E$2:$E$173,0),MATCH('Selection Pane Data'!BU$3,List!$E$2:$CD$2,0)),"")</f>
        <v/>
      </c>
      <c r="BV143" s="13" t="str">
        <f>IF(BV$4="Yes",INDEX(List!$E$2:$CD$173,MATCH('Selection Pane Data'!$B143,List!$E$2:$E$173,0),MATCH('Selection Pane Data'!BV$3,List!$E$2:$CD$2,0)),"")</f>
        <v/>
      </c>
      <c r="BW143" s="13" t="str">
        <f>IF(BW$4="Yes",INDEX(List!$E$2:$CD$173,MATCH('Selection Pane Data'!$B143,List!$E$2:$E$173,0),MATCH('Selection Pane Data'!BW$3,List!$E$2:$CD$2,0)),"")</f>
        <v/>
      </c>
      <c r="BX143" s="13" t="str">
        <f>IF(BX$4="Yes",INDEX(List!$E$2:$CD$173,MATCH('Selection Pane Data'!$B143,List!$E$2:$E$173,0),MATCH('Selection Pane Data'!BX$3,List!$E$2:$CD$2,0)),"")</f>
        <v/>
      </c>
      <c r="BY143" s="13" t="str">
        <f>IF(BY$4="Yes",INDEX(List!$E$2:$CD$173,MATCH('Selection Pane Data'!$B143,List!$E$2:$E$173,0),MATCH('Selection Pane Data'!BY$3,List!$E$2:$CD$2,0)),"")</f>
        <v/>
      </c>
      <c r="BZ143" s="13" t="str">
        <f>IF(BZ$4="Yes",INDEX(List!$E$2:$CD$173,MATCH('Selection Pane Data'!$B143,List!$E$2:$E$173,0),MATCH('Selection Pane Data'!BZ$3,List!$E$2:$CD$2,0)),"")</f>
        <v/>
      </c>
      <c r="CA143" s="13" t="str">
        <f>IF(CA$4="Yes",INDEX(List!$E$2:$CD$173,MATCH('Selection Pane Data'!$B143,List!$E$2:$E$173,0),MATCH('Selection Pane Data'!CA$3,List!$E$2:$CD$2,0)),"")</f>
        <v/>
      </c>
      <c r="CB143" s="13" t="str">
        <f>IF(CB$4="Yes",INDEX(List!$E$2:$CD$173,MATCH('Selection Pane Data'!$B143,List!$E$2:$E$173,0),MATCH('Selection Pane Data'!CB$3,List!$E$2:$CD$2,0)),"")</f>
        <v/>
      </c>
      <c r="CC143" s="13" t="str">
        <f>IF(CC$4="Yes",INDEX(List!$E$2:$CD$173,MATCH('Selection Pane Data'!$B143,List!$E$2:$E$173,0),MATCH('Selection Pane Data'!CC$3,List!$E$2:$CD$2,0)),"")</f>
        <v/>
      </c>
      <c r="CD143" s="13" t="str">
        <f>IF(CD$4="Yes",INDEX(List!$E$2:$CD$173,MATCH('Selection Pane Data'!$B143,List!$E$2:$E$173,0),MATCH('Selection Pane Data'!CD$3,List!$E$2:$CD$2,0)),"")</f>
        <v/>
      </c>
      <c r="CE143" s="13" t="str">
        <f>IF(CE$4="Yes",INDEX(List!$E$2:$CD$173,MATCH('Selection Pane Data'!$B143,List!$E$2:$E$173,0),MATCH('Selection Pane Data'!CE$3,List!$E$2:$CD$2,0)),"")</f>
        <v/>
      </c>
    </row>
    <row r="144" spans="2:83" x14ac:dyDescent="0.35">
      <c r="B144" s="21" t="s">
        <v>431</v>
      </c>
      <c r="C144" s="126" t="str">
        <f>VLOOKUP(B144,List!$E$2:$G$173,2,FALSE)</f>
        <v>SC.L2-3.13.6</v>
      </c>
      <c r="D144" s="31" t="str">
        <f>List!G142</f>
        <v>Shared Coverage</v>
      </c>
      <c r="E144" s="31" t="str">
        <f>IF(Placemat!$F$4="All Practices","All Practices",IF(VLOOKUP(B144,Table7[#All],6,FALSE)="No Mapping","New CMMC Practices","Practices with NIST 800-171 Mappings"))</f>
        <v>Practices with NIST 800-171 Mappings</v>
      </c>
      <c r="F144" t="str">
        <f>INDEX('CMMC Levels'!$A$1:$F$172,MATCH('Selection Pane Data'!$C144,'CMMC Levels'!$A$1:$A$172,0),MATCH(Placemat!$F$4,'CMMC Levels'!$A$1:$F$1,0))</f>
        <v>X</v>
      </c>
      <c r="G144" s="77" t="str">
        <f>IF((COUNTIF(List!H142:CE142,"P")+COUNTIF(List!H142:CE142,"S"))=0,"N",IF(COUNTIF(H144:CE144,"P"),"P",IF(COUNTIF(H144:CE144,"S"),"S","U")))</f>
        <v>U</v>
      </c>
      <c r="H144" s="13" t="str">
        <f>IF(H$4="Yes",INDEX(List!$E$2:$CD$173,MATCH('Selection Pane Data'!$B144,List!$E$2:$E$173,0),MATCH('Selection Pane Data'!H$3,List!$E$2:$CD$2,0)),"")</f>
        <v/>
      </c>
      <c r="I144" s="13" t="str">
        <f>IF(I$4="Yes",INDEX(List!$E$2:$CD$173,MATCH('Selection Pane Data'!$B144,List!$E$2:$E$173,0),MATCH('Selection Pane Data'!I$3,List!$E$2:$CD$2,0)),"")</f>
        <v/>
      </c>
      <c r="J144" s="13" t="str">
        <f>IF(J$4="Yes",INDEX(List!$E$2:$CD$173,MATCH('Selection Pane Data'!$B144,List!$E$2:$E$173,0),MATCH('Selection Pane Data'!J$3,List!$E$2:$CD$2,0)),"")</f>
        <v>N</v>
      </c>
      <c r="K144" s="13" t="str">
        <f>IF(K$4="Yes",INDEX(List!$E$2:$CD$173,MATCH('Selection Pane Data'!$B144,List!$E$2:$E$173,0),MATCH('Selection Pane Data'!K$3,List!$E$2:$CD$2,0)),"")</f>
        <v/>
      </c>
      <c r="L144" s="13" t="str">
        <f>IF(L$4="Yes",INDEX(List!$E$2:$CD$173,MATCH('Selection Pane Data'!$B144,List!$E$2:$E$173,0),MATCH('Selection Pane Data'!L$3,List!$E$2:$CD$2,0)),"")</f>
        <v/>
      </c>
      <c r="M144" s="13" t="str">
        <f>IF(M$4="Yes",INDEX(List!$E$2:$CD$173,MATCH('Selection Pane Data'!$B144,List!$E$2:$E$173,0),MATCH('Selection Pane Data'!M$3,List!$E$2:$CD$2,0)),"")</f>
        <v/>
      </c>
      <c r="N144" s="13" t="str">
        <f>IF(N$4="Yes",INDEX(List!$E$2:$CD$173,MATCH('Selection Pane Data'!$B144,List!$E$2:$E$173,0),MATCH('Selection Pane Data'!N$3,List!$E$2:$CD$2,0)),"")</f>
        <v/>
      </c>
      <c r="O144" s="13" t="str">
        <f>IF(O$4="Yes",INDEX(List!$E$2:$CD$173,MATCH('Selection Pane Data'!$B144,List!$E$2:$E$173,0),MATCH('Selection Pane Data'!O$3,List!$E$2:$CD$2,0)),"")</f>
        <v/>
      </c>
      <c r="P144" s="13" t="str">
        <f>IF(P$4="Yes",INDEX(List!$E$2:$CD$173,MATCH('Selection Pane Data'!$B144,List!$E$2:$E$173,0),MATCH('Selection Pane Data'!P$3,List!$E$2:$CD$2,0)),"")</f>
        <v/>
      </c>
      <c r="Q144" s="13" t="str">
        <f>IF(Q$4="Yes",INDEX(List!$E$2:$CD$173,MATCH('Selection Pane Data'!$B144,List!$E$2:$E$173,0),MATCH('Selection Pane Data'!Q$3,List!$E$2:$CD$2,0)),"")</f>
        <v/>
      </c>
      <c r="R144" s="13" t="str">
        <f>IF(R$4="Yes",INDEX(List!$E$2:$CD$173,MATCH('Selection Pane Data'!$B144,List!$E$2:$E$173,0),MATCH('Selection Pane Data'!R$3,List!$E$2:$CD$2,0)),"")</f>
        <v/>
      </c>
      <c r="S144" s="13" t="str">
        <f>IF(S$4="Yes",INDEX(List!$E$2:$CD$173,MATCH('Selection Pane Data'!$B144,List!$E$2:$E$173,0),MATCH('Selection Pane Data'!S$3,List!$E$2:$CD$2,0)),"")</f>
        <v/>
      </c>
      <c r="T144" s="13" t="str">
        <f>IF(T$4="Yes",INDEX(List!$E$2:$CD$173,MATCH('Selection Pane Data'!$B144,List!$E$2:$E$173,0),MATCH('Selection Pane Data'!T$3,List!$E$2:$CD$2,0)),"")</f>
        <v/>
      </c>
      <c r="U144" s="13" t="str">
        <f>IF(U$4="Yes",INDEX(List!$E$2:$CD$173,MATCH('Selection Pane Data'!$B144,List!$E$2:$E$173,0),MATCH('Selection Pane Data'!U$3,List!$E$2:$CD$2,0)),"")</f>
        <v/>
      </c>
      <c r="V144" s="13" t="str">
        <f>IF(V$4="Yes",INDEX(List!$E$2:$CD$173,MATCH('Selection Pane Data'!$B144,List!$E$2:$E$173,0),MATCH('Selection Pane Data'!V$3,List!$E$2:$CD$2,0)),"")</f>
        <v/>
      </c>
      <c r="W144" s="13" t="str">
        <f>IF(W$4="Yes",INDEX(List!$E$2:$CD$173,MATCH('Selection Pane Data'!$B144,List!$E$2:$E$173,0),MATCH('Selection Pane Data'!W$3,List!$E$2:$CD$2,0)),"")</f>
        <v/>
      </c>
      <c r="X144" s="13" t="str">
        <f>IF(X$4="Yes",INDEX(List!$E$2:$CD$173,MATCH('Selection Pane Data'!$B144,List!$E$2:$E$173,0),MATCH('Selection Pane Data'!X$3,List!$E$2:$CD$2,0)),"")</f>
        <v/>
      </c>
      <c r="Y144" s="13" t="str">
        <f>IF(Y$4="Yes",INDEX(List!$E$2:$CD$173,MATCH('Selection Pane Data'!$B144,List!$E$2:$E$173,0),MATCH('Selection Pane Data'!Y$3,List!$E$2:$CD$2,0)),"")</f>
        <v/>
      </c>
      <c r="Z144" s="13" t="str">
        <f>IF(Z$4="Yes",INDEX(List!$E$2:$CD$173,MATCH('Selection Pane Data'!$B144,List!$E$2:$E$173,0),MATCH('Selection Pane Data'!Z$3,List!$E$2:$CD$2,0)),"")</f>
        <v/>
      </c>
      <c r="AA144" s="13" t="str">
        <f>IF(AA$4="Yes",INDEX(List!$E$2:$CD$173,MATCH('Selection Pane Data'!$B144,List!$E$2:$E$173,0),MATCH('Selection Pane Data'!AA$3,List!$E$2:$CD$2,0)),"")</f>
        <v>N</v>
      </c>
      <c r="AB144" s="13" t="str">
        <f>IF(AB$4="Yes",INDEX(List!$E$2:$CD$173,MATCH('Selection Pane Data'!$B144,List!$E$2:$E$173,0),MATCH('Selection Pane Data'!AB$3,List!$E$2:$CD$2,0)),"")</f>
        <v/>
      </c>
      <c r="AC144" s="13" t="str">
        <f>IF(AC$4="Yes",INDEX(List!$E$2:$CD$173,MATCH('Selection Pane Data'!$B144,List!$E$2:$E$173,0),MATCH('Selection Pane Data'!AC$3,List!$E$2:$CD$2,0)),"")</f>
        <v/>
      </c>
      <c r="AD144" s="13" t="str">
        <f>IF(AD$4="Yes",INDEX(List!$E$2:$CD$173,MATCH('Selection Pane Data'!$B144,List!$E$2:$E$173,0),MATCH('Selection Pane Data'!AD$3,List!$E$2:$CD$2,0)),"")</f>
        <v/>
      </c>
      <c r="AE144" s="13" t="str">
        <f>IF(AE$4="Yes",INDEX(List!$E$2:$CD$173,MATCH('Selection Pane Data'!$B144,List!$E$2:$E$173,0),MATCH('Selection Pane Data'!AE$3,List!$E$2:$CD$2,0)),"")</f>
        <v/>
      </c>
      <c r="AF144" s="13" t="str">
        <f>IF(AF$4="Yes",INDEX(List!$E$2:$CD$173,MATCH('Selection Pane Data'!$B144,List!$E$2:$E$173,0),MATCH('Selection Pane Data'!AF$3,List!$E$2:$CD$2,0)),"")</f>
        <v/>
      </c>
      <c r="AG144" s="13" t="str">
        <f>IF(AG$4="Yes",INDEX(List!$E$2:$CD$173,MATCH('Selection Pane Data'!$B144,List!$E$2:$E$173,0),MATCH('Selection Pane Data'!AG$3,List!$E$2:$CD$2,0)),"")</f>
        <v/>
      </c>
      <c r="AH144" s="13" t="str">
        <f>IF(AH$4="Yes",INDEX(List!$E$2:$CD$173,MATCH('Selection Pane Data'!$B144,List!$E$2:$E$173,0),MATCH('Selection Pane Data'!AH$3,List!$E$2:$CD$2,0)),"")</f>
        <v/>
      </c>
      <c r="AI144" s="13" t="str">
        <f>IF(AI$4="Yes",INDEX(List!$E$2:$CD$173,MATCH('Selection Pane Data'!$B144,List!$E$2:$E$173,0),MATCH('Selection Pane Data'!AI$3,List!$E$2:$CD$2,0)),"")</f>
        <v/>
      </c>
      <c r="AJ144" s="13" t="str">
        <f>IF(AJ$4="Yes",INDEX(List!$E$2:$CD$173,MATCH('Selection Pane Data'!$B144,List!$E$2:$E$173,0),MATCH('Selection Pane Data'!AJ$3,List!$E$2:$CD$2,0)),"")</f>
        <v/>
      </c>
      <c r="AK144" s="13" t="str">
        <f>IF(AK$4="Yes",INDEX(List!$E$2:$CD$173,MATCH('Selection Pane Data'!$B144,List!$E$2:$E$173,0),MATCH('Selection Pane Data'!AK$3,List!$E$2:$CD$2,0)),"")</f>
        <v/>
      </c>
      <c r="AL144" s="13" t="str">
        <f>IF(AL$4="Yes",INDEX(List!$E$2:$CD$173,MATCH('Selection Pane Data'!$B144,List!$E$2:$E$173,0),MATCH('Selection Pane Data'!AL$3,List!$E$2:$CD$2,0)),"")</f>
        <v/>
      </c>
      <c r="AM144" s="13" t="str">
        <f>IF(AM$4="Yes",INDEX(List!$E$2:$CD$173,MATCH('Selection Pane Data'!$B144,List!$E$2:$E$173,0),MATCH('Selection Pane Data'!AM$3,List!$E$2:$CD$2,0)),"")</f>
        <v/>
      </c>
      <c r="AN144" s="13" t="str">
        <f>IF(AN$4="Yes",INDEX(List!$E$2:$CD$173,MATCH('Selection Pane Data'!$B144,List!$E$2:$E$173,0),MATCH('Selection Pane Data'!AN$3,List!$E$2:$CD$2,0)),"")</f>
        <v/>
      </c>
      <c r="AO144" s="13" t="str">
        <f>IF(AO$4="Yes",INDEX(List!$E$2:$CD$173,MATCH('Selection Pane Data'!$B144,List!$E$2:$E$173,0),MATCH('Selection Pane Data'!AO$3,List!$E$2:$CD$2,0)),"")</f>
        <v/>
      </c>
      <c r="AP144" s="13" t="str">
        <f>IF(AP$4="Yes",INDEX(List!$E$2:$CD$173,MATCH('Selection Pane Data'!$B144,List!$E$2:$E$173,0),MATCH('Selection Pane Data'!AP$3,List!$E$2:$CD$2,0)),"")</f>
        <v/>
      </c>
      <c r="AQ144" s="13" t="str">
        <f>IF(AQ$4="Yes",INDEX(List!$E$2:$CD$173,MATCH('Selection Pane Data'!$B144,List!$E$2:$E$173,0),MATCH('Selection Pane Data'!AQ$3,List!$E$2:$CD$2,0)),"")</f>
        <v/>
      </c>
      <c r="AR144" s="13" t="str">
        <f>IF(AR$4="Yes",INDEX(List!$E$2:$CD$173,MATCH('Selection Pane Data'!$B144,List!$E$2:$E$173,0),MATCH('Selection Pane Data'!AR$3,List!$E$2:$CD$2,0)),"")</f>
        <v/>
      </c>
      <c r="AS144" s="13" t="str">
        <f>IF(AS$4="Yes",INDEX(List!$E$2:$CD$173,MATCH('Selection Pane Data'!$B144,List!$E$2:$E$173,0),MATCH('Selection Pane Data'!AS$3,List!$E$2:$CD$2,0)),"")</f>
        <v/>
      </c>
      <c r="AT144" s="13" t="str">
        <f>IF(AT$4="Yes",INDEX(List!$E$2:$CD$173,MATCH('Selection Pane Data'!$B144,List!$E$2:$E$173,0),MATCH('Selection Pane Data'!AT$3,List!$E$2:$CD$2,0)),"")</f>
        <v/>
      </c>
      <c r="AU144" s="13" t="str">
        <f>IF(AU$4="Yes",INDEX(List!$E$2:$CD$173,MATCH('Selection Pane Data'!$B144,List!$E$2:$E$173,0),MATCH('Selection Pane Data'!AU$3,List!$E$2:$CD$2,0)),"")</f>
        <v/>
      </c>
      <c r="AV144" s="13" t="str">
        <f>IF(AV$4="Yes",INDEX(List!$E$2:$CD$173,MATCH('Selection Pane Data'!$B144,List!$E$2:$E$173,0),MATCH('Selection Pane Data'!AV$3,List!$E$2:$CD$2,0)),"")</f>
        <v/>
      </c>
      <c r="AW144" s="13" t="str">
        <f>IF(AW$4="Yes",INDEX(List!$E$2:$CD$173,MATCH('Selection Pane Data'!$B144,List!$E$2:$E$173,0),MATCH('Selection Pane Data'!AW$3,List!$E$2:$CD$2,0)),"")</f>
        <v/>
      </c>
      <c r="AX144" s="13" t="str">
        <f>IF(AX$4="Yes",INDEX(List!$E$2:$CD$173,MATCH('Selection Pane Data'!$B144,List!$E$2:$E$173,0),MATCH('Selection Pane Data'!AX$3,List!$E$2:$CD$2,0)),"")</f>
        <v/>
      </c>
      <c r="AY144" s="13" t="str">
        <f>IF(AY$4="Yes",INDEX(List!$E$2:$CD$173,MATCH('Selection Pane Data'!$B144,List!$E$2:$E$173,0),MATCH('Selection Pane Data'!AY$3,List!$E$2:$CD$2,0)),"")</f>
        <v/>
      </c>
      <c r="AZ144" s="13" t="str">
        <f>IF(AZ$4="Yes",INDEX(List!$E$2:$CD$173,MATCH('Selection Pane Data'!$B144,List!$E$2:$E$173,0),MATCH('Selection Pane Data'!AZ$3,List!$E$2:$CD$2,0)),"")</f>
        <v/>
      </c>
      <c r="BA144" s="13" t="str">
        <f>IF(BA$4="Yes",INDEX(List!$E$2:$CD$173,MATCH('Selection Pane Data'!$B144,List!$E$2:$E$173,0),MATCH('Selection Pane Data'!BA$3,List!$E$2:$CD$2,0)),"")</f>
        <v/>
      </c>
      <c r="BB144" s="13" t="str">
        <f>IF(BB$4="Yes",INDEX(List!$E$2:$CD$173,MATCH('Selection Pane Data'!$B144,List!$E$2:$E$173,0),MATCH('Selection Pane Data'!BB$3,List!$E$2:$CD$2,0)),"")</f>
        <v/>
      </c>
      <c r="BC144" s="13" t="str">
        <f>IF(BC$4="Yes",INDEX(List!$E$2:$CD$173,MATCH('Selection Pane Data'!$B144,List!$E$2:$E$173,0),MATCH('Selection Pane Data'!BC$3,List!$E$2:$CD$2,0)),"")</f>
        <v/>
      </c>
      <c r="BD144" s="13" t="str">
        <f>IF(BD$4="Yes",INDEX(List!$E$2:$CD$173,MATCH('Selection Pane Data'!$B144,List!$E$2:$E$173,0),MATCH('Selection Pane Data'!BD$3,List!$E$2:$CD$2,0)),"")</f>
        <v/>
      </c>
      <c r="BE144" s="13" t="str">
        <f>IF(BE$4="Yes",INDEX(List!$E$2:$CD$173,MATCH('Selection Pane Data'!$B144,List!$E$2:$E$173,0),MATCH('Selection Pane Data'!BE$3,List!$E$2:$CD$2,0)),"")</f>
        <v/>
      </c>
      <c r="BF144" s="13" t="str">
        <f>IF(BF$4="Yes",INDEX(List!$E$2:$CD$173,MATCH('Selection Pane Data'!$B144,List!$E$2:$E$173,0),MATCH('Selection Pane Data'!BF$3,List!$E$2:$CD$2,0)),"")</f>
        <v/>
      </c>
      <c r="BG144" s="13" t="str">
        <f>IF(BG$4="Yes",INDEX(List!$E$2:$CD$173,MATCH('Selection Pane Data'!$B144,List!$E$2:$E$173,0),MATCH('Selection Pane Data'!BG$3,List!$E$2:$CD$2,0)),"")</f>
        <v/>
      </c>
      <c r="BH144" s="13" t="str">
        <f>IF(BH$4="Yes",INDEX(List!$E$2:$CD$173,MATCH('Selection Pane Data'!$B144,List!$E$2:$E$173,0),MATCH('Selection Pane Data'!BH$3,List!$E$2:$CD$2,0)),"")</f>
        <v/>
      </c>
      <c r="BI144" s="13" t="str">
        <f>IF(BI$4="Yes",INDEX(List!$E$2:$CD$173,MATCH('Selection Pane Data'!$B144,List!$E$2:$E$173,0),MATCH('Selection Pane Data'!BI$3,List!$E$2:$CD$2,0)),"")</f>
        <v/>
      </c>
      <c r="BJ144" s="13" t="str">
        <f>IF(BJ$4="Yes",INDEX(List!$E$2:$CD$173,MATCH('Selection Pane Data'!$B144,List!$E$2:$E$173,0),MATCH('Selection Pane Data'!BJ$3,List!$E$2:$CD$2,0)),"")</f>
        <v/>
      </c>
      <c r="BK144" s="13" t="str">
        <f>IF(BK$4="Yes",INDEX(List!$E$2:$CD$173,MATCH('Selection Pane Data'!$B144,List!$E$2:$E$173,0),MATCH('Selection Pane Data'!BK$3,List!$E$2:$CD$2,0)),"")</f>
        <v/>
      </c>
      <c r="BL144" s="13" t="str">
        <f>IF(BL$4="Yes",INDEX(List!$E$2:$CD$173,MATCH('Selection Pane Data'!$B144,List!$E$2:$E$173,0),MATCH('Selection Pane Data'!BL$3,List!$E$2:$CD$2,0)),"")</f>
        <v/>
      </c>
      <c r="BM144" s="13" t="str">
        <f>IF(BM$4="Yes",INDEX(List!$E$2:$CD$173,MATCH('Selection Pane Data'!$B144,List!$E$2:$E$173,0),MATCH('Selection Pane Data'!BM$3,List!$E$2:$CD$2,0)),"")</f>
        <v/>
      </c>
      <c r="BN144" s="13" t="str">
        <f>IF(BN$4="Yes",INDEX(List!$E$2:$CD$173,MATCH('Selection Pane Data'!$B144,List!$E$2:$E$173,0),MATCH('Selection Pane Data'!BN$3,List!$E$2:$CD$2,0)),"")</f>
        <v/>
      </c>
      <c r="BO144" s="13" t="str">
        <f>IF(BO$4="Yes",INDEX(List!$E$2:$CD$173,MATCH('Selection Pane Data'!$B144,List!$E$2:$E$173,0),MATCH('Selection Pane Data'!BO$3,List!$E$2:$CD$2,0)),"")</f>
        <v/>
      </c>
      <c r="BP144" s="13" t="str">
        <f>IF(BP$4="Yes",INDEX(List!$E$2:$CD$173,MATCH('Selection Pane Data'!$B144,List!$E$2:$E$173,0),MATCH('Selection Pane Data'!BP$3,List!$E$2:$CD$2,0)),"")</f>
        <v/>
      </c>
      <c r="BQ144" s="13" t="str">
        <f>IF(BQ$4="Yes",INDEX(List!$E$2:$CD$173,MATCH('Selection Pane Data'!$B144,List!$E$2:$E$173,0),MATCH('Selection Pane Data'!BQ$3,List!$E$2:$CD$2,0)),"")</f>
        <v/>
      </c>
      <c r="BR144" s="13" t="str">
        <f>IF(BR$4="Yes",INDEX(List!$E$2:$CD$173,MATCH('Selection Pane Data'!$B144,List!$E$2:$E$173,0),MATCH('Selection Pane Data'!BR$3,List!$E$2:$CD$2,0)),"")</f>
        <v/>
      </c>
      <c r="BS144" s="13" t="str">
        <f>IF(BS$4="Yes",INDEX(List!$E$2:$CD$173,MATCH('Selection Pane Data'!$B144,List!$E$2:$E$173,0),MATCH('Selection Pane Data'!BS$3,List!$E$2:$CD$2,0)),"")</f>
        <v/>
      </c>
      <c r="BT144" s="13" t="str">
        <f>IF(BT$4="Yes",INDEX(List!$E$2:$CD$173,MATCH('Selection Pane Data'!$B144,List!$E$2:$E$173,0),MATCH('Selection Pane Data'!BT$3,List!$E$2:$CD$2,0)),"")</f>
        <v/>
      </c>
      <c r="BU144" s="13" t="str">
        <f>IF(BU$4="Yes",INDEX(List!$E$2:$CD$173,MATCH('Selection Pane Data'!$B144,List!$E$2:$E$173,0),MATCH('Selection Pane Data'!BU$3,List!$E$2:$CD$2,0)),"")</f>
        <v/>
      </c>
      <c r="BV144" s="13" t="str">
        <f>IF(BV$4="Yes",INDEX(List!$E$2:$CD$173,MATCH('Selection Pane Data'!$B144,List!$E$2:$E$173,0),MATCH('Selection Pane Data'!BV$3,List!$E$2:$CD$2,0)),"")</f>
        <v/>
      </c>
      <c r="BW144" s="13" t="str">
        <f>IF(BW$4="Yes",INDEX(List!$E$2:$CD$173,MATCH('Selection Pane Data'!$B144,List!$E$2:$E$173,0),MATCH('Selection Pane Data'!BW$3,List!$E$2:$CD$2,0)),"")</f>
        <v/>
      </c>
      <c r="BX144" s="13" t="str">
        <f>IF(BX$4="Yes",INDEX(List!$E$2:$CD$173,MATCH('Selection Pane Data'!$B144,List!$E$2:$E$173,0),MATCH('Selection Pane Data'!BX$3,List!$E$2:$CD$2,0)),"")</f>
        <v/>
      </c>
      <c r="BY144" s="13" t="str">
        <f>IF(BY$4="Yes",INDEX(List!$E$2:$CD$173,MATCH('Selection Pane Data'!$B144,List!$E$2:$E$173,0),MATCH('Selection Pane Data'!BY$3,List!$E$2:$CD$2,0)),"")</f>
        <v/>
      </c>
      <c r="BZ144" s="13" t="str">
        <f>IF(BZ$4="Yes",INDEX(List!$E$2:$CD$173,MATCH('Selection Pane Data'!$B144,List!$E$2:$E$173,0),MATCH('Selection Pane Data'!BZ$3,List!$E$2:$CD$2,0)),"")</f>
        <v/>
      </c>
      <c r="CA144" s="13" t="str">
        <f>IF(CA$4="Yes",INDEX(List!$E$2:$CD$173,MATCH('Selection Pane Data'!$B144,List!$E$2:$E$173,0),MATCH('Selection Pane Data'!CA$3,List!$E$2:$CD$2,0)),"")</f>
        <v/>
      </c>
      <c r="CB144" s="13" t="str">
        <f>IF(CB$4="Yes",INDEX(List!$E$2:$CD$173,MATCH('Selection Pane Data'!$B144,List!$E$2:$E$173,0),MATCH('Selection Pane Data'!CB$3,List!$E$2:$CD$2,0)),"")</f>
        <v/>
      </c>
      <c r="CC144" s="13" t="str">
        <f>IF(CC$4="Yes",INDEX(List!$E$2:$CD$173,MATCH('Selection Pane Data'!$B144,List!$E$2:$E$173,0),MATCH('Selection Pane Data'!CC$3,List!$E$2:$CD$2,0)),"")</f>
        <v/>
      </c>
      <c r="CD144" s="13" t="str">
        <f>IF(CD$4="Yes",INDEX(List!$E$2:$CD$173,MATCH('Selection Pane Data'!$B144,List!$E$2:$E$173,0),MATCH('Selection Pane Data'!CD$3,List!$E$2:$CD$2,0)),"")</f>
        <v/>
      </c>
      <c r="CE144" s="13" t="str">
        <f>IF(CE$4="Yes",INDEX(List!$E$2:$CD$173,MATCH('Selection Pane Data'!$B144,List!$E$2:$E$173,0),MATCH('Selection Pane Data'!CE$3,List!$E$2:$CD$2,0)),"")</f>
        <v/>
      </c>
    </row>
    <row r="145" spans="2:83" x14ac:dyDescent="0.35">
      <c r="B145" s="21" t="s">
        <v>432</v>
      </c>
      <c r="C145" s="126" t="str">
        <f>VLOOKUP(B145,List!$E$2:$G$173,2,FALSE)</f>
        <v>SC.L2-3.13.7</v>
      </c>
      <c r="D145" s="31" t="str">
        <f>List!G143</f>
        <v>Customer Responsibility</v>
      </c>
      <c r="E145" s="31" t="str">
        <f>IF(Placemat!$F$4="All Practices","All Practices",IF(VLOOKUP(B145,Table7[#All],6,FALSE)="No Mapping","New CMMC Practices","Practices with NIST 800-171 Mappings"))</f>
        <v>Practices with NIST 800-171 Mappings</v>
      </c>
      <c r="F145" t="str">
        <f>INDEX('CMMC Levels'!$A$1:$F$172,MATCH('Selection Pane Data'!$C145,'CMMC Levels'!$A$1:$A$172,0),MATCH(Placemat!$F$4,'CMMC Levels'!$A$1:$F$1,0))</f>
        <v>X</v>
      </c>
      <c r="G145" s="77" t="str">
        <f>IF((COUNTIF(List!H143:CE143,"P")+COUNTIF(List!H143:CE143,"S"))=0,"N",IF(COUNTIF(H145:CE145,"P"),"P",IF(COUNTIF(H145:CE145,"S"),"S","U")))</f>
        <v>U</v>
      </c>
      <c r="H145" s="13" t="str">
        <f>IF(H$4="Yes",INDEX(List!$E$2:$CD$173,MATCH('Selection Pane Data'!$B145,List!$E$2:$E$173,0),MATCH('Selection Pane Data'!H$3,List!$E$2:$CD$2,0)),"")</f>
        <v/>
      </c>
      <c r="I145" s="13" t="str">
        <f>IF(I$4="Yes",INDEX(List!$E$2:$CD$173,MATCH('Selection Pane Data'!$B145,List!$E$2:$E$173,0),MATCH('Selection Pane Data'!I$3,List!$E$2:$CD$2,0)),"")</f>
        <v/>
      </c>
      <c r="J145" s="13" t="str">
        <f>IF(J$4="Yes",INDEX(List!$E$2:$CD$173,MATCH('Selection Pane Data'!$B145,List!$E$2:$E$173,0),MATCH('Selection Pane Data'!J$3,List!$E$2:$CD$2,0)),"")</f>
        <v>N</v>
      </c>
      <c r="K145" s="13" t="str">
        <f>IF(K$4="Yes",INDEX(List!$E$2:$CD$173,MATCH('Selection Pane Data'!$B145,List!$E$2:$E$173,0),MATCH('Selection Pane Data'!K$3,List!$E$2:$CD$2,0)),"")</f>
        <v/>
      </c>
      <c r="L145" s="13" t="str">
        <f>IF(L$4="Yes",INDEX(List!$E$2:$CD$173,MATCH('Selection Pane Data'!$B145,List!$E$2:$E$173,0),MATCH('Selection Pane Data'!L$3,List!$E$2:$CD$2,0)),"")</f>
        <v/>
      </c>
      <c r="M145" s="13" t="str">
        <f>IF(M$4="Yes",INDEX(List!$E$2:$CD$173,MATCH('Selection Pane Data'!$B145,List!$E$2:$E$173,0),MATCH('Selection Pane Data'!M$3,List!$E$2:$CD$2,0)),"")</f>
        <v/>
      </c>
      <c r="N145" s="13" t="str">
        <f>IF(N$4="Yes",INDEX(List!$E$2:$CD$173,MATCH('Selection Pane Data'!$B145,List!$E$2:$E$173,0),MATCH('Selection Pane Data'!N$3,List!$E$2:$CD$2,0)),"")</f>
        <v/>
      </c>
      <c r="O145" s="13" t="str">
        <f>IF(O$4="Yes",INDEX(List!$E$2:$CD$173,MATCH('Selection Pane Data'!$B145,List!$E$2:$E$173,0),MATCH('Selection Pane Data'!O$3,List!$E$2:$CD$2,0)),"")</f>
        <v/>
      </c>
      <c r="P145" s="13" t="str">
        <f>IF(P$4="Yes",INDEX(List!$E$2:$CD$173,MATCH('Selection Pane Data'!$B145,List!$E$2:$E$173,0),MATCH('Selection Pane Data'!P$3,List!$E$2:$CD$2,0)),"")</f>
        <v/>
      </c>
      <c r="Q145" s="13" t="str">
        <f>IF(Q$4="Yes",INDEX(List!$E$2:$CD$173,MATCH('Selection Pane Data'!$B145,List!$E$2:$E$173,0),MATCH('Selection Pane Data'!Q$3,List!$E$2:$CD$2,0)),"")</f>
        <v/>
      </c>
      <c r="R145" s="13" t="str">
        <f>IF(R$4="Yes",INDEX(List!$E$2:$CD$173,MATCH('Selection Pane Data'!$B145,List!$E$2:$E$173,0),MATCH('Selection Pane Data'!R$3,List!$E$2:$CD$2,0)),"")</f>
        <v/>
      </c>
      <c r="S145" s="13" t="str">
        <f>IF(S$4="Yes",INDEX(List!$E$2:$CD$173,MATCH('Selection Pane Data'!$B145,List!$E$2:$E$173,0),MATCH('Selection Pane Data'!S$3,List!$E$2:$CD$2,0)),"")</f>
        <v/>
      </c>
      <c r="T145" s="13" t="str">
        <f>IF(T$4="Yes",INDEX(List!$E$2:$CD$173,MATCH('Selection Pane Data'!$B145,List!$E$2:$E$173,0),MATCH('Selection Pane Data'!T$3,List!$E$2:$CD$2,0)),"")</f>
        <v/>
      </c>
      <c r="U145" s="13" t="str">
        <f>IF(U$4="Yes",INDEX(List!$E$2:$CD$173,MATCH('Selection Pane Data'!$B145,List!$E$2:$E$173,0),MATCH('Selection Pane Data'!U$3,List!$E$2:$CD$2,0)),"")</f>
        <v/>
      </c>
      <c r="V145" s="13" t="str">
        <f>IF(V$4="Yes",INDEX(List!$E$2:$CD$173,MATCH('Selection Pane Data'!$B145,List!$E$2:$E$173,0),MATCH('Selection Pane Data'!V$3,List!$E$2:$CD$2,0)),"")</f>
        <v/>
      </c>
      <c r="W145" s="13" t="str">
        <f>IF(W$4="Yes",INDEX(List!$E$2:$CD$173,MATCH('Selection Pane Data'!$B145,List!$E$2:$E$173,0),MATCH('Selection Pane Data'!W$3,List!$E$2:$CD$2,0)),"")</f>
        <v/>
      </c>
      <c r="X145" s="13" t="str">
        <f>IF(X$4="Yes",INDEX(List!$E$2:$CD$173,MATCH('Selection Pane Data'!$B145,List!$E$2:$E$173,0),MATCH('Selection Pane Data'!X$3,List!$E$2:$CD$2,0)),"")</f>
        <v/>
      </c>
      <c r="Y145" s="13" t="str">
        <f>IF(Y$4="Yes",INDEX(List!$E$2:$CD$173,MATCH('Selection Pane Data'!$B145,List!$E$2:$E$173,0),MATCH('Selection Pane Data'!Y$3,List!$E$2:$CD$2,0)),"")</f>
        <v/>
      </c>
      <c r="Z145" s="13" t="str">
        <f>IF(Z$4="Yes",INDEX(List!$E$2:$CD$173,MATCH('Selection Pane Data'!$B145,List!$E$2:$E$173,0),MATCH('Selection Pane Data'!Z$3,List!$E$2:$CD$2,0)),"")</f>
        <v/>
      </c>
      <c r="AA145" s="13" t="str">
        <f>IF(AA$4="Yes",INDEX(List!$E$2:$CD$173,MATCH('Selection Pane Data'!$B145,List!$E$2:$E$173,0),MATCH('Selection Pane Data'!AA$3,List!$E$2:$CD$2,0)),"")</f>
        <v>N</v>
      </c>
      <c r="AB145" s="13" t="str">
        <f>IF(AB$4="Yes",INDEX(List!$E$2:$CD$173,MATCH('Selection Pane Data'!$B145,List!$E$2:$E$173,0),MATCH('Selection Pane Data'!AB$3,List!$E$2:$CD$2,0)),"")</f>
        <v/>
      </c>
      <c r="AC145" s="13" t="str">
        <f>IF(AC$4="Yes",INDEX(List!$E$2:$CD$173,MATCH('Selection Pane Data'!$B145,List!$E$2:$E$173,0),MATCH('Selection Pane Data'!AC$3,List!$E$2:$CD$2,0)),"")</f>
        <v/>
      </c>
      <c r="AD145" s="13" t="str">
        <f>IF(AD$4="Yes",INDEX(List!$E$2:$CD$173,MATCH('Selection Pane Data'!$B145,List!$E$2:$E$173,0),MATCH('Selection Pane Data'!AD$3,List!$E$2:$CD$2,0)),"")</f>
        <v/>
      </c>
      <c r="AE145" s="13" t="str">
        <f>IF(AE$4="Yes",INDEX(List!$E$2:$CD$173,MATCH('Selection Pane Data'!$B145,List!$E$2:$E$173,0),MATCH('Selection Pane Data'!AE$3,List!$E$2:$CD$2,0)),"")</f>
        <v/>
      </c>
      <c r="AF145" s="13" t="str">
        <f>IF(AF$4="Yes",INDEX(List!$E$2:$CD$173,MATCH('Selection Pane Data'!$B145,List!$E$2:$E$173,0),MATCH('Selection Pane Data'!AF$3,List!$E$2:$CD$2,0)),"")</f>
        <v/>
      </c>
      <c r="AG145" s="13" t="str">
        <f>IF(AG$4="Yes",INDEX(List!$E$2:$CD$173,MATCH('Selection Pane Data'!$B145,List!$E$2:$E$173,0),MATCH('Selection Pane Data'!AG$3,List!$E$2:$CD$2,0)),"")</f>
        <v/>
      </c>
      <c r="AH145" s="13" t="str">
        <f>IF(AH$4="Yes",INDEX(List!$E$2:$CD$173,MATCH('Selection Pane Data'!$B145,List!$E$2:$E$173,0),MATCH('Selection Pane Data'!AH$3,List!$E$2:$CD$2,0)),"")</f>
        <v/>
      </c>
      <c r="AI145" s="13" t="str">
        <f>IF(AI$4="Yes",INDEX(List!$E$2:$CD$173,MATCH('Selection Pane Data'!$B145,List!$E$2:$E$173,0),MATCH('Selection Pane Data'!AI$3,List!$E$2:$CD$2,0)),"")</f>
        <v/>
      </c>
      <c r="AJ145" s="13" t="str">
        <f>IF(AJ$4="Yes",INDEX(List!$E$2:$CD$173,MATCH('Selection Pane Data'!$B145,List!$E$2:$E$173,0),MATCH('Selection Pane Data'!AJ$3,List!$E$2:$CD$2,0)),"")</f>
        <v/>
      </c>
      <c r="AK145" s="13" t="str">
        <f>IF(AK$4="Yes",INDEX(List!$E$2:$CD$173,MATCH('Selection Pane Data'!$B145,List!$E$2:$E$173,0),MATCH('Selection Pane Data'!AK$3,List!$E$2:$CD$2,0)),"")</f>
        <v/>
      </c>
      <c r="AL145" s="13" t="str">
        <f>IF(AL$4="Yes",INDEX(List!$E$2:$CD$173,MATCH('Selection Pane Data'!$B145,List!$E$2:$E$173,0),MATCH('Selection Pane Data'!AL$3,List!$E$2:$CD$2,0)),"")</f>
        <v/>
      </c>
      <c r="AM145" s="13" t="str">
        <f>IF(AM$4="Yes",INDEX(List!$E$2:$CD$173,MATCH('Selection Pane Data'!$B145,List!$E$2:$E$173,0),MATCH('Selection Pane Data'!AM$3,List!$E$2:$CD$2,0)),"")</f>
        <v/>
      </c>
      <c r="AN145" s="13" t="str">
        <f>IF(AN$4="Yes",INDEX(List!$E$2:$CD$173,MATCH('Selection Pane Data'!$B145,List!$E$2:$E$173,0),MATCH('Selection Pane Data'!AN$3,List!$E$2:$CD$2,0)),"")</f>
        <v/>
      </c>
      <c r="AO145" s="13" t="str">
        <f>IF(AO$4="Yes",INDEX(List!$E$2:$CD$173,MATCH('Selection Pane Data'!$B145,List!$E$2:$E$173,0),MATCH('Selection Pane Data'!AO$3,List!$E$2:$CD$2,0)),"")</f>
        <v/>
      </c>
      <c r="AP145" s="13" t="str">
        <f>IF(AP$4="Yes",INDEX(List!$E$2:$CD$173,MATCH('Selection Pane Data'!$B145,List!$E$2:$E$173,0),MATCH('Selection Pane Data'!AP$3,List!$E$2:$CD$2,0)),"")</f>
        <v/>
      </c>
      <c r="AQ145" s="13" t="str">
        <f>IF(AQ$4="Yes",INDEX(List!$E$2:$CD$173,MATCH('Selection Pane Data'!$B145,List!$E$2:$E$173,0),MATCH('Selection Pane Data'!AQ$3,List!$E$2:$CD$2,0)),"")</f>
        <v/>
      </c>
      <c r="AR145" s="13" t="str">
        <f>IF(AR$4="Yes",INDEX(List!$E$2:$CD$173,MATCH('Selection Pane Data'!$B145,List!$E$2:$E$173,0),MATCH('Selection Pane Data'!AR$3,List!$E$2:$CD$2,0)),"")</f>
        <v/>
      </c>
      <c r="AS145" s="13" t="str">
        <f>IF(AS$4="Yes",INDEX(List!$E$2:$CD$173,MATCH('Selection Pane Data'!$B145,List!$E$2:$E$173,0),MATCH('Selection Pane Data'!AS$3,List!$E$2:$CD$2,0)),"")</f>
        <v/>
      </c>
      <c r="AT145" s="13" t="str">
        <f>IF(AT$4="Yes",INDEX(List!$E$2:$CD$173,MATCH('Selection Pane Data'!$B145,List!$E$2:$E$173,0),MATCH('Selection Pane Data'!AT$3,List!$E$2:$CD$2,0)),"")</f>
        <v/>
      </c>
      <c r="AU145" s="13" t="str">
        <f>IF(AU$4="Yes",INDEX(List!$E$2:$CD$173,MATCH('Selection Pane Data'!$B145,List!$E$2:$E$173,0),MATCH('Selection Pane Data'!AU$3,List!$E$2:$CD$2,0)),"")</f>
        <v/>
      </c>
      <c r="AV145" s="13" t="str">
        <f>IF(AV$4="Yes",INDEX(List!$E$2:$CD$173,MATCH('Selection Pane Data'!$B145,List!$E$2:$E$173,0),MATCH('Selection Pane Data'!AV$3,List!$E$2:$CD$2,0)),"")</f>
        <v/>
      </c>
      <c r="AW145" s="13" t="str">
        <f>IF(AW$4="Yes",INDEX(List!$E$2:$CD$173,MATCH('Selection Pane Data'!$B145,List!$E$2:$E$173,0),MATCH('Selection Pane Data'!AW$3,List!$E$2:$CD$2,0)),"")</f>
        <v/>
      </c>
      <c r="AX145" s="13" t="str">
        <f>IF(AX$4="Yes",INDEX(List!$E$2:$CD$173,MATCH('Selection Pane Data'!$B145,List!$E$2:$E$173,0),MATCH('Selection Pane Data'!AX$3,List!$E$2:$CD$2,0)),"")</f>
        <v/>
      </c>
      <c r="AY145" s="13" t="str">
        <f>IF(AY$4="Yes",INDEX(List!$E$2:$CD$173,MATCH('Selection Pane Data'!$B145,List!$E$2:$E$173,0),MATCH('Selection Pane Data'!AY$3,List!$E$2:$CD$2,0)),"")</f>
        <v/>
      </c>
      <c r="AZ145" s="13" t="str">
        <f>IF(AZ$4="Yes",INDEX(List!$E$2:$CD$173,MATCH('Selection Pane Data'!$B145,List!$E$2:$E$173,0),MATCH('Selection Pane Data'!AZ$3,List!$E$2:$CD$2,0)),"")</f>
        <v/>
      </c>
      <c r="BA145" s="13" t="str">
        <f>IF(BA$4="Yes",INDEX(List!$E$2:$CD$173,MATCH('Selection Pane Data'!$B145,List!$E$2:$E$173,0),MATCH('Selection Pane Data'!BA$3,List!$E$2:$CD$2,0)),"")</f>
        <v/>
      </c>
      <c r="BB145" s="13" t="str">
        <f>IF(BB$4="Yes",INDEX(List!$E$2:$CD$173,MATCH('Selection Pane Data'!$B145,List!$E$2:$E$173,0),MATCH('Selection Pane Data'!BB$3,List!$E$2:$CD$2,0)),"")</f>
        <v/>
      </c>
      <c r="BC145" s="13" t="str">
        <f>IF(BC$4="Yes",INDEX(List!$E$2:$CD$173,MATCH('Selection Pane Data'!$B145,List!$E$2:$E$173,0),MATCH('Selection Pane Data'!BC$3,List!$E$2:$CD$2,0)),"")</f>
        <v/>
      </c>
      <c r="BD145" s="13" t="str">
        <f>IF(BD$4="Yes",INDEX(List!$E$2:$CD$173,MATCH('Selection Pane Data'!$B145,List!$E$2:$E$173,0),MATCH('Selection Pane Data'!BD$3,List!$E$2:$CD$2,0)),"")</f>
        <v/>
      </c>
      <c r="BE145" s="13" t="str">
        <f>IF(BE$4="Yes",INDEX(List!$E$2:$CD$173,MATCH('Selection Pane Data'!$B145,List!$E$2:$E$173,0),MATCH('Selection Pane Data'!BE$3,List!$E$2:$CD$2,0)),"")</f>
        <v/>
      </c>
      <c r="BF145" s="13" t="str">
        <f>IF(BF$4="Yes",INDEX(List!$E$2:$CD$173,MATCH('Selection Pane Data'!$B145,List!$E$2:$E$173,0),MATCH('Selection Pane Data'!BF$3,List!$E$2:$CD$2,0)),"")</f>
        <v/>
      </c>
      <c r="BG145" s="13" t="str">
        <f>IF(BG$4="Yes",INDEX(List!$E$2:$CD$173,MATCH('Selection Pane Data'!$B145,List!$E$2:$E$173,0),MATCH('Selection Pane Data'!BG$3,List!$E$2:$CD$2,0)),"")</f>
        <v/>
      </c>
      <c r="BH145" s="13" t="str">
        <f>IF(BH$4="Yes",INDEX(List!$E$2:$CD$173,MATCH('Selection Pane Data'!$B145,List!$E$2:$E$173,0),MATCH('Selection Pane Data'!BH$3,List!$E$2:$CD$2,0)),"")</f>
        <v/>
      </c>
      <c r="BI145" s="13" t="str">
        <f>IF(BI$4="Yes",INDEX(List!$E$2:$CD$173,MATCH('Selection Pane Data'!$B145,List!$E$2:$E$173,0),MATCH('Selection Pane Data'!BI$3,List!$E$2:$CD$2,0)),"")</f>
        <v/>
      </c>
      <c r="BJ145" s="13" t="str">
        <f>IF(BJ$4="Yes",INDEX(List!$E$2:$CD$173,MATCH('Selection Pane Data'!$B145,List!$E$2:$E$173,0),MATCH('Selection Pane Data'!BJ$3,List!$E$2:$CD$2,0)),"")</f>
        <v/>
      </c>
      <c r="BK145" s="13" t="str">
        <f>IF(BK$4="Yes",INDEX(List!$E$2:$CD$173,MATCH('Selection Pane Data'!$B145,List!$E$2:$E$173,0),MATCH('Selection Pane Data'!BK$3,List!$E$2:$CD$2,0)),"")</f>
        <v/>
      </c>
      <c r="BL145" s="13" t="str">
        <f>IF(BL$4="Yes",INDEX(List!$E$2:$CD$173,MATCH('Selection Pane Data'!$B145,List!$E$2:$E$173,0),MATCH('Selection Pane Data'!BL$3,List!$E$2:$CD$2,0)),"")</f>
        <v/>
      </c>
      <c r="BM145" s="13" t="str">
        <f>IF(BM$4="Yes",INDEX(List!$E$2:$CD$173,MATCH('Selection Pane Data'!$B145,List!$E$2:$E$173,0),MATCH('Selection Pane Data'!BM$3,List!$E$2:$CD$2,0)),"")</f>
        <v/>
      </c>
      <c r="BN145" s="13" t="str">
        <f>IF(BN$4="Yes",INDEX(List!$E$2:$CD$173,MATCH('Selection Pane Data'!$B145,List!$E$2:$E$173,0),MATCH('Selection Pane Data'!BN$3,List!$E$2:$CD$2,0)),"")</f>
        <v/>
      </c>
      <c r="BO145" s="13" t="str">
        <f>IF(BO$4="Yes",INDEX(List!$E$2:$CD$173,MATCH('Selection Pane Data'!$B145,List!$E$2:$E$173,0),MATCH('Selection Pane Data'!BO$3,List!$E$2:$CD$2,0)),"")</f>
        <v/>
      </c>
      <c r="BP145" s="13" t="str">
        <f>IF(BP$4="Yes",INDEX(List!$E$2:$CD$173,MATCH('Selection Pane Data'!$B145,List!$E$2:$E$173,0),MATCH('Selection Pane Data'!BP$3,List!$E$2:$CD$2,0)),"")</f>
        <v/>
      </c>
      <c r="BQ145" s="13" t="str">
        <f>IF(BQ$4="Yes",INDEX(List!$E$2:$CD$173,MATCH('Selection Pane Data'!$B145,List!$E$2:$E$173,0),MATCH('Selection Pane Data'!BQ$3,List!$E$2:$CD$2,0)),"")</f>
        <v/>
      </c>
      <c r="BR145" s="13" t="str">
        <f>IF(BR$4="Yes",INDEX(List!$E$2:$CD$173,MATCH('Selection Pane Data'!$B145,List!$E$2:$E$173,0),MATCH('Selection Pane Data'!BR$3,List!$E$2:$CD$2,0)),"")</f>
        <v/>
      </c>
      <c r="BS145" s="13" t="str">
        <f>IF(BS$4="Yes",INDEX(List!$E$2:$CD$173,MATCH('Selection Pane Data'!$B145,List!$E$2:$E$173,0),MATCH('Selection Pane Data'!BS$3,List!$E$2:$CD$2,0)),"")</f>
        <v/>
      </c>
      <c r="BT145" s="13" t="str">
        <f>IF(BT$4="Yes",INDEX(List!$E$2:$CD$173,MATCH('Selection Pane Data'!$B145,List!$E$2:$E$173,0),MATCH('Selection Pane Data'!BT$3,List!$E$2:$CD$2,0)),"")</f>
        <v/>
      </c>
      <c r="BU145" s="13" t="str">
        <f>IF(BU$4="Yes",INDEX(List!$E$2:$CD$173,MATCH('Selection Pane Data'!$B145,List!$E$2:$E$173,0),MATCH('Selection Pane Data'!BU$3,List!$E$2:$CD$2,0)),"")</f>
        <v/>
      </c>
      <c r="BV145" s="13" t="str">
        <f>IF(BV$4="Yes",INDEX(List!$E$2:$CD$173,MATCH('Selection Pane Data'!$B145,List!$E$2:$E$173,0),MATCH('Selection Pane Data'!BV$3,List!$E$2:$CD$2,0)),"")</f>
        <v/>
      </c>
      <c r="BW145" s="13" t="str">
        <f>IF(BW$4="Yes",INDEX(List!$E$2:$CD$173,MATCH('Selection Pane Data'!$B145,List!$E$2:$E$173,0),MATCH('Selection Pane Data'!BW$3,List!$E$2:$CD$2,0)),"")</f>
        <v/>
      </c>
      <c r="BX145" s="13" t="str">
        <f>IF(BX$4="Yes",INDEX(List!$E$2:$CD$173,MATCH('Selection Pane Data'!$B145,List!$E$2:$E$173,0),MATCH('Selection Pane Data'!BX$3,List!$E$2:$CD$2,0)),"")</f>
        <v/>
      </c>
      <c r="BY145" s="13" t="str">
        <f>IF(BY$4="Yes",INDEX(List!$E$2:$CD$173,MATCH('Selection Pane Data'!$B145,List!$E$2:$E$173,0),MATCH('Selection Pane Data'!BY$3,List!$E$2:$CD$2,0)),"")</f>
        <v/>
      </c>
      <c r="BZ145" s="13" t="str">
        <f>IF(BZ$4="Yes",INDEX(List!$E$2:$CD$173,MATCH('Selection Pane Data'!$B145,List!$E$2:$E$173,0),MATCH('Selection Pane Data'!BZ$3,List!$E$2:$CD$2,0)),"")</f>
        <v/>
      </c>
      <c r="CA145" s="13" t="str">
        <f>IF(CA$4="Yes",INDEX(List!$E$2:$CD$173,MATCH('Selection Pane Data'!$B145,List!$E$2:$E$173,0),MATCH('Selection Pane Data'!CA$3,List!$E$2:$CD$2,0)),"")</f>
        <v/>
      </c>
      <c r="CB145" s="13" t="str">
        <f>IF(CB$4="Yes",INDEX(List!$E$2:$CD$173,MATCH('Selection Pane Data'!$B145,List!$E$2:$E$173,0),MATCH('Selection Pane Data'!CB$3,List!$E$2:$CD$2,0)),"")</f>
        <v/>
      </c>
      <c r="CC145" s="13" t="str">
        <f>IF(CC$4="Yes",INDEX(List!$E$2:$CD$173,MATCH('Selection Pane Data'!$B145,List!$E$2:$E$173,0),MATCH('Selection Pane Data'!CC$3,List!$E$2:$CD$2,0)),"")</f>
        <v/>
      </c>
      <c r="CD145" s="13" t="str">
        <f>IF(CD$4="Yes",INDEX(List!$E$2:$CD$173,MATCH('Selection Pane Data'!$B145,List!$E$2:$E$173,0),MATCH('Selection Pane Data'!CD$3,List!$E$2:$CD$2,0)),"")</f>
        <v/>
      </c>
      <c r="CE145" s="13" t="str">
        <f>IF(CE$4="Yes",INDEX(List!$E$2:$CD$173,MATCH('Selection Pane Data'!$B145,List!$E$2:$E$173,0),MATCH('Selection Pane Data'!CE$3,List!$E$2:$CD$2,0)),"")</f>
        <v/>
      </c>
    </row>
    <row r="146" spans="2:83" x14ac:dyDescent="0.35">
      <c r="B146" s="21" t="s">
        <v>433</v>
      </c>
      <c r="C146" s="126" t="str">
        <f>VLOOKUP(B146,List!$E$2:$G$173,2,FALSE)</f>
        <v>SC.L2-3.13.8</v>
      </c>
      <c r="D146" s="31" t="str">
        <f>List!G144</f>
        <v>Shared Coverage</v>
      </c>
      <c r="E146" s="31" t="str">
        <f>IF(Placemat!$F$4="All Practices","All Practices",IF(VLOOKUP(B146,Table7[#All],6,FALSE)="No Mapping","New CMMC Practices","Practices with NIST 800-171 Mappings"))</f>
        <v>Practices with NIST 800-171 Mappings</v>
      </c>
      <c r="F146" t="str">
        <f>INDEX('CMMC Levels'!$A$1:$F$172,MATCH('Selection Pane Data'!$C146,'CMMC Levels'!$A$1:$A$172,0),MATCH(Placemat!$F$4,'CMMC Levels'!$A$1:$F$1,0))</f>
        <v>X</v>
      </c>
      <c r="G146" s="77" t="str">
        <f>IF((COUNTIF(List!H144:CE144,"P")+COUNTIF(List!H144:CE144,"S"))=0,"N",IF(COUNTIF(H146:CE146,"P"),"P",IF(COUNTIF(H146:CE146,"S"),"S","U")))</f>
        <v>S</v>
      </c>
      <c r="H146" s="13" t="str">
        <f>IF(H$4="Yes",INDEX(List!$E$2:$CD$173,MATCH('Selection Pane Data'!$B146,List!$E$2:$E$173,0),MATCH('Selection Pane Data'!H$3,List!$E$2:$CD$2,0)),"")</f>
        <v/>
      </c>
      <c r="I146" s="13" t="str">
        <f>IF(I$4="Yes",INDEX(List!$E$2:$CD$173,MATCH('Selection Pane Data'!$B146,List!$E$2:$E$173,0),MATCH('Selection Pane Data'!I$3,List!$E$2:$CD$2,0)),"")</f>
        <v/>
      </c>
      <c r="J146" s="13" t="str">
        <f>IF(J$4="Yes",INDEX(List!$E$2:$CD$173,MATCH('Selection Pane Data'!$B146,List!$E$2:$E$173,0),MATCH('Selection Pane Data'!J$3,List!$E$2:$CD$2,0)),"")</f>
        <v>N</v>
      </c>
      <c r="K146" s="13" t="str">
        <f>IF(K$4="Yes",INDEX(List!$E$2:$CD$173,MATCH('Selection Pane Data'!$B146,List!$E$2:$E$173,0),MATCH('Selection Pane Data'!K$3,List!$E$2:$CD$2,0)),"")</f>
        <v/>
      </c>
      <c r="L146" s="13" t="str">
        <f>IF(L$4="Yes",INDEX(List!$E$2:$CD$173,MATCH('Selection Pane Data'!$B146,List!$E$2:$E$173,0),MATCH('Selection Pane Data'!L$3,List!$E$2:$CD$2,0)),"")</f>
        <v/>
      </c>
      <c r="M146" s="13" t="str">
        <f>IF(M$4="Yes",INDEX(List!$E$2:$CD$173,MATCH('Selection Pane Data'!$B146,List!$E$2:$E$173,0),MATCH('Selection Pane Data'!M$3,List!$E$2:$CD$2,0)),"")</f>
        <v/>
      </c>
      <c r="N146" s="13" t="str">
        <f>IF(N$4="Yes",INDEX(List!$E$2:$CD$173,MATCH('Selection Pane Data'!$B146,List!$E$2:$E$173,0),MATCH('Selection Pane Data'!N$3,List!$E$2:$CD$2,0)),"")</f>
        <v/>
      </c>
      <c r="O146" s="13" t="str">
        <f>IF(O$4="Yes",INDEX(List!$E$2:$CD$173,MATCH('Selection Pane Data'!$B146,List!$E$2:$E$173,0),MATCH('Selection Pane Data'!O$3,List!$E$2:$CD$2,0)),"")</f>
        <v/>
      </c>
      <c r="P146" s="13" t="str">
        <f>IF(P$4="Yes",INDEX(List!$E$2:$CD$173,MATCH('Selection Pane Data'!$B146,List!$E$2:$E$173,0),MATCH('Selection Pane Data'!P$3,List!$E$2:$CD$2,0)),"")</f>
        <v/>
      </c>
      <c r="Q146" s="13" t="str">
        <f>IF(Q$4="Yes",INDEX(List!$E$2:$CD$173,MATCH('Selection Pane Data'!$B146,List!$E$2:$E$173,0),MATCH('Selection Pane Data'!Q$3,List!$E$2:$CD$2,0)),"")</f>
        <v/>
      </c>
      <c r="R146" s="13" t="str">
        <f>IF(R$4="Yes",INDEX(List!$E$2:$CD$173,MATCH('Selection Pane Data'!$B146,List!$E$2:$E$173,0),MATCH('Selection Pane Data'!R$3,List!$E$2:$CD$2,0)),"")</f>
        <v/>
      </c>
      <c r="S146" s="13" t="str">
        <f>IF(S$4="Yes",INDEX(List!$E$2:$CD$173,MATCH('Selection Pane Data'!$B146,List!$E$2:$E$173,0),MATCH('Selection Pane Data'!S$3,List!$E$2:$CD$2,0)),"")</f>
        <v/>
      </c>
      <c r="T146" s="13" t="str">
        <f>IF(T$4="Yes",INDEX(List!$E$2:$CD$173,MATCH('Selection Pane Data'!$B146,List!$E$2:$E$173,0),MATCH('Selection Pane Data'!T$3,List!$E$2:$CD$2,0)),"")</f>
        <v/>
      </c>
      <c r="U146" s="13" t="str">
        <f>IF(U$4="Yes",INDEX(List!$E$2:$CD$173,MATCH('Selection Pane Data'!$B146,List!$E$2:$E$173,0),MATCH('Selection Pane Data'!U$3,List!$E$2:$CD$2,0)),"")</f>
        <v/>
      </c>
      <c r="V146" s="13" t="str">
        <f>IF(V$4="Yes",INDEX(List!$E$2:$CD$173,MATCH('Selection Pane Data'!$B146,List!$E$2:$E$173,0),MATCH('Selection Pane Data'!V$3,List!$E$2:$CD$2,0)),"")</f>
        <v/>
      </c>
      <c r="W146" s="13" t="str">
        <f>IF(W$4="Yes",INDEX(List!$E$2:$CD$173,MATCH('Selection Pane Data'!$B146,List!$E$2:$E$173,0),MATCH('Selection Pane Data'!W$3,List!$E$2:$CD$2,0)),"")</f>
        <v/>
      </c>
      <c r="X146" s="13" t="str">
        <f>IF(X$4="Yes",INDEX(List!$E$2:$CD$173,MATCH('Selection Pane Data'!$B146,List!$E$2:$E$173,0),MATCH('Selection Pane Data'!X$3,List!$E$2:$CD$2,0)),"")</f>
        <v/>
      </c>
      <c r="Y146" s="13" t="str">
        <f>IF(Y$4="Yes",INDEX(List!$E$2:$CD$173,MATCH('Selection Pane Data'!$B146,List!$E$2:$E$173,0),MATCH('Selection Pane Data'!Y$3,List!$E$2:$CD$2,0)),"")</f>
        <v/>
      </c>
      <c r="Z146" s="13" t="str">
        <f>IF(Z$4="Yes",INDEX(List!$E$2:$CD$173,MATCH('Selection Pane Data'!$B146,List!$E$2:$E$173,0),MATCH('Selection Pane Data'!Z$3,List!$E$2:$CD$2,0)),"")</f>
        <v/>
      </c>
      <c r="AA146" s="13" t="str">
        <f>IF(AA$4="Yes",INDEX(List!$E$2:$CD$173,MATCH('Selection Pane Data'!$B146,List!$E$2:$E$173,0),MATCH('Selection Pane Data'!AA$3,List!$E$2:$CD$2,0)),"")</f>
        <v>S</v>
      </c>
      <c r="AB146" s="13" t="str">
        <f>IF(AB$4="Yes",INDEX(List!$E$2:$CD$173,MATCH('Selection Pane Data'!$B146,List!$E$2:$E$173,0),MATCH('Selection Pane Data'!AB$3,List!$E$2:$CD$2,0)),"")</f>
        <v/>
      </c>
      <c r="AC146" s="13" t="str">
        <f>IF(AC$4="Yes",INDEX(List!$E$2:$CD$173,MATCH('Selection Pane Data'!$B146,List!$E$2:$E$173,0),MATCH('Selection Pane Data'!AC$3,List!$E$2:$CD$2,0)),"")</f>
        <v/>
      </c>
      <c r="AD146" s="13" t="str">
        <f>IF(AD$4="Yes",INDEX(List!$E$2:$CD$173,MATCH('Selection Pane Data'!$B146,List!$E$2:$E$173,0),MATCH('Selection Pane Data'!AD$3,List!$E$2:$CD$2,0)),"")</f>
        <v/>
      </c>
      <c r="AE146" s="13" t="str">
        <f>IF(AE$4="Yes",INDEX(List!$E$2:$CD$173,MATCH('Selection Pane Data'!$B146,List!$E$2:$E$173,0),MATCH('Selection Pane Data'!AE$3,List!$E$2:$CD$2,0)),"")</f>
        <v/>
      </c>
      <c r="AF146" s="13" t="str">
        <f>IF(AF$4="Yes",INDEX(List!$E$2:$CD$173,MATCH('Selection Pane Data'!$B146,List!$E$2:$E$173,0),MATCH('Selection Pane Data'!AF$3,List!$E$2:$CD$2,0)),"")</f>
        <v/>
      </c>
      <c r="AG146" s="13" t="str">
        <f>IF(AG$4="Yes",INDEX(List!$E$2:$CD$173,MATCH('Selection Pane Data'!$B146,List!$E$2:$E$173,0),MATCH('Selection Pane Data'!AG$3,List!$E$2:$CD$2,0)),"")</f>
        <v/>
      </c>
      <c r="AH146" s="13" t="str">
        <f>IF(AH$4="Yes",INDEX(List!$E$2:$CD$173,MATCH('Selection Pane Data'!$B146,List!$E$2:$E$173,0),MATCH('Selection Pane Data'!AH$3,List!$E$2:$CD$2,0)),"")</f>
        <v/>
      </c>
      <c r="AI146" s="13" t="str">
        <f>IF(AI$4="Yes",INDEX(List!$E$2:$CD$173,MATCH('Selection Pane Data'!$B146,List!$E$2:$E$173,0),MATCH('Selection Pane Data'!AI$3,List!$E$2:$CD$2,0)),"")</f>
        <v/>
      </c>
      <c r="AJ146" s="13" t="str">
        <f>IF(AJ$4="Yes",INDEX(List!$E$2:$CD$173,MATCH('Selection Pane Data'!$B146,List!$E$2:$E$173,0),MATCH('Selection Pane Data'!AJ$3,List!$E$2:$CD$2,0)),"")</f>
        <v/>
      </c>
      <c r="AK146" s="13" t="str">
        <f>IF(AK$4="Yes",INDEX(List!$E$2:$CD$173,MATCH('Selection Pane Data'!$B146,List!$E$2:$E$173,0),MATCH('Selection Pane Data'!AK$3,List!$E$2:$CD$2,0)),"")</f>
        <v/>
      </c>
      <c r="AL146" s="13" t="str">
        <f>IF(AL$4="Yes",INDEX(List!$E$2:$CD$173,MATCH('Selection Pane Data'!$B146,List!$E$2:$E$173,0),MATCH('Selection Pane Data'!AL$3,List!$E$2:$CD$2,0)),"")</f>
        <v/>
      </c>
      <c r="AM146" s="13" t="str">
        <f>IF(AM$4="Yes",INDEX(List!$E$2:$CD$173,MATCH('Selection Pane Data'!$B146,List!$E$2:$E$173,0),MATCH('Selection Pane Data'!AM$3,List!$E$2:$CD$2,0)),"")</f>
        <v/>
      </c>
      <c r="AN146" s="13" t="str">
        <f>IF(AN$4="Yes",INDEX(List!$E$2:$CD$173,MATCH('Selection Pane Data'!$B146,List!$E$2:$E$173,0),MATCH('Selection Pane Data'!AN$3,List!$E$2:$CD$2,0)),"")</f>
        <v/>
      </c>
      <c r="AO146" s="13" t="str">
        <f>IF(AO$4="Yes",INDEX(List!$E$2:$CD$173,MATCH('Selection Pane Data'!$B146,List!$E$2:$E$173,0),MATCH('Selection Pane Data'!AO$3,List!$E$2:$CD$2,0)),"")</f>
        <v/>
      </c>
      <c r="AP146" s="13" t="str">
        <f>IF(AP$4="Yes",INDEX(List!$E$2:$CD$173,MATCH('Selection Pane Data'!$B146,List!$E$2:$E$173,0),MATCH('Selection Pane Data'!AP$3,List!$E$2:$CD$2,0)),"")</f>
        <v/>
      </c>
      <c r="AQ146" s="13" t="str">
        <f>IF(AQ$4="Yes",INDEX(List!$E$2:$CD$173,MATCH('Selection Pane Data'!$B146,List!$E$2:$E$173,0),MATCH('Selection Pane Data'!AQ$3,List!$E$2:$CD$2,0)),"")</f>
        <v/>
      </c>
      <c r="AR146" s="13" t="str">
        <f>IF(AR$4="Yes",INDEX(List!$E$2:$CD$173,MATCH('Selection Pane Data'!$B146,List!$E$2:$E$173,0),MATCH('Selection Pane Data'!AR$3,List!$E$2:$CD$2,0)),"")</f>
        <v/>
      </c>
      <c r="AS146" s="13" t="str">
        <f>IF(AS$4="Yes",INDEX(List!$E$2:$CD$173,MATCH('Selection Pane Data'!$B146,List!$E$2:$E$173,0),MATCH('Selection Pane Data'!AS$3,List!$E$2:$CD$2,0)),"")</f>
        <v/>
      </c>
      <c r="AT146" s="13" t="str">
        <f>IF(AT$4="Yes",INDEX(List!$E$2:$CD$173,MATCH('Selection Pane Data'!$B146,List!$E$2:$E$173,0),MATCH('Selection Pane Data'!AT$3,List!$E$2:$CD$2,0)),"")</f>
        <v/>
      </c>
      <c r="AU146" s="13" t="str">
        <f>IF(AU$4="Yes",INDEX(List!$E$2:$CD$173,MATCH('Selection Pane Data'!$B146,List!$E$2:$E$173,0),MATCH('Selection Pane Data'!AU$3,List!$E$2:$CD$2,0)),"")</f>
        <v/>
      </c>
      <c r="AV146" s="13" t="str">
        <f>IF(AV$4="Yes",INDEX(List!$E$2:$CD$173,MATCH('Selection Pane Data'!$B146,List!$E$2:$E$173,0),MATCH('Selection Pane Data'!AV$3,List!$E$2:$CD$2,0)),"")</f>
        <v/>
      </c>
      <c r="AW146" s="13" t="str">
        <f>IF(AW$4="Yes",INDEX(List!$E$2:$CD$173,MATCH('Selection Pane Data'!$B146,List!$E$2:$E$173,0),MATCH('Selection Pane Data'!AW$3,List!$E$2:$CD$2,0)),"")</f>
        <v/>
      </c>
      <c r="AX146" s="13" t="str">
        <f>IF(AX$4="Yes",INDEX(List!$E$2:$CD$173,MATCH('Selection Pane Data'!$B146,List!$E$2:$E$173,0),MATCH('Selection Pane Data'!AX$3,List!$E$2:$CD$2,0)),"")</f>
        <v/>
      </c>
      <c r="AY146" s="13" t="str">
        <f>IF(AY$4="Yes",INDEX(List!$E$2:$CD$173,MATCH('Selection Pane Data'!$B146,List!$E$2:$E$173,0),MATCH('Selection Pane Data'!AY$3,List!$E$2:$CD$2,0)),"")</f>
        <v/>
      </c>
      <c r="AZ146" s="13" t="str">
        <f>IF(AZ$4="Yes",INDEX(List!$E$2:$CD$173,MATCH('Selection Pane Data'!$B146,List!$E$2:$E$173,0),MATCH('Selection Pane Data'!AZ$3,List!$E$2:$CD$2,0)),"")</f>
        <v/>
      </c>
      <c r="BA146" s="13" t="str">
        <f>IF(BA$4="Yes",INDEX(List!$E$2:$CD$173,MATCH('Selection Pane Data'!$B146,List!$E$2:$E$173,0),MATCH('Selection Pane Data'!BA$3,List!$E$2:$CD$2,0)),"")</f>
        <v/>
      </c>
      <c r="BB146" s="13" t="str">
        <f>IF(BB$4="Yes",INDEX(List!$E$2:$CD$173,MATCH('Selection Pane Data'!$B146,List!$E$2:$E$173,0),MATCH('Selection Pane Data'!BB$3,List!$E$2:$CD$2,0)),"")</f>
        <v/>
      </c>
      <c r="BC146" s="13" t="str">
        <f>IF(BC$4="Yes",INDEX(List!$E$2:$CD$173,MATCH('Selection Pane Data'!$B146,List!$E$2:$E$173,0),MATCH('Selection Pane Data'!BC$3,List!$E$2:$CD$2,0)),"")</f>
        <v/>
      </c>
      <c r="BD146" s="13" t="str">
        <f>IF(BD$4="Yes",INDEX(List!$E$2:$CD$173,MATCH('Selection Pane Data'!$B146,List!$E$2:$E$173,0),MATCH('Selection Pane Data'!BD$3,List!$E$2:$CD$2,0)),"")</f>
        <v/>
      </c>
      <c r="BE146" s="13" t="str">
        <f>IF(BE$4="Yes",INDEX(List!$E$2:$CD$173,MATCH('Selection Pane Data'!$B146,List!$E$2:$E$173,0),MATCH('Selection Pane Data'!BE$3,List!$E$2:$CD$2,0)),"")</f>
        <v/>
      </c>
      <c r="BF146" s="13" t="str">
        <f>IF(BF$4="Yes",INDEX(List!$E$2:$CD$173,MATCH('Selection Pane Data'!$B146,List!$E$2:$E$173,0),MATCH('Selection Pane Data'!BF$3,List!$E$2:$CD$2,0)),"")</f>
        <v/>
      </c>
      <c r="BG146" s="13" t="str">
        <f>IF(BG$4="Yes",INDEX(List!$E$2:$CD$173,MATCH('Selection Pane Data'!$B146,List!$E$2:$E$173,0),MATCH('Selection Pane Data'!BG$3,List!$E$2:$CD$2,0)),"")</f>
        <v/>
      </c>
      <c r="BH146" s="13" t="str">
        <f>IF(BH$4="Yes",INDEX(List!$E$2:$CD$173,MATCH('Selection Pane Data'!$B146,List!$E$2:$E$173,0),MATCH('Selection Pane Data'!BH$3,List!$E$2:$CD$2,0)),"")</f>
        <v/>
      </c>
      <c r="BI146" s="13" t="str">
        <f>IF(BI$4="Yes",INDEX(List!$E$2:$CD$173,MATCH('Selection Pane Data'!$B146,List!$E$2:$E$173,0),MATCH('Selection Pane Data'!BI$3,List!$E$2:$CD$2,0)),"")</f>
        <v/>
      </c>
      <c r="BJ146" s="13" t="str">
        <f>IF(BJ$4="Yes",INDEX(List!$E$2:$CD$173,MATCH('Selection Pane Data'!$B146,List!$E$2:$E$173,0),MATCH('Selection Pane Data'!BJ$3,List!$E$2:$CD$2,0)),"")</f>
        <v/>
      </c>
      <c r="BK146" s="13" t="str">
        <f>IF(BK$4="Yes",INDEX(List!$E$2:$CD$173,MATCH('Selection Pane Data'!$B146,List!$E$2:$E$173,0),MATCH('Selection Pane Data'!BK$3,List!$E$2:$CD$2,0)),"")</f>
        <v/>
      </c>
      <c r="BL146" s="13" t="str">
        <f>IF(BL$4="Yes",INDEX(List!$E$2:$CD$173,MATCH('Selection Pane Data'!$B146,List!$E$2:$E$173,0),MATCH('Selection Pane Data'!BL$3,List!$E$2:$CD$2,0)),"")</f>
        <v/>
      </c>
      <c r="BM146" s="13" t="str">
        <f>IF(BM$4="Yes",INDEX(List!$E$2:$CD$173,MATCH('Selection Pane Data'!$B146,List!$E$2:$E$173,0),MATCH('Selection Pane Data'!BM$3,List!$E$2:$CD$2,0)),"")</f>
        <v/>
      </c>
      <c r="BN146" s="13" t="str">
        <f>IF(BN$4="Yes",INDEX(List!$E$2:$CD$173,MATCH('Selection Pane Data'!$B146,List!$E$2:$E$173,0),MATCH('Selection Pane Data'!BN$3,List!$E$2:$CD$2,0)),"")</f>
        <v/>
      </c>
      <c r="BO146" s="13" t="str">
        <f>IF(BO$4="Yes",INDEX(List!$E$2:$CD$173,MATCH('Selection Pane Data'!$B146,List!$E$2:$E$173,0),MATCH('Selection Pane Data'!BO$3,List!$E$2:$CD$2,0)),"")</f>
        <v/>
      </c>
      <c r="BP146" s="13" t="str">
        <f>IF(BP$4="Yes",INDEX(List!$E$2:$CD$173,MATCH('Selection Pane Data'!$B146,List!$E$2:$E$173,0),MATCH('Selection Pane Data'!BP$3,List!$E$2:$CD$2,0)),"")</f>
        <v/>
      </c>
      <c r="BQ146" s="13" t="str">
        <f>IF(BQ$4="Yes",INDEX(List!$E$2:$CD$173,MATCH('Selection Pane Data'!$B146,List!$E$2:$E$173,0),MATCH('Selection Pane Data'!BQ$3,List!$E$2:$CD$2,0)),"")</f>
        <v/>
      </c>
      <c r="BR146" s="13" t="str">
        <f>IF(BR$4="Yes",INDEX(List!$E$2:$CD$173,MATCH('Selection Pane Data'!$B146,List!$E$2:$E$173,0),MATCH('Selection Pane Data'!BR$3,List!$E$2:$CD$2,0)),"")</f>
        <v/>
      </c>
      <c r="BS146" s="13" t="str">
        <f>IF(BS$4="Yes",INDEX(List!$E$2:$CD$173,MATCH('Selection Pane Data'!$B146,List!$E$2:$E$173,0),MATCH('Selection Pane Data'!BS$3,List!$E$2:$CD$2,0)),"")</f>
        <v/>
      </c>
      <c r="BT146" s="13" t="str">
        <f>IF(BT$4="Yes",INDEX(List!$E$2:$CD$173,MATCH('Selection Pane Data'!$B146,List!$E$2:$E$173,0),MATCH('Selection Pane Data'!BT$3,List!$E$2:$CD$2,0)),"")</f>
        <v/>
      </c>
      <c r="BU146" s="13" t="str">
        <f>IF(BU$4="Yes",INDEX(List!$E$2:$CD$173,MATCH('Selection Pane Data'!$B146,List!$E$2:$E$173,0),MATCH('Selection Pane Data'!BU$3,List!$E$2:$CD$2,0)),"")</f>
        <v/>
      </c>
      <c r="BV146" s="13" t="str">
        <f>IF(BV$4="Yes",INDEX(List!$E$2:$CD$173,MATCH('Selection Pane Data'!$B146,List!$E$2:$E$173,0),MATCH('Selection Pane Data'!BV$3,List!$E$2:$CD$2,0)),"")</f>
        <v/>
      </c>
      <c r="BW146" s="13" t="str">
        <f>IF(BW$4="Yes",INDEX(List!$E$2:$CD$173,MATCH('Selection Pane Data'!$B146,List!$E$2:$E$173,0),MATCH('Selection Pane Data'!BW$3,List!$E$2:$CD$2,0)),"")</f>
        <v/>
      </c>
      <c r="BX146" s="13" t="str">
        <f>IF(BX$4="Yes",INDEX(List!$E$2:$CD$173,MATCH('Selection Pane Data'!$B146,List!$E$2:$E$173,0),MATCH('Selection Pane Data'!BX$3,List!$E$2:$CD$2,0)),"")</f>
        <v/>
      </c>
      <c r="BY146" s="13" t="str">
        <f>IF(BY$4="Yes",INDEX(List!$E$2:$CD$173,MATCH('Selection Pane Data'!$B146,List!$E$2:$E$173,0),MATCH('Selection Pane Data'!BY$3,List!$E$2:$CD$2,0)),"")</f>
        <v/>
      </c>
      <c r="BZ146" s="13" t="str">
        <f>IF(BZ$4="Yes",INDEX(List!$E$2:$CD$173,MATCH('Selection Pane Data'!$B146,List!$E$2:$E$173,0),MATCH('Selection Pane Data'!BZ$3,List!$E$2:$CD$2,0)),"")</f>
        <v/>
      </c>
      <c r="CA146" s="13" t="str">
        <f>IF(CA$4="Yes",INDEX(List!$E$2:$CD$173,MATCH('Selection Pane Data'!$B146,List!$E$2:$E$173,0),MATCH('Selection Pane Data'!CA$3,List!$E$2:$CD$2,0)),"")</f>
        <v/>
      </c>
      <c r="CB146" s="13" t="str">
        <f>IF(CB$4="Yes",INDEX(List!$E$2:$CD$173,MATCH('Selection Pane Data'!$B146,List!$E$2:$E$173,0),MATCH('Selection Pane Data'!CB$3,List!$E$2:$CD$2,0)),"")</f>
        <v/>
      </c>
      <c r="CC146" s="13" t="str">
        <f>IF(CC$4="Yes",INDEX(List!$E$2:$CD$173,MATCH('Selection Pane Data'!$B146,List!$E$2:$E$173,0),MATCH('Selection Pane Data'!CC$3,List!$E$2:$CD$2,0)),"")</f>
        <v/>
      </c>
      <c r="CD146" s="13" t="str">
        <f>IF(CD$4="Yes",INDEX(List!$E$2:$CD$173,MATCH('Selection Pane Data'!$B146,List!$E$2:$E$173,0),MATCH('Selection Pane Data'!CD$3,List!$E$2:$CD$2,0)),"")</f>
        <v/>
      </c>
      <c r="CE146" s="13" t="str">
        <f>IF(CE$4="Yes",INDEX(List!$E$2:$CD$173,MATCH('Selection Pane Data'!$B146,List!$E$2:$E$173,0),MATCH('Selection Pane Data'!CE$3,List!$E$2:$CD$2,0)),"")</f>
        <v/>
      </c>
    </row>
    <row r="147" spans="2:83" x14ac:dyDescent="0.35">
      <c r="B147" s="21" t="s">
        <v>434</v>
      </c>
      <c r="C147" s="126" t="str">
        <f>VLOOKUP(B147,List!$E$2:$G$173,2,FALSE)</f>
        <v>SC.L2-3.13.9</v>
      </c>
      <c r="D147" s="31" t="str">
        <f>List!G145</f>
        <v>Shared Coverage</v>
      </c>
      <c r="E147" s="31" t="str">
        <f>IF(Placemat!$F$4="All Practices","All Practices",IF(VLOOKUP(B147,Table7[#All],6,FALSE)="No Mapping","New CMMC Practices","Practices with NIST 800-171 Mappings"))</f>
        <v>Practices with NIST 800-171 Mappings</v>
      </c>
      <c r="F147" t="str">
        <f>INDEX('CMMC Levels'!$A$1:$F$172,MATCH('Selection Pane Data'!$C147,'CMMC Levels'!$A$1:$A$172,0),MATCH(Placemat!$F$4,'CMMC Levels'!$A$1:$F$1,0))</f>
        <v>X</v>
      </c>
      <c r="G147" s="77" t="str">
        <f>IF((COUNTIF(List!H145:CE145,"P")+COUNTIF(List!H145:CE145,"S"))=0,"N",IF(COUNTIF(H147:CE147,"P"),"P",IF(COUNTIF(H147:CE147,"S"),"S","U")))</f>
        <v>S</v>
      </c>
      <c r="H147" s="13" t="str">
        <f>IF(H$4="Yes",INDEX(List!$E$2:$CD$173,MATCH('Selection Pane Data'!$B147,List!$E$2:$E$173,0),MATCH('Selection Pane Data'!H$3,List!$E$2:$CD$2,0)),"")</f>
        <v/>
      </c>
      <c r="I147" s="13" t="str">
        <f>IF(I$4="Yes",INDEX(List!$E$2:$CD$173,MATCH('Selection Pane Data'!$B147,List!$E$2:$E$173,0),MATCH('Selection Pane Data'!I$3,List!$E$2:$CD$2,0)),"")</f>
        <v/>
      </c>
      <c r="J147" s="13" t="str">
        <f>IF(J$4="Yes",INDEX(List!$E$2:$CD$173,MATCH('Selection Pane Data'!$B147,List!$E$2:$E$173,0),MATCH('Selection Pane Data'!J$3,List!$E$2:$CD$2,0)),"")</f>
        <v>N</v>
      </c>
      <c r="K147" s="13" t="str">
        <f>IF(K$4="Yes",INDEX(List!$E$2:$CD$173,MATCH('Selection Pane Data'!$B147,List!$E$2:$E$173,0),MATCH('Selection Pane Data'!K$3,List!$E$2:$CD$2,0)),"")</f>
        <v/>
      </c>
      <c r="L147" s="13" t="str">
        <f>IF(L$4="Yes",INDEX(List!$E$2:$CD$173,MATCH('Selection Pane Data'!$B147,List!$E$2:$E$173,0),MATCH('Selection Pane Data'!L$3,List!$E$2:$CD$2,0)),"")</f>
        <v/>
      </c>
      <c r="M147" s="13" t="str">
        <f>IF(M$4="Yes",INDEX(List!$E$2:$CD$173,MATCH('Selection Pane Data'!$B147,List!$E$2:$E$173,0),MATCH('Selection Pane Data'!M$3,List!$E$2:$CD$2,0)),"")</f>
        <v/>
      </c>
      <c r="N147" s="13" t="str">
        <f>IF(N$4="Yes",INDEX(List!$E$2:$CD$173,MATCH('Selection Pane Data'!$B147,List!$E$2:$E$173,0),MATCH('Selection Pane Data'!N$3,List!$E$2:$CD$2,0)),"")</f>
        <v/>
      </c>
      <c r="O147" s="13" t="str">
        <f>IF(O$4="Yes",INDEX(List!$E$2:$CD$173,MATCH('Selection Pane Data'!$B147,List!$E$2:$E$173,0),MATCH('Selection Pane Data'!O$3,List!$E$2:$CD$2,0)),"")</f>
        <v/>
      </c>
      <c r="P147" s="13" t="str">
        <f>IF(P$4="Yes",INDEX(List!$E$2:$CD$173,MATCH('Selection Pane Data'!$B147,List!$E$2:$E$173,0),MATCH('Selection Pane Data'!P$3,List!$E$2:$CD$2,0)),"")</f>
        <v/>
      </c>
      <c r="Q147" s="13" t="str">
        <f>IF(Q$4="Yes",INDEX(List!$E$2:$CD$173,MATCH('Selection Pane Data'!$B147,List!$E$2:$E$173,0),MATCH('Selection Pane Data'!Q$3,List!$E$2:$CD$2,0)),"")</f>
        <v/>
      </c>
      <c r="R147" s="13" t="str">
        <f>IF(R$4="Yes",INDEX(List!$E$2:$CD$173,MATCH('Selection Pane Data'!$B147,List!$E$2:$E$173,0),MATCH('Selection Pane Data'!R$3,List!$E$2:$CD$2,0)),"")</f>
        <v/>
      </c>
      <c r="S147" s="13" t="str">
        <f>IF(S$4="Yes",INDEX(List!$E$2:$CD$173,MATCH('Selection Pane Data'!$B147,List!$E$2:$E$173,0),MATCH('Selection Pane Data'!S$3,List!$E$2:$CD$2,0)),"")</f>
        <v/>
      </c>
      <c r="T147" s="13" t="str">
        <f>IF(T$4="Yes",INDEX(List!$E$2:$CD$173,MATCH('Selection Pane Data'!$B147,List!$E$2:$E$173,0),MATCH('Selection Pane Data'!T$3,List!$E$2:$CD$2,0)),"")</f>
        <v/>
      </c>
      <c r="U147" s="13" t="str">
        <f>IF(U$4="Yes",INDEX(List!$E$2:$CD$173,MATCH('Selection Pane Data'!$B147,List!$E$2:$E$173,0),MATCH('Selection Pane Data'!U$3,List!$E$2:$CD$2,0)),"")</f>
        <v/>
      </c>
      <c r="V147" s="13" t="str">
        <f>IF(V$4="Yes",INDEX(List!$E$2:$CD$173,MATCH('Selection Pane Data'!$B147,List!$E$2:$E$173,0),MATCH('Selection Pane Data'!V$3,List!$E$2:$CD$2,0)),"")</f>
        <v/>
      </c>
      <c r="W147" s="13" t="str">
        <f>IF(W$4="Yes",INDEX(List!$E$2:$CD$173,MATCH('Selection Pane Data'!$B147,List!$E$2:$E$173,0),MATCH('Selection Pane Data'!W$3,List!$E$2:$CD$2,0)),"")</f>
        <v/>
      </c>
      <c r="X147" s="13" t="str">
        <f>IF(X$4="Yes",INDEX(List!$E$2:$CD$173,MATCH('Selection Pane Data'!$B147,List!$E$2:$E$173,0),MATCH('Selection Pane Data'!X$3,List!$E$2:$CD$2,0)),"")</f>
        <v/>
      </c>
      <c r="Y147" s="13" t="str">
        <f>IF(Y$4="Yes",INDEX(List!$E$2:$CD$173,MATCH('Selection Pane Data'!$B147,List!$E$2:$E$173,0),MATCH('Selection Pane Data'!Y$3,List!$E$2:$CD$2,0)),"")</f>
        <v/>
      </c>
      <c r="Z147" s="13" t="str">
        <f>IF(Z$4="Yes",INDEX(List!$E$2:$CD$173,MATCH('Selection Pane Data'!$B147,List!$E$2:$E$173,0),MATCH('Selection Pane Data'!Z$3,List!$E$2:$CD$2,0)),"")</f>
        <v/>
      </c>
      <c r="AA147" s="13" t="str">
        <f>IF(AA$4="Yes",INDEX(List!$E$2:$CD$173,MATCH('Selection Pane Data'!$B147,List!$E$2:$E$173,0),MATCH('Selection Pane Data'!AA$3,List!$E$2:$CD$2,0)),"")</f>
        <v>S</v>
      </c>
      <c r="AB147" s="13" t="str">
        <f>IF(AB$4="Yes",INDEX(List!$E$2:$CD$173,MATCH('Selection Pane Data'!$B147,List!$E$2:$E$173,0),MATCH('Selection Pane Data'!AB$3,List!$E$2:$CD$2,0)),"")</f>
        <v/>
      </c>
      <c r="AC147" s="13" t="str">
        <f>IF(AC$4="Yes",INDEX(List!$E$2:$CD$173,MATCH('Selection Pane Data'!$B147,List!$E$2:$E$173,0),MATCH('Selection Pane Data'!AC$3,List!$E$2:$CD$2,0)),"")</f>
        <v/>
      </c>
      <c r="AD147" s="13" t="str">
        <f>IF(AD$4="Yes",INDEX(List!$E$2:$CD$173,MATCH('Selection Pane Data'!$B147,List!$E$2:$E$173,0),MATCH('Selection Pane Data'!AD$3,List!$E$2:$CD$2,0)),"")</f>
        <v/>
      </c>
      <c r="AE147" s="13" t="str">
        <f>IF(AE$4="Yes",INDEX(List!$E$2:$CD$173,MATCH('Selection Pane Data'!$B147,List!$E$2:$E$173,0),MATCH('Selection Pane Data'!AE$3,List!$E$2:$CD$2,0)),"")</f>
        <v/>
      </c>
      <c r="AF147" s="13" t="str">
        <f>IF(AF$4="Yes",INDEX(List!$E$2:$CD$173,MATCH('Selection Pane Data'!$B147,List!$E$2:$E$173,0),MATCH('Selection Pane Data'!AF$3,List!$E$2:$CD$2,0)),"")</f>
        <v/>
      </c>
      <c r="AG147" s="13" t="str">
        <f>IF(AG$4="Yes",INDEX(List!$E$2:$CD$173,MATCH('Selection Pane Data'!$B147,List!$E$2:$E$173,0),MATCH('Selection Pane Data'!AG$3,List!$E$2:$CD$2,0)),"")</f>
        <v/>
      </c>
      <c r="AH147" s="13" t="str">
        <f>IF(AH$4="Yes",INDEX(List!$E$2:$CD$173,MATCH('Selection Pane Data'!$B147,List!$E$2:$E$173,0),MATCH('Selection Pane Data'!AH$3,List!$E$2:$CD$2,0)),"")</f>
        <v/>
      </c>
      <c r="AI147" s="13" t="str">
        <f>IF(AI$4="Yes",INDEX(List!$E$2:$CD$173,MATCH('Selection Pane Data'!$B147,List!$E$2:$E$173,0),MATCH('Selection Pane Data'!AI$3,List!$E$2:$CD$2,0)),"")</f>
        <v/>
      </c>
      <c r="AJ147" s="13" t="str">
        <f>IF(AJ$4="Yes",INDEX(List!$E$2:$CD$173,MATCH('Selection Pane Data'!$B147,List!$E$2:$E$173,0),MATCH('Selection Pane Data'!AJ$3,List!$E$2:$CD$2,0)),"")</f>
        <v/>
      </c>
      <c r="AK147" s="13" t="str">
        <f>IF(AK$4="Yes",INDEX(List!$E$2:$CD$173,MATCH('Selection Pane Data'!$B147,List!$E$2:$E$173,0),MATCH('Selection Pane Data'!AK$3,List!$E$2:$CD$2,0)),"")</f>
        <v/>
      </c>
      <c r="AL147" s="13" t="str">
        <f>IF(AL$4="Yes",INDEX(List!$E$2:$CD$173,MATCH('Selection Pane Data'!$B147,List!$E$2:$E$173,0),MATCH('Selection Pane Data'!AL$3,List!$E$2:$CD$2,0)),"")</f>
        <v/>
      </c>
      <c r="AM147" s="13" t="str">
        <f>IF(AM$4="Yes",INDEX(List!$E$2:$CD$173,MATCH('Selection Pane Data'!$B147,List!$E$2:$E$173,0),MATCH('Selection Pane Data'!AM$3,List!$E$2:$CD$2,0)),"")</f>
        <v/>
      </c>
      <c r="AN147" s="13" t="str">
        <f>IF(AN$4="Yes",INDEX(List!$E$2:$CD$173,MATCH('Selection Pane Data'!$B147,List!$E$2:$E$173,0),MATCH('Selection Pane Data'!AN$3,List!$E$2:$CD$2,0)),"")</f>
        <v/>
      </c>
      <c r="AO147" s="13" t="str">
        <f>IF(AO$4="Yes",INDEX(List!$E$2:$CD$173,MATCH('Selection Pane Data'!$B147,List!$E$2:$E$173,0),MATCH('Selection Pane Data'!AO$3,List!$E$2:$CD$2,0)),"")</f>
        <v/>
      </c>
      <c r="AP147" s="13" t="str">
        <f>IF(AP$4="Yes",INDEX(List!$E$2:$CD$173,MATCH('Selection Pane Data'!$B147,List!$E$2:$E$173,0),MATCH('Selection Pane Data'!AP$3,List!$E$2:$CD$2,0)),"")</f>
        <v/>
      </c>
      <c r="AQ147" s="13" t="str">
        <f>IF(AQ$4="Yes",INDEX(List!$E$2:$CD$173,MATCH('Selection Pane Data'!$B147,List!$E$2:$E$173,0),MATCH('Selection Pane Data'!AQ$3,List!$E$2:$CD$2,0)),"")</f>
        <v/>
      </c>
      <c r="AR147" s="13" t="str">
        <f>IF(AR$4="Yes",INDEX(List!$E$2:$CD$173,MATCH('Selection Pane Data'!$B147,List!$E$2:$E$173,0),MATCH('Selection Pane Data'!AR$3,List!$E$2:$CD$2,0)),"")</f>
        <v/>
      </c>
      <c r="AS147" s="13" t="str">
        <f>IF(AS$4="Yes",INDEX(List!$E$2:$CD$173,MATCH('Selection Pane Data'!$B147,List!$E$2:$E$173,0),MATCH('Selection Pane Data'!AS$3,List!$E$2:$CD$2,0)),"")</f>
        <v/>
      </c>
      <c r="AT147" s="13" t="str">
        <f>IF(AT$4="Yes",INDEX(List!$E$2:$CD$173,MATCH('Selection Pane Data'!$B147,List!$E$2:$E$173,0),MATCH('Selection Pane Data'!AT$3,List!$E$2:$CD$2,0)),"")</f>
        <v/>
      </c>
      <c r="AU147" s="13" t="str">
        <f>IF(AU$4="Yes",INDEX(List!$E$2:$CD$173,MATCH('Selection Pane Data'!$B147,List!$E$2:$E$173,0),MATCH('Selection Pane Data'!AU$3,List!$E$2:$CD$2,0)),"")</f>
        <v/>
      </c>
      <c r="AV147" s="13" t="str">
        <f>IF(AV$4="Yes",INDEX(List!$E$2:$CD$173,MATCH('Selection Pane Data'!$B147,List!$E$2:$E$173,0),MATCH('Selection Pane Data'!AV$3,List!$E$2:$CD$2,0)),"")</f>
        <v/>
      </c>
      <c r="AW147" s="13" t="str">
        <f>IF(AW$4="Yes",INDEX(List!$E$2:$CD$173,MATCH('Selection Pane Data'!$B147,List!$E$2:$E$173,0),MATCH('Selection Pane Data'!AW$3,List!$E$2:$CD$2,0)),"")</f>
        <v/>
      </c>
      <c r="AX147" s="13" t="str">
        <f>IF(AX$4="Yes",INDEX(List!$E$2:$CD$173,MATCH('Selection Pane Data'!$B147,List!$E$2:$E$173,0),MATCH('Selection Pane Data'!AX$3,List!$E$2:$CD$2,0)),"")</f>
        <v/>
      </c>
      <c r="AY147" s="13" t="str">
        <f>IF(AY$4="Yes",INDEX(List!$E$2:$CD$173,MATCH('Selection Pane Data'!$B147,List!$E$2:$E$173,0),MATCH('Selection Pane Data'!AY$3,List!$E$2:$CD$2,0)),"")</f>
        <v/>
      </c>
      <c r="AZ147" s="13" t="str">
        <f>IF(AZ$4="Yes",INDEX(List!$E$2:$CD$173,MATCH('Selection Pane Data'!$B147,List!$E$2:$E$173,0),MATCH('Selection Pane Data'!AZ$3,List!$E$2:$CD$2,0)),"")</f>
        <v/>
      </c>
      <c r="BA147" s="13" t="str">
        <f>IF(BA$4="Yes",INDEX(List!$E$2:$CD$173,MATCH('Selection Pane Data'!$B147,List!$E$2:$E$173,0),MATCH('Selection Pane Data'!BA$3,List!$E$2:$CD$2,0)),"")</f>
        <v/>
      </c>
      <c r="BB147" s="13" t="str">
        <f>IF(BB$4="Yes",INDEX(List!$E$2:$CD$173,MATCH('Selection Pane Data'!$B147,List!$E$2:$E$173,0),MATCH('Selection Pane Data'!BB$3,List!$E$2:$CD$2,0)),"")</f>
        <v/>
      </c>
      <c r="BC147" s="13" t="str">
        <f>IF(BC$4="Yes",INDEX(List!$E$2:$CD$173,MATCH('Selection Pane Data'!$B147,List!$E$2:$E$173,0),MATCH('Selection Pane Data'!BC$3,List!$E$2:$CD$2,0)),"")</f>
        <v/>
      </c>
      <c r="BD147" s="13" t="str">
        <f>IF(BD$4="Yes",INDEX(List!$E$2:$CD$173,MATCH('Selection Pane Data'!$B147,List!$E$2:$E$173,0),MATCH('Selection Pane Data'!BD$3,List!$E$2:$CD$2,0)),"")</f>
        <v/>
      </c>
      <c r="BE147" s="13" t="str">
        <f>IF(BE$4="Yes",INDEX(List!$E$2:$CD$173,MATCH('Selection Pane Data'!$B147,List!$E$2:$E$173,0),MATCH('Selection Pane Data'!BE$3,List!$E$2:$CD$2,0)),"")</f>
        <v/>
      </c>
      <c r="BF147" s="13" t="str">
        <f>IF(BF$4="Yes",INDEX(List!$E$2:$CD$173,MATCH('Selection Pane Data'!$B147,List!$E$2:$E$173,0),MATCH('Selection Pane Data'!BF$3,List!$E$2:$CD$2,0)),"")</f>
        <v/>
      </c>
      <c r="BG147" s="13" t="str">
        <f>IF(BG$4="Yes",INDEX(List!$E$2:$CD$173,MATCH('Selection Pane Data'!$B147,List!$E$2:$E$173,0),MATCH('Selection Pane Data'!BG$3,List!$E$2:$CD$2,0)),"")</f>
        <v/>
      </c>
      <c r="BH147" s="13" t="str">
        <f>IF(BH$4="Yes",INDEX(List!$E$2:$CD$173,MATCH('Selection Pane Data'!$B147,List!$E$2:$E$173,0),MATCH('Selection Pane Data'!BH$3,List!$E$2:$CD$2,0)),"")</f>
        <v/>
      </c>
      <c r="BI147" s="13" t="str">
        <f>IF(BI$4="Yes",INDEX(List!$E$2:$CD$173,MATCH('Selection Pane Data'!$B147,List!$E$2:$E$173,0),MATCH('Selection Pane Data'!BI$3,List!$E$2:$CD$2,0)),"")</f>
        <v/>
      </c>
      <c r="BJ147" s="13" t="str">
        <f>IF(BJ$4="Yes",INDEX(List!$E$2:$CD$173,MATCH('Selection Pane Data'!$B147,List!$E$2:$E$173,0),MATCH('Selection Pane Data'!BJ$3,List!$E$2:$CD$2,0)),"")</f>
        <v/>
      </c>
      <c r="BK147" s="13" t="str">
        <f>IF(BK$4="Yes",INDEX(List!$E$2:$CD$173,MATCH('Selection Pane Data'!$B147,List!$E$2:$E$173,0),MATCH('Selection Pane Data'!BK$3,List!$E$2:$CD$2,0)),"")</f>
        <v/>
      </c>
      <c r="BL147" s="13" t="str">
        <f>IF(BL$4="Yes",INDEX(List!$E$2:$CD$173,MATCH('Selection Pane Data'!$B147,List!$E$2:$E$173,0),MATCH('Selection Pane Data'!BL$3,List!$E$2:$CD$2,0)),"")</f>
        <v/>
      </c>
      <c r="BM147" s="13" t="str">
        <f>IF(BM$4="Yes",INDEX(List!$E$2:$CD$173,MATCH('Selection Pane Data'!$B147,List!$E$2:$E$173,0),MATCH('Selection Pane Data'!BM$3,List!$E$2:$CD$2,0)),"")</f>
        <v/>
      </c>
      <c r="BN147" s="13" t="str">
        <f>IF(BN$4="Yes",INDEX(List!$E$2:$CD$173,MATCH('Selection Pane Data'!$B147,List!$E$2:$E$173,0),MATCH('Selection Pane Data'!BN$3,List!$E$2:$CD$2,0)),"")</f>
        <v/>
      </c>
      <c r="BO147" s="13" t="str">
        <f>IF(BO$4="Yes",INDEX(List!$E$2:$CD$173,MATCH('Selection Pane Data'!$B147,List!$E$2:$E$173,0),MATCH('Selection Pane Data'!BO$3,List!$E$2:$CD$2,0)),"")</f>
        <v/>
      </c>
      <c r="BP147" s="13" t="str">
        <f>IF(BP$4="Yes",INDEX(List!$E$2:$CD$173,MATCH('Selection Pane Data'!$B147,List!$E$2:$E$173,0),MATCH('Selection Pane Data'!BP$3,List!$E$2:$CD$2,0)),"")</f>
        <v/>
      </c>
      <c r="BQ147" s="13" t="str">
        <f>IF(BQ$4="Yes",INDEX(List!$E$2:$CD$173,MATCH('Selection Pane Data'!$B147,List!$E$2:$E$173,0),MATCH('Selection Pane Data'!BQ$3,List!$E$2:$CD$2,0)),"")</f>
        <v/>
      </c>
      <c r="BR147" s="13" t="str">
        <f>IF(BR$4="Yes",INDEX(List!$E$2:$CD$173,MATCH('Selection Pane Data'!$B147,List!$E$2:$E$173,0),MATCH('Selection Pane Data'!BR$3,List!$E$2:$CD$2,0)),"")</f>
        <v/>
      </c>
      <c r="BS147" s="13" t="str">
        <f>IF(BS$4="Yes",INDEX(List!$E$2:$CD$173,MATCH('Selection Pane Data'!$B147,List!$E$2:$E$173,0),MATCH('Selection Pane Data'!BS$3,List!$E$2:$CD$2,0)),"")</f>
        <v/>
      </c>
      <c r="BT147" s="13" t="str">
        <f>IF(BT$4="Yes",INDEX(List!$E$2:$CD$173,MATCH('Selection Pane Data'!$B147,List!$E$2:$E$173,0),MATCH('Selection Pane Data'!BT$3,List!$E$2:$CD$2,0)),"")</f>
        <v/>
      </c>
      <c r="BU147" s="13" t="str">
        <f>IF(BU$4="Yes",INDEX(List!$E$2:$CD$173,MATCH('Selection Pane Data'!$B147,List!$E$2:$E$173,0),MATCH('Selection Pane Data'!BU$3,List!$E$2:$CD$2,0)),"")</f>
        <v/>
      </c>
      <c r="BV147" s="13" t="str">
        <f>IF(BV$4="Yes",INDEX(List!$E$2:$CD$173,MATCH('Selection Pane Data'!$B147,List!$E$2:$E$173,0),MATCH('Selection Pane Data'!BV$3,List!$E$2:$CD$2,0)),"")</f>
        <v/>
      </c>
      <c r="BW147" s="13" t="str">
        <f>IF(BW$4="Yes",INDEX(List!$E$2:$CD$173,MATCH('Selection Pane Data'!$B147,List!$E$2:$E$173,0),MATCH('Selection Pane Data'!BW$3,List!$E$2:$CD$2,0)),"")</f>
        <v/>
      </c>
      <c r="BX147" s="13" t="str">
        <f>IF(BX$4="Yes",INDEX(List!$E$2:$CD$173,MATCH('Selection Pane Data'!$B147,List!$E$2:$E$173,0),MATCH('Selection Pane Data'!BX$3,List!$E$2:$CD$2,0)),"")</f>
        <v/>
      </c>
      <c r="BY147" s="13" t="str">
        <f>IF(BY$4="Yes",INDEX(List!$E$2:$CD$173,MATCH('Selection Pane Data'!$B147,List!$E$2:$E$173,0),MATCH('Selection Pane Data'!BY$3,List!$E$2:$CD$2,0)),"")</f>
        <v/>
      </c>
      <c r="BZ147" s="13" t="str">
        <f>IF(BZ$4="Yes",INDEX(List!$E$2:$CD$173,MATCH('Selection Pane Data'!$B147,List!$E$2:$E$173,0),MATCH('Selection Pane Data'!BZ$3,List!$E$2:$CD$2,0)),"")</f>
        <v/>
      </c>
      <c r="CA147" s="13" t="str">
        <f>IF(CA$4="Yes",INDEX(List!$E$2:$CD$173,MATCH('Selection Pane Data'!$B147,List!$E$2:$E$173,0),MATCH('Selection Pane Data'!CA$3,List!$E$2:$CD$2,0)),"")</f>
        <v/>
      </c>
      <c r="CB147" s="13" t="str">
        <f>IF(CB$4="Yes",INDEX(List!$E$2:$CD$173,MATCH('Selection Pane Data'!$B147,List!$E$2:$E$173,0),MATCH('Selection Pane Data'!CB$3,List!$E$2:$CD$2,0)),"")</f>
        <v/>
      </c>
      <c r="CC147" s="13" t="str">
        <f>IF(CC$4="Yes",INDEX(List!$E$2:$CD$173,MATCH('Selection Pane Data'!$B147,List!$E$2:$E$173,0),MATCH('Selection Pane Data'!CC$3,List!$E$2:$CD$2,0)),"")</f>
        <v/>
      </c>
      <c r="CD147" s="13" t="str">
        <f>IF(CD$4="Yes",INDEX(List!$E$2:$CD$173,MATCH('Selection Pane Data'!$B147,List!$E$2:$E$173,0),MATCH('Selection Pane Data'!CD$3,List!$E$2:$CD$2,0)),"")</f>
        <v/>
      </c>
      <c r="CE147" s="13" t="str">
        <f>IF(CE$4="Yes",INDEX(List!$E$2:$CD$173,MATCH('Selection Pane Data'!$B147,List!$E$2:$E$173,0),MATCH('Selection Pane Data'!CE$3,List!$E$2:$CD$2,0)),"")</f>
        <v/>
      </c>
    </row>
    <row r="148" spans="2:83" x14ac:dyDescent="0.35">
      <c r="B148" s="21" t="s">
        <v>435</v>
      </c>
      <c r="C148" s="126" t="str">
        <f>VLOOKUP(B148,List!$E$2:$G$173,2,FALSE)</f>
        <v>SC.L2-3.13.10</v>
      </c>
      <c r="D148" s="31" t="str">
        <f>List!G146</f>
        <v>Shared Coverage</v>
      </c>
      <c r="E148" s="31" t="str">
        <f>IF(Placemat!$F$4="All Practices","All Practices",IF(VLOOKUP(B148,Table7[#All],6,FALSE)="No Mapping","New CMMC Practices","Practices with NIST 800-171 Mappings"))</f>
        <v>Practices with NIST 800-171 Mappings</v>
      </c>
      <c r="F148" t="str">
        <f>INDEX('CMMC Levels'!$A$1:$F$172,MATCH('Selection Pane Data'!$C148,'CMMC Levels'!$A$1:$A$172,0),MATCH(Placemat!$F$4,'CMMC Levels'!$A$1:$F$1,0))</f>
        <v>X</v>
      </c>
      <c r="G148" s="77" t="str">
        <f>IF((COUNTIF(List!H146:CE146,"P")+COUNTIF(List!H146:CE146,"S"))=0,"N",IF(COUNTIF(H148:CE148,"P"),"P",IF(COUNTIF(H148:CE148,"S"),"S","U")))</f>
        <v>U</v>
      </c>
      <c r="H148" s="13" t="str">
        <f>IF(H$4="Yes",INDEX(List!$E$2:$CD$173,MATCH('Selection Pane Data'!$B148,List!$E$2:$E$173,0),MATCH('Selection Pane Data'!H$3,List!$E$2:$CD$2,0)),"")</f>
        <v/>
      </c>
      <c r="I148" s="13" t="str">
        <f>IF(I$4="Yes",INDEX(List!$E$2:$CD$173,MATCH('Selection Pane Data'!$B148,List!$E$2:$E$173,0),MATCH('Selection Pane Data'!I$3,List!$E$2:$CD$2,0)),"")</f>
        <v/>
      </c>
      <c r="J148" s="13" t="str">
        <f>IF(J$4="Yes",INDEX(List!$E$2:$CD$173,MATCH('Selection Pane Data'!$B148,List!$E$2:$E$173,0),MATCH('Selection Pane Data'!J$3,List!$E$2:$CD$2,0)),"")</f>
        <v>N</v>
      </c>
      <c r="K148" s="13" t="str">
        <f>IF(K$4="Yes",INDEX(List!$E$2:$CD$173,MATCH('Selection Pane Data'!$B148,List!$E$2:$E$173,0),MATCH('Selection Pane Data'!K$3,List!$E$2:$CD$2,0)),"")</f>
        <v/>
      </c>
      <c r="L148" s="13" t="str">
        <f>IF(L$4="Yes",INDEX(List!$E$2:$CD$173,MATCH('Selection Pane Data'!$B148,List!$E$2:$E$173,0),MATCH('Selection Pane Data'!L$3,List!$E$2:$CD$2,0)),"")</f>
        <v/>
      </c>
      <c r="M148" s="13" t="str">
        <f>IF(M$4="Yes",INDEX(List!$E$2:$CD$173,MATCH('Selection Pane Data'!$B148,List!$E$2:$E$173,0),MATCH('Selection Pane Data'!M$3,List!$E$2:$CD$2,0)),"")</f>
        <v/>
      </c>
      <c r="N148" s="13" t="str">
        <f>IF(N$4="Yes",INDEX(List!$E$2:$CD$173,MATCH('Selection Pane Data'!$B148,List!$E$2:$E$173,0),MATCH('Selection Pane Data'!N$3,List!$E$2:$CD$2,0)),"")</f>
        <v/>
      </c>
      <c r="O148" s="13" t="str">
        <f>IF(O$4="Yes",INDEX(List!$E$2:$CD$173,MATCH('Selection Pane Data'!$B148,List!$E$2:$E$173,0),MATCH('Selection Pane Data'!O$3,List!$E$2:$CD$2,0)),"")</f>
        <v/>
      </c>
      <c r="P148" s="13" t="str">
        <f>IF(P$4="Yes",INDEX(List!$E$2:$CD$173,MATCH('Selection Pane Data'!$B148,List!$E$2:$E$173,0),MATCH('Selection Pane Data'!P$3,List!$E$2:$CD$2,0)),"")</f>
        <v/>
      </c>
      <c r="Q148" s="13" t="str">
        <f>IF(Q$4="Yes",INDEX(List!$E$2:$CD$173,MATCH('Selection Pane Data'!$B148,List!$E$2:$E$173,0),MATCH('Selection Pane Data'!Q$3,List!$E$2:$CD$2,0)),"")</f>
        <v/>
      </c>
      <c r="R148" s="13" t="str">
        <f>IF(R$4="Yes",INDEX(List!$E$2:$CD$173,MATCH('Selection Pane Data'!$B148,List!$E$2:$E$173,0),MATCH('Selection Pane Data'!R$3,List!$E$2:$CD$2,0)),"")</f>
        <v/>
      </c>
      <c r="S148" s="13" t="str">
        <f>IF(S$4="Yes",INDEX(List!$E$2:$CD$173,MATCH('Selection Pane Data'!$B148,List!$E$2:$E$173,0),MATCH('Selection Pane Data'!S$3,List!$E$2:$CD$2,0)),"")</f>
        <v/>
      </c>
      <c r="T148" s="13" t="str">
        <f>IF(T$4="Yes",INDEX(List!$E$2:$CD$173,MATCH('Selection Pane Data'!$B148,List!$E$2:$E$173,0),MATCH('Selection Pane Data'!T$3,List!$E$2:$CD$2,0)),"")</f>
        <v/>
      </c>
      <c r="U148" s="13" t="str">
        <f>IF(U$4="Yes",INDEX(List!$E$2:$CD$173,MATCH('Selection Pane Data'!$B148,List!$E$2:$E$173,0),MATCH('Selection Pane Data'!U$3,List!$E$2:$CD$2,0)),"")</f>
        <v/>
      </c>
      <c r="V148" s="13" t="str">
        <f>IF(V$4="Yes",INDEX(List!$E$2:$CD$173,MATCH('Selection Pane Data'!$B148,List!$E$2:$E$173,0),MATCH('Selection Pane Data'!V$3,List!$E$2:$CD$2,0)),"")</f>
        <v/>
      </c>
      <c r="W148" s="13" t="str">
        <f>IF(W$4="Yes",INDEX(List!$E$2:$CD$173,MATCH('Selection Pane Data'!$B148,List!$E$2:$E$173,0),MATCH('Selection Pane Data'!W$3,List!$E$2:$CD$2,0)),"")</f>
        <v/>
      </c>
      <c r="X148" s="13" t="str">
        <f>IF(X$4="Yes",INDEX(List!$E$2:$CD$173,MATCH('Selection Pane Data'!$B148,List!$E$2:$E$173,0),MATCH('Selection Pane Data'!X$3,List!$E$2:$CD$2,0)),"")</f>
        <v/>
      </c>
      <c r="Y148" s="13" t="str">
        <f>IF(Y$4="Yes",INDEX(List!$E$2:$CD$173,MATCH('Selection Pane Data'!$B148,List!$E$2:$E$173,0),MATCH('Selection Pane Data'!Y$3,List!$E$2:$CD$2,0)),"")</f>
        <v/>
      </c>
      <c r="Z148" s="13" t="str">
        <f>IF(Z$4="Yes",INDEX(List!$E$2:$CD$173,MATCH('Selection Pane Data'!$B148,List!$E$2:$E$173,0),MATCH('Selection Pane Data'!Z$3,List!$E$2:$CD$2,0)),"")</f>
        <v/>
      </c>
      <c r="AA148" s="13" t="str">
        <f>IF(AA$4="Yes",INDEX(List!$E$2:$CD$173,MATCH('Selection Pane Data'!$B148,List!$E$2:$E$173,0),MATCH('Selection Pane Data'!AA$3,List!$E$2:$CD$2,0)),"")</f>
        <v>N</v>
      </c>
      <c r="AB148" s="13" t="str">
        <f>IF(AB$4="Yes",INDEX(List!$E$2:$CD$173,MATCH('Selection Pane Data'!$B148,List!$E$2:$E$173,0),MATCH('Selection Pane Data'!AB$3,List!$E$2:$CD$2,0)),"")</f>
        <v/>
      </c>
      <c r="AC148" s="13" t="str">
        <f>IF(AC$4="Yes",INDEX(List!$E$2:$CD$173,MATCH('Selection Pane Data'!$B148,List!$E$2:$E$173,0),MATCH('Selection Pane Data'!AC$3,List!$E$2:$CD$2,0)),"")</f>
        <v/>
      </c>
      <c r="AD148" s="13" t="str">
        <f>IF(AD$4="Yes",INDEX(List!$E$2:$CD$173,MATCH('Selection Pane Data'!$B148,List!$E$2:$E$173,0),MATCH('Selection Pane Data'!AD$3,List!$E$2:$CD$2,0)),"")</f>
        <v/>
      </c>
      <c r="AE148" s="13" t="str">
        <f>IF(AE$4="Yes",INDEX(List!$E$2:$CD$173,MATCH('Selection Pane Data'!$B148,List!$E$2:$E$173,0),MATCH('Selection Pane Data'!AE$3,List!$E$2:$CD$2,0)),"")</f>
        <v/>
      </c>
      <c r="AF148" s="13" t="str">
        <f>IF(AF$4="Yes",INDEX(List!$E$2:$CD$173,MATCH('Selection Pane Data'!$B148,List!$E$2:$E$173,0),MATCH('Selection Pane Data'!AF$3,List!$E$2:$CD$2,0)),"")</f>
        <v/>
      </c>
      <c r="AG148" s="13" t="str">
        <f>IF(AG$4="Yes",INDEX(List!$E$2:$CD$173,MATCH('Selection Pane Data'!$B148,List!$E$2:$E$173,0),MATCH('Selection Pane Data'!AG$3,List!$E$2:$CD$2,0)),"")</f>
        <v/>
      </c>
      <c r="AH148" s="13" t="str">
        <f>IF(AH$4="Yes",INDEX(List!$E$2:$CD$173,MATCH('Selection Pane Data'!$B148,List!$E$2:$E$173,0),MATCH('Selection Pane Data'!AH$3,List!$E$2:$CD$2,0)),"")</f>
        <v/>
      </c>
      <c r="AI148" s="13" t="str">
        <f>IF(AI$4="Yes",INDEX(List!$E$2:$CD$173,MATCH('Selection Pane Data'!$B148,List!$E$2:$E$173,0),MATCH('Selection Pane Data'!AI$3,List!$E$2:$CD$2,0)),"")</f>
        <v/>
      </c>
      <c r="AJ148" s="13" t="str">
        <f>IF(AJ$4="Yes",INDEX(List!$E$2:$CD$173,MATCH('Selection Pane Data'!$B148,List!$E$2:$E$173,0),MATCH('Selection Pane Data'!AJ$3,List!$E$2:$CD$2,0)),"")</f>
        <v/>
      </c>
      <c r="AK148" s="13" t="str">
        <f>IF(AK$4="Yes",INDEX(List!$E$2:$CD$173,MATCH('Selection Pane Data'!$B148,List!$E$2:$E$173,0),MATCH('Selection Pane Data'!AK$3,List!$E$2:$CD$2,0)),"")</f>
        <v/>
      </c>
      <c r="AL148" s="13" t="str">
        <f>IF(AL$4="Yes",INDEX(List!$E$2:$CD$173,MATCH('Selection Pane Data'!$B148,List!$E$2:$E$173,0),MATCH('Selection Pane Data'!AL$3,List!$E$2:$CD$2,0)),"")</f>
        <v/>
      </c>
      <c r="AM148" s="13" t="str">
        <f>IF(AM$4="Yes",INDEX(List!$E$2:$CD$173,MATCH('Selection Pane Data'!$B148,List!$E$2:$E$173,0),MATCH('Selection Pane Data'!AM$3,List!$E$2:$CD$2,0)),"")</f>
        <v/>
      </c>
      <c r="AN148" s="13" t="str">
        <f>IF(AN$4="Yes",INDEX(List!$E$2:$CD$173,MATCH('Selection Pane Data'!$B148,List!$E$2:$E$173,0),MATCH('Selection Pane Data'!AN$3,List!$E$2:$CD$2,0)),"")</f>
        <v/>
      </c>
      <c r="AO148" s="13" t="str">
        <f>IF(AO$4="Yes",INDEX(List!$E$2:$CD$173,MATCH('Selection Pane Data'!$B148,List!$E$2:$E$173,0),MATCH('Selection Pane Data'!AO$3,List!$E$2:$CD$2,0)),"")</f>
        <v/>
      </c>
      <c r="AP148" s="13" t="str">
        <f>IF(AP$4="Yes",INDEX(List!$E$2:$CD$173,MATCH('Selection Pane Data'!$B148,List!$E$2:$E$173,0),MATCH('Selection Pane Data'!AP$3,List!$E$2:$CD$2,0)),"")</f>
        <v/>
      </c>
      <c r="AQ148" s="13" t="str">
        <f>IF(AQ$4="Yes",INDEX(List!$E$2:$CD$173,MATCH('Selection Pane Data'!$B148,List!$E$2:$E$173,0),MATCH('Selection Pane Data'!AQ$3,List!$E$2:$CD$2,0)),"")</f>
        <v/>
      </c>
      <c r="AR148" s="13" t="str">
        <f>IF(AR$4="Yes",INDEX(List!$E$2:$CD$173,MATCH('Selection Pane Data'!$B148,List!$E$2:$E$173,0),MATCH('Selection Pane Data'!AR$3,List!$E$2:$CD$2,0)),"")</f>
        <v/>
      </c>
      <c r="AS148" s="13" t="str">
        <f>IF(AS$4="Yes",INDEX(List!$E$2:$CD$173,MATCH('Selection Pane Data'!$B148,List!$E$2:$E$173,0),MATCH('Selection Pane Data'!AS$3,List!$E$2:$CD$2,0)),"")</f>
        <v/>
      </c>
      <c r="AT148" s="13" t="str">
        <f>IF(AT$4="Yes",INDEX(List!$E$2:$CD$173,MATCH('Selection Pane Data'!$B148,List!$E$2:$E$173,0),MATCH('Selection Pane Data'!AT$3,List!$E$2:$CD$2,0)),"")</f>
        <v/>
      </c>
      <c r="AU148" s="13" t="str">
        <f>IF(AU$4="Yes",INDEX(List!$E$2:$CD$173,MATCH('Selection Pane Data'!$B148,List!$E$2:$E$173,0),MATCH('Selection Pane Data'!AU$3,List!$E$2:$CD$2,0)),"")</f>
        <v/>
      </c>
      <c r="AV148" s="13" t="str">
        <f>IF(AV$4="Yes",INDEX(List!$E$2:$CD$173,MATCH('Selection Pane Data'!$B148,List!$E$2:$E$173,0),MATCH('Selection Pane Data'!AV$3,List!$E$2:$CD$2,0)),"")</f>
        <v/>
      </c>
      <c r="AW148" s="13" t="str">
        <f>IF(AW$4="Yes",INDEX(List!$E$2:$CD$173,MATCH('Selection Pane Data'!$B148,List!$E$2:$E$173,0),MATCH('Selection Pane Data'!AW$3,List!$E$2:$CD$2,0)),"")</f>
        <v/>
      </c>
      <c r="AX148" s="13" t="str">
        <f>IF(AX$4="Yes",INDEX(List!$E$2:$CD$173,MATCH('Selection Pane Data'!$B148,List!$E$2:$E$173,0),MATCH('Selection Pane Data'!AX$3,List!$E$2:$CD$2,0)),"")</f>
        <v/>
      </c>
      <c r="AY148" s="13" t="str">
        <f>IF(AY$4="Yes",INDEX(List!$E$2:$CD$173,MATCH('Selection Pane Data'!$B148,List!$E$2:$E$173,0),MATCH('Selection Pane Data'!AY$3,List!$E$2:$CD$2,0)),"")</f>
        <v/>
      </c>
      <c r="AZ148" s="13" t="str">
        <f>IF(AZ$4="Yes",INDEX(List!$E$2:$CD$173,MATCH('Selection Pane Data'!$B148,List!$E$2:$E$173,0),MATCH('Selection Pane Data'!AZ$3,List!$E$2:$CD$2,0)),"")</f>
        <v/>
      </c>
      <c r="BA148" s="13" t="str">
        <f>IF(BA$4="Yes",INDEX(List!$E$2:$CD$173,MATCH('Selection Pane Data'!$B148,List!$E$2:$E$173,0),MATCH('Selection Pane Data'!BA$3,List!$E$2:$CD$2,0)),"")</f>
        <v/>
      </c>
      <c r="BB148" s="13" t="str">
        <f>IF(BB$4="Yes",INDEX(List!$E$2:$CD$173,MATCH('Selection Pane Data'!$B148,List!$E$2:$E$173,0),MATCH('Selection Pane Data'!BB$3,List!$E$2:$CD$2,0)),"")</f>
        <v/>
      </c>
      <c r="BC148" s="13" t="str">
        <f>IF(BC$4="Yes",INDEX(List!$E$2:$CD$173,MATCH('Selection Pane Data'!$B148,List!$E$2:$E$173,0),MATCH('Selection Pane Data'!BC$3,List!$E$2:$CD$2,0)),"")</f>
        <v/>
      </c>
      <c r="BD148" s="13" t="str">
        <f>IF(BD$4="Yes",INDEX(List!$E$2:$CD$173,MATCH('Selection Pane Data'!$B148,List!$E$2:$E$173,0),MATCH('Selection Pane Data'!BD$3,List!$E$2:$CD$2,0)),"")</f>
        <v/>
      </c>
      <c r="BE148" s="13" t="str">
        <f>IF(BE$4="Yes",INDEX(List!$E$2:$CD$173,MATCH('Selection Pane Data'!$B148,List!$E$2:$E$173,0),MATCH('Selection Pane Data'!BE$3,List!$E$2:$CD$2,0)),"")</f>
        <v/>
      </c>
      <c r="BF148" s="13" t="str">
        <f>IF(BF$4="Yes",INDEX(List!$E$2:$CD$173,MATCH('Selection Pane Data'!$B148,List!$E$2:$E$173,0),MATCH('Selection Pane Data'!BF$3,List!$E$2:$CD$2,0)),"")</f>
        <v/>
      </c>
      <c r="BG148" s="13" t="str">
        <f>IF(BG$4="Yes",INDEX(List!$E$2:$CD$173,MATCH('Selection Pane Data'!$B148,List!$E$2:$E$173,0),MATCH('Selection Pane Data'!BG$3,List!$E$2:$CD$2,0)),"")</f>
        <v/>
      </c>
      <c r="BH148" s="13" t="str">
        <f>IF(BH$4="Yes",INDEX(List!$E$2:$CD$173,MATCH('Selection Pane Data'!$B148,List!$E$2:$E$173,0),MATCH('Selection Pane Data'!BH$3,List!$E$2:$CD$2,0)),"")</f>
        <v/>
      </c>
      <c r="BI148" s="13" t="str">
        <f>IF(BI$4="Yes",INDEX(List!$E$2:$CD$173,MATCH('Selection Pane Data'!$B148,List!$E$2:$E$173,0),MATCH('Selection Pane Data'!BI$3,List!$E$2:$CD$2,0)),"")</f>
        <v/>
      </c>
      <c r="BJ148" s="13" t="str">
        <f>IF(BJ$4="Yes",INDEX(List!$E$2:$CD$173,MATCH('Selection Pane Data'!$B148,List!$E$2:$E$173,0),MATCH('Selection Pane Data'!BJ$3,List!$E$2:$CD$2,0)),"")</f>
        <v/>
      </c>
      <c r="BK148" s="13" t="str">
        <f>IF(BK$4="Yes",INDEX(List!$E$2:$CD$173,MATCH('Selection Pane Data'!$B148,List!$E$2:$E$173,0),MATCH('Selection Pane Data'!BK$3,List!$E$2:$CD$2,0)),"")</f>
        <v/>
      </c>
      <c r="BL148" s="13" t="str">
        <f>IF(BL$4="Yes",INDEX(List!$E$2:$CD$173,MATCH('Selection Pane Data'!$B148,List!$E$2:$E$173,0),MATCH('Selection Pane Data'!BL$3,List!$E$2:$CD$2,0)),"")</f>
        <v/>
      </c>
      <c r="BM148" s="13" t="str">
        <f>IF(BM$4="Yes",INDEX(List!$E$2:$CD$173,MATCH('Selection Pane Data'!$B148,List!$E$2:$E$173,0),MATCH('Selection Pane Data'!BM$3,List!$E$2:$CD$2,0)),"")</f>
        <v/>
      </c>
      <c r="BN148" s="13" t="str">
        <f>IF(BN$4="Yes",INDEX(List!$E$2:$CD$173,MATCH('Selection Pane Data'!$B148,List!$E$2:$E$173,0),MATCH('Selection Pane Data'!BN$3,List!$E$2:$CD$2,0)),"")</f>
        <v/>
      </c>
      <c r="BO148" s="13" t="str">
        <f>IF(BO$4="Yes",INDEX(List!$E$2:$CD$173,MATCH('Selection Pane Data'!$B148,List!$E$2:$E$173,0),MATCH('Selection Pane Data'!BO$3,List!$E$2:$CD$2,0)),"")</f>
        <v/>
      </c>
      <c r="BP148" s="13" t="str">
        <f>IF(BP$4="Yes",INDEX(List!$E$2:$CD$173,MATCH('Selection Pane Data'!$B148,List!$E$2:$E$173,0),MATCH('Selection Pane Data'!BP$3,List!$E$2:$CD$2,0)),"")</f>
        <v/>
      </c>
      <c r="BQ148" s="13" t="str">
        <f>IF(BQ$4="Yes",INDEX(List!$E$2:$CD$173,MATCH('Selection Pane Data'!$B148,List!$E$2:$E$173,0),MATCH('Selection Pane Data'!BQ$3,List!$E$2:$CD$2,0)),"")</f>
        <v/>
      </c>
      <c r="BR148" s="13" t="str">
        <f>IF(BR$4="Yes",INDEX(List!$E$2:$CD$173,MATCH('Selection Pane Data'!$B148,List!$E$2:$E$173,0),MATCH('Selection Pane Data'!BR$3,List!$E$2:$CD$2,0)),"")</f>
        <v/>
      </c>
      <c r="BS148" s="13" t="str">
        <f>IF(BS$4="Yes",INDEX(List!$E$2:$CD$173,MATCH('Selection Pane Data'!$B148,List!$E$2:$E$173,0),MATCH('Selection Pane Data'!BS$3,List!$E$2:$CD$2,0)),"")</f>
        <v/>
      </c>
      <c r="BT148" s="13" t="str">
        <f>IF(BT$4="Yes",INDEX(List!$E$2:$CD$173,MATCH('Selection Pane Data'!$B148,List!$E$2:$E$173,0),MATCH('Selection Pane Data'!BT$3,List!$E$2:$CD$2,0)),"")</f>
        <v/>
      </c>
      <c r="BU148" s="13" t="str">
        <f>IF(BU$4="Yes",INDEX(List!$E$2:$CD$173,MATCH('Selection Pane Data'!$B148,List!$E$2:$E$173,0),MATCH('Selection Pane Data'!BU$3,List!$E$2:$CD$2,0)),"")</f>
        <v/>
      </c>
      <c r="BV148" s="13" t="str">
        <f>IF(BV$4="Yes",INDEX(List!$E$2:$CD$173,MATCH('Selection Pane Data'!$B148,List!$E$2:$E$173,0),MATCH('Selection Pane Data'!BV$3,List!$E$2:$CD$2,0)),"")</f>
        <v/>
      </c>
      <c r="BW148" s="13" t="str">
        <f>IF(BW$4="Yes",INDEX(List!$E$2:$CD$173,MATCH('Selection Pane Data'!$B148,List!$E$2:$E$173,0),MATCH('Selection Pane Data'!BW$3,List!$E$2:$CD$2,0)),"")</f>
        <v/>
      </c>
      <c r="BX148" s="13" t="str">
        <f>IF(BX$4="Yes",INDEX(List!$E$2:$CD$173,MATCH('Selection Pane Data'!$B148,List!$E$2:$E$173,0),MATCH('Selection Pane Data'!BX$3,List!$E$2:$CD$2,0)),"")</f>
        <v/>
      </c>
      <c r="BY148" s="13" t="str">
        <f>IF(BY$4="Yes",INDEX(List!$E$2:$CD$173,MATCH('Selection Pane Data'!$B148,List!$E$2:$E$173,0),MATCH('Selection Pane Data'!BY$3,List!$E$2:$CD$2,0)),"")</f>
        <v/>
      </c>
      <c r="BZ148" s="13" t="str">
        <f>IF(BZ$4="Yes",INDEX(List!$E$2:$CD$173,MATCH('Selection Pane Data'!$B148,List!$E$2:$E$173,0),MATCH('Selection Pane Data'!BZ$3,List!$E$2:$CD$2,0)),"")</f>
        <v/>
      </c>
      <c r="CA148" s="13" t="str">
        <f>IF(CA$4="Yes",INDEX(List!$E$2:$CD$173,MATCH('Selection Pane Data'!$B148,List!$E$2:$E$173,0),MATCH('Selection Pane Data'!CA$3,List!$E$2:$CD$2,0)),"")</f>
        <v/>
      </c>
      <c r="CB148" s="13" t="str">
        <f>IF(CB$4="Yes",INDEX(List!$E$2:$CD$173,MATCH('Selection Pane Data'!$B148,List!$E$2:$E$173,0),MATCH('Selection Pane Data'!CB$3,List!$E$2:$CD$2,0)),"")</f>
        <v/>
      </c>
      <c r="CC148" s="13" t="str">
        <f>IF(CC$4="Yes",INDEX(List!$E$2:$CD$173,MATCH('Selection Pane Data'!$B148,List!$E$2:$E$173,0),MATCH('Selection Pane Data'!CC$3,List!$E$2:$CD$2,0)),"")</f>
        <v/>
      </c>
      <c r="CD148" s="13" t="str">
        <f>IF(CD$4="Yes",INDEX(List!$E$2:$CD$173,MATCH('Selection Pane Data'!$B148,List!$E$2:$E$173,0),MATCH('Selection Pane Data'!CD$3,List!$E$2:$CD$2,0)),"")</f>
        <v/>
      </c>
      <c r="CE148" s="13" t="str">
        <f>IF(CE$4="Yes",INDEX(List!$E$2:$CD$173,MATCH('Selection Pane Data'!$B148,List!$E$2:$E$173,0),MATCH('Selection Pane Data'!CE$3,List!$E$2:$CD$2,0)),"")</f>
        <v/>
      </c>
    </row>
    <row r="149" spans="2:83" x14ac:dyDescent="0.35">
      <c r="B149" s="21" t="s">
        <v>436</v>
      </c>
      <c r="C149" s="126" t="str">
        <f>VLOOKUP(B149,List!$E$2:$G$173,2,FALSE)</f>
        <v>SC.L2-3.13.13</v>
      </c>
      <c r="D149" s="31" t="str">
        <f>List!G147</f>
        <v>Customer Responsibility</v>
      </c>
      <c r="E149" s="31" t="str">
        <f>IF(Placemat!$F$4="All Practices","All Practices",IF(VLOOKUP(B149,Table7[#All],6,FALSE)="No Mapping","New CMMC Practices","Practices with NIST 800-171 Mappings"))</f>
        <v>Practices with NIST 800-171 Mappings</v>
      </c>
      <c r="F149" t="str">
        <f>INDEX('CMMC Levels'!$A$1:$F$172,MATCH('Selection Pane Data'!$C149,'CMMC Levels'!$A$1:$A$172,0),MATCH(Placemat!$F$4,'CMMC Levels'!$A$1:$F$1,0))</f>
        <v>X</v>
      </c>
      <c r="G149" s="77" t="str">
        <f>IF((COUNTIF(List!H147:CE147,"P")+COUNTIF(List!H147:CE147,"S"))=0,"N",IF(COUNTIF(H149:CE149,"P"),"P",IF(COUNTIF(H149:CE149,"S"),"S","U")))</f>
        <v>U</v>
      </c>
      <c r="H149" s="13" t="str">
        <f>IF(H$4="Yes",INDEX(List!$E$2:$CD$173,MATCH('Selection Pane Data'!$B149,List!$E$2:$E$173,0),MATCH('Selection Pane Data'!H$3,List!$E$2:$CD$2,0)),"")</f>
        <v/>
      </c>
      <c r="I149" s="13" t="str">
        <f>IF(I$4="Yes",INDEX(List!$E$2:$CD$173,MATCH('Selection Pane Data'!$B149,List!$E$2:$E$173,0),MATCH('Selection Pane Data'!I$3,List!$E$2:$CD$2,0)),"")</f>
        <v/>
      </c>
      <c r="J149" s="13" t="str">
        <f>IF(J$4="Yes",INDEX(List!$E$2:$CD$173,MATCH('Selection Pane Data'!$B149,List!$E$2:$E$173,0),MATCH('Selection Pane Data'!J$3,List!$E$2:$CD$2,0)),"")</f>
        <v>N</v>
      </c>
      <c r="K149" s="13" t="str">
        <f>IF(K$4="Yes",INDEX(List!$E$2:$CD$173,MATCH('Selection Pane Data'!$B149,List!$E$2:$E$173,0),MATCH('Selection Pane Data'!K$3,List!$E$2:$CD$2,0)),"")</f>
        <v/>
      </c>
      <c r="L149" s="13" t="str">
        <f>IF(L$4="Yes",INDEX(List!$E$2:$CD$173,MATCH('Selection Pane Data'!$B149,List!$E$2:$E$173,0),MATCH('Selection Pane Data'!L$3,List!$E$2:$CD$2,0)),"")</f>
        <v/>
      </c>
      <c r="M149" s="13" t="str">
        <f>IF(M$4="Yes",INDEX(List!$E$2:$CD$173,MATCH('Selection Pane Data'!$B149,List!$E$2:$E$173,0),MATCH('Selection Pane Data'!M$3,List!$E$2:$CD$2,0)),"")</f>
        <v/>
      </c>
      <c r="N149" s="13" t="str">
        <f>IF(N$4="Yes",INDEX(List!$E$2:$CD$173,MATCH('Selection Pane Data'!$B149,List!$E$2:$E$173,0),MATCH('Selection Pane Data'!N$3,List!$E$2:$CD$2,0)),"")</f>
        <v/>
      </c>
      <c r="O149" s="13" t="str">
        <f>IF(O$4="Yes",INDEX(List!$E$2:$CD$173,MATCH('Selection Pane Data'!$B149,List!$E$2:$E$173,0),MATCH('Selection Pane Data'!O$3,List!$E$2:$CD$2,0)),"")</f>
        <v/>
      </c>
      <c r="P149" s="13" t="str">
        <f>IF(P$4="Yes",INDEX(List!$E$2:$CD$173,MATCH('Selection Pane Data'!$B149,List!$E$2:$E$173,0),MATCH('Selection Pane Data'!P$3,List!$E$2:$CD$2,0)),"")</f>
        <v/>
      </c>
      <c r="Q149" s="13" t="str">
        <f>IF(Q$4="Yes",INDEX(List!$E$2:$CD$173,MATCH('Selection Pane Data'!$B149,List!$E$2:$E$173,0),MATCH('Selection Pane Data'!Q$3,List!$E$2:$CD$2,0)),"")</f>
        <v/>
      </c>
      <c r="R149" s="13" t="str">
        <f>IF(R$4="Yes",INDEX(List!$E$2:$CD$173,MATCH('Selection Pane Data'!$B149,List!$E$2:$E$173,0),MATCH('Selection Pane Data'!R$3,List!$E$2:$CD$2,0)),"")</f>
        <v/>
      </c>
      <c r="S149" s="13" t="str">
        <f>IF(S$4="Yes",INDEX(List!$E$2:$CD$173,MATCH('Selection Pane Data'!$B149,List!$E$2:$E$173,0),MATCH('Selection Pane Data'!S$3,List!$E$2:$CD$2,0)),"")</f>
        <v/>
      </c>
      <c r="T149" s="13" t="str">
        <f>IF(T$4="Yes",INDEX(List!$E$2:$CD$173,MATCH('Selection Pane Data'!$B149,List!$E$2:$E$173,0),MATCH('Selection Pane Data'!T$3,List!$E$2:$CD$2,0)),"")</f>
        <v/>
      </c>
      <c r="U149" s="13" t="str">
        <f>IF(U$4="Yes",INDEX(List!$E$2:$CD$173,MATCH('Selection Pane Data'!$B149,List!$E$2:$E$173,0),MATCH('Selection Pane Data'!U$3,List!$E$2:$CD$2,0)),"")</f>
        <v/>
      </c>
      <c r="V149" s="13" t="str">
        <f>IF(V$4="Yes",INDEX(List!$E$2:$CD$173,MATCH('Selection Pane Data'!$B149,List!$E$2:$E$173,0),MATCH('Selection Pane Data'!V$3,List!$E$2:$CD$2,0)),"")</f>
        <v/>
      </c>
      <c r="W149" s="13" t="str">
        <f>IF(W$4="Yes",INDEX(List!$E$2:$CD$173,MATCH('Selection Pane Data'!$B149,List!$E$2:$E$173,0),MATCH('Selection Pane Data'!W$3,List!$E$2:$CD$2,0)),"")</f>
        <v/>
      </c>
      <c r="X149" s="13" t="str">
        <f>IF(X$4="Yes",INDEX(List!$E$2:$CD$173,MATCH('Selection Pane Data'!$B149,List!$E$2:$E$173,0),MATCH('Selection Pane Data'!X$3,List!$E$2:$CD$2,0)),"")</f>
        <v/>
      </c>
      <c r="Y149" s="13" t="str">
        <f>IF(Y$4="Yes",INDEX(List!$E$2:$CD$173,MATCH('Selection Pane Data'!$B149,List!$E$2:$E$173,0),MATCH('Selection Pane Data'!Y$3,List!$E$2:$CD$2,0)),"")</f>
        <v/>
      </c>
      <c r="Z149" s="13" t="str">
        <f>IF(Z$4="Yes",INDEX(List!$E$2:$CD$173,MATCH('Selection Pane Data'!$B149,List!$E$2:$E$173,0),MATCH('Selection Pane Data'!Z$3,List!$E$2:$CD$2,0)),"")</f>
        <v/>
      </c>
      <c r="AA149" s="13" t="str">
        <f>IF(AA$4="Yes",INDEX(List!$E$2:$CD$173,MATCH('Selection Pane Data'!$B149,List!$E$2:$E$173,0),MATCH('Selection Pane Data'!AA$3,List!$E$2:$CD$2,0)),"")</f>
        <v>N</v>
      </c>
      <c r="AB149" s="13" t="str">
        <f>IF(AB$4="Yes",INDEX(List!$E$2:$CD$173,MATCH('Selection Pane Data'!$B149,List!$E$2:$E$173,0),MATCH('Selection Pane Data'!AB$3,List!$E$2:$CD$2,0)),"")</f>
        <v/>
      </c>
      <c r="AC149" s="13" t="str">
        <f>IF(AC$4="Yes",INDEX(List!$E$2:$CD$173,MATCH('Selection Pane Data'!$B149,List!$E$2:$E$173,0),MATCH('Selection Pane Data'!AC$3,List!$E$2:$CD$2,0)),"")</f>
        <v/>
      </c>
      <c r="AD149" s="13" t="str">
        <f>IF(AD$4="Yes",INDEX(List!$E$2:$CD$173,MATCH('Selection Pane Data'!$B149,List!$E$2:$E$173,0),MATCH('Selection Pane Data'!AD$3,List!$E$2:$CD$2,0)),"")</f>
        <v/>
      </c>
      <c r="AE149" s="13" t="str">
        <f>IF(AE$4="Yes",INDEX(List!$E$2:$CD$173,MATCH('Selection Pane Data'!$B149,List!$E$2:$E$173,0),MATCH('Selection Pane Data'!AE$3,List!$E$2:$CD$2,0)),"")</f>
        <v/>
      </c>
      <c r="AF149" s="13" t="str">
        <f>IF(AF$4="Yes",INDEX(List!$E$2:$CD$173,MATCH('Selection Pane Data'!$B149,List!$E$2:$E$173,0),MATCH('Selection Pane Data'!AF$3,List!$E$2:$CD$2,0)),"")</f>
        <v/>
      </c>
      <c r="AG149" s="13" t="str">
        <f>IF(AG$4="Yes",INDEX(List!$E$2:$CD$173,MATCH('Selection Pane Data'!$B149,List!$E$2:$E$173,0),MATCH('Selection Pane Data'!AG$3,List!$E$2:$CD$2,0)),"")</f>
        <v/>
      </c>
      <c r="AH149" s="13" t="str">
        <f>IF(AH$4="Yes",INDEX(List!$E$2:$CD$173,MATCH('Selection Pane Data'!$B149,List!$E$2:$E$173,0),MATCH('Selection Pane Data'!AH$3,List!$E$2:$CD$2,0)),"")</f>
        <v/>
      </c>
      <c r="AI149" s="13" t="str">
        <f>IF(AI$4="Yes",INDEX(List!$E$2:$CD$173,MATCH('Selection Pane Data'!$B149,List!$E$2:$E$173,0),MATCH('Selection Pane Data'!AI$3,List!$E$2:$CD$2,0)),"")</f>
        <v/>
      </c>
      <c r="AJ149" s="13" t="str">
        <f>IF(AJ$4="Yes",INDEX(List!$E$2:$CD$173,MATCH('Selection Pane Data'!$B149,List!$E$2:$E$173,0),MATCH('Selection Pane Data'!AJ$3,List!$E$2:$CD$2,0)),"")</f>
        <v/>
      </c>
      <c r="AK149" s="13" t="str">
        <f>IF(AK$4="Yes",INDEX(List!$E$2:$CD$173,MATCH('Selection Pane Data'!$B149,List!$E$2:$E$173,0),MATCH('Selection Pane Data'!AK$3,List!$E$2:$CD$2,0)),"")</f>
        <v/>
      </c>
      <c r="AL149" s="13" t="str">
        <f>IF(AL$4="Yes",INDEX(List!$E$2:$CD$173,MATCH('Selection Pane Data'!$B149,List!$E$2:$E$173,0),MATCH('Selection Pane Data'!AL$3,List!$E$2:$CD$2,0)),"")</f>
        <v/>
      </c>
      <c r="AM149" s="13" t="str">
        <f>IF(AM$4="Yes",INDEX(List!$E$2:$CD$173,MATCH('Selection Pane Data'!$B149,List!$E$2:$E$173,0),MATCH('Selection Pane Data'!AM$3,List!$E$2:$CD$2,0)),"")</f>
        <v/>
      </c>
      <c r="AN149" s="13" t="str">
        <f>IF(AN$4="Yes",INDEX(List!$E$2:$CD$173,MATCH('Selection Pane Data'!$B149,List!$E$2:$E$173,0),MATCH('Selection Pane Data'!AN$3,List!$E$2:$CD$2,0)),"")</f>
        <v/>
      </c>
      <c r="AO149" s="13" t="str">
        <f>IF(AO$4="Yes",INDEX(List!$E$2:$CD$173,MATCH('Selection Pane Data'!$B149,List!$E$2:$E$173,0),MATCH('Selection Pane Data'!AO$3,List!$E$2:$CD$2,0)),"")</f>
        <v/>
      </c>
      <c r="AP149" s="13" t="str">
        <f>IF(AP$4="Yes",INDEX(List!$E$2:$CD$173,MATCH('Selection Pane Data'!$B149,List!$E$2:$E$173,0),MATCH('Selection Pane Data'!AP$3,List!$E$2:$CD$2,0)),"")</f>
        <v/>
      </c>
      <c r="AQ149" s="13" t="str">
        <f>IF(AQ$4="Yes",INDEX(List!$E$2:$CD$173,MATCH('Selection Pane Data'!$B149,List!$E$2:$E$173,0),MATCH('Selection Pane Data'!AQ$3,List!$E$2:$CD$2,0)),"")</f>
        <v/>
      </c>
      <c r="AR149" s="13" t="str">
        <f>IF(AR$4="Yes",INDEX(List!$E$2:$CD$173,MATCH('Selection Pane Data'!$B149,List!$E$2:$E$173,0),MATCH('Selection Pane Data'!AR$3,List!$E$2:$CD$2,0)),"")</f>
        <v/>
      </c>
      <c r="AS149" s="13" t="str">
        <f>IF(AS$4="Yes",INDEX(List!$E$2:$CD$173,MATCH('Selection Pane Data'!$B149,List!$E$2:$E$173,0),MATCH('Selection Pane Data'!AS$3,List!$E$2:$CD$2,0)),"")</f>
        <v/>
      </c>
      <c r="AT149" s="13" t="str">
        <f>IF(AT$4="Yes",INDEX(List!$E$2:$CD$173,MATCH('Selection Pane Data'!$B149,List!$E$2:$E$173,0),MATCH('Selection Pane Data'!AT$3,List!$E$2:$CD$2,0)),"")</f>
        <v/>
      </c>
      <c r="AU149" s="13" t="str">
        <f>IF(AU$4="Yes",INDEX(List!$E$2:$CD$173,MATCH('Selection Pane Data'!$B149,List!$E$2:$E$173,0),MATCH('Selection Pane Data'!AU$3,List!$E$2:$CD$2,0)),"")</f>
        <v/>
      </c>
      <c r="AV149" s="13" t="str">
        <f>IF(AV$4="Yes",INDEX(List!$E$2:$CD$173,MATCH('Selection Pane Data'!$B149,List!$E$2:$E$173,0),MATCH('Selection Pane Data'!AV$3,List!$E$2:$CD$2,0)),"")</f>
        <v/>
      </c>
      <c r="AW149" s="13" t="str">
        <f>IF(AW$4="Yes",INDEX(List!$E$2:$CD$173,MATCH('Selection Pane Data'!$B149,List!$E$2:$E$173,0),MATCH('Selection Pane Data'!AW$3,List!$E$2:$CD$2,0)),"")</f>
        <v/>
      </c>
      <c r="AX149" s="13" t="str">
        <f>IF(AX$4="Yes",INDEX(List!$E$2:$CD$173,MATCH('Selection Pane Data'!$B149,List!$E$2:$E$173,0),MATCH('Selection Pane Data'!AX$3,List!$E$2:$CD$2,0)),"")</f>
        <v/>
      </c>
      <c r="AY149" s="13" t="str">
        <f>IF(AY$4="Yes",INDEX(List!$E$2:$CD$173,MATCH('Selection Pane Data'!$B149,List!$E$2:$E$173,0),MATCH('Selection Pane Data'!AY$3,List!$E$2:$CD$2,0)),"")</f>
        <v/>
      </c>
      <c r="AZ149" s="13" t="str">
        <f>IF(AZ$4="Yes",INDEX(List!$E$2:$CD$173,MATCH('Selection Pane Data'!$B149,List!$E$2:$E$173,0),MATCH('Selection Pane Data'!AZ$3,List!$E$2:$CD$2,0)),"")</f>
        <v/>
      </c>
      <c r="BA149" s="13" t="str">
        <f>IF(BA$4="Yes",INDEX(List!$E$2:$CD$173,MATCH('Selection Pane Data'!$B149,List!$E$2:$E$173,0),MATCH('Selection Pane Data'!BA$3,List!$E$2:$CD$2,0)),"")</f>
        <v/>
      </c>
      <c r="BB149" s="13" t="str">
        <f>IF(BB$4="Yes",INDEX(List!$E$2:$CD$173,MATCH('Selection Pane Data'!$B149,List!$E$2:$E$173,0),MATCH('Selection Pane Data'!BB$3,List!$E$2:$CD$2,0)),"")</f>
        <v/>
      </c>
      <c r="BC149" s="13" t="str">
        <f>IF(BC$4="Yes",INDEX(List!$E$2:$CD$173,MATCH('Selection Pane Data'!$B149,List!$E$2:$E$173,0),MATCH('Selection Pane Data'!BC$3,List!$E$2:$CD$2,0)),"")</f>
        <v/>
      </c>
      <c r="BD149" s="13" t="str">
        <f>IF(BD$4="Yes",INDEX(List!$E$2:$CD$173,MATCH('Selection Pane Data'!$B149,List!$E$2:$E$173,0),MATCH('Selection Pane Data'!BD$3,List!$E$2:$CD$2,0)),"")</f>
        <v/>
      </c>
      <c r="BE149" s="13" t="str">
        <f>IF(BE$4="Yes",INDEX(List!$E$2:$CD$173,MATCH('Selection Pane Data'!$B149,List!$E$2:$E$173,0),MATCH('Selection Pane Data'!BE$3,List!$E$2:$CD$2,0)),"")</f>
        <v/>
      </c>
      <c r="BF149" s="13" t="str">
        <f>IF(BF$4="Yes",INDEX(List!$E$2:$CD$173,MATCH('Selection Pane Data'!$B149,List!$E$2:$E$173,0),MATCH('Selection Pane Data'!BF$3,List!$E$2:$CD$2,0)),"")</f>
        <v/>
      </c>
      <c r="BG149" s="13" t="str">
        <f>IF(BG$4="Yes",INDEX(List!$E$2:$CD$173,MATCH('Selection Pane Data'!$B149,List!$E$2:$E$173,0),MATCH('Selection Pane Data'!BG$3,List!$E$2:$CD$2,0)),"")</f>
        <v/>
      </c>
      <c r="BH149" s="13" t="str">
        <f>IF(BH$4="Yes",INDEX(List!$E$2:$CD$173,MATCH('Selection Pane Data'!$B149,List!$E$2:$E$173,0),MATCH('Selection Pane Data'!BH$3,List!$E$2:$CD$2,0)),"")</f>
        <v/>
      </c>
      <c r="BI149" s="13" t="str">
        <f>IF(BI$4="Yes",INDEX(List!$E$2:$CD$173,MATCH('Selection Pane Data'!$B149,List!$E$2:$E$173,0),MATCH('Selection Pane Data'!BI$3,List!$E$2:$CD$2,0)),"")</f>
        <v/>
      </c>
      <c r="BJ149" s="13" t="str">
        <f>IF(BJ$4="Yes",INDEX(List!$E$2:$CD$173,MATCH('Selection Pane Data'!$B149,List!$E$2:$E$173,0),MATCH('Selection Pane Data'!BJ$3,List!$E$2:$CD$2,0)),"")</f>
        <v/>
      </c>
      <c r="BK149" s="13" t="str">
        <f>IF(BK$4="Yes",INDEX(List!$E$2:$CD$173,MATCH('Selection Pane Data'!$B149,List!$E$2:$E$173,0),MATCH('Selection Pane Data'!BK$3,List!$E$2:$CD$2,0)),"")</f>
        <v/>
      </c>
      <c r="BL149" s="13" t="str">
        <f>IF(BL$4="Yes",INDEX(List!$E$2:$CD$173,MATCH('Selection Pane Data'!$B149,List!$E$2:$E$173,0),MATCH('Selection Pane Data'!BL$3,List!$E$2:$CD$2,0)),"")</f>
        <v/>
      </c>
      <c r="BM149" s="13" t="str">
        <f>IF(BM$4="Yes",INDEX(List!$E$2:$CD$173,MATCH('Selection Pane Data'!$B149,List!$E$2:$E$173,0),MATCH('Selection Pane Data'!BM$3,List!$E$2:$CD$2,0)),"")</f>
        <v/>
      </c>
      <c r="BN149" s="13" t="str">
        <f>IF(BN$4="Yes",INDEX(List!$E$2:$CD$173,MATCH('Selection Pane Data'!$B149,List!$E$2:$E$173,0),MATCH('Selection Pane Data'!BN$3,List!$E$2:$CD$2,0)),"")</f>
        <v/>
      </c>
      <c r="BO149" s="13" t="str">
        <f>IF(BO$4="Yes",INDEX(List!$E$2:$CD$173,MATCH('Selection Pane Data'!$B149,List!$E$2:$E$173,0),MATCH('Selection Pane Data'!BO$3,List!$E$2:$CD$2,0)),"")</f>
        <v/>
      </c>
      <c r="BP149" s="13" t="str">
        <f>IF(BP$4="Yes",INDEX(List!$E$2:$CD$173,MATCH('Selection Pane Data'!$B149,List!$E$2:$E$173,0),MATCH('Selection Pane Data'!BP$3,List!$E$2:$CD$2,0)),"")</f>
        <v/>
      </c>
      <c r="BQ149" s="13" t="str">
        <f>IF(BQ$4="Yes",INDEX(List!$E$2:$CD$173,MATCH('Selection Pane Data'!$B149,List!$E$2:$E$173,0),MATCH('Selection Pane Data'!BQ$3,List!$E$2:$CD$2,0)),"")</f>
        <v/>
      </c>
      <c r="BR149" s="13" t="str">
        <f>IF(BR$4="Yes",INDEX(List!$E$2:$CD$173,MATCH('Selection Pane Data'!$B149,List!$E$2:$E$173,0),MATCH('Selection Pane Data'!BR$3,List!$E$2:$CD$2,0)),"")</f>
        <v/>
      </c>
      <c r="BS149" s="13" t="str">
        <f>IF(BS$4="Yes",INDEX(List!$E$2:$CD$173,MATCH('Selection Pane Data'!$B149,List!$E$2:$E$173,0),MATCH('Selection Pane Data'!BS$3,List!$E$2:$CD$2,0)),"")</f>
        <v/>
      </c>
      <c r="BT149" s="13" t="str">
        <f>IF(BT$4="Yes",INDEX(List!$E$2:$CD$173,MATCH('Selection Pane Data'!$B149,List!$E$2:$E$173,0),MATCH('Selection Pane Data'!BT$3,List!$E$2:$CD$2,0)),"")</f>
        <v/>
      </c>
      <c r="BU149" s="13" t="str">
        <f>IF(BU$4="Yes",INDEX(List!$E$2:$CD$173,MATCH('Selection Pane Data'!$B149,List!$E$2:$E$173,0),MATCH('Selection Pane Data'!BU$3,List!$E$2:$CD$2,0)),"")</f>
        <v/>
      </c>
      <c r="BV149" s="13" t="str">
        <f>IF(BV$4="Yes",INDEX(List!$E$2:$CD$173,MATCH('Selection Pane Data'!$B149,List!$E$2:$E$173,0),MATCH('Selection Pane Data'!BV$3,List!$E$2:$CD$2,0)),"")</f>
        <v/>
      </c>
      <c r="BW149" s="13" t="str">
        <f>IF(BW$4="Yes",INDEX(List!$E$2:$CD$173,MATCH('Selection Pane Data'!$B149,List!$E$2:$E$173,0),MATCH('Selection Pane Data'!BW$3,List!$E$2:$CD$2,0)),"")</f>
        <v/>
      </c>
      <c r="BX149" s="13" t="str">
        <f>IF(BX$4="Yes",INDEX(List!$E$2:$CD$173,MATCH('Selection Pane Data'!$B149,List!$E$2:$E$173,0),MATCH('Selection Pane Data'!BX$3,List!$E$2:$CD$2,0)),"")</f>
        <v/>
      </c>
      <c r="BY149" s="13" t="str">
        <f>IF(BY$4="Yes",INDEX(List!$E$2:$CD$173,MATCH('Selection Pane Data'!$B149,List!$E$2:$E$173,0),MATCH('Selection Pane Data'!BY$3,List!$E$2:$CD$2,0)),"")</f>
        <v/>
      </c>
      <c r="BZ149" s="13" t="str">
        <f>IF(BZ$4="Yes",INDEX(List!$E$2:$CD$173,MATCH('Selection Pane Data'!$B149,List!$E$2:$E$173,0),MATCH('Selection Pane Data'!BZ$3,List!$E$2:$CD$2,0)),"")</f>
        <v/>
      </c>
      <c r="CA149" s="13" t="str">
        <f>IF(CA$4="Yes",INDEX(List!$E$2:$CD$173,MATCH('Selection Pane Data'!$B149,List!$E$2:$E$173,0),MATCH('Selection Pane Data'!CA$3,List!$E$2:$CD$2,0)),"")</f>
        <v/>
      </c>
      <c r="CB149" s="13" t="str">
        <f>IF(CB$4="Yes",INDEX(List!$E$2:$CD$173,MATCH('Selection Pane Data'!$B149,List!$E$2:$E$173,0),MATCH('Selection Pane Data'!CB$3,List!$E$2:$CD$2,0)),"")</f>
        <v/>
      </c>
      <c r="CC149" s="13" t="str">
        <f>IF(CC$4="Yes",INDEX(List!$E$2:$CD$173,MATCH('Selection Pane Data'!$B149,List!$E$2:$E$173,0),MATCH('Selection Pane Data'!CC$3,List!$E$2:$CD$2,0)),"")</f>
        <v/>
      </c>
      <c r="CD149" s="13" t="str">
        <f>IF(CD$4="Yes",INDEX(List!$E$2:$CD$173,MATCH('Selection Pane Data'!$B149,List!$E$2:$E$173,0),MATCH('Selection Pane Data'!CD$3,List!$E$2:$CD$2,0)),"")</f>
        <v/>
      </c>
      <c r="CE149" s="13" t="str">
        <f>IF(CE$4="Yes",INDEX(List!$E$2:$CD$173,MATCH('Selection Pane Data'!$B149,List!$E$2:$E$173,0),MATCH('Selection Pane Data'!CE$3,List!$E$2:$CD$2,0)),"")</f>
        <v/>
      </c>
    </row>
    <row r="150" spans="2:83" x14ac:dyDescent="0.35">
      <c r="B150" s="21" t="s">
        <v>437</v>
      </c>
      <c r="C150" s="126" t="str">
        <f>VLOOKUP(B150,List!$E$2:$G$173,2,FALSE)</f>
        <v>SC.L2-3.13.14</v>
      </c>
      <c r="D150" s="31" t="str">
        <f>List!G148</f>
        <v>Customer Responsibility</v>
      </c>
      <c r="E150" s="31" t="str">
        <f>IF(Placemat!$F$4="All Practices","All Practices",IF(VLOOKUP(B150,Table7[#All],6,FALSE)="No Mapping","New CMMC Practices","Practices with NIST 800-171 Mappings"))</f>
        <v>Practices with NIST 800-171 Mappings</v>
      </c>
      <c r="F150" t="str">
        <f>INDEX('CMMC Levels'!$A$1:$F$172,MATCH('Selection Pane Data'!$C150,'CMMC Levels'!$A$1:$A$172,0),MATCH(Placemat!$F$4,'CMMC Levels'!$A$1:$F$1,0))</f>
        <v>X</v>
      </c>
      <c r="G150" s="77" t="str">
        <f>IF((COUNTIF(List!H148:CE148,"P")+COUNTIF(List!H148:CE148,"S"))=0,"N",IF(COUNTIF(H150:CE150,"P"),"P",IF(COUNTIF(H150:CE150,"S"),"S","U")))</f>
        <v>U</v>
      </c>
      <c r="H150" s="13" t="str">
        <f>IF(H$4="Yes",INDEX(List!$E$2:$CD$173,MATCH('Selection Pane Data'!$B150,List!$E$2:$E$173,0),MATCH('Selection Pane Data'!H$3,List!$E$2:$CD$2,0)),"")</f>
        <v/>
      </c>
      <c r="I150" s="13" t="str">
        <f>IF(I$4="Yes",INDEX(List!$E$2:$CD$173,MATCH('Selection Pane Data'!$B150,List!$E$2:$E$173,0),MATCH('Selection Pane Data'!I$3,List!$E$2:$CD$2,0)),"")</f>
        <v/>
      </c>
      <c r="J150" s="13" t="str">
        <f>IF(J$4="Yes",INDEX(List!$E$2:$CD$173,MATCH('Selection Pane Data'!$B150,List!$E$2:$E$173,0),MATCH('Selection Pane Data'!J$3,List!$E$2:$CD$2,0)),"")</f>
        <v>N</v>
      </c>
      <c r="K150" s="13" t="str">
        <f>IF(K$4="Yes",INDEX(List!$E$2:$CD$173,MATCH('Selection Pane Data'!$B150,List!$E$2:$E$173,0),MATCH('Selection Pane Data'!K$3,List!$E$2:$CD$2,0)),"")</f>
        <v/>
      </c>
      <c r="L150" s="13" t="str">
        <f>IF(L$4="Yes",INDEX(List!$E$2:$CD$173,MATCH('Selection Pane Data'!$B150,List!$E$2:$E$173,0),MATCH('Selection Pane Data'!L$3,List!$E$2:$CD$2,0)),"")</f>
        <v/>
      </c>
      <c r="M150" s="13" t="str">
        <f>IF(M$4="Yes",INDEX(List!$E$2:$CD$173,MATCH('Selection Pane Data'!$B150,List!$E$2:$E$173,0),MATCH('Selection Pane Data'!M$3,List!$E$2:$CD$2,0)),"")</f>
        <v/>
      </c>
      <c r="N150" s="13" t="str">
        <f>IF(N$4="Yes",INDEX(List!$E$2:$CD$173,MATCH('Selection Pane Data'!$B150,List!$E$2:$E$173,0),MATCH('Selection Pane Data'!N$3,List!$E$2:$CD$2,0)),"")</f>
        <v/>
      </c>
      <c r="O150" s="13" t="str">
        <f>IF(O$4="Yes",INDEX(List!$E$2:$CD$173,MATCH('Selection Pane Data'!$B150,List!$E$2:$E$173,0),MATCH('Selection Pane Data'!O$3,List!$E$2:$CD$2,0)),"")</f>
        <v/>
      </c>
      <c r="P150" s="13" t="str">
        <f>IF(P$4="Yes",INDEX(List!$E$2:$CD$173,MATCH('Selection Pane Data'!$B150,List!$E$2:$E$173,0),MATCH('Selection Pane Data'!P$3,List!$E$2:$CD$2,0)),"")</f>
        <v/>
      </c>
      <c r="Q150" s="13" t="str">
        <f>IF(Q$4="Yes",INDEX(List!$E$2:$CD$173,MATCH('Selection Pane Data'!$B150,List!$E$2:$E$173,0),MATCH('Selection Pane Data'!Q$3,List!$E$2:$CD$2,0)),"")</f>
        <v/>
      </c>
      <c r="R150" s="13" t="str">
        <f>IF(R$4="Yes",INDEX(List!$E$2:$CD$173,MATCH('Selection Pane Data'!$B150,List!$E$2:$E$173,0),MATCH('Selection Pane Data'!R$3,List!$E$2:$CD$2,0)),"")</f>
        <v/>
      </c>
      <c r="S150" s="13" t="str">
        <f>IF(S$4="Yes",INDEX(List!$E$2:$CD$173,MATCH('Selection Pane Data'!$B150,List!$E$2:$E$173,0),MATCH('Selection Pane Data'!S$3,List!$E$2:$CD$2,0)),"")</f>
        <v/>
      </c>
      <c r="T150" s="13" t="str">
        <f>IF(T$4="Yes",INDEX(List!$E$2:$CD$173,MATCH('Selection Pane Data'!$B150,List!$E$2:$E$173,0),MATCH('Selection Pane Data'!T$3,List!$E$2:$CD$2,0)),"")</f>
        <v/>
      </c>
      <c r="U150" s="13" t="str">
        <f>IF(U$4="Yes",INDEX(List!$E$2:$CD$173,MATCH('Selection Pane Data'!$B150,List!$E$2:$E$173,0),MATCH('Selection Pane Data'!U$3,List!$E$2:$CD$2,0)),"")</f>
        <v/>
      </c>
      <c r="V150" s="13" t="str">
        <f>IF(V$4="Yes",INDEX(List!$E$2:$CD$173,MATCH('Selection Pane Data'!$B150,List!$E$2:$E$173,0),MATCH('Selection Pane Data'!V$3,List!$E$2:$CD$2,0)),"")</f>
        <v/>
      </c>
      <c r="W150" s="13" t="str">
        <f>IF(W$4="Yes",INDEX(List!$E$2:$CD$173,MATCH('Selection Pane Data'!$B150,List!$E$2:$E$173,0),MATCH('Selection Pane Data'!W$3,List!$E$2:$CD$2,0)),"")</f>
        <v/>
      </c>
      <c r="X150" s="13" t="str">
        <f>IF(X$4="Yes",INDEX(List!$E$2:$CD$173,MATCH('Selection Pane Data'!$B150,List!$E$2:$E$173,0),MATCH('Selection Pane Data'!X$3,List!$E$2:$CD$2,0)),"")</f>
        <v/>
      </c>
      <c r="Y150" s="13" t="str">
        <f>IF(Y$4="Yes",INDEX(List!$E$2:$CD$173,MATCH('Selection Pane Data'!$B150,List!$E$2:$E$173,0),MATCH('Selection Pane Data'!Y$3,List!$E$2:$CD$2,0)),"")</f>
        <v/>
      </c>
      <c r="Z150" s="13" t="str">
        <f>IF(Z$4="Yes",INDEX(List!$E$2:$CD$173,MATCH('Selection Pane Data'!$B150,List!$E$2:$E$173,0),MATCH('Selection Pane Data'!Z$3,List!$E$2:$CD$2,0)),"")</f>
        <v/>
      </c>
      <c r="AA150" s="13" t="str">
        <f>IF(AA$4="Yes",INDEX(List!$E$2:$CD$173,MATCH('Selection Pane Data'!$B150,List!$E$2:$E$173,0),MATCH('Selection Pane Data'!AA$3,List!$E$2:$CD$2,0)),"")</f>
        <v>N</v>
      </c>
      <c r="AB150" s="13" t="str">
        <f>IF(AB$4="Yes",INDEX(List!$E$2:$CD$173,MATCH('Selection Pane Data'!$B150,List!$E$2:$E$173,0),MATCH('Selection Pane Data'!AB$3,List!$E$2:$CD$2,0)),"")</f>
        <v/>
      </c>
      <c r="AC150" s="13" t="str">
        <f>IF(AC$4="Yes",INDEX(List!$E$2:$CD$173,MATCH('Selection Pane Data'!$B150,List!$E$2:$E$173,0),MATCH('Selection Pane Data'!AC$3,List!$E$2:$CD$2,0)),"")</f>
        <v/>
      </c>
      <c r="AD150" s="13" t="str">
        <f>IF(AD$4="Yes",INDEX(List!$E$2:$CD$173,MATCH('Selection Pane Data'!$B150,List!$E$2:$E$173,0),MATCH('Selection Pane Data'!AD$3,List!$E$2:$CD$2,0)),"")</f>
        <v/>
      </c>
      <c r="AE150" s="13" t="str">
        <f>IF(AE$4="Yes",INDEX(List!$E$2:$CD$173,MATCH('Selection Pane Data'!$B150,List!$E$2:$E$173,0),MATCH('Selection Pane Data'!AE$3,List!$E$2:$CD$2,0)),"")</f>
        <v/>
      </c>
      <c r="AF150" s="13" t="str">
        <f>IF(AF$4="Yes",INDEX(List!$E$2:$CD$173,MATCH('Selection Pane Data'!$B150,List!$E$2:$E$173,0),MATCH('Selection Pane Data'!AF$3,List!$E$2:$CD$2,0)),"")</f>
        <v/>
      </c>
      <c r="AG150" s="13" t="str">
        <f>IF(AG$4="Yes",INDEX(List!$E$2:$CD$173,MATCH('Selection Pane Data'!$B150,List!$E$2:$E$173,0),MATCH('Selection Pane Data'!AG$3,List!$E$2:$CD$2,0)),"")</f>
        <v/>
      </c>
      <c r="AH150" s="13" t="str">
        <f>IF(AH$4="Yes",INDEX(List!$E$2:$CD$173,MATCH('Selection Pane Data'!$B150,List!$E$2:$E$173,0),MATCH('Selection Pane Data'!AH$3,List!$E$2:$CD$2,0)),"")</f>
        <v/>
      </c>
      <c r="AI150" s="13" t="str">
        <f>IF(AI$4="Yes",INDEX(List!$E$2:$CD$173,MATCH('Selection Pane Data'!$B150,List!$E$2:$E$173,0),MATCH('Selection Pane Data'!AI$3,List!$E$2:$CD$2,0)),"")</f>
        <v/>
      </c>
      <c r="AJ150" s="13" t="str">
        <f>IF(AJ$4="Yes",INDEX(List!$E$2:$CD$173,MATCH('Selection Pane Data'!$B150,List!$E$2:$E$173,0),MATCH('Selection Pane Data'!AJ$3,List!$E$2:$CD$2,0)),"")</f>
        <v/>
      </c>
      <c r="AK150" s="13" t="str">
        <f>IF(AK$4="Yes",INDEX(List!$E$2:$CD$173,MATCH('Selection Pane Data'!$B150,List!$E$2:$E$173,0),MATCH('Selection Pane Data'!AK$3,List!$E$2:$CD$2,0)),"")</f>
        <v/>
      </c>
      <c r="AL150" s="13" t="str">
        <f>IF(AL$4="Yes",INDEX(List!$E$2:$CD$173,MATCH('Selection Pane Data'!$B150,List!$E$2:$E$173,0),MATCH('Selection Pane Data'!AL$3,List!$E$2:$CD$2,0)),"")</f>
        <v/>
      </c>
      <c r="AM150" s="13" t="str">
        <f>IF(AM$4="Yes",INDEX(List!$E$2:$CD$173,MATCH('Selection Pane Data'!$B150,List!$E$2:$E$173,0),MATCH('Selection Pane Data'!AM$3,List!$E$2:$CD$2,0)),"")</f>
        <v/>
      </c>
      <c r="AN150" s="13" t="str">
        <f>IF(AN$4="Yes",INDEX(List!$E$2:$CD$173,MATCH('Selection Pane Data'!$B150,List!$E$2:$E$173,0),MATCH('Selection Pane Data'!AN$3,List!$E$2:$CD$2,0)),"")</f>
        <v/>
      </c>
      <c r="AO150" s="13" t="str">
        <f>IF(AO$4="Yes",INDEX(List!$E$2:$CD$173,MATCH('Selection Pane Data'!$B150,List!$E$2:$E$173,0),MATCH('Selection Pane Data'!AO$3,List!$E$2:$CD$2,0)),"")</f>
        <v/>
      </c>
      <c r="AP150" s="13" t="str">
        <f>IF(AP$4="Yes",INDEX(List!$E$2:$CD$173,MATCH('Selection Pane Data'!$B150,List!$E$2:$E$173,0),MATCH('Selection Pane Data'!AP$3,List!$E$2:$CD$2,0)),"")</f>
        <v/>
      </c>
      <c r="AQ150" s="13" t="str">
        <f>IF(AQ$4="Yes",INDEX(List!$E$2:$CD$173,MATCH('Selection Pane Data'!$B150,List!$E$2:$E$173,0),MATCH('Selection Pane Data'!AQ$3,List!$E$2:$CD$2,0)),"")</f>
        <v/>
      </c>
      <c r="AR150" s="13" t="str">
        <f>IF(AR$4="Yes",INDEX(List!$E$2:$CD$173,MATCH('Selection Pane Data'!$B150,List!$E$2:$E$173,0),MATCH('Selection Pane Data'!AR$3,List!$E$2:$CD$2,0)),"")</f>
        <v/>
      </c>
      <c r="AS150" s="13" t="str">
        <f>IF(AS$4="Yes",INDEX(List!$E$2:$CD$173,MATCH('Selection Pane Data'!$B150,List!$E$2:$E$173,0),MATCH('Selection Pane Data'!AS$3,List!$E$2:$CD$2,0)),"")</f>
        <v/>
      </c>
      <c r="AT150" s="13" t="str">
        <f>IF(AT$4="Yes",INDEX(List!$E$2:$CD$173,MATCH('Selection Pane Data'!$B150,List!$E$2:$E$173,0),MATCH('Selection Pane Data'!AT$3,List!$E$2:$CD$2,0)),"")</f>
        <v/>
      </c>
      <c r="AU150" s="13" t="str">
        <f>IF(AU$4="Yes",INDEX(List!$E$2:$CD$173,MATCH('Selection Pane Data'!$B150,List!$E$2:$E$173,0),MATCH('Selection Pane Data'!AU$3,List!$E$2:$CD$2,0)),"")</f>
        <v/>
      </c>
      <c r="AV150" s="13" t="str">
        <f>IF(AV$4="Yes",INDEX(List!$E$2:$CD$173,MATCH('Selection Pane Data'!$B150,List!$E$2:$E$173,0),MATCH('Selection Pane Data'!AV$3,List!$E$2:$CD$2,0)),"")</f>
        <v/>
      </c>
      <c r="AW150" s="13" t="str">
        <f>IF(AW$4="Yes",INDEX(List!$E$2:$CD$173,MATCH('Selection Pane Data'!$B150,List!$E$2:$E$173,0),MATCH('Selection Pane Data'!AW$3,List!$E$2:$CD$2,0)),"")</f>
        <v/>
      </c>
      <c r="AX150" s="13" t="str">
        <f>IF(AX$4="Yes",INDEX(List!$E$2:$CD$173,MATCH('Selection Pane Data'!$B150,List!$E$2:$E$173,0),MATCH('Selection Pane Data'!AX$3,List!$E$2:$CD$2,0)),"")</f>
        <v/>
      </c>
      <c r="AY150" s="13" t="str">
        <f>IF(AY$4="Yes",INDEX(List!$E$2:$CD$173,MATCH('Selection Pane Data'!$B150,List!$E$2:$E$173,0),MATCH('Selection Pane Data'!AY$3,List!$E$2:$CD$2,0)),"")</f>
        <v/>
      </c>
      <c r="AZ150" s="13" t="str">
        <f>IF(AZ$4="Yes",INDEX(List!$E$2:$CD$173,MATCH('Selection Pane Data'!$B150,List!$E$2:$E$173,0),MATCH('Selection Pane Data'!AZ$3,List!$E$2:$CD$2,0)),"")</f>
        <v/>
      </c>
      <c r="BA150" s="13" t="str">
        <f>IF(BA$4="Yes",INDEX(List!$E$2:$CD$173,MATCH('Selection Pane Data'!$B150,List!$E$2:$E$173,0),MATCH('Selection Pane Data'!BA$3,List!$E$2:$CD$2,0)),"")</f>
        <v/>
      </c>
      <c r="BB150" s="13" t="str">
        <f>IF(BB$4="Yes",INDEX(List!$E$2:$CD$173,MATCH('Selection Pane Data'!$B150,List!$E$2:$E$173,0),MATCH('Selection Pane Data'!BB$3,List!$E$2:$CD$2,0)),"")</f>
        <v/>
      </c>
      <c r="BC150" s="13" t="str">
        <f>IF(BC$4="Yes",INDEX(List!$E$2:$CD$173,MATCH('Selection Pane Data'!$B150,List!$E$2:$E$173,0),MATCH('Selection Pane Data'!BC$3,List!$E$2:$CD$2,0)),"")</f>
        <v/>
      </c>
      <c r="BD150" s="13" t="str">
        <f>IF(BD$4="Yes",INDEX(List!$E$2:$CD$173,MATCH('Selection Pane Data'!$B150,List!$E$2:$E$173,0),MATCH('Selection Pane Data'!BD$3,List!$E$2:$CD$2,0)),"")</f>
        <v/>
      </c>
      <c r="BE150" s="13" t="str">
        <f>IF(BE$4="Yes",INDEX(List!$E$2:$CD$173,MATCH('Selection Pane Data'!$B150,List!$E$2:$E$173,0),MATCH('Selection Pane Data'!BE$3,List!$E$2:$CD$2,0)),"")</f>
        <v/>
      </c>
      <c r="BF150" s="13" t="str">
        <f>IF(BF$4="Yes",INDEX(List!$E$2:$CD$173,MATCH('Selection Pane Data'!$B150,List!$E$2:$E$173,0),MATCH('Selection Pane Data'!BF$3,List!$E$2:$CD$2,0)),"")</f>
        <v/>
      </c>
      <c r="BG150" s="13" t="str">
        <f>IF(BG$4="Yes",INDEX(List!$E$2:$CD$173,MATCH('Selection Pane Data'!$B150,List!$E$2:$E$173,0),MATCH('Selection Pane Data'!BG$3,List!$E$2:$CD$2,0)),"")</f>
        <v/>
      </c>
      <c r="BH150" s="13" t="str">
        <f>IF(BH$4="Yes",INDEX(List!$E$2:$CD$173,MATCH('Selection Pane Data'!$B150,List!$E$2:$E$173,0),MATCH('Selection Pane Data'!BH$3,List!$E$2:$CD$2,0)),"")</f>
        <v/>
      </c>
      <c r="BI150" s="13" t="str">
        <f>IF(BI$4="Yes",INDEX(List!$E$2:$CD$173,MATCH('Selection Pane Data'!$B150,List!$E$2:$E$173,0),MATCH('Selection Pane Data'!BI$3,List!$E$2:$CD$2,0)),"")</f>
        <v/>
      </c>
      <c r="BJ150" s="13" t="str">
        <f>IF(BJ$4="Yes",INDEX(List!$E$2:$CD$173,MATCH('Selection Pane Data'!$B150,List!$E$2:$E$173,0),MATCH('Selection Pane Data'!BJ$3,List!$E$2:$CD$2,0)),"")</f>
        <v/>
      </c>
      <c r="BK150" s="13" t="str">
        <f>IF(BK$4="Yes",INDEX(List!$E$2:$CD$173,MATCH('Selection Pane Data'!$B150,List!$E$2:$E$173,0),MATCH('Selection Pane Data'!BK$3,List!$E$2:$CD$2,0)),"")</f>
        <v/>
      </c>
      <c r="BL150" s="13" t="str">
        <f>IF(BL$4="Yes",INDEX(List!$E$2:$CD$173,MATCH('Selection Pane Data'!$B150,List!$E$2:$E$173,0),MATCH('Selection Pane Data'!BL$3,List!$E$2:$CD$2,0)),"")</f>
        <v/>
      </c>
      <c r="BM150" s="13" t="str">
        <f>IF(BM$4="Yes",INDEX(List!$E$2:$CD$173,MATCH('Selection Pane Data'!$B150,List!$E$2:$E$173,0),MATCH('Selection Pane Data'!BM$3,List!$E$2:$CD$2,0)),"")</f>
        <v/>
      </c>
      <c r="BN150" s="13" t="str">
        <f>IF(BN$4="Yes",INDEX(List!$E$2:$CD$173,MATCH('Selection Pane Data'!$B150,List!$E$2:$E$173,0),MATCH('Selection Pane Data'!BN$3,List!$E$2:$CD$2,0)),"")</f>
        <v/>
      </c>
      <c r="BO150" s="13" t="str">
        <f>IF(BO$4="Yes",INDEX(List!$E$2:$CD$173,MATCH('Selection Pane Data'!$B150,List!$E$2:$E$173,0),MATCH('Selection Pane Data'!BO$3,List!$E$2:$CD$2,0)),"")</f>
        <v/>
      </c>
      <c r="BP150" s="13" t="str">
        <f>IF(BP$4="Yes",INDEX(List!$E$2:$CD$173,MATCH('Selection Pane Data'!$B150,List!$E$2:$E$173,0),MATCH('Selection Pane Data'!BP$3,List!$E$2:$CD$2,0)),"")</f>
        <v/>
      </c>
      <c r="BQ150" s="13" t="str">
        <f>IF(BQ$4="Yes",INDEX(List!$E$2:$CD$173,MATCH('Selection Pane Data'!$B150,List!$E$2:$E$173,0),MATCH('Selection Pane Data'!BQ$3,List!$E$2:$CD$2,0)),"")</f>
        <v/>
      </c>
      <c r="BR150" s="13" t="str">
        <f>IF(BR$4="Yes",INDEX(List!$E$2:$CD$173,MATCH('Selection Pane Data'!$B150,List!$E$2:$E$173,0),MATCH('Selection Pane Data'!BR$3,List!$E$2:$CD$2,0)),"")</f>
        <v/>
      </c>
      <c r="BS150" s="13" t="str">
        <f>IF(BS$4="Yes",INDEX(List!$E$2:$CD$173,MATCH('Selection Pane Data'!$B150,List!$E$2:$E$173,0),MATCH('Selection Pane Data'!BS$3,List!$E$2:$CD$2,0)),"")</f>
        <v/>
      </c>
      <c r="BT150" s="13" t="str">
        <f>IF(BT$4="Yes",INDEX(List!$E$2:$CD$173,MATCH('Selection Pane Data'!$B150,List!$E$2:$E$173,0),MATCH('Selection Pane Data'!BT$3,List!$E$2:$CD$2,0)),"")</f>
        <v/>
      </c>
      <c r="BU150" s="13" t="str">
        <f>IF(BU$4="Yes",INDEX(List!$E$2:$CD$173,MATCH('Selection Pane Data'!$B150,List!$E$2:$E$173,0),MATCH('Selection Pane Data'!BU$3,List!$E$2:$CD$2,0)),"")</f>
        <v/>
      </c>
      <c r="BV150" s="13" t="str">
        <f>IF(BV$4="Yes",INDEX(List!$E$2:$CD$173,MATCH('Selection Pane Data'!$B150,List!$E$2:$E$173,0),MATCH('Selection Pane Data'!BV$3,List!$E$2:$CD$2,0)),"")</f>
        <v/>
      </c>
      <c r="BW150" s="13" t="str">
        <f>IF(BW$4="Yes",INDEX(List!$E$2:$CD$173,MATCH('Selection Pane Data'!$B150,List!$E$2:$E$173,0),MATCH('Selection Pane Data'!BW$3,List!$E$2:$CD$2,0)),"")</f>
        <v/>
      </c>
      <c r="BX150" s="13" t="str">
        <f>IF(BX$4="Yes",INDEX(List!$E$2:$CD$173,MATCH('Selection Pane Data'!$B150,List!$E$2:$E$173,0),MATCH('Selection Pane Data'!BX$3,List!$E$2:$CD$2,0)),"")</f>
        <v/>
      </c>
      <c r="BY150" s="13" t="str">
        <f>IF(BY$4="Yes",INDEX(List!$E$2:$CD$173,MATCH('Selection Pane Data'!$B150,List!$E$2:$E$173,0),MATCH('Selection Pane Data'!BY$3,List!$E$2:$CD$2,0)),"")</f>
        <v/>
      </c>
      <c r="BZ150" s="13" t="str">
        <f>IF(BZ$4="Yes",INDEX(List!$E$2:$CD$173,MATCH('Selection Pane Data'!$B150,List!$E$2:$E$173,0),MATCH('Selection Pane Data'!BZ$3,List!$E$2:$CD$2,0)),"")</f>
        <v/>
      </c>
      <c r="CA150" s="13" t="str">
        <f>IF(CA$4="Yes",INDEX(List!$E$2:$CD$173,MATCH('Selection Pane Data'!$B150,List!$E$2:$E$173,0),MATCH('Selection Pane Data'!CA$3,List!$E$2:$CD$2,0)),"")</f>
        <v/>
      </c>
      <c r="CB150" s="13" t="str">
        <f>IF(CB$4="Yes",INDEX(List!$E$2:$CD$173,MATCH('Selection Pane Data'!$B150,List!$E$2:$E$173,0),MATCH('Selection Pane Data'!CB$3,List!$E$2:$CD$2,0)),"")</f>
        <v/>
      </c>
      <c r="CC150" s="13" t="str">
        <f>IF(CC$4="Yes",INDEX(List!$E$2:$CD$173,MATCH('Selection Pane Data'!$B150,List!$E$2:$E$173,0),MATCH('Selection Pane Data'!CC$3,List!$E$2:$CD$2,0)),"")</f>
        <v/>
      </c>
      <c r="CD150" s="13" t="str">
        <f>IF(CD$4="Yes",INDEX(List!$E$2:$CD$173,MATCH('Selection Pane Data'!$B150,List!$E$2:$E$173,0),MATCH('Selection Pane Data'!CD$3,List!$E$2:$CD$2,0)),"")</f>
        <v/>
      </c>
      <c r="CE150" s="13" t="str">
        <f>IF(CE$4="Yes",INDEX(List!$E$2:$CD$173,MATCH('Selection Pane Data'!$B150,List!$E$2:$E$173,0),MATCH('Selection Pane Data'!CE$3,List!$E$2:$CD$2,0)),"")</f>
        <v/>
      </c>
    </row>
    <row r="151" spans="2:83" x14ac:dyDescent="0.35">
      <c r="B151" s="21" t="s">
        <v>438</v>
      </c>
      <c r="C151" s="126" t="str">
        <f>VLOOKUP(B151,List!$E$2:$G$173,2,FALSE)</f>
        <v>SC.L2-3.13.15</v>
      </c>
      <c r="D151" s="31" t="str">
        <f>List!G149</f>
        <v>Shared Coverage</v>
      </c>
      <c r="E151" s="31" t="str">
        <f>IF(Placemat!$F$4="All Practices","All Practices",IF(VLOOKUP(B151,Table7[#All],6,FALSE)="No Mapping","New CMMC Practices","Practices with NIST 800-171 Mappings"))</f>
        <v>Practices with NIST 800-171 Mappings</v>
      </c>
      <c r="F151" t="str">
        <f>INDEX('CMMC Levels'!$A$1:$F$172,MATCH('Selection Pane Data'!$C151,'CMMC Levels'!$A$1:$A$172,0),MATCH(Placemat!$F$4,'CMMC Levels'!$A$1:$F$1,0))</f>
        <v>X</v>
      </c>
      <c r="G151" s="77" t="str">
        <f>IF((COUNTIF(List!H149:CE149,"P")+COUNTIF(List!H149:CE149,"S"))=0,"N",IF(COUNTIF(H151:CE151,"P"),"P",IF(COUNTIF(H151:CE151,"S"),"S","U")))</f>
        <v>U</v>
      </c>
      <c r="H151" s="13" t="str">
        <f>IF(H$4="Yes",INDEX(List!$E$2:$CD$173,MATCH('Selection Pane Data'!$B151,List!$E$2:$E$173,0),MATCH('Selection Pane Data'!H$3,List!$E$2:$CD$2,0)),"")</f>
        <v/>
      </c>
      <c r="I151" s="13" t="str">
        <f>IF(I$4="Yes",INDEX(List!$E$2:$CD$173,MATCH('Selection Pane Data'!$B151,List!$E$2:$E$173,0),MATCH('Selection Pane Data'!I$3,List!$E$2:$CD$2,0)),"")</f>
        <v/>
      </c>
      <c r="J151" s="13" t="str">
        <f>IF(J$4="Yes",INDEX(List!$E$2:$CD$173,MATCH('Selection Pane Data'!$B151,List!$E$2:$E$173,0),MATCH('Selection Pane Data'!J$3,List!$E$2:$CD$2,0)),"")</f>
        <v>N</v>
      </c>
      <c r="K151" s="13" t="str">
        <f>IF(K$4="Yes",INDEX(List!$E$2:$CD$173,MATCH('Selection Pane Data'!$B151,List!$E$2:$E$173,0),MATCH('Selection Pane Data'!K$3,List!$E$2:$CD$2,0)),"")</f>
        <v/>
      </c>
      <c r="L151" s="13" t="str">
        <f>IF(L$4="Yes",INDEX(List!$E$2:$CD$173,MATCH('Selection Pane Data'!$B151,List!$E$2:$E$173,0),MATCH('Selection Pane Data'!L$3,List!$E$2:$CD$2,0)),"")</f>
        <v/>
      </c>
      <c r="M151" s="13" t="str">
        <f>IF(M$4="Yes",INDEX(List!$E$2:$CD$173,MATCH('Selection Pane Data'!$B151,List!$E$2:$E$173,0),MATCH('Selection Pane Data'!M$3,List!$E$2:$CD$2,0)),"")</f>
        <v/>
      </c>
      <c r="N151" s="13" t="str">
        <f>IF(N$4="Yes",INDEX(List!$E$2:$CD$173,MATCH('Selection Pane Data'!$B151,List!$E$2:$E$173,0),MATCH('Selection Pane Data'!N$3,List!$E$2:$CD$2,0)),"")</f>
        <v/>
      </c>
      <c r="O151" s="13" t="str">
        <f>IF(O$4="Yes",INDEX(List!$E$2:$CD$173,MATCH('Selection Pane Data'!$B151,List!$E$2:$E$173,0),MATCH('Selection Pane Data'!O$3,List!$E$2:$CD$2,0)),"")</f>
        <v/>
      </c>
      <c r="P151" s="13" t="str">
        <f>IF(P$4="Yes",INDEX(List!$E$2:$CD$173,MATCH('Selection Pane Data'!$B151,List!$E$2:$E$173,0),MATCH('Selection Pane Data'!P$3,List!$E$2:$CD$2,0)),"")</f>
        <v/>
      </c>
      <c r="Q151" s="13" t="str">
        <f>IF(Q$4="Yes",INDEX(List!$E$2:$CD$173,MATCH('Selection Pane Data'!$B151,List!$E$2:$E$173,0),MATCH('Selection Pane Data'!Q$3,List!$E$2:$CD$2,0)),"")</f>
        <v/>
      </c>
      <c r="R151" s="13" t="str">
        <f>IF(R$4="Yes",INDEX(List!$E$2:$CD$173,MATCH('Selection Pane Data'!$B151,List!$E$2:$E$173,0),MATCH('Selection Pane Data'!R$3,List!$E$2:$CD$2,0)),"")</f>
        <v/>
      </c>
      <c r="S151" s="13" t="str">
        <f>IF(S$4="Yes",INDEX(List!$E$2:$CD$173,MATCH('Selection Pane Data'!$B151,List!$E$2:$E$173,0),MATCH('Selection Pane Data'!S$3,List!$E$2:$CD$2,0)),"")</f>
        <v/>
      </c>
      <c r="T151" s="13" t="str">
        <f>IF(T$4="Yes",INDEX(List!$E$2:$CD$173,MATCH('Selection Pane Data'!$B151,List!$E$2:$E$173,0),MATCH('Selection Pane Data'!T$3,List!$E$2:$CD$2,0)),"")</f>
        <v/>
      </c>
      <c r="U151" s="13" t="str">
        <f>IF(U$4="Yes",INDEX(List!$E$2:$CD$173,MATCH('Selection Pane Data'!$B151,List!$E$2:$E$173,0),MATCH('Selection Pane Data'!U$3,List!$E$2:$CD$2,0)),"")</f>
        <v/>
      </c>
      <c r="V151" s="13" t="str">
        <f>IF(V$4="Yes",INDEX(List!$E$2:$CD$173,MATCH('Selection Pane Data'!$B151,List!$E$2:$E$173,0),MATCH('Selection Pane Data'!V$3,List!$E$2:$CD$2,0)),"")</f>
        <v/>
      </c>
      <c r="W151" s="13" t="str">
        <f>IF(W$4="Yes",INDEX(List!$E$2:$CD$173,MATCH('Selection Pane Data'!$B151,List!$E$2:$E$173,0),MATCH('Selection Pane Data'!W$3,List!$E$2:$CD$2,0)),"")</f>
        <v/>
      </c>
      <c r="X151" s="13" t="str">
        <f>IF(X$4="Yes",INDEX(List!$E$2:$CD$173,MATCH('Selection Pane Data'!$B151,List!$E$2:$E$173,0),MATCH('Selection Pane Data'!X$3,List!$E$2:$CD$2,0)),"")</f>
        <v/>
      </c>
      <c r="Y151" s="13" t="str">
        <f>IF(Y$4="Yes",INDEX(List!$E$2:$CD$173,MATCH('Selection Pane Data'!$B151,List!$E$2:$E$173,0),MATCH('Selection Pane Data'!Y$3,List!$E$2:$CD$2,0)),"")</f>
        <v/>
      </c>
      <c r="Z151" s="13" t="str">
        <f>IF(Z$4="Yes",INDEX(List!$E$2:$CD$173,MATCH('Selection Pane Data'!$B151,List!$E$2:$E$173,0),MATCH('Selection Pane Data'!Z$3,List!$E$2:$CD$2,0)),"")</f>
        <v/>
      </c>
      <c r="AA151" s="13" t="str">
        <f>IF(AA$4="Yes",INDEX(List!$E$2:$CD$173,MATCH('Selection Pane Data'!$B151,List!$E$2:$E$173,0),MATCH('Selection Pane Data'!AA$3,List!$E$2:$CD$2,0)),"")</f>
        <v>N</v>
      </c>
      <c r="AB151" s="13" t="str">
        <f>IF(AB$4="Yes",INDEX(List!$E$2:$CD$173,MATCH('Selection Pane Data'!$B151,List!$E$2:$E$173,0),MATCH('Selection Pane Data'!AB$3,List!$E$2:$CD$2,0)),"")</f>
        <v/>
      </c>
      <c r="AC151" s="13" t="str">
        <f>IF(AC$4="Yes",INDEX(List!$E$2:$CD$173,MATCH('Selection Pane Data'!$B151,List!$E$2:$E$173,0),MATCH('Selection Pane Data'!AC$3,List!$E$2:$CD$2,0)),"")</f>
        <v/>
      </c>
      <c r="AD151" s="13" t="str">
        <f>IF(AD$4="Yes",INDEX(List!$E$2:$CD$173,MATCH('Selection Pane Data'!$B151,List!$E$2:$E$173,0),MATCH('Selection Pane Data'!AD$3,List!$E$2:$CD$2,0)),"")</f>
        <v/>
      </c>
      <c r="AE151" s="13" t="str">
        <f>IF(AE$4="Yes",INDEX(List!$E$2:$CD$173,MATCH('Selection Pane Data'!$B151,List!$E$2:$E$173,0),MATCH('Selection Pane Data'!AE$3,List!$E$2:$CD$2,0)),"")</f>
        <v/>
      </c>
      <c r="AF151" s="13" t="str">
        <f>IF(AF$4="Yes",INDEX(List!$E$2:$CD$173,MATCH('Selection Pane Data'!$B151,List!$E$2:$E$173,0),MATCH('Selection Pane Data'!AF$3,List!$E$2:$CD$2,0)),"")</f>
        <v/>
      </c>
      <c r="AG151" s="13" t="str">
        <f>IF(AG$4="Yes",INDEX(List!$E$2:$CD$173,MATCH('Selection Pane Data'!$B151,List!$E$2:$E$173,0),MATCH('Selection Pane Data'!AG$3,List!$E$2:$CD$2,0)),"")</f>
        <v/>
      </c>
      <c r="AH151" s="13" t="str">
        <f>IF(AH$4="Yes",INDEX(List!$E$2:$CD$173,MATCH('Selection Pane Data'!$B151,List!$E$2:$E$173,0),MATCH('Selection Pane Data'!AH$3,List!$E$2:$CD$2,0)),"")</f>
        <v/>
      </c>
      <c r="AI151" s="13" t="str">
        <f>IF(AI$4="Yes",INDEX(List!$E$2:$CD$173,MATCH('Selection Pane Data'!$B151,List!$E$2:$E$173,0),MATCH('Selection Pane Data'!AI$3,List!$E$2:$CD$2,0)),"")</f>
        <v/>
      </c>
      <c r="AJ151" s="13" t="str">
        <f>IF(AJ$4="Yes",INDEX(List!$E$2:$CD$173,MATCH('Selection Pane Data'!$B151,List!$E$2:$E$173,0),MATCH('Selection Pane Data'!AJ$3,List!$E$2:$CD$2,0)),"")</f>
        <v/>
      </c>
      <c r="AK151" s="13" t="str">
        <f>IF(AK$4="Yes",INDEX(List!$E$2:$CD$173,MATCH('Selection Pane Data'!$B151,List!$E$2:$E$173,0),MATCH('Selection Pane Data'!AK$3,List!$E$2:$CD$2,0)),"")</f>
        <v/>
      </c>
      <c r="AL151" s="13" t="str">
        <f>IF(AL$4="Yes",INDEX(List!$E$2:$CD$173,MATCH('Selection Pane Data'!$B151,List!$E$2:$E$173,0),MATCH('Selection Pane Data'!AL$3,List!$E$2:$CD$2,0)),"")</f>
        <v/>
      </c>
      <c r="AM151" s="13" t="str">
        <f>IF(AM$4="Yes",INDEX(List!$E$2:$CD$173,MATCH('Selection Pane Data'!$B151,List!$E$2:$E$173,0),MATCH('Selection Pane Data'!AM$3,List!$E$2:$CD$2,0)),"")</f>
        <v/>
      </c>
      <c r="AN151" s="13" t="str">
        <f>IF(AN$4="Yes",INDEX(List!$E$2:$CD$173,MATCH('Selection Pane Data'!$B151,List!$E$2:$E$173,0),MATCH('Selection Pane Data'!AN$3,List!$E$2:$CD$2,0)),"")</f>
        <v/>
      </c>
      <c r="AO151" s="13" t="str">
        <f>IF(AO$4="Yes",INDEX(List!$E$2:$CD$173,MATCH('Selection Pane Data'!$B151,List!$E$2:$E$173,0),MATCH('Selection Pane Data'!AO$3,List!$E$2:$CD$2,0)),"")</f>
        <v/>
      </c>
      <c r="AP151" s="13" t="str">
        <f>IF(AP$4="Yes",INDEX(List!$E$2:$CD$173,MATCH('Selection Pane Data'!$B151,List!$E$2:$E$173,0),MATCH('Selection Pane Data'!AP$3,List!$E$2:$CD$2,0)),"")</f>
        <v/>
      </c>
      <c r="AQ151" s="13" t="str">
        <f>IF(AQ$4="Yes",INDEX(List!$E$2:$CD$173,MATCH('Selection Pane Data'!$B151,List!$E$2:$E$173,0),MATCH('Selection Pane Data'!AQ$3,List!$E$2:$CD$2,0)),"")</f>
        <v/>
      </c>
      <c r="AR151" s="13" t="str">
        <f>IF(AR$4="Yes",INDEX(List!$E$2:$CD$173,MATCH('Selection Pane Data'!$B151,List!$E$2:$E$173,0),MATCH('Selection Pane Data'!AR$3,List!$E$2:$CD$2,0)),"")</f>
        <v/>
      </c>
      <c r="AS151" s="13" t="str">
        <f>IF(AS$4="Yes",INDEX(List!$E$2:$CD$173,MATCH('Selection Pane Data'!$B151,List!$E$2:$E$173,0),MATCH('Selection Pane Data'!AS$3,List!$E$2:$CD$2,0)),"")</f>
        <v/>
      </c>
      <c r="AT151" s="13" t="str">
        <f>IF(AT$4="Yes",INDEX(List!$E$2:$CD$173,MATCH('Selection Pane Data'!$B151,List!$E$2:$E$173,0),MATCH('Selection Pane Data'!AT$3,List!$E$2:$CD$2,0)),"")</f>
        <v/>
      </c>
      <c r="AU151" s="13" t="str">
        <f>IF(AU$4="Yes",INDEX(List!$E$2:$CD$173,MATCH('Selection Pane Data'!$B151,List!$E$2:$E$173,0),MATCH('Selection Pane Data'!AU$3,List!$E$2:$CD$2,0)),"")</f>
        <v/>
      </c>
      <c r="AV151" s="13" t="str">
        <f>IF(AV$4="Yes",INDEX(List!$E$2:$CD$173,MATCH('Selection Pane Data'!$B151,List!$E$2:$E$173,0),MATCH('Selection Pane Data'!AV$3,List!$E$2:$CD$2,0)),"")</f>
        <v/>
      </c>
      <c r="AW151" s="13" t="str">
        <f>IF(AW$4="Yes",INDEX(List!$E$2:$CD$173,MATCH('Selection Pane Data'!$B151,List!$E$2:$E$173,0),MATCH('Selection Pane Data'!AW$3,List!$E$2:$CD$2,0)),"")</f>
        <v/>
      </c>
      <c r="AX151" s="13" t="str">
        <f>IF(AX$4="Yes",INDEX(List!$E$2:$CD$173,MATCH('Selection Pane Data'!$B151,List!$E$2:$E$173,0),MATCH('Selection Pane Data'!AX$3,List!$E$2:$CD$2,0)),"")</f>
        <v/>
      </c>
      <c r="AY151" s="13" t="str">
        <f>IF(AY$4="Yes",INDEX(List!$E$2:$CD$173,MATCH('Selection Pane Data'!$B151,List!$E$2:$E$173,0),MATCH('Selection Pane Data'!AY$3,List!$E$2:$CD$2,0)),"")</f>
        <v/>
      </c>
      <c r="AZ151" s="13" t="str">
        <f>IF(AZ$4="Yes",INDEX(List!$E$2:$CD$173,MATCH('Selection Pane Data'!$B151,List!$E$2:$E$173,0),MATCH('Selection Pane Data'!AZ$3,List!$E$2:$CD$2,0)),"")</f>
        <v/>
      </c>
      <c r="BA151" s="13" t="str">
        <f>IF(BA$4="Yes",INDEX(List!$E$2:$CD$173,MATCH('Selection Pane Data'!$B151,List!$E$2:$E$173,0),MATCH('Selection Pane Data'!BA$3,List!$E$2:$CD$2,0)),"")</f>
        <v/>
      </c>
      <c r="BB151" s="13" t="str">
        <f>IF(BB$4="Yes",INDEX(List!$E$2:$CD$173,MATCH('Selection Pane Data'!$B151,List!$E$2:$E$173,0),MATCH('Selection Pane Data'!BB$3,List!$E$2:$CD$2,0)),"")</f>
        <v/>
      </c>
      <c r="BC151" s="13" t="str">
        <f>IF(BC$4="Yes",INDEX(List!$E$2:$CD$173,MATCH('Selection Pane Data'!$B151,List!$E$2:$E$173,0),MATCH('Selection Pane Data'!BC$3,List!$E$2:$CD$2,0)),"")</f>
        <v/>
      </c>
      <c r="BD151" s="13" t="str">
        <f>IF(BD$4="Yes",INDEX(List!$E$2:$CD$173,MATCH('Selection Pane Data'!$B151,List!$E$2:$E$173,0),MATCH('Selection Pane Data'!BD$3,List!$E$2:$CD$2,0)),"")</f>
        <v/>
      </c>
      <c r="BE151" s="13" t="str">
        <f>IF(BE$4="Yes",INDEX(List!$E$2:$CD$173,MATCH('Selection Pane Data'!$B151,List!$E$2:$E$173,0),MATCH('Selection Pane Data'!BE$3,List!$E$2:$CD$2,0)),"")</f>
        <v/>
      </c>
      <c r="BF151" s="13" t="str">
        <f>IF(BF$4="Yes",INDEX(List!$E$2:$CD$173,MATCH('Selection Pane Data'!$B151,List!$E$2:$E$173,0),MATCH('Selection Pane Data'!BF$3,List!$E$2:$CD$2,0)),"")</f>
        <v/>
      </c>
      <c r="BG151" s="13" t="str">
        <f>IF(BG$4="Yes",INDEX(List!$E$2:$CD$173,MATCH('Selection Pane Data'!$B151,List!$E$2:$E$173,0),MATCH('Selection Pane Data'!BG$3,List!$E$2:$CD$2,0)),"")</f>
        <v/>
      </c>
      <c r="BH151" s="13" t="str">
        <f>IF(BH$4="Yes",INDEX(List!$E$2:$CD$173,MATCH('Selection Pane Data'!$B151,List!$E$2:$E$173,0),MATCH('Selection Pane Data'!BH$3,List!$E$2:$CD$2,0)),"")</f>
        <v/>
      </c>
      <c r="BI151" s="13" t="str">
        <f>IF(BI$4="Yes",INDEX(List!$E$2:$CD$173,MATCH('Selection Pane Data'!$B151,List!$E$2:$E$173,0),MATCH('Selection Pane Data'!BI$3,List!$E$2:$CD$2,0)),"")</f>
        <v/>
      </c>
      <c r="BJ151" s="13" t="str">
        <f>IF(BJ$4="Yes",INDEX(List!$E$2:$CD$173,MATCH('Selection Pane Data'!$B151,List!$E$2:$E$173,0),MATCH('Selection Pane Data'!BJ$3,List!$E$2:$CD$2,0)),"")</f>
        <v/>
      </c>
      <c r="BK151" s="13" t="str">
        <f>IF(BK$4="Yes",INDEX(List!$E$2:$CD$173,MATCH('Selection Pane Data'!$B151,List!$E$2:$E$173,0),MATCH('Selection Pane Data'!BK$3,List!$E$2:$CD$2,0)),"")</f>
        <v/>
      </c>
      <c r="BL151" s="13" t="str">
        <f>IF(BL$4="Yes",INDEX(List!$E$2:$CD$173,MATCH('Selection Pane Data'!$B151,List!$E$2:$E$173,0),MATCH('Selection Pane Data'!BL$3,List!$E$2:$CD$2,0)),"")</f>
        <v/>
      </c>
      <c r="BM151" s="13" t="str">
        <f>IF(BM$4="Yes",INDEX(List!$E$2:$CD$173,MATCH('Selection Pane Data'!$B151,List!$E$2:$E$173,0),MATCH('Selection Pane Data'!BM$3,List!$E$2:$CD$2,0)),"")</f>
        <v/>
      </c>
      <c r="BN151" s="13" t="str">
        <f>IF(BN$4="Yes",INDEX(List!$E$2:$CD$173,MATCH('Selection Pane Data'!$B151,List!$E$2:$E$173,0),MATCH('Selection Pane Data'!BN$3,List!$E$2:$CD$2,0)),"")</f>
        <v/>
      </c>
      <c r="BO151" s="13" t="str">
        <f>IF(BO$4="Yes",INDEX(List!$E$2:$CD$173,MATCH('Selection Pane Data'!$B151,List!$E$2:$E$173,0),MATCH('Selection Pane Data'!BO$3,List!$E$2:$CD$2,0)),"")</f>
        <v/>
      </c>
      <c r="BP151" s="13" t="str">
        <f>IF(BP$4="Yes",INDEX(List!$E$2:$CD$173,MATCH('Selection Pane Data'!$B151,List!$E$2:$E$173,0),MATCH('Selection Pane Data'!BP$3,List!$E$2:$CD$2,0)),"")</f>
        <v/>
      </c>
      <c r="BQ151" s="13" t="str">
        <f>IF(BQ$4="Yes",INDEX(List!$E$2:$CD$173,MATCH('Selection Pane Data'!$B151,List!$E$2:$E$173,0),MATCH('Selection Pane Data'!BQ$3,List!$E$2:$CD$2,0)),"")</f>
        <v/>
      </c>
      <c r="BR151" s="13" t="str">
        <f>IF(BR$4="Yes",INDEX(List!$E$2:$CD$173,MATCH('Selection Pane Data'!$B151,List!$E$2:$E$173,0),MATCH('Selection Pane Data'!BR$3,List!$E$2:$CD$2,0)),"")</f>
        <v/>
      </c>
      <c r="BS151" s="13" t="str">
        <f>IF(BS$4="Yes",INDEX(List!$E$2:$CD$173,MATCH('Selection Pane Data'!$B151,List!$E$2:$E$173,0),MATCH('Selection Pane Data'!BS$3,List!$E$2:$CD$2,0)),"")</f>
        <v/>
      </c>
      <c r="BT151" s="13" t="str">
        <f>IF(BT$4="Yes",INDEX(List!$E$2:$CD$173,MATCH('Selection Pane Data'!$B151,List!$E$2:$E$173,0),MATCH('Selection Pane Data'!BT$3,List!$E$2:$CD$2,0)),"")</f>
        <v/>
      </c>
      <c r="BU151" s="13" t="str">
        <f>IF(BU$4="Yes",INDEX(List!$E$2:$CD$173,MATCH('Selection Pane Data'!$B151,List!$E$2:$E$173,0),MATCH('Selection Pane Data'!BU$3,List!$E$2:$CD$2,0)),"")</f>
        <v/>
      </c>
      <c r="BV151" s="13" t="str">
        <f>IF(BV$4="Yes",INDEX(List!$E$2:$CD$173,MATCH('Selection Pane Data'!$B151,List!$E$2:$E$173,0),MATCH('Selection Pane Data'!BV$3,List!$E$2:$CD$2,0)),"")</f>
        <v/>
      </c>
      <c r="BW151" s="13" t="str">
        <f>IF(BW$4="Yes",INDEX(List!$E$2:$CD$173,MATCH('Selection Pane Data'!$B151,List!$E$2:$E$173,0),MATCH('Selection Pane Data'!BW$3,List!$E$2:$CD$2,0)),"")</f>
        <v/>
      </c>
      <c r="BX151" s="13" t="str">
        <f>IF(BX$4="Yes",INDEX(List!$E$2:$CD$173,MATCH('Selection Pane Data'!$B151,List!$E$2:$E$173,0),MATCH('Selection Pane Data'!BX$3,List!$E$2:$CD$2,0)),"")</f>
        <v/>
      </c>
      <c r="BY151" s="13" t="str">
        <f>IF(BY$4="Yes",INDEX(List!$E$2:$CD$173,MATCH('Selection Pane Data'!$B151,List!$E$2:$E$173,0),MATCH('Selection Pane Data'!BY$3,List!$E$2:$CD$2,0)),"")</f>
        <v/>
      </c>
      <c r="BZ151" s="13" t="str">
        <f>IF(BZ$4="Yes",INDEX(List!$E$2:$CD$173,MATCH('Selection Pane Data'!$B151,List!$E$2:$E$173,0),MATCH('Selection Pane Data'!BZ$3,List!$E$2:$CD$2,0)),"")</f>
        <v/>
      </c>
      <c r="CA151" s="13" t="str">
        <f>IF(CA$4="Yes",INDEX(List!$E$2:$CD$173,MATCH('Selection Pane Data'!$B151,List!$E$2:$E$173,0),MATCH('Selection Pane Data'!CA$3,List!$E$2:$CD$2,0)),"")</f>
        <v/>
      </c>
      <c r="CB151" s="13" t="str">
        <f>IF(CB$4="Yes",INDEX(List!$E$2:$CD$173,MATCH('Selection Pane Data'!$B151,List!$E$2:$E$173,0),MATCH('Selection Pane Data'!CB$3,List!$E$2:$CD$2,0)),"")</f>
        <v/>
      </c>
      <c r="CC151" s="13" t="str">
        <f>IF(CC$4="Yes",INDEX(List!$E$2:$CD$173,MATCH('Selection Pane Data'!$B151,List!$E$2:$E$173,0),MATCH('Selection Pane Data'!CC$3,List!$E$2:$CD$2,0)),"")</f>
        <v/>
      </c>
      <c r="CD151" s="13" t="str">
        <f>IF(CD$4="Yes",INDEX(List!$E$2:$CD$173,MATCH('Selection Pane Data'!$B151,List!$E$2:$E$173,0),MATCH('Selection Pane Data'!CD$3,List!$E$2:$CD$2,0)),"")</f>
        <v/>
      </c>
      <c r="CE151" s="13" t="str">
        <f>IF(CE$4="Yes",INDEX(List!$E$2:$CD$173,MATCH('Selection Pane Data'!$B151,List!$E$2:$E$173,0),MATCH('Selection Pane Data'!CE$3,List!$E$2:$CD$2,0)),"")</f>
        <v/>
      </c>
    </row>
    <row r="152" spans="2:83" x14ac:dyDescent="0.35">
      <c r="B152" s="21" t="s">
        <v>439</v>
      </c>
      <c r="C152" s="126" t="str">
        <f>VLOOKUP(B152,List!$E$2:$G$173,2,FALSE)</f>
        <v>SC.L2-3.13.16</v>
      </c>
      <c r="D152" s="31" t="str">
        <f>List!G150</f>
        <v>Shared Coverage</v>
      </c>
      <c r="E152" s="31" t="str">
        <f>IF(Placemat!$F$4="All Practices","All Practices",IF(VLOOKUP(B152,Table7[#All],6,FALSE)="No Mapping","New CMMC Practices","Practices with NIST 800-171 Mappings"))</f>
        <v>Practices with NIST 800-171 Mappings</v>
      </c>
      <c r="F152" t="str">
        <f>INDEX('CMMC Levels'!$A$1:$F$172,MATCH('Selection Pane Data'!$C152,'CMMC Levels'!$A$1:$A$172,0),MATCH(Placemat!$F$4,'CMMC Levels'!$A$1:$F$1,0))</f>
        <v>X</v>
      </c>
      <c r="G152" s="77" t="str">
        <f>IF((COUNTIF(List!H150:CE150,"P")+COUNTIF(List!H150:CE150,"S"))=0,"N",IF(COUNTIF(H152:CE152,"P"),"P",IF(COUNTIF(H152:CE152,"S"),"S","U")))</f>
        <v>U</v>
      </c>
      <c r="H152" s="13" t="str">
        <f>IF(H$4="Yes",INDEX(List!$E$2:$CD$173,MATCH('Selection Pane Data'!$B152,List!$E$2:$E$173,0),MATCH('Selection Pane Data'!H$3,List!$E$2:$CD$2,0)),"")</f>
        <v/>
      </c>
      <c r="I152" s="13" t="str">
        <f>IF(I$4="Yes",INDEX(List!$E$2:$CD$173,MATCH('Selection Pane Data'!$B152,List!$E$2:$E$173,0),MATCH('Selection Pane Data'!I$3,List!$E$2:$CD$2,0)),"")</f>
        <v/>
      </c>
      <c r="J152" s="13" t="str">
        <f>IF(J$4="Yes",INDEX(List!$E$2:$CD$173,MATCH('Selection Pane Data'!$B152,List!$E$2:$E$173,0),MATCH('Selection Pane Data'!J$3,List!$E$2:$CD$2,0)),"")</f>
        <v>N</v>
      </c>
      <c r="K152" s="13" t="str">
        <f>IF(K$4="Yes",INDEX(List!$E$2:$CD$173,MATCH('Selection Pane Data'!$B152,List!$E$2:$E$173,0),MATCH('Selection Pane Data'!K$3,List!$E$2:$CD$2,0)),"")</f>
        <v/>
      </c>
      <c r="L152" s="13" t="str">
        <f>IF(L$4="Yes",INDEX(List!$E$2:$CD$173,MATCH('Selection Pane Data'!$B152,List!$E$2:$E$173,0),MATCH('Selection Pane Data'!L$3,List!$E$2:$CD$2,0)),"")</f>
        <v/>
      </c>
      <c r="M152" s="13" t="str">
        <f>IF(M$4="Yes",INDEX(List!$E$2:$CD$173,MATCH('Selection Pane Data'!$B152,List!$E$2:$E$173,0),MATCH('Selection Pane Data'!M$3,List!$E$2:$CD$2,0)),"")</f>
        <v/>
      </c>
      <c r="N152" s="13" t="str">
        <f>IF(N$4="Yes",INDEX(List!$E$2:$CD$173,MATCH('Selection Pane Data'!$B152,List!$E$2:$E$173,0),MATCH('Selection Pane Data'!N$3,List!$E$2:$CD$2,0)),"")</f>
        <v/>
      </c>
      <c r="O152" s="13" t="str">
        <f>IF(O$4="Yes",INDEX(List!$E$2:$CD$173,MATCH('Selection Pane Data'!$B152,List!$E$2:$E$173,0),MATCH('Selection Pane Data'!O$3,List!$E$2:$CD$2,0)),"")</f>
        <v/>
      </c>
      <c r="P152" s="13" t="str">
        <f>IF(P$4="Yes",INDEX(List!$E$2:$CD$173,MATCH('Selection Pane Data'!$B152,List!$E$2:$E$173,0),MATCH('Selection Pane Data'!P$3,List!$E$2:$CD$2,0)),"")</f>
        <v/>
      </c>
      <c r="Q152" s="13" t="str">
        <f>IF(Q$4="Yes",INDEX(List!$E$2:$CD$173,MATCH('Selection Pane Data'!$B152,List!$E$2:$E$173,0),MATCH('Selection Pane Data'!Q$3,List!$E$2:$CD$2,0)),"")</f>
        <v/>
      </c>
      <c r="R152" s="13" t="str">
        <f>IF(R$4="Yes",INDEX(List!$E$2:$CD$173,MATCH('Selection Pane Data'!$B152,List!$E$2:$E$173,0),MATCH('Selection Pane Data'!R$3,List!$E$2:$CD$2,0)),"")</f>
        <v/>
      </c>
      <c r="S152" s="13" t="str">
        <f>IF(S$4="Yes",INDEX(List!$E$2:$CD$173,MATCH('Selection Pane Data'!$B152,List!$E$2:$E$173,0),MATCH('Selection Pane Data'!S$3,List!$E$2:$CD$2,0)),"")</f>
        <v/>
      </c>
      <c r="T152" s="13" t="str">
        <f>IF(T$4="Yes",INDEX(List!$E$2:$CD$173,MATCH('Selection Pane Data'!$B152,List!$E$2:$E$173,0),MATCH('Selection Pane Data'!T$3,List!$E$2:$CD$2,0)),"")</f>
        <v/>
      </c>
      <c r="U152" s="13" t="str">
        <f>IF(U$4="Yes",INDEX(List!$E$2:$CD$173,MATCH('Selection Pane Data'!$B152,List!$E$2:$E$173,0),MATCH('Selection Pane Data'!U$3,List!$E$2:$CD$2,0)),"")</f>
        <v/>
      </c>
      <c r="V152" s="13" t="str">
        <f>IF(V$4="Yes",INDEX(List!$E$2:$CD$173,MATCH('Selection Pane Data'!$B152,List!$E$2:$E$173,0),MATCH('Selection Pane Data'!V$3,List!$E$2:$CD$2,0)),"")</f>
        <v/>
      </c>
      <c r="W152" s="13" t="str">
        <f>IF(W$4="Yes",INDEX(List!$E$2:$CD$173,MATCH('Selection Pane Data'!$B152,List!$E$2:$E$173,0),MATCH('Selection Pane Data'!W$3,List!$E$2:$CD$2,0)),"")</f>
        <v/>
      </c>
      <c r="X152" s="13" t="str">
        <f>IF(X$4="Yes",INDEX(List!$E$2:$CD$173,MATCH('Selection Pane Data'!$B152,List!$E$2:$E$173,0),MATCH('Selection Pane Data'!X$3,List!$E$2:$CD$2,0)),"")</f>
        <v/>
      </c>
      <c r="Y152" s="13" t="str">
        <f>IF(Y$4="Yes",INDEX(List!$E$2:$CD$173,MATCH('Selection Pane Data'!$B152,List!$E$2:$E$173,0),MATCH('Selection Pane Data'!Y$3,List!$E$2:$CD$2,0)),"")</f>
        <v/>
      </c>
      <c r="Z152" s="13" t="str">
        <f>IF(Z$4="Yes",INDEX(List!$E$2:$CD$173,MATCH('Selection Pane Data'!$B152,List!$E$2:$E$173,0),MATCH('Selection Pane Data'!Z$3,List!$E$2:$CD$2,0)),"")</f>
        <v/>
      </c>
      <c r="AA152" s="13" t="str">
        <f>IF(AA$4="Yes",INDEX(List!$E$2:$CD$173,MATCH('Selection Pane Data'!$B152,List!$E$2:$E$173,0),MATCH('Selection Pane Data'!AA$3,List!$E$2:$CD$2,0)),"")</f>
        <v>N</v>
      </c>
      <c r="AB152" s="13" t="str">
        <f>IF(AB$4="Yes",INDEX(List!$E$2:$CD$173,MATCH('Selection Pane Data'!$B152,List!$E$2:$E$173,0),MATCH('Selection Pane Data'!AB$3,List!$E$2:$CD$2,0)),"")</f>
        <v/>
      </c>
      <c r="AC152" s="13" t="str">
        <f>IF(AC$4="Yes",INDEX(List!$E$2:$CD$173,MATCH('Selection Pane Data'!$B152,List!$E$2:$E$173,0),MATCH('Selection Pane Data'!AC$3,List!$E$2:$CD$2,0)),"")</f>
        <v/>
      </c>
      <c r="AD152" s="13" t="str">
        <f>IF(AD$4="Yes",INDEX(List!$E$2:$CD$173,MATCH('Selection Pane Data'!$B152,List!$E$2:$E$173,0),MATCH('Selection Pane Data'!AD$3,List!$E$2:$CD$2,0)),"")</f>
        <v/>
      </c>
      <c r="AE152" s="13" t="str">
        <f>IF(AE$4="Yes",INDEX(List!$E$2:$CD$173,MATCH('Selection Pane Data'!$B152,List!$E$2:$E$173,0),MATCH('Selection Pane Data'!AE$3,List!$E$2:$CD$2,0)),"")</f>
        <v/>
      </c>
      <c r="AF152" s="13" t="str">
        <f>IF(AF$4="Yes",INDEX(List!$E$2:$CD$173,MATCH('Selection Pane Data'!$B152,List!$E$2:$E$173,0),MATCH('Selection Pane Data'!AF$3,List!$E$2:$CD$2,0)),"")</f>
        <v/>
      </c>
      <c r="AG152" s="13" t="str">
        <f>IF(AG$4="Yes",INDEX(List!$E$2:$CD$173,MATCH('Selection Pane Data'!$B152,List!$E$2:$E$173,0),MATCH('Selection Pane Data'!AG$3,List!$E$2:$CD$2,0)),"")</f>
        <v/>
      </c>
      <c r="AH152" s="13" t="str">
        <f>IF(AH$4="Yes",INDEX(List!$E$2:$CD$173,MATCH('Selection Pane Data'!$B152,List!$E$2:$E$173,0),MATCH('Selection Pane Data'!AH$3,List!$E$2:$CD$2,0)),"")</f>
        <v/>
      </c>
      <c r="AI152" s="13" t="str">
        <f>IF(AI$4="Yes",INDEX(List!$E$2:$CD$173,MATCH('Selection Pane Data'!$B152,List!$E$2:$E$173,0),MATCH('Selection Pane Data'!AI$3,List!$E$2:$CD$2,0)),"")</f>
        <v/>
      </c>
      <c r="AJ152" s="13" t="str">
        <f>IF(AJ$4="Yes",INDEX(List!$E$2:$CD$173,MATCH('Selection Pane Data'!$B152,List!$E$2:$E$173,0),MATCH('Selection Pane Data'!AJ$3,List!$E$2:$CD$2,0)),"")</f>
        <v/>
      </c>
      <c r="AK152" s="13" t="str">
        <f>IF(AK$4="Yes",INDEX(List!$E$2:$CD$173,MATCH('Selection Pane Data'!$B152,List!$E$2:$E$173,0),MATCH('Selection Pane Data'!AK$3,List!$E$2:$CD$2,0)),"")</f>
        <v/>
      </c>
      <c r="AL152" s="13" t="str">
        <f>IF(AL$4="Yes",INDEX(List!$E$2:$CD$173,MATCH('Selection Pane Data'!$B152,List!$E$2:$E$173,0),MATCH('Selection Pane Data'!AL$3,List!$E$2:$CD$2,0)),"")</f>
        <v/>
      </c>
      <c r="AM152" s="13" t="str">
        <f>IF(AM$4="Yes",INDEX(List!$E$2:$CD$173,MATCH('Selection Pane Data'!$B152,List!$E$2:$E$173,0),MATCH('Selection Pane Data'!AM$3,List!$E$2:$CD$2,0)),"")</f>
        <v/>
      </c>
      <c r="AN152" s="13" t="str">
        <f>IF(AN$4="Yes",INDEX(List!$E$2:$CD$173,MATCH('Selection Pane Data'!$B152,List!$E$2:$E$173,0),MATCH('Selection Pane Data'!AN$3,List!$E$2:$CD$2,0)),"")</f>
        <v/>
      </c>
      <c r="AO152" s="13" t="str">
        <f>IF(AO$4="Yes",INDEX(List!$E$2:$CD$173,MATCH('Selection Pane Data'!$B152,List!$E$2:$E$173,0),MATCH('Selection Pane Data'!AO$3,List!$E$2:$CD$2,0)),"")</f>
        <v/>
      </c>
      <c r="AP152" s="13" t="str">
        <f>IF(AP$4="Yes",INDEX(List!$E$2:$CD$173,MATCH('Selection Pane Data'!$B152,List!$E$2:$E$173,0),MATCH('Selection Pane Data'!AP$3,List!$E$2:$CD$2,0)),"")</f>
        <v/>
      </c>
      <c r="AQ152" s="13" t="str">
        <f>IF(AQ$4="Yes",INDEX(List!$E$2:$CD$173,MATCH('Selection Pane Data'!$B152,List!$E$2:$E$173,0),MATCH('Selection Pane Data'!AQ$3,List!$E$2:$CD$2,0)),"")</f>
        <v/>
      </c>
      <c r="AR152" s="13" t="str">
        <f>IF(AR$4="Yes",INDEX(List!$E$2:$CD$173,MATCH('Selection Pane Data'!$B152,List!$E$2:$E$173,0),MATCH('Selection Pane Data'!AR$3,List!$E$2:$CD$2,0)),"")</f>
        <v/>
      </c>
      <c r="AS152" s="13" t="str">
        <f>IF(AS$4="Yes",INDEX(List!$E$2:$CD$173,MATCH('Selection Pane Data'!$B152,List!$E$2:$E$173,0),MATCH('Selection Pane Data'!AS$3,List!$E$2:$CD$2,0)),"")</f>
        <v/>
      </c>
      <c r="AT152" s="13" t="str">
        <f>IF(AT$4="Yes",INDEX(List!$E$2:$CD$173,MATCH('Selection Pane Data'!$B152,List!$E$2:$E$173,0),MATCH('Selection Pane Data'!AT$3,List!$E$2:$CD$2,0)),"")</f>
        <v/>
      </c>
      <c r="AU152" s="13" t="str">
        <f>IF(AU$4="Yes",INDEX(List!$E$2:$CD$173,MATCH('Selection Pane Data'!$B152,List!$E$2:$E$173,0),MATCH('Selection Pane Data'!AU$3,List!$E$2:$CD$2,0)),"")</f>
        <v/>
      </c>
      <c r="AV152" s="13" t="str">
        <f>IF(AV$4="Yes",INDEX(List!$E$2:$CD$173,MATCH('Selection Pane Data'!$B152,List!$E$2:$E$173,0),MATCH('Selection Pane Data'!AV$3,List!$E$2:$CD$2,0)),"")</f>
        <v/>
      </c>
      <c r="AW152" s="13" t="str">
        <f>IF(AW$4="Yes",INDEX(List!$E$2:$CD$173,MATCH('Selection Pane Data'!$B152,List!$E$2:$E$173,0),MATCH('Selection Pane Data'!AW$3,List!$E$2:$CD$2,0)),"")</f>
        <v/>
      </c>
      <c r="AX152" s="13" t="str">
        <f>IF(AX$4="Yes",INDEX(List!$E$2:$CD$173,MATCH('Selection Pane Data'!$B152,List!$E$2:$E$173,0),MATCH('Selection Pane Data'!AX$3,List!$E$2:$CD$2,0)),"")</f>
        <v/>
      </c>
      <c r="AY152" s="13" t="str">
        <f>IF(AY$4="Yes",INDEX(List!$E$2:$CD$173,MATCH('Selection Pane Data'!$B152,List!$E$2:$E$173,0),MATCH('Selection Pane Data'!AY$3,List!$E$2:$CD$2,0)),"")</f>
        <v/>
      </c>
      <c r="AZ152" s="13" t="str">
        <f>IF(AZ$4="Yes",INDEX(List!$E$2:$CD$173,MATCH('Selection Pane Data'!$B152,List!$E$2:$E$173,0),MATCH('Selection Pane Data'!AZ$3,List!$E$2:$CD$2,0)),"")</f>
        <v/>
      </c>
      <c r="BA152" s="13" t="str">
        <f>IF(BA$4="Yes",INDEX(List!$E$2:$CD$173,MATCH('Selection Pane Data'!$B152,List!$E$2:$E$173,0),MATCH('Selection Pane Data'!BA$3,List!$E$2:$CD$2,0)),"")</f>
        <v/>
      </c>
      <c r="BB152" s="13" t="str">
        <f>IF(BB$4="Yes",INDEX(List!$E$2:$CD$173,MATCH('Selection Pane Data'!$B152,List!$E$2:$E$173,0),MATCH('Selection Pane Data'!BB$3,List!$E$2:$CD$2,0)),"")</f>
        <v/>
      </c>
      <c r="BC152" s="13" t="str">
        <f>IF(BC$4="Yes",INDEX(List!$E$2:$CD$173,MATCH('Selection Pane Data'!$B152,List!$E$2:$E$173,0),MATCH('Selection Pane Data'!BC$3,List!$E$2:$CD$2,0)),"")</f>
        <v/>
      </c>
      <c r="BD152" s="13" t="str">
        <f>IF(BD$4="Yes",INDEX(List!$E$2:$CD$173,MATCH('Selection Pane Data'!$B152,List!$E$2:$E$173,0),MATCH('Selection Pane Data'!BD$3,List!$E$2:$CD$2,0)),"")</f>
        <v/>
      </c>
      <c r="BE152" s="13" t="str">
        <f>IF(BE$4="Yes",INDEX(List!$E$2:$CD$173,MATCH('Selection Pane Data'!$B152,List!$E$2:$E$173,0),MATCH('Selection Pane Data'!BE$3,List!$E$2:$CD$2,0)),"")</f>
        <v/>
      </c>
      <c r="BF152" s="13" t="str">
        <f>IF(BF$4="Yes",INDEX(List!$E$2:$CD$173,MATCH('Selection Pane Data'!$B152,List!$E$2:$E$173,0),MATCH('Selection Pane Data'!BF$3,List!$E$2:$CD$2,0)),"")</f>
        <v/>
      </c>
      <c r="BG152" s="13" t="str">
        <f>IF(BG$4="Yes",INDEX(List!$E$2:$CD$173,MATCH('Selection Pane Data'!$B152,List!$E$2:$E$173,0),MATCH('Selection Pane Data'!BG$3,List!$E$2:$CD$2,0)),"")</f>
        <v/>
      </c>
      <c r="BH152" s="13" t="str">
        <f>IF(BH$4="Yes",INDEX(List!$E$2:$CD$173,MATCH('Selection Pane Data'!$B152,List!$E$2:$E$173,0),MATCH('Selection Pane Data'!BH$3,List!$E$2:$CD$2,0)),"")</f>
        <v/>
      </c>
      <c r="BI152" s="13" t="str">
        <f>IF(BI$4="Yes",INDEX(List!$E$2:$CD$173,MATCH('Selection Pane Data'!$B152,List!$E$2:$E$173,0),MATCH('Selection Pane Data'!BI$3,List!$E$2:$CD$2,0)),"")</f>
        <v/>
      </c>
      <c r="BJ152" s="13" t="str">
        <f>IF(BJ$4="Yes",INDEX(List!$E$2:$CD$173,MATCH('Selection Pane Data'!$B152,List!$E$2:$E$173,0),MATCH('Selection Pane Data'!BJ$3,List!$E$2:$CD$2,0)),"")</f>
        <v/>
      </c>
      <c r="BK152" s="13" t="str">
        <f>IF(BK$4="Yes",INDEX(List!$E$2:$CD$173,MATCH('Selection Pane Data'!$B152,List!$E$2:$E$173,0),MATCH('Selection Pane Data'!BK$3,List!$E$2:$CD$2,0)),"")</f>
        <v/>
      </c>
      <c r="BL152" s="13" t="str">
        <f>IF(BL$4="Yes",INDEX(List!$E$2:$CD$173,MATCH('Selection Pane Data'!$B152,List!$E$2:$E$173,0),MATCH('Selection Pane Data'!BL$3,List!$E$2:$CD$2,0)),"")</f>
        <v/>
      </c>
      <c r="BM152" s="13" t="str">
        <f>IF(BM$4="Yes",INDEX(List!$E$2:$CD$173,MATCH('Selection Pane Data'!$B152,List!$E$2:$E$173,0),MATCH('Selection Pane Data'!BM$3,List!$E$2:$CD$2,0)),"")</f>
        <v/>
      </c>
      <c r="BN152" s="13" t="str">
        <f>IF(BN$4="Yes",INDEX(List!$E$2:$CD$173,MATCH('Selection Pane Data'!$B152,List!$E$2:$E$173,0),MATCH('Selection Pane Data'!BN$3,List!$E$2:$CD$2,0)),"")</f>
        <v/>
      </c>
      <c r="BO152" s="13" t="str">
        <f>IF(BO$4="Yes",INDEX(List!$E$2:$CD$173,MATCH('Selection Pane Data'!$B152,List!$E$2:$E$173,0),MATCH('Selection Pane Data'!BO$3,List!$E$2:$CD$2,0)),"")</f>
        <v/>
      </c>
      <c r="BP152" s="13" t="str">
        <f>IF(BP$4="Yes",INDEX(List!$E$2:$CD$173,MATCH('Selection Pane Data'!$B152,List!$E$2:$E$173,0),MATCH('Selection Pane Data'!BP$3,List!$E$2:$CD$2,0)),"")</f>
        <v/>
      </c>
      <c r="BQ152" s="13" t="str">
        <f>IF(BQ$4="Yes",INDEX(List!$E$2:$CD$173,MATCH('Selection Pane Data'!$B152,List!$E$2:$E$173,0),MATCH('Selection Pane Data'!BQ$3,List!$E$2:$CD$2,0)),"")</f>
        <v/>
      </c>
      <c r="BR152" s="13" t="str">
        <f>IF(BR$4="Yes",INDEX(List!$E$2:$CD$173,MATCH('Selection Pane Data'!$B152,List!$E$2:$E$173,0),MATCH('Selection Pane Data'!BR$3,List!$E$2:$CD$2,0)),"")</f>
        <v/>
      </c>
      <c r="BS152" s="13" t="str">
        <f>IF(BS$4="Yes",INDEX(List!$E$2:$CD$173,MATCH('Selection Pane Data'!$B152,List!$E$2:$E$173,0),MATCH('Selection Pane Data'!BS$3,List!$E$2:$CD$2,0)),"")</f>
        <v/>
      </c>
      <c r="BT152" s="13" t="str">
        <f>IF(BT$4="Yes",INDEX(List!$E$2:$CD$173,MATCH('Selection Pane Data'!$B152,List!$E$2:$E$173,0),MATCH('Selection Pane Data'!BT$3,List!$E$2:$CD$2,0)),"")</f>
        <v/>
      </c>
      <c r="BU152" s="13" t="str">
        <f>IF(BU$4="Yes",INDEX(List!$E$2:$CD$173,MATCH('Selection Pane Data'!$B152,List!$E$2:$E$173,0),MATCH('Selection Pane Data'!BU$3,List!$E$2:$CD$2,0)),"")</f>
        <v/>
      </c>
      <c r="BV152" s="13" t="str">
        <f>IF(BV$4="Yes",INDEX(List!$E$2:$CD$173,MATCH('Selection Pane Data'!$B152,List!$E$2:$E$173,0),MATCH('Selection Pane Data'!BV$3,List!$E$2:$CD$2,0)),"")</f>
        <v/>
      </c>
      <c r="BW152" s="13" t="str">
        <f>IF(BW$4="Yes",INDEX(List!$E$2:$CD$173,MATCH('Selection Pane Data'!$B152,List!$E$2:$E$173,0),MATCH('Selection Pane Data'!BW$3,List!$E$2:$CD$2,0)),"")</f>
        <v/>
      </c>
      <c r="BX152" s="13" t="str">
        <f>IF(BX$4="Yes",INDEX(List!$E$2:$CD$173,MATCH('Selection Pane Data'!$B152,List!$E$2:$E$173,0),MATCH('Selection Pane Data'!BX$3,List!$E$2:$CD$2,0)),"")</f>
        <v/>
      </c>
      <c r="BY152" s="13" t="str">
        <f>IF(BY$4="Yes",INDEX(List!$E$2:$CD$173,MATCH('Selection Pane Data'!$B152,List!$E$2:$E$173,0),MATCH('Selection Pane Data'!BY$3,List!$E$2:$CD$2,0)),"")</f>
        <v/>
      </c>
      <c r="BZ152" s="13" t="str">
        <f>IF(BZ$4="Yes",INDEX(List!$E$2:$CD$173,MATCH('Selection Pane Data'!$B152,List!$E$2:$E$173,0),MATCH('Selection Pane Data'!BZ$3,List!$E$2:$CD$2,0)),"")</f>
        <v/>
      </c>
      <c r="CA152" s="13" t="str">
        <f>IF(CA$4="Yes",INDEX(List!$E$2:$CD$173,MATCH('Selection Pane Data'!$B152,List!$E$2:$E$173,0),MATCH('Selection Pane Data'!CA$3,List!$E$2:$CD$2,0)),"")</f>
        <v/>
      </c>
      <c r="CB152" s="13" t="str">
        <f>IF(CB$4="Yes",INDEX(List!$E$2:$CD$173,MATCH('Selection Pane Data'!$B152,List!$E$2:$E$173,0),MATCH('Selection Pane Data'!CB$3,List!$E$2:$CD$2,0)),"")</f>
        <v/>
      </c>
      <c r="CC152" s="13" t="str">
        <f>IF(CC$4="Yes",INDEX(List!$E$2:$CD$173,MATCH('Selection Pane Data'!$B152,List!$E$2:$E$173,0),MATCH('Selection Pane Data'!CC$3,List!$E$2:$CD$2,0)),"")</f>
        <v/>
      </c>
      <c r="CD152" s="13" t="str">
        <f>IF(CD$4="Yes",INDEX(List!$E$2:$CD$173,MATCH('Selection Pane Data'!$B152,List!$E$2:$E$173,0),MATCH('Selection Pane Data'!CD$3,List!$E$2:$CD$2,0)),"")</f>
        <v/>
      </c>
      <c r="CE152" s="13" t="str">
        <f>IF(CE$4="Yes",INDEX(List!$E$2:$CD$173,MATCH('Selection Pane Data'!$B152,List!$E$2:$E$173,0),MATCH('Selection Pane Data'!CE$3,List!$E$2:$CD$2,0)),"")</f>
        <v/>
      </c>
    </row>
    <row r="153" spans="2:83" x14ac:dyDescent="0.35">
      <c r="B153" s="21" t="s">
        <v>440</v>
      </c>
      <c r="C153" s="126" t="str">
        <f>VLOOKUP(B153,List!$E$2:$G$173,2,FALSE)</f>
        <v>N/A</v>
      </c>
      <c r="D153" s="31" t="str">
        <f>List!G151</f>
        <v>Shared Coverage</v>
      </c>
      <c r="E153" s="31" t="str">
        <f>IF(Placemat!$F$4="All Practices","All Practices",IF(VLOOKUP(B153,Table7[#All],6,FALSE)="No Mapping","New CMMC Practices","Practices with NIST 800-171 Mappings"))</f>
        <v>Practices with NIST 800-171 Mappings</v>
      </c>
      <c r="F153" t="str">
        <f>INDEX('CMMC Levels'!$A$1:$F$172,MATCH('Selection Pane Data'!$C153,'CMMC Levels'!$A$1:$A$172,0),MATCH(Placemat!$F$4,'CMMC Levels'!$A$1:$F$1,0))</f>
        <v>N/A</v>
      </c>
      <c r="G153" s="77" t="str">
        <f>IF((COUNTIF(List!H151:CE151,"P")+COUNTIF(List!H151:CE151,"S"))=0,"N",IF(COUNTIF(H153:CE153,"P"),"P",IF(COUNTIF(H153:CE153,"S"),"S","U")))</f>
        <v>N</v>
      </c>
      <c r="H153" s="13" t="str">
        <f>IF(H$4="Yes",INDEX(List!$E$2:$CD$173,MATCH('Selection Pane Data'!$B153,List!$E$2:$E$173,0),MATCH('Selection Pane Data'!H$3,List!$E$2:$CD$2,0)),"")</f>
        <v/>
      </c>
      <c r="I153" s="13" t="str">
        <f>IF(I$4="Yes",INDEX(List!$E$2:$CD$173,MATCH('Selection Pane Data'!$B153,List!$E$2:$E$173,0),MATCH('Selection Pane Data'!I$3,List!$E$2:$CD$2,0)),"")</f>
        <v/>
      </c>
      <c r="J153" s="13" t="e">
        <f>IF(J$4="Yes",INDEX(List!$E$2:$CD$173,MATCH('Selection Pane Data'!$B153,List!$E$2:$E$173,0),MATCH('Selection Pane Data'!J$3,List!$E$2:$CD$2,0)),"")</f>
        <v>#N/A</v>
      </c>
      <c r="K153" s="13" t="str">
        <f>IF(K$4="Yes",INDEX(List!$E$2:$CD$173,MATCH('Selection Pane Data'!$B153,List!$E$2:$E$173,0),MATCH('Selection Pane Data'!K$3,List!$E$2:$CD$2,0)),"")</f>
        <v/>
      </c>
      <c r="L153" s="13" t="str">
        <f>IF(L$4="Yes",INDEX(List!$E$2:$CD$173,MATCH('Selection Pane Data'!$B153,List!$E$2:$E$173,0),MATCH('Selection Pane Data'!L$3,List!$E$2:$CD$2,0)),"")</f>
        <v/>
      </c>
      <c r="M153" s="13" t="str">
        <f>IF(M$4="Yes",INDEX(List!$E$2:$CD$173,MATCH('Selection Pane Data'!$B153,List!$E$2:$E$173,0),MATCH('Selection Pane Data'!M$3,List!$E$2:$CD$2,0)),"")</f>
        <v/>
      </c>
      <c r="N153" s="13" t="str">
        <f>IF(N$4="Yes",INDEX(List!$E$2:$CD$173,MATCH('Selection Pane Data'!$B153,List!$E$2:$E$173,0),MATCH('Selection Pane Data'!N$3,List!$E$2:$CD$2,0)),"")</f>
        <v/>
      </c>
      <c r="O153" s="13" t="str">
        <f>IF(O$4="Yes",INDEX(List!$E$2:$CD$173,MATCH('Selection Pane Data'!$B153,List!$E$2:$E$173,0),MATCH('Selection Pane Data'!O$3,List!$E$2:$CD$2,0)),"")</f>
        <v/>
      </c>
      <c r="P153" s="13" t="str">
        <f>IF(P$4="Yes",INDEX(List!$E$2:$CD$173,MATCH('Selection Pane Data'!$B153,List!$E$2:$E$173,0),MATCH('Selection Pane Data'!P$3,List!$E$2:$CD$2,0)),"")</f>
        <v/>
      </c>
      <c r="Q153" s="13" t="str">
        <f>IF(Q$4="Yes",INDEX(List!$E$2:$CD$173,MATCH('Selection Pane Data'!$B153,List!$E$2:$E$173,0),MATCH('Selection Pane Data'!Q$3,List!$E$2:$CD$2,0)),"")</f>
        <v/>
      </c>
      <c r="R153" s="13" t="str">
        <f>IF(R$4="Yes",INDEX(List!$E$2:$CD$173,MATCH('Selection Pane Data'!$B153,List!$E$2:$E$173,0),MATCH('Selection Pane Data'!R$3,List!$E$2:$CD$2,0)),"")</f>
        <v/>
      </c>
      <c r="S153" s="13" t="str">
        <f>IF(S$4="Yes",INDEX(List!$E$2:$CD$173,MATCH('Selection Pane Data'!$B153,List!$E$2:$E$173,0),MATCH('Selection Pane Data'!S$3,List!$E$2:$CD$2,0)),"")</f>
        <v/>
      </c>
      <c r="T153" s="13" t="str">
        <f>IF(T$4="Yes",INDEX(List!$E$2:$CD$173,MATCH('Selection Pane Data'!$B153,List!$E$2:$E$173,0),MATCH('Selection Pane Data'!T$3,List!$E$2:$CD$2,0)),"")</f>
        <v/>
      </c>
      <c r="U153" s="13" t="str">
        <f>IF(U$4="Yes",INDEX(List!$E$2:$CD$173,MATCH('Selection Pane Data'!$B153,List!$E$2:$E$173,0),MATCH('Selection Pane Data'!U$3,List!$E$2:$CD$2,0)),"")</f>
        <v/>
      </c>
      <c r="V153" s="13" t="str">
        <f>IF(V$4="Yes",INDEX(List!$E$2:$CD$173,MATCH('Selection Pane Data'!$B153,List!$E$2:$E$173,0),MATCH('Selection Pane Data'!V$3,List!$E$2:$CD$2,0)),"")</f>
        <v/>
      </c>
      <c r="W153" s="13" t="str">
        <f>IF(W$4="Yes",INDEX(List!$E$2:$CD$173,MATCH('Selection Pane Data'!$B153,List!$E$2:$E$173,0),MATCH('Selection Pane Data'!W$3,List!$E$2:$CD$2,0)),"")</f>
        <v/>
      </c>
      <c r="X153" s="13" t="str">
        <f>IF(X$4="Yes",INDEX(List!$E$2:$CD$173,MATCH('Selection Pane Data'!$B153,List!$E$2:$E$173,0),MATCH('Selection Pane Data'!X$3,List!$E$2:$CD$2,0)),"")</f>
        <v/>
      </c>
      <c r="Y153" s="13" t="str">
        <f>IF(Y$4="Yes",INDEX(List!$E$2:$CD$173,MATCH('Selection Pane Data'!$B153,List!$E$2:$E$173,0),MATCH('Selection Pane Data'!Y$3,List!$E$2:$CD$2,0)),"")</f>
        <v/>
      </c>
      <c r="Z153" s="13" t="str">
        <f>IF(Z$4="Yes",INDEX(List!$E$2:$CD$173,MATCH('Selection Pane Data'!$B153,List!$E$2:$E$173,0),MATCH('Selection Pane Data'!Z$3,List!$E$2:$CD$2,0)),"")</f>
        <v/>
      </c>
      <c r="AA153" s="13" t="e">
        <f>IF(AA$4="Yes",INDEX(List!$E$2:$CD$173,MATCH('Selection Pane Data'!$B153,List!$E$2:$E$173,0),MATCH('Selection Pane Data'!AA$3,List!$E$2:$CD$2,0)),"")</f>
        <v>#N/A</v>
      </c>
      <c r="AB153" s="13" t="str">
        <f>IF(AB$4="Yes",INDEX(List!$E$2:$CD$173,MATCH('Selection Pane Data'!$B153,List!$E$2:$E$173,0),MATCH('Selection Pane Data'!AB$3,List!$E$2:$CD$2,0)),"")</f>
        <v/>
      </c>
      <c r="AC153" s="13" t="str">
        <f>IF(AC$4="Yes",INDEX(List!$E$2:$CD$173,MATCH('Selection Pane Data'!$B153,List!$E$2:$E$173,0),MATCH('Selection Pane Data'!AC$3,List!$E$2:$CD$2,0)),"")</f>
        <v/>
      </c>
      <c r="AD153" s="13" t="str">
        <f>IF(AD$4="Yes",INDEX(List!$E$2:$CD$173,MATCH('Selection Pane Data'!$B153,List!$E$2:$E$173,0),MATCH('Selection Pane Data'!AD$3,List!$E$2:$CD$2,0)),"")</f>
        <v/>
      </c>
      <c r="AE153" s="13" t="str">
        <f>IF(AE$4="Yes",INDEX(List!$E$2:$CD$173,MATCH('Selection Pane Data'!$B153,List!$E$2:$E$173,0),MATCH('Selection Pane Data'!AE$3,List!$E$2:$CD$2,0)),"")</f>
        <v/>
      </c>
      <c r="AF153" s="13" t="str">
        <f>IF(AF$4="Yes",INDEX(List!$E$2:$CD$173,MATCH('Selection Pane Data'!$B153,List!$E$2:$E$173,0),MATCH('Selection Pane Data'!AF$3,List!$E$2:$CD$2,0)),"")</f>
        <v/>
      </c>
      <c r="AG153" s="13" t="str">
        <f>IF(AG$4="Yes",INDEX(List!$E$2:$CD$173,MATCH('Selection Pane Data'!$B153,List!$E$2:$E$173,0),MATCH('Selection Pane Data'!AG$3,List!$E$2:$CD$2,0)),"")</f>
        <v/>
      </c>
      <c r="AH153" s="13" t="str">
        <f>IF(AH$4="Yes",INDEX(List!$E$2:$CD$173,MATCH('Selection Pane Data'!$B153,List!$E$2:$E$173,0),MATCH('Selection Pane Data'!AH$3,List!$E$2:$CD$2,0)),"")</f>
        <v/>
      </c>
      <c r="AI153" s="13" t="str">
        <f>IF(AI$4="Yes",INDEX(List!$E$2:$CD$173,MATCH('Selection Pane Data'!$B153,List!$E$2:$E$173,0),MATCH('Selection Pane Data'!AI$3,List!$E$2:$CD$2,0)),"")</f>
        <v/>
      </c>
      <c r="AJ153" s="13" t="str">
        <f>IF(AJ$4="Yes",INDEX(List!$E$2:$CD$173,MATCH('Selection Pane Data'!$B153,List!$E$2:$E$173,0),MATCH('Selection Pane Data'!AJ$3,List!$E$2:$CD$2,0)),"")</f>
        <v/>
      </c>
      <c r="AK153" s="13" t="str">
        <f>IF(AK$4="Yes",INDEX(List!$E$2:$CD$173,MATCH('Selection Pane Data'!$B153,List!$E$2:$E$173,0),MATCH('Selection Pane Data'!AK$3,List!$E$2:$CD$2,0)),"")</f>
        <v/>
      </c>
      <c r="AL153" s="13" t="str">
        <f>IF(AL$4="Yes",INDEX(List!$E$2:$CD$173,MATCH('Selection Pane Data'!$B153,List!$E$2:$E$173,0),MATCH('Selection Pane Data'!AL$3,List!$E$2:$CD$2,0)),"")</f>
        <v/>
      </c>
      <c r="AM153" s="13" t="str">
        <f>IF(AM$4="Yes",INDEX(List!$E$2:$CD$173,MATCH('Selection Pane Data'!$B153,List!$E$2:$E$173,0),MATCH('Selection Pane Data'!AM$3,List!$E$2:$CD$2,0)),"")</f>
        <v/>
      </c>
      <c r="AN153" s="13" t="str">
        <f>IF(AN$4="Yes",INDEX(List!$E$2:$CD$173,MATCH('Selection Pane Data'!$B153,List!$E$2:$E$173,0),MATCH('Selection Pane Data'!AN$3,List!$E$2:$CD$2,0)),"")</f>
        <v/>
      </c>
      <c r="AO153" s="13" t="str">
        <f>IF(AO$4="Yes",INDEX(List!$E$2:$CD$173,MATCH('Selection Pane Data'!$B153,List!$E$2:$E$173,0),MATCH('Selection Pane Data'!AO$3,List!$E$2:$CD$2,0)),"")</f>
        <v/>
      </c>
      <c r="AP153" s="13" t="str">
        <f>IF(AP$4="Yes",INDEX(List!$E$2:$CD$173,MATCH('Selection Pane Data'!$B153,List!$E$2:$E$173,0),MATCH('Selection Pane Data'!AP$3,List!$E$2:$CD$2,0)),"")</f>
        <v/>
      </c>
      <c r="AQ153" s="13" t="str">
        <f>IF(AQ$4="Yes",INDEX(List!$E$2:$CD$173,MATCH('Selection Pane Data'!$B153,List!$E$2:$E$173,0),MATCH('Selection Pane Data'!AQ$3,List!$E$2:$CD$2,0)),"")</f>
        <v/>
      </c>
      <c r="AR153" s="13" t="str">
        <f>IF(AR$4="Yes",INDEX(List!$E$2:$CD$173,MATCH('Selection Pane Data'!$B153,List!$E$2:$E$173,0),MATCH('Selection Pane Data'!AR$3,List!$E$2:$CD$2,0)),"")</f>
        <v/>
      </c>
      <c r="AS153" s="13" t="str">
        <f>IF(AS$4="Yes",INDEX(List!$E$2:$CD$173,MATCH('Selection Pane Data'!$B153,List!$E$2:$E$173,0),MATCH('Selection Pane Data'!AS$3,List!$E$2:$CD$2,0)),"")</f>
        <v/>
      </c>
      <c r="AT153" s="13" t="str">
        <f>IF(AT$4="Yes",INDEX(List!$E$2:$CD$173,MATCH('Selection Pane Data'!$B153,List!$E$2:$E$173,0),MATCH('Selection Pane Data'!AT$3,List!$E$2:$CD$2,0)),"")</f>
        <v/>
      </c>
      <c r="AU153" s="13" t="str">
        <f>IF(AU$4="Yes",INDEX(List!$E$2:$CD$173,MATCH('Selection Pane Data'!$B153,List!$E$2:$E$173,0),MATCH('Selection Pane Data'!AU$3,List!$E$2:$CD$2,0)),"")</f>
        <v/>
      </c>
      <c r="AV153" s="13" t="str">
        <f>IF(AV$4="Yes",INDEX(List!$E$2:$CD$173,MATCH('Selection Pane Data'!$B153,List!$E$2:$E$173,0),MATCH('Selection Pane Data'!AV$3,List!$E$2:$CD$2,0)),"")</f>
        <v/>
      </c>
      <c r="AW153" s="13" t="str">
        <f>IF(AW$4="Yes",INDEX(List!$E$2:$CD$173,MATCH('Selection Pane Data'!$B153,List!$E$2:$E$173,0),MATCH('Selection Pane Data'!AW$3,List!$E$2:$CD$2,0)),"")</f>
        <v/>
      </c>
      <c r="AX153" s="13" t="str">
        <f>IF(AX$4="Yes",INDEX(List!$E$2:$CD$173,MATCH('Selection Pane Data'!$B153,List!$E$2:$E$173,0),MATCH('Selection Pane Data'!AX$3,List!$E$2:$CD$2,0)),"")</f>
        <v/>
      </c>
      <c r="AY153" s="13" t="str">
        <f>IF(AY$4="Yes",INDEX(List!$E$2:$CD$173,MATCH('Selection Pane Data'!$B153,List!$E$2:$E$173,0),MATCH('Selection Pane Data'!AY$3,List!$E$2:$CD$2,0)),"")</f>
        <v/>
      </c>
      <c r="AZ153" s="13" t="str">
        <f>IF(AZ$4="Yes",INDEX(List!$E$2:$CD$173,MATCH('Selection Pane Data'!$B153,List!$E$2:$E$173,0),MATCH('Selection Pane Data'!AZ$3,List!$E$2:$CD$2,0)),"")</f>
        <v/>
      </c>
      <c r="BA153" s="13" t="str">
        <f>IF(BA$4="Yes",INDEX(List!$E$2:$CD$173,MATCH('Selection Pane Data'!$B153,List!$E$2:$E$173,0),MATCH('Selection Pane Data'!BA$3,List!$E$2:$CD$2,0)),"")</f>
        <v/>
      </c>
      <c r="BB153" s="13" t="str">
        <f>IF(BB$4="Yes",INDEX(List!$E$2:$CD$173,MATCH('Selection Pane Data'!$B153,List!$E$2:$E$173,0),MATCH('Selection Pane Data'!BB$3,List!$E$2:$CD$2,0)),"")</f>
        <v/>
      </c>
      <c r="BC153" s="13" t="str">
        <f>IF(BC$4="Yes",INDEX(List!$E$2:$CD$173,MATCH('Selection Pane Data'!$B153,List!$E$2:$E$173,0),MATCH('Selection Pane Data'!BC$3,List!$E$2:$CD$2,0)),"")</f>
        <v/>
      </c>
      <c r="BD153" s="13" t="str">
        <f>IF(BD$4="Yes",INDEX(List!$E$2:$CD$173,MATCH('Selection Pane Data'!$B153,List!$E$2:$E$173,0),MATCH('Selection Pane Data'!BD$3,List!$E$2:$CD$2,0)),"")</f>
        <v/>
      </c>
      <c r="BE153" s="13" t="str">
        <f>IF(BE$4="Yes",INDEX(List!$E$2:$CD$173,MATCH('Selection Pane Data'!$B153,List!$E$2:$E$173,0),MATCH('Selection Pane Data'!BE$3,List!$E$2:$CD$2,0)),"")</f>
        <v/>
      </c>
      <c r="BF153" s="13" t="str">
        <f>IF(BF$4="Yes",INDEX(List!$E$2:$CD$173,MATCH('Selection Pane Data'!$B153,List!$E$2:$E$173,0),MATCH('Selection Pane Data'!BF$3,List!$E$2:$CD$2,0)),"")</f>
        <v/>
      </c>
      <c r="BG153" s="13" t="str">
        <f>IF(BG$4="Yes",INDEX(List!$E$2:$CD$173,MATCH('Selection Pane Data'!$B153,List!$E$2:$E$173,0),MATCH('Selection Pane Data'!BG$3,List!$E$2:$CD$2,0)),"")</f>
        <v/>
      </c>
      <c r="BH153" s="13" t="str">
        <f>IF(BH$4="Yes",INDEX(List!$E$2:$CD$173,MATCH('Selection Pane Data'!$B153,List!$E$2:$E$173,0),MATCH('Selection Pane Data'!BH$3,List!$E$2:$CD$2,0)),"")</f>
        <v/>
      </c>
      <c r="BI153" s="13" t="str">
        <f>IF(BI$4="Yes",INDEX(List!$E$2:$CD$173,MATCH('Selection Pane Data'!$B153,List!$E$2:$E$173,0),MATCH('Selection Pane Data'!BI$3,List!$E$2:$CD$2,0)),"")</f>
        <v/>
      </c>
      <c r="BJ153" s="13" t="str">
        <f>IF(BJ$4="Yes",INDEX(List!$E$2:$CD$173,MATCH('Selection Pane Data'!$B153,List!$E$2:$E$173,0),MATCH('Selection Pane Data'!BJ$3,List!$E$2:$CD$2,0)),"")</f>
        <v/>
      </c>
      <c r="BK153" s="13" t="str">
        <f>IF(BK$4="Yes",INDEX(List!$E$2:$CD$173,MATCH('Selection Pane Data'!$B153,List!$E$2:$E$173,0),MATCH('Selection Pane Data'!BK$3,List!$E$2:$CD$2,0)),"")</f>
        <v/>
      </c>
      <c r="BL153" s="13" t="str">
        <f>IF(BL$4="Yes",INDEX(List!$E$2:$CD$173,MATCH('Selection Pane Data'!$B153,List!$E$2:$E$173,0),MATCH('Selection Pane Data'!BL$3,List!$E$2:$CD$2,0)),"")</f>
        <v/>
      </c>
      <c r="BM153" s="13" t="str">
        <f>IF(BM$4="Yes",INDEX(List!$E$2:$CD$173,MATCH('Selection Pane Data'!$B153,List!$E$2:$E$173,0),MATCH('Selection Pane Data'!BM$3,List!$E$2:$CD$2,0)),"")</f>
        <v/>
      </c>
      <c r="BN153" s="13" t="str">
        <f>IF(BN$4="Yes",INDEX(List!$E$2:$CD$173,MATCH('Selection Pane Data'!$B153,List!$E$2:$E$173,0),MATCH('Selection Pane Data'!BN$3,List!$E$2:$CD$2,0)),"")</f>
        <v/>
      </c>
      <c r="BO153" s="13" t="str">
        <f>IF(BO$4="Yes",INDEX(List!$E$2:$CD$173,MATCH('Selection Pane Data'!$B153,List!$E$2:$E$173,0),MATCH('Selection Pane Data'!BO$3,List!$E$2:$CD$2,0)),"")</f>
        <v/>
      </c>
      <c r="BP153" s="13" t="str">
        <f>IF(BP$4="Yes",INDEX(List!$E$2:$CD$173,MATCH('Selection Pane Data'!$B153,List!$E$2:$E$173,0),MATCH('Selection Pane Data'!BP$3,List!$E$2:$CD$2,0)),"")</f>
        <v/>
      </c>
      <c r="BQ153" s="13" t="str">
        <f>IF(BQ$4="Yes",INDEX(List!$E$2:$CD$173,MATCH('Selection Pane Data'!$B153,List!$E$2:$E$173,0),MATCH('Selection Pane Data'!BQ$3,List!$E$2:$CD$2,0)),"")</f>
        <v/>
      </c>
      <c r="BR153" s="13" t="str">
        <f>IF(BR$4="Yes",INDEX(List!$E$2:$CD$173,MATCH('Selection Pane Data'!$B153,List!$E$2:$E$173,0),MATCH('Selection Pane Data'!BR$3,List!$E$2:$CD$2,0)),"")</f>
        <v/>
      </c>
      <c r="BS153" s="13" t="str">
        <f>IF(BS$4="Yes",INDEX(List!$E$2:$CD$173,MATCH('Selection Pane Data'!$B153,List!$E$2:$E$173,0),MATCH('Selection Pane Data'!BS$3,List!$E$2:$CD$2,0)),"")</f>
        <v/>
      </c>
      <c r="BT153" s="13" t="str">
        <f>IF(BT$4="Yes",INDEX(List!$E$2:$CD$173,MATCH('Selection Pane Data'!$B153,List!$E$2:$E$173,0),MATCH('Selection Pane Data'!BT$3,List!$E$2:$CD$2,0)),"")</f>
        <v/>
      </c>
      <c r="BU153" s="13" t="str">
        <f>IF(BU$4="Yes",INDEX(List!$E$2:$CD$173,MATCH('Selection Pane Data'!$B153,List!$E$2:$E$173,0),MATCH('Selection Pane Data'!BU$3,List!$E$2:$CD$2,0)),"")</f>
        <v/>
      </c>
      <c r="BV153" s="13" t="str">
        <f>IF(BV$4="Yes",INDEX(List!$E$2:$CD$173,MATCH('Selection Pane Data'!$B153,List!$E$2:$E$173,0),MATCH('Selection Pane Data'!BV$3,List!$E$2:$CD$2,0)),"")</f>
        <v/>
      </c>
      <c r="BW153" s="13" t="str">
        <f>IF(BW$4="Yes",INDEX(List!$E$2:$CD$173,MATCH('Selection Pane Data'!$B153,List!$E$2:$E$173,0),MATCH('Selection Pane Data'!BW$3,List!$E$2:$CD$2,0)),"")</f>
        <v/>
      </c>
      <c r="BX153" s="13" t="str">
        <f>IF(BX$4="Yes",INDEX(List!$E$2:$CD$173,MATCH('Selection Pane Data'!$B153,List!$E$2:$E$173,0),MATCH('Selection Pane Data'!BX$3,List!$E$2:$CD$2,0)),"")</f>
        <v/>
      </c>
      <c r="BY153" s="13" t="str">
        <f>IF(BY$4="Yes",INDEX(List!$E$2:$CD$173,MATCH('Selection Pane Data'!$B153,List!$E$2:$E$173,0),MATCH('Selection Pane Data'!BY$3,List!$E$2:$CD$2,0)),"")</f>
        <v/>
      </c>
      <c r="BZ153" s="13" t="str">
        <f>IF(BZ$4="Yes",INDEX(List!$E$2:$CD$173,MATCH('Selection Pane Data'!$B153,List!$E$2:$E$173,0),MATCH('Selection Pane Data'!BZ$3,List!$E$2:$CD$2,0)),"")</f>
        <v/>
      </c>
      <c r="CA153" s="13" t="str">
        <f>IF(CA$4="Yes",INDEX(List!$E$2:$CD$173,MATCH('Selection Pane Data'!$B153,List!$E$2:$E$173,0),MATCH('Selection Pane Data'!CA$3,List!$E$2:$CD$2,0)),"")</f>
        <v/>
      </c>
      <c r="CB153" s="13" t="str">
        <f>IF(CB$4="Yes",INDEX(List!$E$2:$CD$173,MATCH('Selection Pane Data'!$B153,List!$E$2:$E$173,0),MATCH('Selection Pane Data'!CB$3,List!$E$2:$CD$2,0)),"")</f>
        <v/>
      </c>
      <c r="CC153" s="13" t="str">
        <f>IF(CC$4="Yes",INDEX(List!$E$2:$CD$173,MATCH('Selection Pane Data'!$B153,List!$E$2:$E$173,0),MATCH('Selection Pane Data'!CC$3,List!$E$2:$CD$2,0)),"")</f>
        <v/>
      </c>
      <c r="CD153" s="13" t="str">
        <f>IF(CD$4="Yes",INDEX(List!$E$2:$CD$173,MATCH('Selection Pane Data'!$B153,List!$E$2:$E$173,0),MATCH('Selection Pane Data'!CD$3,List!$E$2:$CD$2,0)),"")</f>
        <v/>
      </c>
      <c r="CE153" s="13" t="str">
        <f>IF(CE$4="Yes",INDEX(List!$E$2:$CD$173,MATCH('Selection Pane Data'!$B153,List!$E$2:$E$173,0),MATCH('Selection Pane Data'!CE$3,List!$E$2:$CD$2,0)),"")</f>
        <v/>
      </c>
    </row>
    <row r="154" spans="2:83" x14ac:dyDescent="0.35">
      <c r="B154" s="21" t="s">
        <v>441</v>
      </c>
      <c r="C154" s="126" t="str">
        <f>VLOOKUP(B154,List!$E$2:$G$173,2,FALSE)</f>
        <v>N/A</v>
      </c>
      <c r="D154" s="31" t="str">
        <f>List!G152</f>
        <v>Shared Coverage</v>
      </c>
      <c r="E154" s="31" t="str">
        <f>IF(Placemat!$F$4="All Practices","All Practices",IF(VLOOKUP(B154,Table7[#All],6,FALSE)="No Mapping","New CMMC Practices","Practices with NIST 800-171 Mappings"))</f>
        <v>Practices with NIST 800-171 Mappings</v>
      </c>
      <c r="F154" t="str">
        <f>INDEX('CMMC Levels'!$A$1:$F$172,MATCH('Selection Pane Data'!$C154,'CMMC Levels'!$A$1:$A$172,0),MATCH(Placemat!$F$4,'CMMC Levels'!$A$1:$F$1,0))</f>
        <v>N/A</v>
      </c>
      <c r="G154" s="77" t="str">
        <f>IF((COUNTIF(List!H152:CE152,"P")+COUNTIF(List!H152:CE152,"S"))=0,"N",IF(COUNTIF(H154:CE154,"P"),"P",IF(COUNTIF(H154:CE154,"S"),"S","U")))</f>
        <v>N</v>
      </c>
      <c r="H154" s="13" t="str">
        <f>IF(H$4="Yes",INDEX(List!$E$2:$CD$173,MATCH('Selection Pane Data'!$B154,List!$E$2:$E$173,0),MATCH('Selection Pane Data'!H$3,List!$E$2:$CD$2,0)),"")</f>
        <v/>
      </c>
      <c r="I154" s="13" t="str">
        <f>IF(I$4="Yes",INDEX(List!$E$2:$CD$173,MATCH('Selection Pane Data'!$B154,List!$E$2:$E$173,0),MATCH('Selection Pane Data'!I$3,List!$E$2:$CD$2,0)),"")</f>
        <v/>
      </c>
      <c r="J154" s="13" t="e">
        <f>IF(J$4="Yes",INDEX(List!$E$2:$CD$173,MATCH('Selection Pane Data'!$B154,List!$E$2:$E$173,0),MATCH('Selection Pane Data'!J$3,List!$E$2:$CD$2,0)),"")</f>
        <v>#N/A</v>
      </c>
      <c r="K154" s="13" t="str">
        <f>IF(K$4="Yes",INDEX(List!$E$2:$CD$173,MATCH('Selection Pane Data'!$B154,List!$E$2:$E$173,0),MATCH('Selection Pane Data'!K$3,List!$E$2:$CD$2,0)),"")</f>
        <v/>
      </c>
      <c r="L154" s="13" t="str">
        <f>IF(L$4="Yes",INDEX(List!$E$2:$CD$173,MATCH('Selection Pane Data'!$B154,List!$E$2:$E$173,0),MATCH('Selection Pane Data'!L$3,List!$E$2:$CD$2,0)),"")</f>
        <v/>
      </c>
      <c r="M154" s="13" t="str">
        <f>IF(M$4="Yes",INDEX(List!$E$2:$CD$173,MATCH('Selection Pane Data'!$B154,List!$E$2:$E$173,0),MATCH('Selection Pane Data'!M$3,List!$E$2:$CD$2,0)),"")</f>
        <v/>
      </c>
      <c r="N154" s="13" t="str">
        <f>IF(N$4="Yes",INDEX(List!$E$2:$CD$173,MATCH('Selection Pane Data'!$B154,List!$E$2:$E$173,0),MATCH('Selection Pane Data'!N$3,List!$E$2:$CD$2,0)),"")</f>
        <v/>
      </c>
      <c r="O154" s="13" t="str">
        <f>IF(O$4="Yes",INDEX(List!$E$2:$CD$173,MATCH('Selection Pane Data'!$B154,List!$E$2:$E$173,0),MATCH('Selection Pane Data'!O$3,List!$E$2:$CD$2,0)),"")</f>
        <v/>
      </c>
      <c r="P154" s="13" t="str">
        <f>IF(P$4="Yes",INDEX(List!$E$2:$CD$173,MATCH('Selection Pane Data'!$B154,List!$E$2:$E$173,0),MATCH('Selection Pane Data'!P$3,List!$E$2:$CD$2,0)),"")</f>
        <v/>
      </c>
      <c r="Q154" s="13" t="str">
        <f>IF(Q$4="Yes",INDEX(List!$E$2:$CD$173,MATCH('Selection Pane Data'!$B154,List!$E$2:$E$173,0),MATCH('Selection Pane Data'!Q$3,List!$E$2:$CD$2,0)),"")</f>
        <v/>
      </c>
      <c r="R154" s="13" t="str">
        <f>IF(R$4="Yes",INDEX(List!$E$2:$CD$173,MATCH('Selection Pane Data'!$B154,List!$E$2:$E$173,0),MATCH('Selection Pane Data'!R$3,List!$E$2:$CD$2,0)),"")</f>
        <v/>
      </c>
      <c r="S154" s="13" t="str">
        <f>IF(S$4="Yes",INDEX(List!$E$2:$CD$173,MATCH('Selection Pane Data'!$B154,List!$E$2:$E$173,0),MATCH('Selection Pane Data'!S$3,List!$E$2:$CD$2,0)),"")</f>
        <v/>
      </c>
      <c r="T154" s="13" t="str">
        <f>IF(T$4="Yes",INDEX(List!$E$2:$CD$173,MATCH('Selection Pane Data'!$B154,List!$E$2:$E$173,0),MATCH('Selection Pane Data'!T$3,List!$E$2:$CD$2,0)),"")</f>
        <v/>
      </c>
      <c r="U154" s="13" t="str">
        <f>IF(U$4="Yes",INDEX(List!$E$2:$CD$173,MATCH('Selection Pane Data'!$B154,List!$E$2:$E$173,0),MATCH('Selection Pane Data'!U$3,List!$E$2:$CD$2,0)),"")</f>
        <v/>
      </c>
      <c r="V154" s="13" t="str">
        <f>IF(V$4="Yes",INDEX(List!$E$2:$CD$173,MATCH('Selection Pane Data'!$B154,List!$E$2:$E$173,0),MATCH('Selection Pane Data'!V$3,List!$E$2:$CD$2,0)),"")</f>
        <v/>
      </c>
      <c r="W154" s="13" t="str">
        <f>IF(W$4="Yes",INDEX(List!$E$2:$CD$173,MATCH('Selection Pane Data'!$B154,List!$E$2:$E$173,0),MATCH('Selection Pane Data'!W$3,List!$E$2:$CD$2,0)),"")</f>
        <v/>
      </c>
      <c r="X154" s="13" t="str">
        <f>IF(X$4="Yes",INDEX(List!$E$2:$CD$173,MATCH('Selection Pane Data'!$B154,List!$E$2:$E$173,0),MATCH('Selection Pane Data'!X$3,List!$E$2:$CD$2,0)),"")</f>
        <v/>
      </c>
      <c r="Y154" s="13" t="str">
        <f>IF(Y$4="Yes",INDEX(List!$E$2:$CD$173,MATCH('Selection Pane Data'!$B154,List!$E$2:$E$173,0),MATCH('Selection Pane Data'!Y$3,List!$E$2:$CD$2,0)),"")</f>
        <v/>
      </c>
      <c r="Z154" s="13" t="str">
        <f>IF(Z$4="Yes",INDEX(List!$E$2:$CD$173,MATCH('Selection Pane Data'!$B154,List!$E$2:$E$173,0),MATCH('Selection Pane Data'!Z$3,List!$E$2:$CD$2,0)),"")</f>
        <v/>
      </c>
      <c r="AA154" s="13" t="e">
        <f>IF(AA$4="Yes",INDEX(List!$E$2:$CD$173,MATCH('Selection Pane Data'!$B154,List!$E$2:$E$173,0),MATCH('Selection Pane Data'!AA$3,List!$E$2:$CD$2,0)),"")</f>
        <v>#N/A</v>
      </c>
      <c r="AB154" s="13" t="str">
        <f>IF(AB$4="Yes",INDEX(List!$E$2:$CD$173,MATCH('Selection Pane Data'!$B154,List!$E$2:$E$173,0),MATCH('Selection Pane Data'!AB$3,List!$E$2:$CD$2,0)),"")</f>
        <v/>
      </c>
      <c r="AC154" s="13" t="str">
        <f>IF(AC$4="Yes",INDEX(List!$E$2:$CD$173,MATCH('Selection Pane Data'!$B154,List!$E$2:$E$173,0),MATCH('Selection Pane Data'!AC$3,List!$E$2:$CD$2,0)),"")</f>
        <v/>
      </c>
      <c r="AD154" s="13" t="str">
        <f>IF(AD$4="Yes",INDEX(List!$E$2:$CD$173,MATCH('Selection Pane Data'!$B154,List!$E$2:$E$173,0),MATCH('Selection Pane Data'!AD$3,List!$E$2:$CD$2,0)),"")</f>
        <v/>
      </c>
      <c r="AE154" s="13" t="str">
        <f>IF(AE$4="Yes",INDEX(List!$E$2:$CD$173,MATCH('Selection Pane Data'!$B154,List!$E$2:$E$173,0),MATCH('Selection Pane Data'!AE$3,List!$E$2:$CD$2,0)),"")</f>
        <v/>
      </c>
      <c r="AF154" s="13" t="str">
        <f>IF(AF$4="Yes",INDEX(List!$E$2:$CD$173,MATCH('Selection Pane Data'!$B154,List!$E$2:$E$173,0),MATCH('Selection Pane Data'!AF$3,List!$E$2:$CD$2,0)),"")</f>
        <v/>
      </c>
      <c r="AG154" s="13" t="str">
        <f>IF(AG$4="Yes",INDEX(List!$E$2:$CD$173,MATCH('Selection Pane Data'!$B154,List!$E$2:$E$173,0),MATCH('Selection Pane Data'!AG$3,List!$E$2:$CD$2,0)),"")</f>
        <v/>
      </c>
      <c r="AH154" s="13" t="str">
        <f>IF(AH$4="Yes",INDEX(List!$E$2:$CD$173,MATCH('Selection Pane Data'!$B154,List!$E$2:$E$173,0),MATCH('Selection Pane Data'!AH$3,List!$E$2:$CD$2,0)),"")</f>
        <v/>
      </c>
      <c r="AI154" s="13" t="str">
        <f>IF(AI$4="Yes",INDEX(List!$E$2:$CD$173,MATCH('Selection Pane Data'!$B154,List!$E$2:$E$173,0),MATCH('Selection Pane Data'!AI$3,List!$E$2:$CD$2,0)),"")</f>
        <v/>
      </c>
      <c r="AJ154" s="13" t="str">
        <f>IF(AJ$4="Yes",INDEX(List!$E$2:$CD$173,MATCH('Selection Pane Data'!$B154,List!$E$2:$E$173,0),MATCH('Selection Pane Data'!AJ$3,List!$E$2:$CD$2,0)),"")</f>
        <v/>
      </c>
      <c r="AK154" s="13" t="str">
        <f>IF(AK$4="Yes",INDEX(List!$E$2:$CD$173,MATCH('Selection Pane Data'!$B154,List!$E$2:$E$173,0),MATCH('Selection Pane Data'!AK$3,List!$E$2:$CD$2,0)),"")</f>
        <v/>
      </c>
      <c r="AL154" s="13" t="str">
        <f>IF(AL$4="Yes",INDEX(List!$E$2:$CD$173,MATCH('Selection Pane Data'!$B154,List!$E$2:$E$173,0),MATCH('Selection Pane Data'!AL$3,List!$E$2:$CD$2,0)),"")</f>
        <v/>
      </c>
      <c r="AM154" s="13" t="str">
        <f>IF(AM$4="Yes",INDEX(List!$E$2:$CD$173,MATCH('Selection Pane Data'!$B154,List!$E$2:$E$173,0),MATCH('Selection Pane Data'!AM$3,List!$E$2:$CD$2,0)),"")</f>
        <v/>
      </c>
      <c r="AN154" s="13" t="str">
        <f>IF(AN$4="Yes",INDEX(List!$E$2:$CD$173,MATCH('Selection Pane Data'!$B154,List!$E$2:$E$173,0),MATCH('Selection Pane Data'!AN$3,List!$E$2:$CD$2,0)),"")</f>
        <v/>
      </c>
      <c r="AO154" s="13" t="str">
        <f>IF(AO$4="Yes",INDEX(List!$E$2:$CD$173,MATCH('Selection Pane Data'!$B154,List!$E$2:$E$173,0),MATCH('Selection Pane Data'!AO$3,List!$E$2:$CD$2,0)),"")</f>
        <v/>
      </c>
      <c r="AP154" s="13" t="str">
        <f>IF(AP$4="Yes",INDEX(List!$E$2:$CD$173,MATCH('Selection Pane Data'!$B154,List!$E$2:$E$173,0),MATCH('Selection Pane Data'!AP$3,List!$E$2:$CD$2,0)),"")</f>
        <v/>
      </c>
      <c r="AQ154" s="13" t="str">
        <f>IF(AQ$4="Yes",INDEX(List!$E$2:$CD$173,MATCH('Selection Pane Data'!$B154,List!$E$2:$E$173,0),MATCH('Selection Pane Data'!AQ$3,List!$E$2:$CD$2,0)),"")</f>
        <v/>
      </c>
      <c r="AR154" s="13" t="str">
        <f>IF(AR$4="Yes",INDEX(List!$E$2:$CD$173,MATCH('Selection Pane Data'!$B154,List!$E$2:$E$173,0),MATCH('Selection Pane Data'!AR$3,List!$E$2:$CD$2,0)),"")</f>
        <v/>
      </c>
      <c r="AS154" s="13" t="str">
        <f>IF(AS$4="Yes",INDEX(List!$E$2:$CD$173,MATCH('Selection Pane Data'!$B154,List!$E$2:$E$173,0),MATCH('Selection Pane Data'!AS$3,List!$E$2:$CD$2,0)),"")</f>
        <v/>
      </c>
      <c r="AT154" s="13" t="str">
        <f>IF(AT$4="Yes",INDEX(List!$E$2:$CD$173,MATCH('Selection Pane Data'!$B154,List!$E$2:$E$173,0),MATCH('Selection Pane Data'!AT$3,List!$E$2:$CD$2,0)),"")</f>
        <v/>
      </c>
      <c r="AU154" s="13" t="str">
        <f>IF(AU$4="Yes",INDEX(List!$E$2:$CD$173,MATCH('Selection Pane Data'!$B154,List!$E$2:$E$173,0),MATCH('Selection Pane Data'!AU$3,List!$E$2:$CD$2,0)),"")</f>
        <v/>
      </c>
      <c r="AV154" s="13" t="str">
        <f>IF(AV$4="Yes",INDEX(List!$E$2:$CD$173,MATCH('Selection Pane Data'!$B154,List!$E$2:$E$173,0),MATCH('Selection Pane Data'!AV$3,List!$E$2:$CD$2,0)),"")</f>
        <v/>
      </c>
      <c r="AW154" s="13" t="str">
        <f>IF(AW$4="Yes",INDEX(List!$E$2:$CD$173,MATCH('Selection Pane Data'!$B154,List!$E$2:$E$173,0),MATCH('Selection Pane Data'!AW$3,List!$E$2:$CD$2,0)),"")</f>
        <v/>
      </c>
      <c r="AX154" s="13" t="str">
        <f>IF(AX$4="Yes",INDEX(List!$E$2:$CD$173,MATCH('Selection Pane Data'!$B154,List!$E$2:$E$173,0),MATCH('Selection Pane Data'!AX$3,List!$E$2:$CD$2,0)),"")</f>
        <v/>
      </c>
      <c r="AY154" s="13" t="str">
        <f>IF(AY$4="Yes",INDEX(List!$E$2:$CD$173,MATCH('Selection Pane Data'!$B154,List!$E$2:$E$173,0),MATCH('Selection Pane Data'!AY$3,List!$E$2:$CD$2,0)),"")</f>
        <v/>
      </c>
      <c r="AZ154" s="13" t="str">
        <f>IF(AZ$4="Yes",INDEX(List!$E$2:$CD$173,MATCH('Selection Pane Data'!$B154,List!$E$2:$E$173,0),MATCH('Selection Pane Data'!AZ$3,List!$E$2:$CD$2,0)),"")</f>
        <v/>
      </c>
      <c r="BA154" s="13" t="str">
        <f>IF(BA$4="Yes",INDEX(List!$E$2:$CD$173,MATCH('Selection Pane Data'!$B154,List!$E$2:$E$173,0),MATCH('Selection Pane Data'!BA$3,List!$E$2:$CD$2,0)),"")</f>
        <v/>
      </c>
      <c r="BB154" s="13" t="str">
        <f>IF(BB$4="Yes",INDEX(List!$E$2:$CD$173,MATCH('Selection Pane Data'!$B154,List!$E$2:$E$173,0),MATCH('Selection Pane Data'!BB$3,List!$E$2:$CD$2,0)),"")</f>
        <v/>
      </c>
      <c r="BC154" s="13" t="str">
        <f>IF(BC$4="Yes",INDEX(List!$E$2:$CD$173,MATCH('Selection Pane Data'!$B154,List!$E$2:$E$173,0),MATCH('Selection Pane Data'!BC$3,List!$E$2:$CD$2,0)),"")</f>
        <v/>
      </c>
      <c r="BD154" s="13" t="str">
        <f>IF(BD$4="Yes",INDEX(List!$E$2:$CD$173,MATCH('Selection Pane Data'!$B154,List!$E$2:$E$173,0),MATCH('Selection Pane Data'!BD$3,List!$E$2:$CD$2,0)),"")</f>
        <v/>
      </c>
      <c r="BE154" s="13" t="str">
        <f>IF(BE$4="Yes",INDEX(List!$E$2:$CD$173,MATCH('Selection Pane Data'!$B154,List!$E$2:$E$173,0),MATCH('Selection Pane Data'!BE$3,List!$E$2:$CD$2,0)),"")</f>
        <v/>
      </c>
      <c r="BF154" s="13" t="str">
        <f>IF(BF$4="Yes",INDEX(List!$E$2:$CD$173,MATCH('Selection Pane Data'!$B154,List!$E$2:$E$173,0),MATCH('Selection Pane Data'!BF$3,List!$E$2:$CD$2,0)),"")</f>
        <v/>
      </c>
      <c r="BG154" s="13" t="str">
        <f>IF(BG$4="Yes",INDEX(List!$E$2:$CD$173,MATCH('Selection Pane Data'!$B154,List!$E$2:$E$173,0),MATCH('Selection Pane Data'!BG$3,List!$E$2:$CD$2,0)),"")</f>
        <v/>
      </c>
      <c r="BH154" s="13" t="str">
        <f>IF(BH$4="Yes",INDEX(List!$E$2:$CD$173,MATCH('Selection Pane Data'!$B154,List!$E$2:$E$173,0),MATCH('Selection Pane Data'!BH$3,List!$E$2:$CD$2,0)),"")</f>
        <v/>
      </c>
      <c r="BI154" s="13" t="str">
        <f>IF(BI$4="Yes",INDEX(List!$E$2:$CD$173,MATCH('Selection Pane Data'!$B154,List!$E$2:$E$173,0),MATCH('Selection Pane Data'!BI$3,List!$E$2:$CD$2,0)),"")</f>
        <v/>
      </c>
      <c r="BJ154" s="13" t="str">
        <f>IF(BJ$4="Yes",INDEX(List!$E$2:$CD$173,MATCH('Selection Pane Data'!$B154,List!$E$2:$E$173,0),MATCH('Selection Pane Data'!BJ$3,List!$E$2:$CD$2,0)),"")</f>
        <v/>
      </c>
      <c r="BK154" s="13" t="str">
        <f>IF(BK$4="Yes",INDEX(List!$E$2:$CD$173,MATCH('Selection Pane Data'!$B154,List!$E$2:$E$173,0),MATCH('Selection Pane Data'!BK$3,List!$E$2:$CD$2,0)),"")</f>
        <v/>
      </c>
      <c r="BL154" s="13" t="str">
        <f>IF(BL$4="Yes",INDEX(List!$E$2:$CD$173,MATCH('Selection Pane Data'!$B154,List!$E$2:$E$173,0),MATCH('Selection Pane Data'!BL$3,List!$E$2:$CD$2,0)),"")</f>
        <v/>
      </c>
      <c r="BM154" s="13" t="str">
        <f>IF(BM$4="Yes",INDEX(List!$E$2:$CD$173,MATCH('Selection Pane Data'!$B154,List!$E$2:$E$173,0),MATCH('Selection Pane Data'!BM$3,List!$E$2:$CD$2,0)),"")</f>
        <v/>
      </c>
      <c r="BN154" s="13" t="str">
        <f>IF(BN$4="Yes",INDEX(List!$E$2:$CD$173,MATCH('Selection Pane Data'!$B154,List!$E$2:$E$173,0),MATCH('Selection Pane Data'!BN$3,List!$E$2:$CD$2,0)),"")</f>
        <v/>
      </c>
      <c r="BO154" s="13" t="str">
        <f>IF(BO$4="Yes",INDEX(List!$E$2:$CD$173,MATCH('Selection Pane Data'!$B154,List!$E$2:$E$173,0),MATCH('Selection Pane Data'!BO$3,List!$E$2:$CD$2,0)),"")</f>
        <v/>
      </c>
      <c r="BP154" s="13" t="str">
        <f>IF(BP$4="Yes",INDEX(List!$E$2:$CD$173,MATCH('Selection Pane Data'!$B154,List!$E$2:$E$173,0),MATCH('Selection Pane Data'!BP$3,List!$E$2:$CD$2,0)),"")</f>
        <v/>
      </c>
      <c r="BQ154" s="13" t="str">
        <f>IF(BQ$4="Yes",INDEX(List!$E$2:$CD$173,MATCH('Selection Pane Data'!$B154,List!$E$2:$E$173,0),MATCH('Selection Pane Data'!BQ$3,List!$E$2:$CD$2,0)),"")</f>
        <v/>
      </c>
      <c r="BR154" s="13" t="str">
        <f>IF(BR$4="Yes",INDEX(List!$E$2:$CD$173,MATCH('Selection Pane Data'!$B154,List!$E$2:$E$173,0),MATCH('Selection Pane Data'!BR$3,List!$E$2:$CD$2,0)),"")</f>
        <v/>
      </c>
      <c r="BS154" s="13" t="str">
        <f>IF(BS$4="Yes",INDEX(List!$E$2:$CD$173,MATCH('Selection Pane Data'!$B154,List!$E$2:$E$173,0),MATCH('Selection Pane Data'!BS$3,List!$E$2:$CD$2,0)),"")</f>
        <v/>
      </c>
      <c r="BT154" s="13" t="str">
        <f>IF(BT$4="Yes",INDEX(List!$E$2:$CD$173,MATCH('Selection Pane Data'!$B154,List!$E$2:$E$173,0),MATCH('Selection Pane Data'!BT$3,List!$E$2:$CD$2,0)),"")</f>
        <v/>
      </c>
      <c r="BU154" s="13" t="str">
        <f>IF(BU$4="Yes",INDEX(List!$E$2:$CD$173,MATCH('Selection Pane Data'!$B154,List!$E$2:$E$173,0),MATCH('Selection Pane Data'!BU$3,List!$E$2:$CD$2,0)),"")</f>
        <v/>
      </c>
      <c r="BV154" s="13" t="str">
        <f>IF(BV$4="Yes",INDEX(List!$E$2:$CD$173,MATCH('Selection Pane Data'!$B154,List!$E$2:$E$173,0),MATCH('Selection Pane Data'!BV$3,List!$E$2:$CD$2,0)),"")</f>
        <v/>
      </c>
      <c r="BW154" s="13" t="str">
        <f>IF(BW$4="Yes",INDEX(List!$E$2:$CD$173,MATCH('Selection Pane Data'!$B154,List!$E$2:$E$173,0),MATCH('Selection Pane Data'!BW$3,List!$E$2:$CD$2,0)),"")</f>
        <v/>
      </c>
      <c r="BX154" s="13" t="str">
        <f>IF(BX$4="Yes",INDEX(List!$E$2:$CD$173,MATCH('Selection Pane Data'!$B154,List!$E$2:$E$173,0),MATCH('Selection Pane Data'!BX$3,List!$E$2:$CD$2,0)),"")</f>
        <v/>
      </c>
      <c r="BY154" s="13" t="str">
        <f>IF(BY$4="Yes",INDEX(List!$E$2:$CD$173,MATCH('Selection Pane Data'!$B154,List!$E$2:$E$173,0),MATCH('Selection Pane Data'!BY$3,List!$E$2:$CD$2,0)),"")</f>
        <v/>
      </c>
      <c r="BZ154" s="13" t="str">
        <f>IF(BZ$4="Yes",INDEX(List!$E$2:$CD$173,MATCH('Selection Pane Data'!$B154,List!$E$2:$E$173,0),MATCH('Selection Pane Data'!BZ$3,List!$E$2:$CD$2,0)),"")</f>
        <v/>
      </c>
      <c r="CA154" s="13" t="str">
        <f>IF(CA$4="Yes",INDEX(List!$E$2:$CD$173,MATCH('Selection Pane Data'!$B154,List!$E$2:$E$173,0),MATCH('Selection Pane Data'!CA$3,List!$E$2:$CD$2,0)),"")</f>
        <v/>
      </c>
      <c r="CB154" s="13" t="str">
        <f>IF(CB$4="Yes",INDEX(List!$E$2:$CD$173,MATCH('Selection Pane Data'!$B154,List!$E$2:$E$173,0),MATCH('Selection Pane Data'!CB$3,List!$E$2:$CD$2,0)),"")</f>
        <v/>
      </c>
      <c r="CC154" s="13" t="str">
        <f>IF(CC$4="Yes",INDEX(List!$E$2:$CD$173,MATCH('Selection Pane Data'!$B154,List!$E$2:$E$173,0),MATCH('Selection Pane Data'!CC$3,List!$E$2:$CD$2,0)),"")</f>
        <v/>
      </c>
      <c r="CD154" s="13" t="str">
        <f>IF(CD$4="Yes",INDEX(List!$E$2:$CD$173,MATCH('Selection Pane Data'!$B154,List!$E$2:$E$173,0),MATCH('Selection Pane Data'!CD$3,List!$E$2:$CD$2,0)),"")</f>
        <v/>
      </c>
      <c r="CE154" s="13" t="str">
        <f>IF(CE$4="Yes",INDEX(List!$E$2:$CD$173,MATCH('Selection Pane Data'!$B154,List!$E$2:$E$173,0),MATCH('Selection Pane Data'!CE$3,List!$E$2:$CD$2,0)),"")</f>
        <v/>
      </c>
    </row>
    <row r="155" spans="2:83" x14ac:dyDescent="0.35">
      <c r="B155" s="21" t="s">
        <v>442</v>
      </c>
      <c r="C155" s="126" t="str">
        <f>VLOOKUP(B155,List!$E$2:$G$173,2,FALSE)</f>
        <v>SC.L3-12</v>
      </c>
      <c r="D155" s="31" t="str">
        <f>List!G153</f>
        <v>Not Applicable</v>
      </c>
      <c r="E155" s="31" t="str">
        <f>IF(Placemat!$F$4="All Practices","All Practices",IF(VLOOKUP(B155,Table7[#All],6,FALSE)="No Mapping","New CMMC Practices","Practices with NIST 800-171 Mappings"))</f>
        <v>Practices with NIST 800-171 Mappings</v>
      </c>
      <c r="F155" t="str">
        <f>INDEX('CMMC Levels'!$A$1:$F$172,MATCH('Selection Pane Data'!$C155,'CMMC Levels'!$A$1:$A$172,0),MATCH(Placemat!$F$4,'CMMC Levels'!$A$1:$F$1,0))</f>
        <v>N/A</v>
      </c>
      <c r="G155" s="77" t="str">
        <f>IF((COUNTIF(List!H153:CE153,"P")+COUNTIF(List!H153:CE153,"S"))=0,"N",IF(COUNTIF(H155:CE155,"P"),"P",IF(COUNTIF(H155:CE155,"S"),"S","U")))</f>
        <v>N</v>
      </c>
      <c r="H155" s="13" t="str">
        <f>IF(H$4="Yes",INDEX(List!$E$2:$CD$173,MATCH('Selection Pane Data'!$B155,List!$E$2:$E$173,0),MATCH('Selection Pane Data'!H$3,List!$E$2:$CD$2,0)),"")</f>
        <v/>
      </c>
      <c r="I155" s="13" t="str">
        <f>IF(I$4="Yes",INDEX(List!$E$2:$CD$173,MATCH('Selection Pane Data'!$B155,List!$E$2:$E$173,0),MATCH('Selection Pane Data'!I$3,List!$E$2:$CD$2,0)),"")</f>
        <v/>
      </c>
      <c r="J155" s="13" t="str">
        <f>IF(J$4="Yes",INDEX(List!$E$2:$CD$173,MATCH('Selection Pane Data'!$B155,List!$E$2:$E$173,0),MATCH('Selection Pane Data'!J$3,List!$E$2:$CD$2,0)),"")</f>
        <v>N</v>
      </c>
      <c r="K155" s="13" t="str">
        <f>IF(K$4="Yes",INDEX(List!$E$2:$CD$173,MATCH('Selection Pane Data'!$B155,List!$E$2:$E$173,0),MATCH('Selection Pane Data'!K$3,List!$E$2:$CD$2,0)),"")</f>
        <v/>
      </c>
      <c r="L155" s="13" t="str">
        <f>IF(L$4="Yes",INDEX(List!$E$2:$CD$173,MATCH('Selection Pane Data'!$B155,List!$E$2:$E$173,0),MATCH('Selection Pane Data'!L$3,List!$E$2:$CD$2,0)),"")</f>
        <v/>
      </c>
      <c r="M155" s="13" t="str">
        <f>IF(M$4="Yes",INDEX(List!$E$2:$CD$173,MATCH('Selection Pane Data'!$B155,List!$E$2:$E$173,0),MATCH('Selection Pane Data'!M$3,List!$E$2:$CD$2,0)),"")</f>
        <v/>
      </c>
      <c r="N155" s="13" t="str">
        <f>IF(N$4="Yes",INDEX(List!$E$2:$CD$173,MATCH('Selection Pane Data'!$B155,List!$E$2:$E$173,0),MATCH('Selection Pane Data'!N$3,List!$E$2:$CD$2,0)),"")</f>
        <v/>
      </c>
      <c r="O155" s="13" t="str">
        <f>IF(O$4="Yes",INDEX(List!$E$2:$CD$173,MATCH('Selection Pane Data'!$B155,List!$E$2:$E$173,0),MATCH('Selection Pane Data'!O$3,List!$E$2:$CD$2,0)),"")</f>
        <v/>
      </c>
      <c r="P155" s="13" t="str">
        <f>IF(P$4="Yes",INDEX(List!$E$2:$CD$173,MATCH('Selection Pane Data'!$B155,List!$E$2:$E$173,0),MATCH('Selection Pane Data'!P$3,List!$E$2:$CD$2,0)),"")</f>
        <v/>
      </c>
      <c r="Q155" s="13" t="str">
        <f>IF(Q$4="Yes",INDEX(List!$E$2:$CD$173,MATCH('Selection Pane Data'!$B155,List!$E$2:$E$173,0),MATCH('Selection Pane Data'!Q$3,List!$E$2:$CD$2,0)),"")</f>
        <v/>
      </c>
      <c r="R155" s="13" t="str">
        <f>IF(R$4="Yes",INDEX(List!$E$2:$CD$173,MATCH('Selection Pane Data'!$B155,List!$E$2:$E$173,0),MATCH('Selection Pane Data'!R$3,List!$E$2:$CD$2,0)),"")</f>
        <v/>
      </c>
      <c r="S155" s="13" t="str">
        <f>IF(S$4="Yes",INDEX(List!$E$2:$CD$173,MATCH('Selection Pane Data'!$B155,List!$E$2:$E$173,0),MATCH('Selection Pane Data'!S$3,List!$E$2:$CD$2,0)),"")</f>
        <v/>
      </c>
      <c r="T155" s="13" t="str">
        <f>IF(T$4="Yes",INDEX(List!$E$2:$CD$173,MATCH('Selection Pane Data'!$B155,List!$E$2:$E$173,0),MATCH('Selection Pane Data'!T$3,List!$E$2:$CD$2,0)),"")</f>
        <v/>
      </c>
      <c r="U155" s="13" t="str">
        <f>IF(U$4="Yes",INDEX(List!$E$2:$CD$173,MATCH('Selection Pane Data'!$B155,List!$E$2:$E$173,0),MATCH('Selection Pane Data'!U$3,List!$E$2:$CD$2,0)),"")</f>
        <v/>
      </c>
      <c r="V155" s="13" t="str">
        <f>IF(V$4="Yes",INDEX(List!$E$2:$CD$173,MATCH('Selection Pane Data'!$B155,List!$E$2:$E$173,0),MATCH('Selection Pane Data'!V$3,List!$E$2:$CD$2,0)),"")</f>
        <v/>
      </c>
      <c r="W155" s="13" t="str">
        <f>IF(W$4="Yes",INDEX(List!$E$2:$CD$173,MATCH('Selection Pane Data'!$B155,List!$E$2:$E$173,0),MATCH('Selection Pane Data'!W$3,List!$E$2:$CD$2,0)),"")</f>
        <v/>
      </c>
      <c r="X155" s="13" t="str">
        <f>IF(X$4="Yes",INDEX(List!$E$2:$CD$173,MATCH('Selection Pane Data'!$B155,List!$E$2:$E$173,0),MATCH('Selection Pane Data'!X$3,List!$E$2:$CD$2,0)),"")</f>
        <v/>
      </c>
      <c r="Y155" s="13" t="str">
        <f>IF(Y$4="Yes",INDEX(List!$E$2:$CD$173,MATCH('Selection Pane Data'!$B155,List!$E$2:$E$173,0),MATCH('Selection Pane Data'!Y$3,List!$E$2:$CD$2,0)),"")</f>
        <v/>
      </c>
      <c r="Z155" s="13" t="str">
        <f>IF(Z$4="Yes",INDEX(List!$E$2:$CD$173,MATCH('Selection Pane Data'!$B155,List!$E$2:$E$173,0),MATCH('Selection Pane Data'!Z$3,List!$E$2:$CD$2,0)),"")</f>
        <v/>
      </c>
      <c r="AA155" s="13" t="str">
        <f>IF(AA$4="Yes",INDEX(List!$E$2:$CD$173,MATCH('Selection Pane Data'!$B155,List!$E$2:$E$173,0),MATCH('Selection Pane Data'!AA$3,List!$E$2:$CD$2,0)),"")</f>
        <v>N</v>
      </c>
      <c r="AB155" s="13" t="str">
        <f>IF(AB$4="Yes",INDEX(List!$E$2:$CD$173,MATCH('Selection Pane Data'!$B155,List!$E$2:$E$173,0),MATCH('Selection Pane Data'!AB$3,List!$E$2:$CD$2,0)),"")</f>
        <v/>
      </c>
      <c r="AC155" s="13" t="str">
        <f>IF(AC$4="Yes",INDEX(List!$E$2:$CD$173,MATCH('Selection Pane Data'!$B155,List!$E$2:$E$173,0),MATCH('Selection Pane Data'!AC$3,List!$E$2:$CD$2,0)),"")</f>
        <v/>
      </c>
      <c r="AD155" s="13" t="str">
        <f>IF(AD$4="Yes",INDEX(List!$E$2:$CD$173,MATCH('Selection Pane Data'!$B155,List!$E$2:$E$173,0),MATCH('Selection Pane Data'!AD$3,List!$E$2:$CD$2,0)),"")</f>
        <v/>
      </c>
      <c r="AE155" s="13" t="str">
        <f>IF(AE$4="Yes",INDEX(List!$E$2:$CD$173,MATCH('Selection Pane Data'!$B155,List!$E$2:$E$173,0),MATCH('Selection Pane Data'!AE$3,List!$E$2:$CD$2,0)),"")</f>
        <v/>
      </c>
      <c r="AF155" s="13" t="str">
        <f>IF(AF$4="Yes",INDEX(List!$E$2:$CD$173,MATCH('Selection Pane Data'!$B155,List!$E$2:$E$173,0),MATCH('Selection Pane Data'!AF$3,List!$E$2:$CD$2,0)),"")</f>
        <v/>
      </c>
      <c r="AG155" s="13" t="str">
        <f>IF(AG$4="Yes",INDEX(List!$E$2:$CD$173,MATCH('Selection Pane Data'!$B155,List!$E$2:$E$173,0),MATCH('Selection Pane Data'!AG$3,List!$E$2:$CD$2,0)),"")</f>
        <v/>
      </c>
      <c r="AH155" s="13" t="str">
        <f>IF(AH$4="Yes",INDEX(List!$E$2:$CD$173,MATCH('Selection Pane Data'!$B155,List!$E$2:$E$173,0),MATCH('Selection Pane Data'!AH$3,List!$E$2:$CD$2,0)),"")</f>
        <v/>
      </c>
      <c r="AI155" s="13" t="str">
        <f>IF(AI$4="Yes",INDEX(List!$E$2:$CD$173,MATCH('Selection Pane Data'!$B155,List!$E$2:$E$173,0),MATCH('Selection Pane Data'!AI$3,List!$E$2:$CD$2,0)),"")</f>
        <v/>
      </c>
      <c r="AJ155" s="13" t="str">
        <f>IF(AJ$4="Yes",INDEX(List!$E$2:$CD$173,MATCH('Selection Pane Data'!$B155,List!$E$2:$E$173,0),MATCH('Selection Pane Data'!AJ$3,List!$E$2:$CD$2,0)),"")</f>
        <v/>
      </c>
      <c r="AK155" s="13" t="str">
        <f>IF(AK$4="Yes",INDEX(List!$E$2:$CD$173,MATCH('Selection Pane Data'!$B155,List!$E$2:$E$173,0),MATCH('Selection Pane Data'!AK$3,List!$E$2:$CD$2,0)),"")</f>
        <v/>
      </c>
      <c r="AL155" s="13" t="str">
        <f>IF(AL$4="Yes",INDEX(List!$E$2:$CD$173,MATCH('Selection Pane Data'!$B155,List!$E$2:$E$173,0),MATCH('Selection Pane Data'!AL$3,List!$E$2:$CD$2,0)),"")</f>
        <v/>
      </c>
      <c r="AM155" s="13" t="str">
        <f>IF(AM$4="Yes",INDEX(List!$E$2:$CD$173,MATCH('Selection Pane Data'!$B155,List!$E$2:$E$173,0),MATCH('Selection Pane Data'!AM$3,List!$E$2:$CD$2,0)),"")</f>
        <v/>
      </c>
      <c r="AN155" s="13" t="str">
        <f>IF(AN$4="Yes",INDEX(List!$E$2:$CD$173,MATCH('Selection Pane Data'!$B155,List!$E$2:$E$173,0),MATCH('Selection Pane Data'!AN$3,List!$E$2:$CD$2,0)),"")</f>
        <v/>
      </c>
      <c r="AO155" s="13" t="str">
        <f>IF(AO$4="Yes",INDEX(List!$E$2:$CD$173,MATCH('Selection Pane Data'!$B155,List!$E$2:$E$173,0),MATCH('Selection Pane Data'!AO$3,List!$E$2:$CD$2,0)),"")</f>
        <v/>
      </c>
      <c r="AP155" s="13" t="str">
        <f>IF(AP$4="Yes",INDEX(List!$E$2:$CD$173,MATCH('Selection Pane Data'!$B155,List!$E$2:$E$173,0),MATCH('Selection Pane Data'!AP$3,List!$E$2:$CD$2,0)),"")</f>
        <v/>
      </c>
      <c r="AQ155" s="13" t="str">
        <f>IF(AQ$4="Yes",INDEX(List!$E$2:$CD$173,MATCH('Selection Pane Data'!$B155,List!$E$2:$E$173,0),MATCH('Selection Pane Data'!AQ$3,List!$E$2:$CD$2,0)),"")</f>
        <v/>
      </c>
      <c r="AR155" s="13" t="str">
        <f>IF(AR$4="Yes",INDEX(List!$E$2:$CD$173,MATCH('Selection Pane Data'!$B155,List!$E$2:$E$173,0),MATCH('Selection Pane Data'!AR$3,List!$E$2:$CD$2,0)),"")</f>
        <v/>
      </c>
      <c r="AS155" s="13" t="str">
        <f>IF(AS$4="Yes",INDEX(List!$E$2:$CD$173,MATCH('Selection Pane Data'!$B155,List!$E$2:$E$173,0),MATCH('Selection Pane Data'!AS$3,List!$E$2:$CD$2,0)),"")</f>
        <v/>
      </c>
      <c r="AT155" s="13" t="str">
        <f>IF(AT$4="Yes",INDEX(List!$E$2:$CD$173,MATCH('Selection Pane Data'!$B155,List!$E$2:$E$173,0),MATCH('Selection Pane Data'!AT$3,List!$E$2:$CD$2,0)),"")</f>
        <v/>
      </c>
      <c r="AU155" s="13" t="str">
        <f>IF(AU$4="Yes",INDEX(List!$E$2:$CD$173,MATCH('Selection Pane Data'!$B155,List!$E$2:$E$173,0),MATCH('Selection Pane Data'!AU$3,List!$E$2:$CD$2,0)),"")</f>
        <v/>
      </c>
      <c r="AV155" s="13" t="str">
        <f>IF(AV$4="Yes",INDEX(List!$E$2:$CD$173,MATCH('Selection Pane Data'!$B155,List!$E$2:$E$173,0),MATCH('Selection Pane Data'!AV$3,List!$E$2:$CD$2,0)),"")</f>
        <v/>
      </c>
      <c r="AW155" s="13" t="str">
        <f>IF(AW$4="Yes",INDEX(List!$E$2:$CD$173,MATCH('Selection Pane Data'!$B155,List!$E$2:$E$173,0),MATCH('Selection Pane Data'!AW$3,List!$E$2:$CD$2,0)),"")</f>
        <v/>
      </c>
      <c r="AX155" s="13" t="str">
        <f>IF(AX$4="Yes",INDEX(List!$E$2:$CD$173,MATCH('Selection Pane Data'!$B155,List!$E$2:$E$173,0),MATCH('Selection Pane Data'!AX$3,List!$E$2:$CD$2,0)),"")</f>
        <v/>
      </c>
      <c r="AY155" s="13" t="str">
        <f>IF(AY$4="Yes",INDEX(List!$E$2:$CD$173,MATCH('Selection Pane Data'!$B155,List!$E$2:$E$173,0),MATCH('Selection Pane Data'!AY$3,List!$E$2:$CD$2,0)),"")</f>
        <v/>
      </c>
      <c r="AZ155" s="13" t="str">
        <f>IF(AZ$4="Yes",INDEX(List!$E$2:$CD$173,MATCH('Selection Pane Data'!$B155,List!$E$2:$E$173,0),MATCH('Selection Pane Data'!AZ$3,List!$E$2:$CD$2,0)),"")</f>
        <v/>
      </c>
      <c r="BA155" s="13" t="str">
        <f>IF(BA$4="Yes",INDEX(List!$E$2:$CD$173,MATCH('Selection Pane Data'!$B155,List!$E$2:$E$173,0),MATCH('Selection Pane Data'!BA$3,List!$E$2:$CD$2,0)),"")</f>
        <v/>
      </c>
      <c r="BB155" s="13" t="str">
        <f>IF(BB$4="Yes",INDEX(List!$E$2:$CD$173,MATCH('Selection Pane Data'!$B155,List!$E$2:$E$173,0),MATCH('Selection Pane Data'!BB$3,List!$E$2:$CD$2,0)),"")</f>
        <v/>
      </c>
      <c r="BC155" s="13" t="str">
        <f>IF(BC$4="Yes",INDEX(List!$E$2:$CD$173,MATCH('Selection Pane Data'!$B155,List!$E$2:$E$173,0),MATCH('Selection Pane Data'!BC$3,List!$E$2:$CD$2,0)),"")</f>
        <v/>
      </c>
      <c r="BD155" s="13" t="str">
        <f>IF(BD$4="Yes",INDEX(List!$E$2:$CD$173,MATCH('Selection Pane Data'!$B155,List!$E$2:$E$173,0),MATCH('Selection Pane Data'!BD$3,List!$E$2:$CD$2,0)),"")</f>
        <v/>
      </c>
      <c r="BE155" s="13" t="str">
        <f>IF(BE$4="Yes",INDEX(List!$E$2:$CD$173,MATCH('Selection Pane Data'!$B155,List!$E$2:$E$173,0),MATCH('Selection Pane Data'!BE$3,List!$E$2:$CD$2,0)),"")</f>
        <v/>
      </c>
      <c r="BF155" s="13" t="str">
        <f>IF(BF$4="Yes",INDEX(List!$E$2:$CD$173,MATCH('Selection Pane Data'!$B155,List!$E$2:$E$173,0),MATCH('Selection Pane Data'!BF$3,List!$E$2:$CD$2,0)),"")</f>
        <v/>
      </c>
      <c r="BG155" s="13" t="str">
        <f>IF(BG$4="Yes",INDEX(List!$E$2:$CD$173,MATCH('Selection Pane Data'!$B155,List!$E$2:$E$173,0),MATCH('Selection Pane Data'!BG$3,List!$E$2:$CD$2,0)),"")</f>
        <v/>
      </c>
      <c r="BH155" s="13" t="str">
        <f>IF(BH$4="Yes",INDEX(List!$E$2:$CD$173,MATCH('Selection Pane Data'!$B155,List!$E$2:$E$173,0),MATCH('Selection Pane Data'!BH$3,List!$E$2:$CD$2,0)),"")</f>
        <v/>
      </c>
      <c r="BI155" s="13" t="str">
        <f>IF(BI$4="Yes",INDEX(List!$E$2:$CD$173,MATCH('Selection Pane Data'!$B155,List!$E$2:$E$173,0),MATCH('Selection Pane Data'!BI$3,List!$E$2:$CD$2,0)),"")</f>
        <v/>
      </c>
      <c r="BJ155" s="13" t="str">
        <f>IF(BJ$4="Yes",INDEX(List!$E$2:$CD$173,MATCH('Selection Pane Data'!$B155,List!$E$2:$E$173,0),MATCH('Selection Pane Data'!BJ$3,List!$E$2:$CD$2,0)),"")</f>
        <v/>
      </c>
      <c r="BK155" s="13" t="str">
        <f>IF(BK$4="Yes",INDEX(List!$E$2:$CD$173,MATCH('Selection Pane Data'!$B155,List!$E$2:$E$173,0),MATCH('Selection Pane Data'!BK$3,List!$E$2:$CD$2,0)),"")</f>
        <v/>
      </c>
      <c r="BL155" s="13" t="str">
        <f>IF(BL$4="Yes",INDEX(List!$E$2:$CD$173,MATCH('Selection Pane Data'!$B155,List!$E$2:$E$173,0),MATCH('Selection Pane Data'!BL$3,List!$E$2:$CD$2,0)),"")</f>
        <v/>
      </c>
      <c r="BM155" s="13" t="str">
        <f>IF(BM$4="Yes",INDEX(List!$E$2:$CD$173,MATCH('Selection Pane Data'!$B155,List!$E$2:$E$173,0),MATCH('Selection Pane Data'!BM$3,List!$E$2:$CD$2,0)),"")</f>
        <v/>
      </c>
      <c r="BN155" s="13" t="str">
        <f>IF(BN$4="Yes",INDEX(List!$E$2:$CD$173,MATCH('Selection Pane Data'!$B155,List!$E$2:$E$173,0),MATCH('Selection Pane Data'!BN$3,List!$E$2:$CD$2,0)),"")</f>
        <v/>
      </c>
      <c r="BO155" s="13" t="str">
        <f>IF(BO$4="Yes",INDEX(List!$E$2:$CD$173,MATCH('Selection Pane Data'!$B155,List!$E$2:$E$173,0),MATCH('Selection Pane Data'!BO$3,List!$E$2:$CD$2,0)),"")</f>
        <v/>
      </c>
      <c r="BP155" s="13" t="str">
        <f>IF(BP$4="Yes",INDEX(List!$E$2:$CD$173,MATCH('Selection Pane Data'!$B155,List!$E$2:$E$173,0),MATCH('Selection Pane Data'!BP$3,List!$E$2:$CD$2,0)),"")</f>
        <v/>
      </c>
      <c r="BQ155" s="13" t="str">
        <f>IF(BQ$4="Yes",INDEX(List!$E$2:$CD$173,MATCH('Selection Pane Data'!$B155,List!$E$2:$E$173,0),MATCH('Selection Pane Data'!BQ$3,List!$E$2:$CD$2,0)),"")</f>
        <v/>
      </c>
      <c r="BR155" s="13" t="str">
        <f>IF(BR$4="Yes",INDEX(List!$E$2:$CD$173,MATCH('Selection Pane Data'!$B155,List!$E$2:$E$173,0),MATCH('Selection Pane Data'!BR$3,List!$E$2:$CD$2,0)),"")</f>
        <v/>
      </c>
      <c r="BS155" s="13" t="str">
        <f>IF(BS$4="Yes",INDEX(List!$E$2:$CD$173,MATCH('Selection Pane Data'!$B155,List!$E$2:$E$173,0),MATCH('Selection Pane Data'!BS$3,List!$E$2:$CD$2,0)),"")</f>
        <v/>
      </c>
      <c r="BT155" s="13" t="str">
        <f>IF(BT$4="Yes",INDEX(List!$E$2:$CD$173,MATCH('Selection Pane Data'!$B155,List!$E$2:$E$173,0),MATCH('Selection Pane Data'!BT$3,List!$E$2:$CD$2,0)),"")</f>
        <v/>
      </c>
      <c r="BU155" s="13" t="str">
        <f>IF(BU$4="Yes",INDEX(List!$E$2:$CD$173,MATCH('Selection Pane Data'!$B155,List!$E$2:$E$173,0),MATCH('Selection Pane Data'!BU$3,List!$E$2:$CD$2,0)),"")</f>
        <v/>
      </c>
      <c r="BV155" s="13" t="str">
        <f>IF(BV$4="Yes",INDEX(List!$E$2:$CD$173,MATCH('Selection Pane Data'!$B155,List!$E$2:$E$173,0),MATCH('Selection Pane Data'!BV$3,List!$E$2:$CD$2,0)),"")</f>
        <v/>
      </c>
      <c r="BW155" s="13" t="str">
        <f>IF(BW$4="Yes",INDEX(List!$E$2:$CD$173,MATCH('Selection Pane Data'!$B155,List!$E$2:$E$173,0),MATCH('Selection Pane Data'!BW$3,List!$E$2:$CD$2,0)),"")</f>
        <v/>
      </c>
      <c r="BX155" s="13" t="str">
        <f>IF(BX$4="Yes",INDEX(List!$E$2:$CD$173,MATCH('Selection Pane Data'!$B155,List!$E$2:$E$173,0),MATCH('Selection Pane Data'!BX$3,List!$E$2:$CD$2,0)),"")</f>
        <v/>
      </c>
      <c r="BY155" s="13" t="str">
        <f>IF(BY$4="Yes",INDEX(List!$E$2:$CD$173,MATCH('Selection Pane Data'!$B155,List!$E$2:$E$173,0),MATCH('Selection Pane Data'!BY$3,List!$E$2:$CD$2,0)),"")</f>
        <v/>
      </c>
      <c r="BZ155" s="13" t="str">
        <f>IF(BZ$4="Yes",INDEX(List!$E$2:$CD$173,MATCH('Selection Pane Data'!$B155,List!$E$2:$E$173,0),MATCH('Selection Pane Data'!BZ$3,List!$E$2:$CD$2,0)),"")</f>
        <v/>
      </c>
      <c r="CA155" s="13" t="str">
        <f>IF(CA$4="Yes",INDEX(List!$E$2:$CD$173,MATCH('Selection Pane Data'!$B155,List!$E$2:$E$173,0),MATCH('Selection Pane Data'!CA$3,List!$E$2:$CD$2,0)),"")</f>
        <v/>
      </c>
      <c r="CB155" s="13" t="str">
        <f>IF(CB$4="Yes",INDEX(List!$E$2:$CD$173,MATCH('Selection Pane Data'!$B155,List!$E$2:$E$173,0),MATCH('Selection Pane Data'!CB$3,List!$E$2:$CD$2,0)),"")</f>
        <v/>
      </c>
      <c r="CC155" s="13" t="str">
        <f>IF(CC$4="Yes",INDEX(List!$E$2:$CD$173,MATCH('Selection Pane Data'!$B155,List!$E$2:$E$173,0),MATCH('Selection Pane Data'!CC$3,List!$E$2:$CD$2,0)),"")</f>
        <v/>
      </c>
      <c r="CD155" s="13" t="str">
        <f>IF(CD$4="Yes",INDEX(List!$E$2:$CD$173,MATCH('Selection Pane Data'!$B155,List!$E$2:$E$173,0),MATCH('Selection Pane Data'!CD$3,List!$E$2:$CD$2,0)),"")</f>
        <v/>
      </c>
      <c r="CE155" s="13" t="str">
        <f>IF(CE$4="Yes",INDEX(List!$E$2:$CD$173,MATCH('Selection Pane Data'!$B155,List!$E$2:$E$173,0),MATCH('Selection Pane Data'!CE$3,List!$E$2:$CD$2,0)),"")</f>
        <v/>
      </c>
    </row>
    <row r="156" spans="2:83" x14ac:dyDescent="0.35">
      <c r="B156" s="21" t="s">
        <v>443</v>
      </c>
      <c r="C156" s="126" t="str">
        <f>VLOOKUP(B156,List!$E$2:$G$173,2,FALSE)</f>
        <v>N/A</v>
      </c>
      <c r="D156" s="31" t="str">
        <f>List!G154</f>
        <v>Not Applicable</v>
      </c>
      <c r="E156" s="31" t="str">
        <f>IF(Placemat!$F$4="All Practices","All Practices",IF(VLOOKUP(B156,Table7[#All],6,FALSE)="No Mapping","New CMMC Practices","Practices with NIST 800-171 Mappings"))</f>
        <v>Practices with NIST 800-171 Mappings</v>
      </c>
      <c r="F156" t="str">
        <f>INDEX('CMMC Levels'!$A$1:$F$172,MATCH('Selection Pane Data'!$C156,'CMMC Levels'!$A$1:$A$172,0),MATCH(Placemat!$F$4,'CMMC Levels'!$A$1:$F$1,0))</f>
        <v>N/A</v>
      </c>
      <c r="G156" s="77" t="str">
        <f>IF((COUNTIF(List!H154:CE154,"P")+COUNTIF(List!H154:CE154,"S"))=0,"N",IF(COUNTIF(H156:CE156,"P"),"P",IF(COUNTIF(H156:CE156,"S"),"S","U")))</f>
        <v>N</v>
      </c>
      <c r="H156" s="13" t="str">
        <f>IF(H$4="Yes",INDEX(List!$E$2:$CD$173,MATCH('Selection Pane Data'!$B156,List!$E$2:$E$173,0),MATCH('Selection Pane Data'!H$3,List!$E$2:$CD$2,0)),"")</f>
        <v/>
      </c>
      <c r="I156" s="13" t="str">
        <f>IF(I$4="Yes",INDEX(List!$E$2:$CD$173,MATCH('Selection Pane Data'!$B156,List!$E$2:$E$173,0),MATCH('Selection Pane Data'!I$3,List!$E$2:$CD$2,0)),"")</f>
        <v/>
      </c>
      <c r="J156" s="13" t="e">
        <f>IF(J$4="Yes",INDEX(List!$E$2:$CD$173,MATCH('Selection Pane Data'!$B156,List!$E$2:$E$173,0),MATCH('Selection Pane Data'!J$3,List!$E$2:$CD$2,0)),"")</f>
        <v>#N/A</v>
      </c>
      <c r="K156" s="13" t="str">
        <f>IF(K$4="Yes",INDEX(List!$E$2:$CD$173,MATCH('Selection Pane Data'!$B156,List!$E$2:$E$173,0),MATCH('Selection Pane Data'!K$3,List!$E$2:$CD$2,0)),"")</f>
        <v/>
      </c>
      <c r="L156" s="13" t="str">
        <f>IF(L$4="Yes",INDEX(List!$E$2:$CD$173,MATCH('Selection Pane Data'!$B156,List!$E$2:$E$173,0),MATCH('Selection Pane Data'!L$3,List!$E$2:$CD$2,0)),"")</f>
        <v/>
      </c>
      <c r="M156" s="13" t="str">
        <f>IF(M$4="Yes",INDEX(List!$E$2:$CD$173,MATCH('Selection Pane Data'!$B156,List!$E$2:$E$173,0),MATCH('Selection Pane Data'!M$3,List!$E$2:$CD$2,0)),"")</f>
        <v/>
      </c>
      <c r="N156" s="13" t="str">
        <f>IF(N$4="Yes",INDEX(List!$E$2:$CD$173,MATCH('Selection Pane Data'!$B156,List!$E$2:$E$173,0),MATCH('Selection Pane Data'!N$3,List!$E$2:$CD$2,0)),"")</f>
        <v/>
      </c>
      <c r="O156" s="13" t="str">
        <f>IF(O$4="Yes",INDEX(List!$E$2:$CD$173,MATCH('Selection Pane Data'!$B156,List!$E$2:$E$173,0),MATCH('Selection Pane Data'!O$3,List!$E$2:$CD$2,0)),"")</f>
        <v/>
      </c>
      <c r="P156" s="13" t="str">
        <f>IF(P$4="Yes",INDEX(List!$E$2:$CD$173,MATCH('Selection Pane Data'!$B156,List!$E$2:$E$173,0),MATCH('Selection Pane Data'!P$3,List!$E$2:$CD$2,0)),"")</f>
        <v/>
      </c>
      <c r="Q156" s="13" t="str">
        <f>IF(Q$4="Yes",INDEX(List!$E$2:$CD$173,MATCH('Selection Pane Data'!$B156,List!$E$2:$E$173,0),MATCH('Selection Pane Data'!Q$3,List!$E$2:$CD$2,0)),"")</f>
        <v/>
      </c>
      <c r="R156" s="13" t="str">
        <f>IF(R$4="Yes",INDEX(List!$E$2:$CD$173,MATCH('Selection Pane Data'!$B156,List!$E$2:$E$173,0),MATCH('Selection Pane Data'!R$3,List!$E$2:$CD$2,0)),"")</f>
        <v/>
      </c>
      <c r="S156" s="13" t="str">
        <f>IF(S$4="Yes",INDEX(List!$E$2:$CD$173,MATCH('Selection Pane Data'!$B156,List!$E$2:$E$173,0),MATCH('Selection Pane Data'!S$3,List!$E$2:$CD$2,0)),"")</f>
        <v/>
      </c>
      <c r="T156" s="13" t="str">
        <f>IF(T$4="Yes",INDEX(List!$E$2:$CD$173,MATCH('Selection Pane Data'!$B156,List!$E$2:$E$173,0),MATCH('Selection Pane Data'!T$3,List!$E$2:$CD$2,0)),"")</f>
        <v/>
      </c>
      <c r="U156" s="13" t="str">
        <f>IF(U$4="Yes",INDEX(List!$E$2:$CD$173,MATCH('Selection Pane Data'!$B156,List!$E$2:$E$173,0),MATCH('Selection Pane Data'!U$3,List!$E$2:$CD$2,0)),"")</f>
        <v/>
      </c>
      <c r="V156" s="13" t="str">
        <f>IF(V$4="Yes",INDEX(List!$E$2:$CD$173,MATCH('Selection Pane Data'!$B156,List!$E$2:$E$173,0),MATCH('Selection Pane Data'!V$3,List!$E$2:$CD$2,0)),"")</f>
        <v/>
      </c>
      <c r="W156" s="13" t="str">
        <f>IF(W$4="Yes",INDEX(List!$E$2:$CD$173,MATCH('Selection Pane Data'!$B156,List!$E$2:$E$173,0),MATCH('Selection Pane Data'!W$3,List!$E$2:$CD$2,0)),"")</f>
        <v/>
      </c>
      <c r="X156" s="13" t="str">
        <f>IF(X$4="Yes",INDEX(List!$E$2:$CD$173,MATCH('Selection Pane Data'!$B156,List!$E$2:$E$173,0),MATCH('Selection Pane Data'!X$3,List!$E$2:$CD$2,0)),"")</f>
        <v/>
      </c>
      <c r="Y156" s="13" t="str">
        <f>IF(Y$4="Yes",INDEX(List!$E$2:$CD$173,MATCH('Selection Pane Data'!$B156,List!$E$2:$E$173,0),MATCH('Selection Pane Data'!Y$3,List!$E$2:$CD$2,0)),"")</f>
        <v/>
      </c>
      <c r="Z156" s="13" t="str">
        <f>IF(Z$4="Yes",INDEX(List!$E$2:$CD$173,MATCH('Selection Pane Data'!$B156,List!$E$2:$E$173,0),MATCH('Selection Pane Data'!Z$3,List!$E$2:$CD$2,0)),"")</f>
        <v/>
      </c>
      <c r="AA156" s="13" t="e">
        <f>IF(AA$4="Yes",INDEX(List!$E$2:$CD$173,MATCH('Selection Pane Data'!$B156,List!$E$2:$E$173,0),MATCH('Selection Pane Data'!AA$3,List!$E$2:$CD$2,0)),"")</f>
        <v>#N/A</v>
      </c>
      <c r="AB156" s="13" t="str">
        <f>IF(AB$4="Yes",INDEX(List!$E$2:$CD$173,MATCH('Selection Pane Data'!$B156,List!$E$2:$E$173,0),MATCH('Selection Pane Data'!AB$3,List!$E$2:$CD$2,0)),"")</f>
        <v/>
      </c>
      <c r="AC156" s="13" t="str">
        <f>IF(AC$4="Yes",INDEX(List!$E$2:$CD$173,MATCH('Selection Pane Data'!$B156,List!$E$2:$E$173,0),MATCH('Selection Pane Data'!AC$3,List!$E$2:$CD$2,0)),"")</f>
        <v/>
      </c>
      <c r="AD156" s="13" t="str">
        <f>IF(AD$4="Yes",INDEX(List!$E$2:$CD$173,MATCH('Selection Pane Data'!$B156,List!$E$2:$E$173,0),MATCH('Selection Pane Data'!AD$3,List!$E$2:$CD$2,0)),"")</f>
        <v/>
      </c>
      <c r="AE156" s="13" t="str">
        <f>IF(AE$4="Yes",INDEX(List!$E$2:$CD$173,MATCH('Selection Pane Data'!$B156,List!$E$2:$E$173,0),MATCH('Selection Pane Data'!AE$3,List!$E$2:$CD$2,0)),"")</f>
        <v/>
      </c>
      <c r="AF156" s="13" t="str">
        <f>IF(AF$4="Yes",INDEX(List!$E$2:$CD$173,MATCH('Selection Pane Data'!$B156,List!$E$2:$E$173,0),MATCH('Selection Pane Data'!AF$3,List!$E$2:$CD$2,0)),"")</f>
        <v/>
      </c>
      <c r="AG156" s="13" t="str">
        <f>IF(AG$4="Yes",INDEX(List!$E$2:$CD$173,MATCH('Selection Pane Data'!$B156,List!$E$2:$E$173,0),MATCH('Selection Pane Data'!AG$3,List!$E$2:$CD$2,0)),"")</f>
        <v/>
      </c>
      <c r="AH156" s="13" t="str">
        <f>IF(AH$4="Yes",INDEX(List!$E$2:$CD$173,MATCH('Selection Pane Data'!$B156,List!$E$2:$E$173,0),MATCH('Selection Pane Data'!AH$3,List!$E$2:$CD$2,0)),"")</f>
        <v/>
      </c>
      <c r="AI156" s="13" t="str">
        <f>IF(AI$4="Yes",INDEX(List!$E$2:$CD$173,MATCH('Selection Pane Data'!$B156,List!$E$2:$E$173,0),MATCH('Selection Pane Data'!AI$3,List!$E$2:$CD$2,0)),"")</f>
        <v/>
      </c>
      <c r="AJ156" s="13" t="str">
        <f>IF(AJ$4="Yes",INDEX(List!$E$2:$CD$173,MATCH('Selection Pane Data'!$B156,List!$E$2:$E$173,0),MATCH('Selection Pane Data'!AJ$3,List!$E$2:$CD$2,0)),"")</f>
        <v/>
      </c>
      <c r="AK156" s="13" t="str">
        <f>IF(AK$4="Yes",INDEX(List!$E$2:$CD$173,MATCH('Selection Pane Data'!$B156,List!$E$2:$E$173,0),MATCH('Selection Pane Data'!AK$3,List!$E$2:$CD$2,0)),"")</f>
        <v/>
      </c>
      <c r="AL156" s="13" t="str">
        <f>IF(AL$4="Yes",INDEX(List!$E$2:$CD$173,MATCH('Selection Pane Data'!$B156,List!$E$2:$E$173,0),MATCH('Selection Pane Data'!AL$3,List!$E$2:$CD$2,0)),"")</f>
        <v/>
      </c>
      <c r="AM156" s="13" t="str">
        <f>IF(AM$4="Yes",INDEX(List!$E$2:$CD$173,MATCH('Selection Pane Data'!$B156,List!$E$2:$E$173,0),MATCH('Selection Pane Data'!AM$3,List!$E$2:$CD$2,0)),"")</f>
        <v/>
      </c>
      <c r="AN156" s="13" t="str">
        <f>IF(AN$4="Yes",INDEX(List!$E$2:$CD$173,MATCH('Selection Pane Data'!$B156,List!$E$2:$E$173,0),MATCH('Selection Pane Data'!AN$3,List!$E$2:$CD$2,0)),"")</f>
        <v/>
      </c>
      <c r="AO156" s="13" t="str">
        <f>IF(AO$4="Yes",INDEX(List!$E$2:$CD$173,MATCH('Selection Pane Data'!$B156,List!$E$2:$E$173,0),MATCH('Selection Pane Data'!AO$3,List!$E$2:$CD$2,0)),"")</f>
        <v/>
      </c>
      <c r="AP156" s="13" t="str">
        <f>IF(AP$4="Yes",INDEX(List!$E$2:$CD$173,MATCH('Selection Pane Data'!$B156,List!$E$2:$E$173,0),MATCH('Selection Pane Data'!AP$3,List!$E$2:$CD$2,0)),"")</f>
        <v/>
      </c>
      <c r="AQ156" s="13" t="str">
        <f>IF(AQ$4="Yes",INDEX(List!$E$2:$CD$173,MATCH('Selection Pane Data'!$B156,List!$E$2:$E$173,0),MATCH('Selection Pane Data'!AQ$3,List!$E$2:$CD$2,0)),"")</f>
        <v/>
      </c>
      <c r="AR156" s="13" t="str">
        <f>IF(AR$4="Yes",INDEX(List!$E$2:$CD$173,MATCH('Selection Pane Data'!$B156,List!$E$2:$E$173,0),MATCH('Selection Pane Data'!AR$3,List!$E$2:$CD$2,0)),"")</f>
        <v/>
      </c>
      <c r="AS156" s="13" t="str">
        <f>IF(AS$4="Yes",INDEX(List!$E$2:$CD$173,MATCH('Selection Pane Data'!$B156,List!$E$2:$E$173,0),MATCH('Selection Pane Data'!AS$3,List!$E$2:$CD$2,0)),"")</f>
        <v/>
      </c>
      <c r="AT156" s="13" t="str">
        <f>IF(AT$4="Yes",INDEX(List!$E$2:$CD$173,MATCH('Selection Pane Data'!$B156,List!$E$2:$E$173,0),MATCH('Selection Pane Data'!AT$3,List!$E$2:$CD$2,0)),"")</f>
        <v/>
      </c>
      <c r="AU156" s="13" t="str">
        <f>IF(AU$4="Yes",INDEX(List!$E$2:$CD$173,MATCH('Selection Pane Data'!$B156,List!$E$2:$E$173,0),MATCH('Selection Pane Data'!AU$3,List!$E$2:$CD$2,0)),"")</f>
        <v/>
      </c>
      <c r="AV156" s="13" t="str">
        <f>IF(AV$4="Yes",INDEX(List!$E$2:$CD$173,MATCH('Selection Pane Data'!$B156,List!$E$2:$E$173,0),MATCH('Selection Pane Data'!AV$3,List!$E$2:$CD$2,0)),"")</f>
        <v/>
      </c>
      <c r="AW156" s="13" t="str">
        <f>IF(AW$4="Yes",INDEX(List!$E$2:$CD$173,MATCH('Selection Pane Data'!$B156,List!$E$2:$E$173,0),MATCH('Selection Pane Data'!AW$3,List!$E$2:$CD$2,0)),"")</f>
        <v/>
      </c>
      <c r="AX156" s="13" t="str">
        <f>IF(AX$4="Yes",INDEX(List!$E$2:$CD$173,MATCH('Selection Pane Data'!$B156,List!$E$2:$E$173,0),MATCH('Selection Pane Data'!AX$3,List!$E$2:$CD$2,0)),"")</f>
        <v/>
      </c>
      <c r="AY156" s="13" t="str">
        <f>IF(AY$4="Yes",INDEX(List!$E$2:$CD$173,MATCH('Selection Pane Data'!$B156,List!$E$2:$E$173,0),MATCH('Selection Pane Data'!AY$3,List!$E$2:$CD$2,0)),"")</f>
        <v/>
      </c>
      <c r="AZ156" s="13" t="str">
        <f>IF(AZ$4="Yes",INDEX(List!$E$2:$CD$173,MATCH('Selection Pane Data'!$B156,List!$E$2:$E$173,0),MATCH('Selection Pane Data'!AZ$3,List!$E$2:$CD$2,0)),"")</f>
        <v/>
      </c>
      <c r="BA156" s="13" t="str">
        <f>IF(BA$4="Yes",INDEX(List!$E$2:$CD$173,MATCH('Selection Pane Data'!$B156,List!$E$2:$E$173,0),MATCH('Selection Pane Data'!BA$3,List!$E$2:$CD$2,0)),"")</f>
        <v/>
      </c>
      <c r="BB156" s="13" t="str">
        <f>IF(BB$4="Yes",INDEX(List!$E$2:$CD$173,MATCH('Selection Pane Data'!$B156,List!$E$2:$E$173,0),MATCH('Selection Pane Data'!BB$3,List!$E$2:$CD$2,0)),"")</f>
        <v/>
      </c>
      <c r="BC156" s="13" t="str">
        <f>IF(BC$4="Yes",INDEX(List!$E$2:$CD$173,MATCH('Selection Pane Data'!$B156,List!$E$2:$E$173,0),MATCH('Selection Pane Data'!BC$3,List!$E$2:$CD$2,0)),"")</f>
        <v/>
      </c>
      <c r="BD156" s="13" t="str">
        <f>IF(BD$4="Yes",INDEX(List!$E$2:$CD$173,MATCH('Selection Pane Data'!$B156,List!$E$2:$E$173,0),MATCH('Selection Pane Data'!BD$3,List!$E$2:$CD$2,0)),"")</f>
        <v/>
      </c>
      <c r="BE156" s="13" t="str">
        <f>IF(BE$4="Yes",INDEX(List!$E$2:$CD$173,MATCH('Selection Pane Data'!$B156,List!$E$2:$E$173,0),MATCH('Selection Pane Data'!BE$3,List!$E$2:$CD$2,0)),"")</f>
        <v/>
      </c>
      <c r="BF156" s="13" t="str">
        <f>IF(BF$4="Yes",INDEX(List!$E$2:$CD$173,MATCH('Selection Pane Data'!$B156,List!$E$2:$E$173,0),MATCH('Selection Pane Data'!BF$3,List!$E$2:$CD$2,0)),"")</f>
        <v/>
      </c>
      <c r="BG156" s="13" t="str">
        <f>IF(BG$4="Yes",INDEX(List!$E$2:$CD$173,MATCH('Selection Pane Data'!$B156,List!$E$2:$E$173,0),MATCH('Selection Pane Data'!BG$3,List!$E$2:$CD$2,0)),"")</f>
        <v/>
      </c>
      <c r="BH156" s="13" t="str">
        <f>IF(BH$4="Yes",INDEX(List!$E$2:$CD$173,MATCH('Selection Pane Data'!$B156,List!$E$2:$E$173,0),MATCH('Selection Pane Data'!BH$3,List!$E$2:$CD$2,0)),"")</f>
        <v/>
      </c>
      <c r="BI156" s="13" t="str">
        <f>IF(BI$4="Yes",INDEX(List!$E$2:$CD$173,MATCH('Selection Pane Data'!$B156,List!$E$2:$E$173,0),MATCH('Selection Pane Data'!BI$3,List!$E$2:$CD$2,0)),"")</f>
        <v/>
      </c>
      <c r="BJ156" s="13" t="str">
        <f>IF(BJ$4="Yes",INDEX(List!$E$2:$CD$173,MATCH('Selection Pane Data'!$B156,List!$E$2:$E$173,0),MATCH('Selection Pane Data'!BJ$3,List!$E$2:$CD$2,0)),"")</f>
        <v/>
      </c>
      <c r="BK156" s="13" t="str">
        <f>IF(BK$4="Yes",INDEX(List!$E$2:$CD$173,MATCH('Selection Pane Data'!$B156,List!$E$2:$E$173,0),MATCH('Selection Pane Data'!BK$3,List!$E$2:$CD$2,0)),"")</f>
        <v/>
      </c>
      <c r="BL156" s="13" t="str">
        <f>IF(BL$4="Yes",INDEX(List!$E$2:$CD$173,MATCH('Selection Pane Data'!$B156,List!$E$2:$E$173,0),MATCH('Selection Pane Data'!BL$3,List!$E$2:$CD$2,0)),"")</f>
        <v/>
      </c>
      <c r="BM156" s="13" t="str">
        <f>IF(BM$4="Yes",INDEX(List!$E$2:$CD$173,MATCH('Selection Pane Data'!$B156,List!$E$2:$E$173,0),MATCH('Selection Pane Data'!BM$3,List!$E$2:$CD$2,0)),"")</f>
        <v/>
      </c>
      <c r="BN156" s="13" t="str">
        <f>IF(BN$4="Yes",INDEX(List!$E$2:$CD$173,MATCH('Selection Pane Data'!$B156,List!$E$2:$E$173,0),MATCH('Selection Pane Data'!BN$3,List!$E$2:$CD$2,0)),"")</f>
        <v/>
      </c>
      <c r="BO156" s="13" t="str">
        <f>IF(BO$4="Yes",INDEX(List!$E$2:$CD$173,MATCH('Selection Pane Data'!$B156,List!$E$2:$E$173,0),MATCH('Selection Pane Data'!BO$3,List!$E$2:$CD$2,0)),"")</f>
        <v/>
      </c>
      <c r="BP156" s="13" t="str">
        <f>IF(BP$4="Yes",INDEX(List!$E$2:$CD$173,MATCH('Selection Pane Data'!$B156,List!$E$2:$E$173,0),MATCH('Selection Pane Data'!BP$3,List!$E$2:$CD$2,0)),"")</f>
        <v/>
      </c>
      <c r="BQ156" s="13" t="str">
        <f>IF(BQ$4="Yes",INDEX(List!$E$2:$CD$173,MATCH('Selection Pane Data'!$B156,List!$E$2:$E$173,0),MATCH('Selection Pane Data'!BQ$3,List!$E$2:$CD$2,0)),"")</f>
        <v/>
      </c>
      <c r="BR156" s="13" t="str">
        <f>IF(BR$4="Yes",INDEX(List!$E$2:$CD$173,MATCH('Selection Pane Data'!$B156,List!$E$2:$E$173,0),MATCH('Selection Pane Data'!BR$3,List!$E$2:$CD$2,0)),"")</f>
        <v/>
      </c>
      <c r="BS156" s="13" t="str">
        <f>IF(BS$4="Yes",INDEX(List!$E$2:$CD$173,MATCH('Selection Pane Data'!$B156,List!$E$2:$E$173,0),MATCH('Selection Pane Data'!BS$3,List!$E$2:$CD$2,0)),"")</f>
        <v/>
      </c>
      <c r="BT156" s="13" t="str">
        <f>IF(BT$4="Yes",INDEX(List!$E$2:$CD$173,MATCH('Selection Pane Data'!$B156,List!$E$2:$E$173,0),MATCH('Selection Pane Data'!BT$3,List!$E$2:$CD$2,0)),"")</f>
        <v/>
      </c>
      <c r="BU156" s="13" t="str">
        <f>IF(BU$4="Yes",INDEX(List!$E$2:$CD$173,MATCH('Selection Pane Data'!$B156,List!$E$2:$E$173,0),MATCH('Selection Pane Data'!BU$3,List!$E$2:$CD$2,0)),"")</f>
        <v/>
      </c>
      <c r="BV156" s="13" t="str">
        <f>IF(BV$4="Yes",INDEX(List!$E$2:$CD$173,MATCH('Selection Pane Data'!$B156,List!$E$2:$E$173,0),MATCH('Selection Pane Data'!BV$3,List!$E$2:$CD$2,0)),"")</f>
        <v/>
      </c>
      <c r="BW156" s="13" t="str">
        <f>IF(BW$4="Yes",INDEX(List!$E$2:$CD$173,MATCH('Selection Pane Data'!$B156,List!$E$2:$E$173,0),MATCH('Selection Pane Data'!BW$3,List!$E$2:$CD$2,0)),"")</f>
        <v/>
      </c>
      <c r="BX156" s="13" t="str">
        <f>IF(BX$4="Yes",INDEX(List!$E$2:$CD$173,MATCH('Selection Pane Data'!$B156,List!$E$2:$E$173,0),MATCH('Selection Pane Data'!BX$3,List!$E$2:$CD$2,0)),"")</f>
        <v/>
      </c>
      <c r="BY156" s="13" t="str">
        <f>IF(BY$4="Yes",INDEX(List!$E$2:$CD$173,MATCH('Selection Pane Data'!$B156,List!$E$2:$E$173,0),MATCH('Selection Pane Data'!BY$3,List!$E$2:$CD$2,0)),"")</f>
        <v/>
      </c>
      <c r="BZ156" s="13" t="str">
        <f>IF(BZ$4="Yes",INDEX(List!$E$2:$CD$173,MATCH('Selection Pane Data'!$B156,List!$E$2:$E$173,0),MATCH('Selection Pane Data'!BZ$3,List!$E$2:$CD$2,0)),"")</f>
        <v/>
      </c>
      <c r="CA156" s="13" t="str">
        <f>IF(CA$4="Yes",INDEX(List!$E$2:$CD$173,MATCH('Selection Pane Data'!$B156,List!$E$2:$E$173,0),MATCH('Selection Pane Data'!CA$3,List!$E$2:$CD$2,0)),"")</f>
        <v/>
      </c>
      <c r="CB156" s="13" t="str">
        <f>IF(CB$4="Yes",INDEX(List!$E$2:$CD$173,MATCH('Selection Pane Data'!$B156,List!$E$2:$E$173,0),MATCH('Selection Pane Data'!CB$3,List!$E$2:$CD$2,0)),"")</f>
        <v/>
      </c>
      <c r="CC156" s="13" t="str">
        <f>IF(CC$4="Yes",INDEX(List!$E$2:$CD$173,MATCH('Selection Pane Data'!$B156,List!$E$2:$E$173,0),MATCH('Selection Pane Data'!CC$3,List!$E$2:$CD$2,0)),"")</f>
        <v/>
      </c>
      <c r="CD156" s="13" t="str">
        <f>IF(CD$4="Yes",INDEX(List!$E$2:$CD$173,MATCH('Selection Pane Data'!$B156,List!$E$2:$E$173,0),MATCH('Selection Pane Data'!CD$3,List!$E$2:$CD$2,0)),"")</f>
        <v/>
      </c>
      <c r="CE156" s="13" t="str">
        <f>IF(CE$4="Yes",INDEX(List!$E$2:$CD$173,MATCH('Selection Pane Data'!$B156,List!$E$2:$E$173,0),MATCH('Selection Pane Data'!CE$3,List!$E$2:$CD$2,0)),"")</f>
        <v/>
      </c>
    </row>
    <row r="157" spans="2:83" x14ac:dyDescent="0.35">
      <c r="B157" s="21" t="s">
        <v>444</v>
      </c>
      <c r="C157" s="126" t="str">
        <f>VLOOKUP(B157,List!$E$2:$G$173,2,FALSE)</f>
        <v>N/A</v>
      </c>
      <c r="D157" s="31" t="str">
        <f>List!G155</f>
        <v>Not Applicable</v>
      </c>
      <c r="E157" s="31" t="str">
        <f>IF(Placemat!$F$4="All Practices","All Practices",IF(VLOOKUP(B157,Table7[#All],6,FALSE)="No Mapping","New CMMC Practices","Practices with NIST 800-171 Mappings"))</f>
        <v>Practices with NIST 800-171 Mappings</v>
      </c>
      <c r="F157" t="str">
        <f>INDEX('CMMC Levels'!$A$1:$F$172,MATCH('Selection Pane Data'!$C157,'CMMC Levels'!$A$1:$A$172,0),MATCH(Placemat!$F$4,'CMMC Levels'!$A$1:$F$1,0))</f>
        <v>N/A</v>
      </c>
      <c r="G157" s="77" t="str">
        <f>IF((COUNTIF(List!H155:CE155,"P")+COUNTIF(List!H155:CE155,"S"))=0,"N",IF(COUNTIF(H157:CE157,"P"),"P",IF(COUNTIF(H157:CE157,"S"),"S","U")))</f>
        <v>N</v>
      </c>
      <c r="H157" s="13" t="str">
        <f>IF(H$4="Yes",INDEX(List!$E$2:$CD$173,MATCH('Selection Pane Data'!$B157,List!$E$2:$E$173,0),MATCH('Selection Pane Data'!H$3,List!$E$2:$CD$2,0)),"")</f>
        <v/>
      </c>
      <c r="I157" s="13" t="str">
        <f>IF(I$4="Yes",INDEX(List!$E$2:$CD$173,MATCH('Selection Pane Data'!$B157,List!$E$2:$E$173,0),MATCH('Selection Pane Data'!I$3,List!$E$2:$CD$2,0)),"")</f>
        <v/>
      </c>
      <c r="J157" s="13" t="e">
        <f>IF(J$4="Yes",INDEX(List!$E$2:$CD$173,MATCH('Selection Pane Data'!$B157,List!$E$2:$E$173,0),MATCH('Selection Pane Data'!J$3,List!$E$2:$CD$2,0)),"")</f>
        <v>#N/A</v>
      </c>
      <c r="K157" s="13" t="str">
        <f>IF(K$4="Yes",INDEX(List!$E$2:$CD$173,MATCH('Selection Pane Data'!$B157,List!$E$2:$E$173,0),MATCH('Selection Pane Data'!K$3,List!$E$2:$CD$2,0)),"")</f>
        <v/>
      </c>
      <c r="L157" s="13" t="str">
        <f>IF(L$4="Yes",INDEX(List!$E$2:$CD$173,MATCH('Selection Pane Data'!$B157,List!$E$2:$E$173,0),MATCH('Selection Pane Data'!L$3,List!$E$2:$CD$2,0)),"")</f>
        <v/>
      </c>
      <c r="M157" s="13" t="str">
        <f>IF(M$4="Yes",INDEX(List!$E$2:$CD$173,MATCH('Selection Pane Data'!$B157,List!$E$2:$E$173,0),MATCH('Selection Pane Data'!M$3,List!$E$2:$CD$2,0)),"")</f>
        <v/>
      </c>
      <c r="N157" s="13" t="str">
        <f>IF(N$4="Yes",INDEX(List!$E$2:$CD$173,MATCH('Selection Pane Data'!$B157,List!$E$2:$E$173,0),MATCH('Selection Pane Data'!N$3,List!$E$2:$CD$2,0)),"")</f>
        <v/>
      </c>
      <c r="O157" s="13" t="str">
        <f>IF(O$4="Yes",INDEX(List!$E$2:$CD$173,MATCH('Selection Pane Data'!$B157,List!$E$2:$E$173,0),MATCH('Selection Pane Data'!O$3,List!$E$2:$CD$2,0)),"")</f>
        <v/>
      </c>
      <c r="P157" s="13" t="str">
        <f>IF(P$4="Yes",INDEX(List!$E$2:$CD$173,MATCH('Selection Pane Data'!$B157,List!$E$2:$E$173,0),MATCH('Selection Pane Data'!P$3,List!$E$2:$CD$2,0)),"")</f>
        <v/>
      </c>
      <c r="Q157" s="13" t="str">
        <f>IF(Q$4="Yes",INDEX(List!$E$2:$CD$173,MATCH('Selection Pane Data'!$B157,List!$E$2:$E$173,0),MATCH('Selection Pane Data'!Q$3,List!$E$2:$CD$2,0)),"")</f>
        <v/>
      </c>
      <c r="R157" s="13" t="str">
        <f>IF(R$4="Yes",INDEX(List!$E$2:$CD$173,MATCH('Selection Pane Data'!$B157,List!$E$2:$E$173,0),MATCH('Selection Pane Data'!R$3,List!$E$2:$CD$2,0)),"")</f>
        <v/>
      </c>
      <c r="S157" s="13" t="str">
        <f>IF(S$4="Yes",INDEX(List!$E$2:$CD$173,MATCH('Selection Pane Data'!$B157,List!$E$2:$E$173,0),MATCH('Selection Pane Data'!S$3,List!$E$2:$CD$2,0)),"")</f>
        <v/>
      </c>
      <c r="T157" s="13" t="str">
        <f>IF(T$4="Yes",INDEX(List!$E$2:$CD$173,MATCH('Selection Pane Data'!$B157,List!$E$2:$E$173,0),MATCH('Selection Pane Data'!T$3,List!$E$2:$CD$2,0)),"")</f>
        <v/>
      </c>
      <c r="U157" s="13" t="str">
        <f>IF(U$4="Yes",INDEX(List!$E$2:$CD$173,MATCH('Selection Pane Data'!$B157,List!$E$2:$E$173,0),MATCH('Selection Pane Data'!U$3,List!$E$2:$CD$2,0)),"")</f>
        <v/>
      </c>
      <c r="V157" s="13" t="str">
        <f>IF(V$4="Yes",INDEX(List!$E$2:$CD$173,MATCH('Selection Pane Data'!$B157,List!$E$2:$E$173,0),MATCH('Selection Pane Data'!V$3,List!$E$2:$CD$2,0)),"")</f>
        <v/>
      </c>
      <c r="W157" s="13" t="str">
        <f>IF(W$4="Yes",INDEX(List!$E$2:$CD$173,MATCH('Selection Pane Data'!$B157,List!$E$2:$E$173,0),MATCH('Selection Pane Data'!W$3,List!$E$2:$CD$2,0)),"")</f>
        <v/>
      </c>
      <c r="X157" s="13" t="str">
        <f>IF(X$4="Yes",INDEX(List!$E$2:$CD$173,MATCH('Selection Pane Data'!$B157,List!$E$2:$E$173,0),MATCH('Selection Pane Data'!X$3,List!$E$2:$CD$2,0)),"")</f>
        <v/>
      </c>
      <c r="Y157" s="13" t="str">
        <f>IF(Y$4="Yes",INDEX(List!$E$2:$CD$173,MATCH('Selection Pane Data'!$B157,List!$E$2:$E$173,0),MATCH('Selection Pane Data'!Y$3,List!$E$2:$CD$2,0)),"")</f>
        <v/>
      </c>
      <c r="Z157" s="13" t="str">
        <f>IF(Z$4="Yes",INDEX(List!$E$2:$CD$173,MATCH('Selection Pane Data'!$B157,List!$E$2:$E$173,0),MATCH('Selection Pane Data'!Z$3,List!$E$2:$CD$2,0)),"")</f>
        <v/>
      </c>
      <c r="AA157" s="13" t="e">
        <f>IF(AA$4="Yes",INDEX(List!$E$2:$CD$173,MATCH('Selection Pane Data'!$B157,List!$E$2:$E$173,0),MATCH('Selection Pane Data'!AA$3,List!$E$2:$CD$2,0)),"")</f>
        <v>#N/A</v>
      </c>
      <c r="AB157" s="13" t="str">
        <f>IF(AB$4="Yes",INDEX(List!$E$2:$CD$173,MATCH('Selection Pane Data'!$B157,List!$E$2:$E$173,0),MATCH('Selection Pane Data'!AB$3,List!$E$2:$CD$2,0)),"")</f>
        <v/>
      </c>
      <c r="AC157" s="13" t="str">
        <f>IF(AC$4="Yes",INDEX(List!$E$2:$CD$173,MATCH('Selection Pane Data'!$B157,List!$E$2:$E$173,0),MATCH('Selection Pane Data'!AC$3,List!$E$2:$CD$2,0)),"")</f>
        <v/>
      </c>
      <c r="AD157" s="13" t="str">
        <f>IF(AD$4="Yes",INDEX(List!$E$2:$CD$173,MATCH('Selection Pane Data'!$B157,List!$E$2:$E$173,0),MATCH('Selection Pane Data'!AD$3,List!$E$2:$CD$2,0)),"")</f>
        <v/>
      </c>
      <c r="AE157" s="13" t="str">
        <f>IF(AE$4="Yes",INDEX(List!$E$2:$CD$173,MATCH('Selection Pane Data'!$B157,List!$E$2:$E$173,0),MATCH('Selection Pane Data'!AE$3,List!$E$2:$CD$2,0)),"")</f>
        <v/>
      </c>
      <c r="AF157" s="13" t="str">
        <f>IF(AF$4="Yes",INDEX(List!$E$2:$CD$173,MATCH('Selection Pane Data'!$B157,List!$E$2:$E$173,0),MATCH('Selection Pane Data'!AF$3,List!$E$2:$CD$2,0)),"")</f>
        <v/>
      </c>
      <c r="AG157" s="13" t="str">
        <f>IF(AG$4="Yes",INDEX(List!$E$2:$CD$173,MATCH('Selection Pane Data'!$B157,List!$E$2:$E$173,0),MATCH('Selection Pane Data'!AG$3,List!$E$2:$CD$2,0)),"")</f>
        <v/>
      </c>
      <c r="AH157" s="13" t="str">
        <f>IF(AH$4="Yes",INDEX(List!$E$2:$CD$173,MATCH('Selection Pane Data'!$B157,List!$E$2:$E$173,0),MATCH('Selection Pane Data'!AH$3,List!$E$2:$CD$2,0)),"")</f>
        <v/>
      </c>
      <c r="AI157" s="13" t="str">
        <f>IF(AI$4="Yes",INDEX(List!$E$2:$CD$173,MATCH('Selection Pane Data'!$B157,List!$E$2:$E$173,0),MATCH('Selection Pane Data'!AI$3,List!$E$2:$CD$2,0)),"")</f>
        <v/>
      </c>
      <c r="AJ157" s="13" t="str">
        <f>IF(AJ$4="Yes",INDEX(List!$E$2:$CD$173,MATCH('Selection Pane Data'!$B157,List!$E$2:$E$173,0),MATCH('Selection Pane Data'!AJ$3,List!$E$2:$CD$2,0)),"")</f>
        <v/>
      </c>
      <c r="AK157" s="13" t="str">
        <f>IF(AK$4="Yes",INDEX(List!$E$2:$CD$173,MATCH('Selection Pane Data'!$B157,List!$E$2:$E$173,0),MATCH('Selection Pane Data'!AK$3,List!$E$2:$CD$2,0)),"")</f>
        <v/>
      </c>
      <c r="AL157" s="13" t="str">
        <f>IF(AL$4="Yes",INDEX(List!$E$2:$CD$173,MATCH('Selection Pane Data'!$B157,List!$E$2:$E$173,0),MATCH('Selection Pane Data'!AL$3,List!$E$2:$CD$2,0)),"")</f>
        <v/>
      </c>
      <c r="AM157" s="13" t="str">
        <f>IF(AM$4="Yes",INDEX(List!$E$2:$CD$173,MATCH('Selection Pane Data'!$B157,List!$E$2:$E$173,0),MATCH('Selection Pane Data'!AM$3,List!$E$2:$CD$2,0)),"")</f>
        <v/>
      </c>
      <c r="AN157" s="13" t="str">
        <f>IF(AN$4="Yes",INDEX(List!$E$2:$CD$173,MATCH('Selection Pane Data'!$B157,List!$E$2:$E$173,0),MATCH('Selection Pane Data'!AN$3,List!$E$2:$CD$2,0)),"")</f>
        <v/>
      </c>
      <c r="AO157" s="13" t="str">
        <f>IF(AO$4="Yes",INDEX(List!$E$2:$CD$173,MATCH('Selection Pane Data'!$B157,List!$E$2:$E$173,0),MATCH('Selection Pane Data'!AO$3,List!$E$2:$CD$2,0)),"")</f>
        <v/>
      </c>
      <c r="AP157" s="13" t="str">
        <f>IF(AP$4="Yes",INDEX(List!$E$2:$CD$173,MATCH('Selection Pane Data'!$B157,List!$E$2:$E$173,0),MATCH('Selection Pane Data'!AP$3,List!$E$2:$CD$2,0)),"")</f>
        <v/>
      </c>
      <c r="AQ157" s="13" t="str">
        <f>IF(AQ$4="Yes",INDEX(List!$E$2:$CD$173,MATCH('Selection Pane Data'!$B157,List!$E$2:$E$173,0),MATCH('Selection Pane Data'!AQ$3,List!$E$2:$CD$2,0)),"")</f>
        <v/>
      </c>
      <c r="AR157" s="13" t="str">
        <f>IF(AR$4="Yes",INDEX(List!$E$2:$CD$173,MATCH('Selection Pane Data'!$B157,List!$E$2:$E$173,0),MATCH('Selection Pane Data'!AR$3,List!$E$2:$CD$2,0)),"")</f>
        <v/>
      </c>
      <c r="AS157" s="13" t="str">
        <f>IF(AS$4="Yes",INDEX(List!$E$2:$CD$173,MATCH('Selection Pane Data'!$B157,List!$E$2:$E$173,0),MATCH('Selection Pane Data'!AS$3,List!$E$2:$CD$2,0)),"")</f>
        <v/>
      </c>
      <c r="AT157" s="13" t="str">
        <f>IF(AT$4="Yes",INDEX(List!$E$2:$CD$173,MATCH('Selection Pane Data'!$B157,List!$E$2:$E$173,0),MATCH('Selection Pane Data'!AT$3,List!$E$2:$CD$2,0)),"")</f>
        <v/>
      </c>
      <c r="AU157" s="13" t="str">
        <f>IF(AU$4="Yes",INDEX(List!$E$2:$CD$173,MATCH('Selection Pane Data'!$B157,List!$E$2:$E$173,0),MATCH('Selection Pane Data'!AU$3,List!$E$2:$CD$2,0)),"")</f>
        <v/>
      </c>
      <c r="AV157" s="13" t="str">
        <f>IF(AV$4="Yes",INDEX(List!$E$2:$CD$173,MATCH('Selection Pane Data'!$B157,List!$E$2:$E$173,0),MATCH('Selection Pane Data'!AV$3,List!$E$2:$CD$2,0)),"")</f>
        <v/>
      </c>
      <c r="AW157" s="13" t="str">
        <f>IF(AW$4="Yes",INDEX(List!$E$2:$CD$173,MATCH('Selection Pane Data'!$B157,List!$E$2:$E$173,0),MATCH('Selection Pane Data'!AW$3,List!$E$2:$CD$2,0)),"")</f>
        <v/>
      </c>
      <c r="AX157" s="13" t="str">
        <f>IF(AX$4="Yes",INDEX(List!$E$2:$CD$173,MATCH('Selection Pane Data'!$B157,List!$E$2:$E$173,0),MATCH('Selection Pane Data'!AX$3,List!$E$2:$CD$2,0)),"")</f>
        <v/>
      </c>
      <c r="AY157" s="13" t="str">
        <f>IF(AY$4="Yes",INDEX(List!$E$2:$CD$173,MATCH('Selection Pane Data'!$B157,List!$E$2:$E$173,0),MATCH('Selection Pane Data'!AY$3,List!$E$2:$CD$2,0)),"")</f>
        <v/>
      </c>
      <c r="AZ157" s="13" t="str">
        <f>IF(AZ$4="Yes",INDEX(List!$E$2:$CD$173,MATCH('Selection Pane Data'!$B157,List!$E$2:$E$173,0),MATCH('Selection Pane Data'!AZ$3,List!$E$2:$CD$2,0)),"")</f>
        <v/>
      </c>
      <c r="BA157" s="13" t="str">
        <f>IF(BA$4="Yes",INDEX(List!$E$2:$CD$173,MATCH('Selection Pane Data'!$B157,List!$E$2:$E$173,0),MATCH('Selection Pane Data'!BA$3,List!$E$2:$CD$2,0)),"")</f>
        <v/>
      </c>
      <c r="BB157" s="13" t="str">
        <f>IF(BB$4="Yes",INDEX(List!$E$2:$CD$173,MATCH('Selection Pane Data'!$B157,List!$E$2:$E$173,0),MATCH('Selection Pane Data'!BB$3,List!$E$2:$CD$2,0)),"")</f>
        <v/>
      </c>
      <c r="BC157" s="13" t="str">
        <f>IF(BC$4="Yes",INDEX(List!$E$2:$CD$173,MATCH('Selection Pane Data'!$B157,List!$E$2:$E$173,0),MATCH('Selection Pane Data'!BC$3,List!$E$2:$CD$2,0)),"")</f>
        <v/>
      </c>
      <c r="BD157" s="13" t="str">
        <f>IF(BD$4="Yes",INDEX(List!$E$2:$CD$173,MATCH('Selection Pane Data'!$B157,List!$E$2:$E$173,0),MATCH('Selection Pane Data'!BD$3,List!$E$2:$CD$2,0)),"")</f>
        <v/>
      </c>
      <c r="BE157" s="13" t="str">
        <f>IF(BE$4="Yes",INDEX(List!$E$2:$CD$173,MATCH('Selection Pane Data'!$B157,List!$E$2:$E$173,0),MATCH('Selection Pane Data'!BE$3,List!$E$2:$CD$2,0)),"")</f>
        <v/>
      </c>
      <c r="BF157" s="13" t="str">
        <f>IF(BF$4="Yes",INDEX(List!$E$2:$CD$173,MATCH('Selection Pane Data'!$B157,List!$E$2:$E$173,0),MATCH('Selection Pane Data'!BF$3,List!$E$2:$CD$2,0)),"")</f>
        <v/>
      </c>
      <c r="BG157" s="13" t="str">
        <f>IF(BG$4="Yes",INDEX(List!$E$2:$CD$173,MATCH('Selection Pane Data'!$B157,List!$E$2:$E$173,0),MATCH('Selection Pane Data'!BG$3,List!$E$2:$CD$2,0)),"")</f>
        <v/>
      </c>
      <c r="BH157" s="13" t="str">
        <f>IF(BH$4="Yes",INDEX(List!$E$2:$CD$173,MATCH('Selection Pane Data'!$B157,List!$E$2:$E$173,0),MATCH('Selection Pane Data'!BH$3,List!$E$2:$CD$2,0)),"")</f>
        <v/>
      </c>
      <c r="BI157" s="13" t="str">
        <f>IF(BI$4="Yes",INDEX(List!$E$2:$CD$173,MATCH('Selection Pane Data'!$B157,List!$E$2:$E$173,0),MATCH('Selection Pane Data'!BI$3,List!$E$2:$CD$2,0)),"")</f>
        <v/>
      </c>
      <c r="BJ157" s="13" t="str">
        <f>IF(BJ$4="Yes",INDEX(List!$E$2:$CD$173,MATCH('Selection Pane Data'!$B157,List!$E$2:$E$173,0),MATCH('Selection Pane Data'!BJ$3,List!$E$2:$CD$2,0)),"")</f>
        <v/>
      </c>
      <c r="BK157" s="13" t="str">
        <f>IF(BK$4="Yes",INDEX(List!$E$2:$CD$173,MATCH('Selection Pane Data'!$B157,List!$E$2:$E$173,0),MATCH('Selection Pane Data'!BK$3,List!$E$2:$CD$2,0)),"")</f>
        <v/>
      </c>
      <c r="BL157" s="13" t="str">
        <f>IF(BL$4="Yes",INDEX(List!$E$2:$CD$173,MATCH('Selection Pane Data'!$B157,List!$E$2:$E$173,0),MATCH('Selection Pane Data'!BL$3,List!$E$2:$CD$2,0)),"")</f>
        <v/>
      </c>
      <c r="BM157" s="13" t="str">
        <f>IF(BM$4="Yes",INDEX(List!$E$2:$CD$173,MATCH('Selection Pane Data'!$B157,List!$E$2:$E$173,0),MATCH('Selection Pane Data'!BM$3,List!$E$2:$CD$2,0)),"")</f>
        <v/>
      </c>
      <c r="BN157" s="13" t="str">
        <f>IF(BN$4="Yes",INDEX(List!$E$2:$CD$173,MATCH('Selection Pane Data'!$B157,List!$E$2:$E$173,0),MATCH('Selection Pane Data'!BN$3,List!$E$2:$CD$2,0)),"")</f>
        <v/>
      </c>
      <c r="BO157" s="13" t="str">
        <f>IF(BO$4="Yes",INDEX(List!$E$2:$CD$173,MATCH('Selection Pane Data'!$B157,List!$E$2:$E$173,0),MATCH('Selection Pane Data'!BO$3,List!$E$2:$CD$2,0)),"")</f>
        <v/>
      </c>
      <c r="BP157" s="13" t="str">
        <f>IF(BP$4="Yes",INDEX(List!$E$2:$CD$173,MATCH('Selection Pane Data'!$B157,List!$E$2:$E$173,0),MATCH('Selection Pane Data'!BP$3,List!$E$2:$CD$2,0)),"")</f>
        <v/>
      </c>
      <c r="BQ157" s="13" t="str">
        <f>IF(BQ$4="Yes",INDEX(List!$E$2:$CD$173,MATCH('Selection Pane Data'!$B157,List!$E$2:$E$173,0),MATCH('Selection Pane Data'!BQ$3,List!$E$2:$CD$2,0)),"")</f>
        <v/>
      </c>
      <c r="BR157" s="13" t="str">
        <f>IF(BR$4="Yes",INDEX(List!$E$2:$CD$173,MATCH('Selection Pane Data'!$B157,List!$E$2:$E$173,0),MATCH('Selection Pane Data'!BR$3,List!$E$2:$CD$2,0)),"")</f>
        <v/>
      </c>
      <c r="BS157" s="13" t="str">
        <f>IF(BS$4="Yes",INDEX(List!$E$2:$CD$173,MATCH('Selection Pane Data'!$B157,List!$E$2:$E$173,0),MATCH('Selection Pane Data'!BS$3,List!$E$2:$CD$2,0)),"")</f>
        <v/>
      </c>
      <c r="BT157" s="13" t="str">
        <f>IF(BT$4="Yes",INDEX(List!$E$2:$CD$173,MATCH('Selection Pane Data'!$B157,List!$E$2:$E$173,0),MATCH('Selection Pane Data'!BT$3,List!$E$2:$CD$2,0)),"")</f>
        <v/>
      </c>
      <c r="BU157" s="13" t="str">
        <f>IF(BU$4="Yes",INDEX(List!$E$2:$CD$173,MATCH('Selection Pane Data'!$B157,List!$E$2:$E$173,0),MATCH('Selection Pane Data'!BU$3,List!$E$2:$CD$2,0)),"")</f>
        <v/>
      </c>
      <c r="BV157" s="13" t="str">
        <f>IF(BV$4="Yes",INDEX(List!$E$2:$CD$173,MATCH('Selection Pane Data'!$B157,List!$E$2:$E$173,0),MATCH('Selection Pane Data'!BV$3,List!$E$2:$CD$2,0)),"")</f>
        <v/>
      </c>
      <c r="BW157" s="13" t="str">
        <f>IF(BW$4="Yes",INDEX(List!$E$2:$CD$173,MATCH('Selection Pane Data'!$B157,List!$E$2:$E$173,0),MATCH('Selection Pane Data'!BW$3,List!$E$2:$CD$2,0)),"")</f>
        <v/>
      </c>
      <c r="BX157" s="13" t="str">
        <f>IF(BX$4="Yes",INDEX(List!$E$2:$CD$173,MATCH('Selection Pane Data'!$B157,List!$E$2:$E$173,0),MATCH('Selection Pane Data'!BX$3,List!$E$2:$CD$2,0)),"")</f>
        <v/>
      </c>
      <c r="BY157" s="13" t="str">
        <f>IF(BY$4="Yes",INDEX(List!$E$2:$CD$173,MATCH('Selection Pane Data'!$B157,List!$E$2:$E$173,0),MATCH('Selection Pane Data'!BY$3,List!$E$2:$CD$2,0)),"")</f>
        <v/>
      </c>
      <c r="BZ157" s="13" t="str">
        <f>IF(BZ$4="Yes",INDEX(List!$E$2:$CD$173,MATCH('Selection Pane Data'!$B157,List!$E$2:$E$173,0),MATCH('Selection Pane Data'!BZ$3,List!$E$2:$CD$2,0)),"")</f>
        <v/>
      </c>
      <c r="CA157" s="13" t="str">
        <f>IF(CA$4="Yes",INDEX(List!$E$2:$CD$173,MATCH('Selection Pane Data'!$B157,List!$E$2:$E$173,0),MATCH('Selection Pane Data'!CA$3,List!$E$2:$CD$2,0)),"")</f>
        <v/>
      </c>
      <c r="CB157" s="13" t="str">
        <f>IF(CB$4="Yes",INDEX(List!$E$2:$CD$173,MATCH('Selection Pane Data'!$B157,List!$E$2:$E$173,0),MATCH('Selection Pane Data'!CB$3,List!$E$2:$CD$2,0)),"")</f>
        <v/>
      </c>
      <c r="CC157" s="13" t="str">
        <f>IF(CC$4="Yes",INDEX(List!$E$2:$CD$173,MATCH('Selection Pane Data'!$B157,List!$E$2:$E$173,0),MATCH('Selection Pane Data'!CC$3,List!$E$2:$CD$2,0)),"")</f>
        <v/>
      </c>
      <c r="CD157" s="13" t="str">
        <f>IF(CD$4="Yes",INDEX(List!$E$2:$CD$173,MATCH('Selection Pane Data'!$B157,List!$E$2:$E$173,0),MATCH('Selection Pane Data'!CD$3,List!$E$2:$CD$2,0)),"")</f>
        <v/>
      </c>
      <c r="CE157" s="13" t="str">
        <f>IF(CE$4="Yes",INDEX(List!$E$2:$CD$173,MATCH('Selection Pane Data'!$B157,List!$E$2:$E$173,0),MATCH('Selection Pane Data'!CE$3,List!$E$2:$CD$2,0)),"")</f>
        <v/>
      </c>
    </row>
    <row r="158" spans="2:83" x14ac:dyDescent="0.35">
      <c r="B158" s="21" t="s">
        <v>445</v>
      </c>
      <c r="C158" s="126" t="str">
        <f>VLOOKUP(B158,List!$E$2:$G$173,2,FALSE)</f>
        <v>SC.L3-3.13.2</v>
      </c>
      <c r="D158" s="31" t="str">
        <f>List!G156</f>
        <v>Not Applicable</v>
      </c>
      <c r="E158" s="31" t="str">
        <f>IF(Placemat!$F$4="All Practices","All Practices",IF(VLOOKUP(B158,Table7[#All],6,FALSE)="No Mapping","New CMMC Practices","Practices with NIST 800-171 Mappings"))</f>
        <v>Practices with NIST 800-171 Mappings</v>
      </c>
      <c r="F158" t="str">
        <f>INDEX('CMMC Levels'!$A$1:$F$172,MATCH('Selection Pane Data'!$C158,'CMMC Levels'!$A$1:$A$172,0),MATCH(Placemat!$F$4,'CMMC Levels'!$A$1:$F$1,0))</f>
        <v>N/A</v>
      </c>
      <c r="G158" s="192" t="s">
        <v>215</v>
      </c>
      <c r="H158" s="13" t="str">
        <f>IF(H$4="Yes",INDEX(List!$E$2:$CD$173,MATCH('Selection Pane Data'!$B158,List!$E$2:$E$173,0),MATCH('Selection Pane Data'!H$3,List!$E$2:$CD$2,0)),"")</f>
        <v/>
      </c>
      <c r="I158" s="13" t="str">
        <f>IF(I$4="Yes",INDEX(List!$E$2:$CD$173,MATCH('Selection Pane Data'!$B158,List!$E$2:$E$173,0),MATCH('Selection Pane Data'!I$3,List!$E$2:$CD$2,0)),"")</f>
        <v/>
      </c>
      <c r="J158" s="13" t="str">
        <f>IF(J$4="Yes",INDEX(List!$E$2:$CD$173,MATCH('Selection Pane Data'!$B158,List!$E$2:$E$173,0),MATCH('Selection Pane Data'!J$3,List!$E$2:$CD$2,0)),"")</f>
        <v>N</v>
      </c>
      <c r="K158" s="13" t="str">
        <f>IF(K$4="Yes",INDEX(List!$E$2:$CD$173,MATCH('Selection Pane Data'!$B158,List!$E$2:$E$173,0),MATCH('Selection Pane Data'!K$3,List!$E$2:$CD$2,0)),"")</f>
        <v/>
      </c>
      <c r="L158" s="13" t="str">
        <f>IF(L$4="Yes",INDEX(List!$E$2:$CD$173,MATCH('Selection Pane Data'!$B158,List!$E$2:$E$173,0),MATCH('Selection Pane Data'!L$3,List!$E$2:$CD$2,0)),"")</f>
        <v/>
      </c>
      <c r="M158" s="13" t="str">
        <f>IF(M$4="Yes",INDEX(List!$E$2:$CD$173,MATCH('Selection Pane Data'!$B158,List!$E$2:$E$173,0),MATCH('Selection Pane Data'!M$3,List!$E$2:$CD$2,0)),"")</f>
        <v/>
      </c>
      <c r="N158" s="13" t="str">
        <f>IF(N$4="Yes",INDEX(List!$E$2:$CD$173,MATCH('Selection Pane Data'!$B158,List!$E$2:$E$173,0),MATCH('Selection Pane Data'!N$3,List!$E$2:$CD$2,0)),"")</f>
        <v/>
      </c>
      <c r="O158" s="13" t="str">
        <f>IF(O$4="Yes",INDEX(List!$E$2:$CD$173,MATCH('Selection Pane Data'!$B158,List!$E$2:$E$173,0),MATCH('Selection Pane Data'!O$3,List!$E$2:$CD$2,0)),"")</f>
        <v/>
      </c>
      <c r="P158" s="13" t="str">
        <f>IF(P$4="Yes",INDEX(List!$E$2:$CD$173,MATCH('Selection Pane Data'!$B158,List!$E$2:$E$173,0),MATCH('Selection Pane Data'!P$3,List!$E$2:$CD$2,0)),"")</f>
        <v/>
      </c>
      <c r="Q158" s="13" t="str">
        <f>IF(Q$4="Yes",INDEX(List!$E$2:$CD$173,MATCH('Selection Pane Data'!$B158,List!$E$2:$E$173,0),MATCH('Selection Pane Data'!Q$3,List!$E$2:$CD$2,0)),"")</f>
        <v/>
      </c>
      <c r="R158" s="13" t="str">
        <f>IF(R$4="Yes",INDEX(List!$E$2:$CD$173,MATCH('Selection Pane Data'!$B158,List!$E$2:$E$173,0),MATCH('Selection Pane Data'!R$3,List!$E$2:$CD$2,0)),"")</f>
        <v/>
      </c>
      <c r="S158" s="13" t="str">
        <f>IF(S$4="Yes",INDEX(List!$E$2:$CD$173,MATCH('Selection Pane Data'!$B158,List!$E$2:$E$173,0),MATCH('Selection Pane Data'!S$3,List!$E$2:$CD$2,0)),"")</f>
        <v/>
      </c>
      <c r="T158" s="13" t="str">
        <f>IF(T$4="Yes",INDEX(List!$E$2:$CD$173,MATCH('Selection Pane Data'!$B158,List!$E$2:$E$173,0),MATCH('Selection Pane Data'!T$3,List!$E$2:$CD$2,0)),"")</f>
        <v/>
      </c>
      <c r="U158" s="13" t="str">
        <f>IF(U$4="Yes",INDEX(List!$E$2:$CD$173,MATCH('Selection Pane Data'!$B158,List!$E$2:$E$173,0),MATCH('Selection Pane Data'!U$3,List!$E$2:$CD$2,0)),"")</f>
        <v/>
      </c>
      <c r="V158" s="13" t="str">
        <f>IF(V$4="Yes",INDEX(List!$E$2:$CD$173,MATCH('Selection Pane Data'!$B158,List!$E$2:$E$173,0),MATCH('Selection Pane Data'!V$3,List!$E$2:$CD$2,0)),"")</f>
        <v/>
      </c>
      <c r="W158" s="13" t="str">
        <f>IF(W$4="Yes",INDEX(List!$E$2:$CD$173,MATCH('Selection Pane Data'!$B158,List!$E$2:$E$173,0),MATCH('Selection Pane Data'!W$3,List!$E$2:$CD$2,0)),"")</f>
        <v/>
      </c>
      <c r="X158" s="13" t="str">
        <f>IF(X$4="Yes",INDEX(List!$E$2:$CD$173,MATCH('Selection Pane Data'!$B158,List!$E$2:$E$173,0),MATCH('Selection Pane Data'!X$3,List!$E$2:$CD$2,0)),"")</f>
        <v/>
      </c>
      <c r="Y158" s="13" t="str">
        <f>IF(Y$4="Yes",INDEX(List!$E$2:$CD$173,MATCH('Selection Pane Data'!$B158,List!$E$2:$E$173,0),MATCH('Selection Pane Data'!Y$3,List!$E$2:$CD$2,0)),"")</f>
        <v/>
      </c>
      <c r="Z158" s="13" t="str">
        <f>IF(Z$4="Yes",INDEX(List!$E$2:$CD$173,MATCH('Selection Pane Data'!$B158,List!$E$2:$E$173,0),MATCH('Selection Pane Data'!Z$3,List!$E$2:$CD$2,0)),"")</f>
        <v/>
      </c>
      <c r="AA158" s="13" t="str">
        <f>IF(AA$4="Yes",INDEX(List!$E$2:$CD$173,MATCH('Selection Pane Data'!$B158,List!$E$2:$E$173,0),MATCH('Selection Pane Data'!AA$3,List!$E$2:$CD$2,0)),"")</f>
        <v>N</v>
      </c>
      <c r="AB158" s="13" t="str">
        <f>IF(AB$4="Yes",INDEX(List!$E$2:$CD$173,MATCH('Selection Pane Data'!$B158,List!$E$2:$E$173,0),MATCH('Selection Pane Data'!AB$3,List!$E$2:$CD$2,0)),"")</f>
        <v/>
      </c>
      <c r="AC158" s="13" t="str">
        <f>IF(AC$4="Yes",INDEX(List!$E$2:$CD$173,MATCH('Selection Pane Data'!$B158,List!$E$2:$E$173,0),MATCH('Selection Pane Data'!AC$3,List!$E$2:$CD$2,0)),"")</f>
        <v/>
      </c>
      <c r="AD158" s="13" t="str">
        <f>IF(AD$4="Yes",INDEX(List!$E$2:$CD$173,MATCH('Selection Pane Data'!$B158,List!$E$2:$E$173,0),MATCH('Selection Pane Data'!AD$3,List!$E$2:$CD$2,0)),"")</f>
        <v/>
      </c>
      <c r="AE158" s="13" t="str">
        <f>IF(AE$4="Yes",INDEX(List!$E$2:$CD$173,MATCH('Selection Pane Data'!$B158,List!$E$2:$E$173,0),MATCH('Selection Pane Data'!AE$3,List!$E$2:$CD$2,0)),"")</f>
        <v/>
      </c>
      <c r="AF158" s="13" t="str">
        <f>IF(AF$4="Yes",INDEX(List!$E$2:$CD$173,MATCH('Selection Pane Data'!$B158,List!$E$2:$E$173,0),MATCH('Selection Pane Data'!AF$3,List!$E$2:$CD$2,0)),"")</f>
        <v/>
      </c>
      <c r="AG158" s="13" t="str">
        <f>IF(AG$4="Yes",INDEX(List!$E$2:$CD$173,MATCH('Selection Pane Data'!$B158,List!$E$2:$E$173,0),MATCH('Selection Pane Data'!AG$3,List!$E$2:$CD$2,0)),"")</f>
        <v/>
      </c>
      <c r="AH158" s="13" t="str">
        <f>IF(AH$4="Yes",INDEX(List!$E$2:$CD$173,MATCH('Selection Pane Data'!$B158,List!$E$2:$E$173,0),MATCH('Selection Pane Data'!AH$3,List!$E$2:$CD$2,0)),"")</f>
        <v/>
      </c>
      <c r="AI158" s="13" t="str">
        <f>IF(AI$4="Yes",INDEX(List!$E$2:$CD$173,MATCH('Selection Pane Data'!$B158,List!$E$2:$E$173,0),MATCH('Selection Pane Data'!AI$3,List!$E$2:$CD$2,0)),"")</f>
        <v/>
      </c>
      <c r="AJ158" s="13" t="str">
        <f>IF(AJ$4="Yes",INDEX(List!$E$2:$CD$173,MATCH('Selection Pane Data'!$B158,List!$E$2:$E$173,0),MATCH('Selection Pane Data'!AJ$3,List!$E$2:$CD$2,0)),"")</f>
        <v/>
      </c>
      <c r="AK158" s="13" t="str">
        <f>IF(AK$4="Yes",INDEX(List!$E$2:$CD$173,MATCH('Selection Pane Data'!$B158,List!$E$2:$E$173,0),MATCH('Selection Pane Data'!AK$3,List!$E$2:$CD$2,0)),"")</f>
        <v/>
      </c>
      <c r="AL158" s="13" t="str">
        <f>IF(AL$4="Yes",INDEX(List!$E$2:$CD$173,MATCH('Selection Pane Data'!$B158,List!$E$2:$E$173,0),MATCH('Selection Pane Data'!AL$3,List!$E$2:$CD$2,0)),"")</f>
        <v/>
      </c>
      <c r="AM158" s="13" t="str">
        <f>IF(AM$4="Yes",INDEX(List!$E$2:$CD$173,MATCH('Selection Pane Data'!$B158,List!$E$2:$E$173,0),MATCH('Selection Pane Data'!AM$3,List!$E$2:$CD$2,0)),"")</f>
        <v/>
      </c>
      <c r="AN158" s="13" t="str">
        <f>IF(AN$4="Yes",INDEX(List!$E$2:$CD$173,MATCH('Selection Pane Data'!$B158,List!$E$2:$E$173,0),MATCH('Selection Pane Data'!AN$3,List!$E$2:$CD$2,0)),"")</f>
        <v/>
      </c>
      <c r="AO158" s="13" t="str">
        <f>IF(AO$4="Yes",INDEX(List!$E$2:$CD$173,MATCH('Selection Pane Data'!$B158,List!$E$2:$E$173,0),MATCH('Selection Pane Data'!AO$3,List!$E$2:$CD$2,0)),"")</f>
        <v/>
      </c>
      <c r="AP158" s="13" t="str">
        <f>IF(AP$4="Yes",INDEX(List!$E$2:$CD$173,MATCH('Selection Pane Data'!$B158,List!$E$2:$E$173,0),MATCH('Selection Pane Data'!AP$3,List!$E$2:$CD$2,0)),"")</f>
        <v/>
      </c>
      <c r="AQ158" s="13" t="str">
        <f>IF(AQ$4="Yes",INDEX(List!$E$2:$CD$173,MATCH('Selection Pane Data'!$B158,List!$E$2:$E$173,0),MATCH('Selection Pane Data'!AQ$3,List!$E$2:$CD$2,0)),"")</f>
        <v/>
      </c>
      <c r="AR158" s="13" t="str">
        <f>IF(AR$4="Yes",INDEX(List!$E$2:$CD$173,MATCH('Selection Pane Data'!$B158,List!$E$2:$E$173,0),MATCH('Selection Pane Data'!AR$3,List!$E$2:$CD$2,0)),"")</f>
        <v/>
      </c>
      <c r="AS158" s="13" t="str">
        <f>IF(AS$4="Yes",INDEX(List!$E$2:$CD$173,MATCH('Selection Pane Data'!$B158,List!$E$2:$E$173,0),MATCH('Selection Pane Data'!AS$3,List!$E$2:$CD$2,0)),"")</f>
        <v/>
      </c>
      <c r="AT158" s="13" t="str">
        <f>IF(AT$4="Yes",INDEX(List!$E$2:$CD$173,MATCH('Selection Pane Data'!$B158,List!$E$2:$E$173,0),MATCH('Selection Pane Data'!AT$3,List!$E$2:$CD$2,0)),"")</f>
        <v/>
      </c>
      <c r="AU158" s="13" t="str">
        <f>IF(AU$4="Yes",INDEX(List!$E$2:$CD$173,MATCH('Selection Pane Data'!$B158,List!$E$2:$E$173,0),MATCH('Selection Pane Data'!AU$3,List!$E$2:$CD$2,0)),"")</f>
        <v/>
      </c>
      <c r="AV158" s="13" t="str">
        <f>IF(AV$4="Yes",INDEX(List!$E$2:$CD$173,MATCH('Selection Pane Data'!$B158,List!$E$2:$E$173,0),MATCH('Selection Pane Data'!AV$3,List!$E$2:$CD$2,0)),"")</f>
        <v/>
      </c>
      <c r="AW158" s="13" t="str">
        <f>IF(AW$4="Yes",INDEX(List!$E$2:$CD$173,MATCH('Selection Pane Data'!$B158,List!$E$2:$E$173,0),MATCH('Selection Pane Data'!AW$3,List!$E$2:$CD$2,0)),"")</f>
        <v/>
      </c>
      <c r="AX158" s="13" t="str">
        <f>IF(AX$4="Yes",INDEX(List!$E$2:$CD$173,MATCH('Selection Pane Data'!$B158,List!$E$2:$E$173,0),MATCH('Selection Pane Data'!AX$3,List!$E$2:$CD$2,0)),"")</f>
        <v/>
      </c>
      <c r="AY158" s="13" t="str">
        <f>IF(AY$4="Yes",INDEX(List!$E$2:$CD$173,MATCH('Selection Pane Data'!$B158,List!$E$2:$E$173,0),MATCH('Selection Pane Data'!AY$3,List!$E$2:$CD$2,0)),"")</f>
        <v/>
      </c>
      <c r="AZ158" s="13" t="str">
        <f>IF(AZ$4="Yes",INDEX(List!$E$2:$CD$173,MATCH('Selection Pane Data'!$B158,List!$E$2:$E$173,0),MATCH('Selection Pane Data'!AZ$3,List!$E$2:$CD$2,0)),"")</f>
        <v/>
      </c>
      <c r="BA158" s="13" t="str">
        <f>IF(BA$4="Yes",INDEX(List!$E$2:$CD$173,MATCH('Selection Pane Data'!$B158,List!$E$2:$E$173,0),MATCH('Selection Pane Data'!BA$3,List!$E$2:$CD$2,0)),"")</f>
        <v/>
      </c>
      <c r="BB158" s="13" t="str">
        <f>IF(BB$4="Yes",INDEX(List!$E$2:$CD$173,MATCH('Selection Pane Data'!$B158,List!$E$2:$E$173,0),MATCH('Selection Pane Data'!BB$3,List!$E$2:$CD$2,0)),"")</f>
        <v/>
      </c>
      <c r="BC158" s="13" t="str">
        <f>IF(BC$4="Yes",INDEX(List!$E$2:$CD$173,MATCH('Selection Pane Data'!$B158,List!$E$2:$E$173,0),MATCH('Selection Pane Data'!BC$3,List!$E$2:$CD$2,0)),"")</f>
        <v/>
      </c>
      <c r="BD158" s="13" t="str">
        <f>IF(BD$4="Yes",INDEX(List!$E$2:$CD$173,MATCH('Selection Pane Data'!$B158,List!$E$2:$E$173,0),MATCH('Selection Pane Data'!BD$3,List!$E$2:$CD$2,0)),"")</f>
        <v/>
      </c>
      <c r="BE158" s="13" t="str">
        <f>IF(BE$4="Yes",INDEX(List!$E$2:$CD$173,MATCH('Selection Pane Data'!$B158,List!$E$2:$E$173,0),MATCH('Selection Pane Data'!BE$3,List!$E$2:$CD$2,0)),"")</f>
        <v/>
      </c>
      <c r="BF158" s="13" t="str">
        <f>IF(BF$4="Yes",INDEX(List!$E$2:$CD$173,MATCH('Selection Pane Data'!$B158,List!$E$2:$E$173,0),MATCH('Selection Pane Data'!BF$3,List!$E$2:$CD$2,0)),"")</f>
        <v/>
      </c>
      <c r="BG158" s="13" t="str">
        <f>IF(BG$4="Yes",INDEX(List!$E$2:$CD$173,MATCH('Selection Pane Data'!$B158,List!$E$2:$E$173,0),MATCH('Selection Pane Data'!BG$3,List!$E$2:$CD$2,0)),"")</f>
        <v/>
      </c>
      <c r="BH158" s="13" t="str">
        <f>IF(BH$4="Yes",INDEX(List!$E$2:$CD$173,MATCH('Selection Pane Data'!$B158,List!$E$2:$E$173,0),MATCH('Selection Pane Data'!BH$3,List!$E$2:$CD$2,0)),"")</f>
        <v/>
      </c>
      <c r="BI158" s="13" t="str">
        <f>IF(BI$4="Yes",INDEX(List!$E$2:$CD$173,MATCH('Selection Pane Data'!$B158,List!$E$2:$E$173,0),MATCH('Selection Pane Data'!BI$3,List!$E$2:$CD$2,0)),"")</f>
        <v/>
      </c>
      <c r="BJ158" s="13" t="str">
        <f>IF(BJ$4="Yes",INDEX(List!$E$2:$CD$173,MATCH('Selection Pane Data'!$B158,List!$E$2:$E$173,0),MATCH('Selection Pane Data'!BJ$3,List!$E$2:$CD$2,0)),"")</f>
        <v/>
      </c>
      <c r="BK158" s="13" t="str">
        <f>IF(BK$4="Yes",INDEX(List!$E$2:$CD$173,MATCH('Selection Pane Data'!$B158,List!$E$2:$E$173,0),MATCH('Selection Pane Data'!BK$3,List!$E$2:$CD$2,0)),"")</f>
        <v/>
      </c>
      <c r="BL158" s="13" t="str">
        <f>IF(BL$4="Yes",INDEX(List!$E$2:$CD$173,MATCH('Selection Pane Data'!$B158,List!$E$2:$E$173,0),MATCH('Selection Pane Data'!BL$3,List!$E$2:$CD$2,0)),"")</f>
        <v/>
      </c>
      <c r="BM158" s="13" t="str">
        <f>IF(BM$4="Yes",INDEX(List!$E$2:$CD$173,MATCH('Selection Pane Data'!$B158,List!$E$2:$E$173,0),MATCH('Selection Pane Data'!BM$3,List!$E$2:$CD$2,0)),"")</f>
        <v/>
      </c>
      <c r="BN158" s="13" t="str">
        <f>IF(BN$4="Yes",INDEX(List!$E$2:$CD$173,MATCH('Selection Pane Data'!$B158,List!$E$2:$E$173,0),MATCH('Selection Pane Data'!BN$3,List!$E$2:$CD$2,0)),"")</f>
        <v/>
      </c>
      <c r="BO158" s="13" t="str">
        <f>IF(BO$4="Yes",INDEX(List!$E$2:$CD$173,MATCH('Selection Pane Data'!$B158,List!$E$2:$E$173,0),MATCH('Selection Pane Data'!BO$3,List!$E$2:$CD$2,0)),"")</f>
        <v/>
      </c>
      <c r="BP158" s="13" t="str">
        <f>IF(BP$4="Yes",INDEX(List!$E$2:$CD$173,MATCH('Selection Pane Data'!$B158,List!$E$2:$E$173,0),MATCH('Selection Pane Data'!BP$3,List!$E$2:$CD$2,0)),"")</f>
        <v/>
      </c>
      <c r="BQ158" s="13" t="str">
        <f>IF(BQ$4="Yes",INDEX(List!$E$2:$CD$173,MATCH('Selection Pane Data'!$B158,List!$E$2:$E$173,0),MATCH('Selection Pane Data'!BQ$3,List!$E$2:$CD$2,0)),"")</f>
        <v/>
      </c>
      <c r="BR158" s="13" t="str">
        <f>IF(BR$4="Yes",INDEX(List!$E$2:$CD$173,MATCH('Selection Pane Data'!$B158,List!$E$2:$E$173,0),MATCH('Selection Pane Data'!BR$3,List!$E$2:$CD$2,0)),"")</f>
        <v/>
      </c>
      <c r="BS158" s="13" t="str">
        <f>IF(BS$4="Yes",INDEX(List!$E$2:$CD$173,MATCH('Selection Pane Data'!$B158,List!$E$2:$E$173,0),MATCH('Selection Pane Data'!BS$3,List!$E$2:$CD$2,0)),"")</f>
        <v/>
      </c>
      <c r="BT158" s="13" t="str">
        <f>IF(BT$4="Yes",INDEX(List!$E$2:$CD$173,MATCH('Selection Pane Data'!$B158,List!$E$2:$E$173,0),MATCH('Selection Pane Data'!BT$3,List!$E$2:$CD$2,0)),"")</f>
        <v/>
      </c>
      <c r="BU158" s="13" t="str">
        <f>IF(BU$4="Yes",INDEX(List!$E$2:$CD$173,MATCH('Selection Pane Data'!$B158,List!$E$2:$E$173,0),MATCH('Selection Pane Data'!BU$3,List!$E$2:$CD$2,0)),"")</f>
        <v/>
      </c>
      <c r="BV158" s="13" t="str">
        <f>IF(BV$4="Yes",INDEX(List!$E$2:$CD$173,MATCH('Selection Pane Data'!$B158,List!$E$2:$E$173,0),MATCH('Selection Pane Data'!BV$3,List!$E$2:$CD$2,0)),"")</f>
        <v/>
      </c>
      <c r="BW158" s="13" t="str">
        <f>IF(BW$4="Yes",INDEX(List!$E$2:$CD$173,MATCH('Selection Pane Data'!$B158,List!$E$2:$E$173,0),MATCH('Selection Pane Data'!BW$3,List!$E$2:$CD$2,0)),"")</f>
        <v/>
      </c>
      <c r="BX158" s="13" t="str">
        <f>IF(BX$4="Yes",INDEX(List!$E$2:$CD$173,MATCH('Selection Pane Data'!$B158,List!$E$2:$E$173,0),MATCH('Selection Pane Data'!BX$3,List!$E$2:$CD$2,0)),"")</f>
        <v/>
      </c>
      <c r="BY158" s="13" t="str">
        <f>IF(BY$4="Yes",INDEX(List!$E$2:$CD$173,MATCH('Selection Pane Data'!$B158,List!$E$2:$E$173,0),MATCH('Selection Pane Data'!BY$3,List!$E$2:$CD$2,0)),"")</f>
        <v/>
      </c>
      <c r="BZ158" s="13" t="str">
        <f>IF(BZ$4="Yes",INDEX(List!$E$2:$CD$173,MATCH('Selection Pane Data'!$B158,List!$E$2:$E$173,0),MATCH('Selection Pane Data'!BZ$3,List!$E$2:$CD$2,0)),"")</f>
        <v/>
      </c>
      <c r="CA158" s="13" t="str">
        <f>IF(CA$4="Yes",INDEX(List!$E$2:$CD$173,MATCH('Selection Pane Data'!$B158,List!$E$2:$E$173,0),MATCH('Selection Pane Data'!CA$3,List!$E$2:$CD$2,0)),"")</f>
        <v/>
      </c>
      <c r="CB158" s="13" t="str">
        <f>IF(CB$4="Yes",INDEX(List!$E$2:$CD$173,MATCH('Selection Pane Data'!$B158,List!$E$2:$E$173,0),MATCH('Selection Pane Data'!CB$3,List!$E$2:$CD$2,0)),"")</f>
        <v/>
      </c>
      <c r="CC158" s="13" t="str">
        <f>IF(CC$4="Yes",INDEX(List!$E$2:$CD$173,MATCH('Selection Pane Data'!$B158,List!$E$2:$E$173,0),MATCH('Selection Pane Data'!CC$3,List!$E$2:$CD$2,0)),"")</f>
        <v/>
      </c>
      <c r="CD158" s="13" t="str">
        <f>IF(CD$4="Yes",INDEX(List!$E$2:$CD$173,MATCH('Selection Pane Data'!$B158,List!$E$2:$E$173,0),MATCH('Selection Pane Data'!CD$3,List!$E$2:$CD$2,0)),"")</f>
        <v/>
      </c>
      <c r="CE158" s="13" t="str">
        <f>IF(CE$4="Yes",INDEX(List!$E$2:$CD$173,MATCH('Selection Pane Data'!$B158,List!$E$2:$E$173,0),MATCH('Selection Pane Data'!CE$3,List!$E$2:$CD$2,0)),"")</f>
        <v/>
      </c>
    </row>
    <row r="159" spans="2:83" x14ac:dyDescent="0.35">
      <c r="B159" s="21" t="s">
        <v>446</v>
      </c>
      <c r="C159" s="126" t="str">
        <f>VLOOKUP(B159,List!$E$2:$G$173,2,FALSE)</f>
        <v>N/A</v>
      </c>
      <c r="D159" s="31" t="str">
        <f>List!G157</f>
        <v>Not Applicable</v>
      </c>
      <c r="E159" s="31" t="str">
        <f>IF(Placemat!$F$4="All Practices","All Practices",IF(VLOOKUP(B159,Table7[#All],6,FALSE)="No Mapping","New CMMC Practices","Practices with NIST 800-171 Mappings"))</f>
        <v>Practices with NIST 800-171 Mappings</v>
      </c>
      <c r="F159" t="str">
        <f>INDEX('CMMC Levels'!$A$1:$F$172,MATCH('Selection Pane Data'!$C159,'CMMC Levels'!$A$1:$A$172,0),MATCH(Placemat!$F$4,'CMMC Levels'!$A$1:$F$1,0))</f>
        <v>N/A</v>
      </c>
      <c r="G159" s="77" t="str">
        <f>IF((COUNTIF(List!H157:CE157,"P")+COUNTIF(List!H157:CE157,"S"))=0,"N",IF(COUNTIF(H159:CE159,"P"),"P",IF(COUNTIF(H159:CE159,"S"),"S","U")))</f>
        <v>N</v>
      </c>
      <c r="H159" s="13" t="str">
        <f>IF(H$4="Yes",INDEX(List!$E$2:$CD$173,MATCH('Selection Pane Data'!$B159,List!$E$2:$E$173,0),MATCH('Selection Pane Data'!H$3,List!$E$2:$CD$2,0)),"")</f>
        <v/>
      </c>
      <c r="I159" s="13" t="str">
        <f>IF(I$4="Yes",INDEX(List!$E$2:$CD$173,MATCH('Selection Pane Data'!$B159,List!$E$2:$E$173,0),MATCH('Selection Pane Data'!I$3,List!$E$2:$CD$2,0)),"")</f>
        <v/>
      </c>
      <c r="J159" s="13" t="e">
        <f>IF(J$4="Yes",INDEX(List!$E$2:$CD$173,MATCH('Selection Pane Data'!$B159,List!$E$2:$E$173,0),MATCH('Selection Pane Data'!J$3,List!$E$2:$CD$2,0)),"")</f>
        <v>#N/A</v>
      </c>
      <c r="K159" s="13" t="str">
        <f>IF(K$4="Yes",INDEX(List!$E$2:$CD$173,MATCH('Selection Pane Data'!$B159,List!$E$2:$E$173,0),MATCH('Selection Pane Data'!K$3,List!$E$2:$CD$2,0)),"")</f>
        <v/>
      </c>
      <c r="L159" s="13" t="str">
        <f>IF(L$4="Yes",INDEX(List!$E$2:$CD$173,MATCH('Selection Pane Data'!$B159,List!$E$2:$E$173,0),MATCH('Selection Pane Data'!L$3,List!$E$2:$CD$2,0)),"")</f>
        <v/>
      </c>
      <c r="M159" s="13" t="str">
        <f>IF(M$4="Yes",INDEX(List!$E$2:$CD$173,MATCH('Selection Pane Data'!$B159,List!$E$2:$E$173,0),MATCH('Selection Pane Data'!M$3,List!$E$2:$CD$2,0)),"")</f>
        <v/>
      </c>
      <c r="N159" s="13" t="str">
        <f>IF(N$4="Yes",INDEX(List!$E$2:$CD$173,MATCH('Selection Pane Data'!$B159,List!$E$2:$E$173,0),MATCH('Selection Pane Data'!N$3,List!$E$2:$CD$2,0)),"")</f>
        <v/>
      </c>
      <c r="O159" s="13" t="str">
        <f>IF(O$4="Yes",INDEX(List!$E$2:$CD$173,MATCH('Selection Pane Data'!$B159,List!$E$2:$E$173,0),MATCH('Selection Pane Data'!O$3,List!$E$2:$CD$2,0)),"")</f>
        <v/>
      </c>
      <c r="P159" s="13" t="str">
        <f>IF(P$4="Yes",INDEX(List!$E$2:$CD$173,MATCH('Selection Pane Data'!$B159,List!$E$2:$E$173,0),MATCH('Selection Pane Data'!P$3,List!$E$2:$CD$2,0)),"")</f>
        <v/>
      </c>
      <c r="Q159" s="13" t="str">
        <f>IF(Q$4="Yes",INDEX(List!$E$2:$CD$173,MATCH('Selection Pane Data'!$B159,List!$E$2:$E$173,0),MATCH('Selection Pane Data'!Q$3,List!$E$2:$CD$2,0)),"")</f>
        <v/>
      </c>
      <c r="R159" s="13" t="str">
        <f>IF(R$4="Yes",INDEX(List!$E$2:$CD$173,MATCH('Selection Pane Data'!$B159,List!$E$2:$E$173,0),MATCH('Selection Pane Data'!R$3,List!$E$2:$CD$2,0)),"")</f>
        <v/>
      </c>
      <c r="S159" s="13" t="str">
        <f>IF(S$4="Yes",INDEX(List!$E$2:$CD$173,MATCH('Selection Pane Data'!$B159,List!$E$2:$E$173,0),MATCH('Selection Pane Data'!S$3,List!$E$2:$CD$2,0)),"")</f>
        <v/>
      </c>
      <c r="T159" s="13" t="str">
        <f>IF(T$4="Yes",INDEX(List!$E$2:$CD$173,MATCH('Selection Pane Data'!$B159,List!$E$2:$E$173,0),MATCH('Selection Pane Data'!T$3,List!$E$2:$CD$2,0)),"")</f>
        <v/>
      </c>
      <c r="U159" s="13" t="str">
        <f>IF(U$4="Yes",INDEX(List!$E$2:$CD$173,MATCH('Selection Pane Data'!$B159,List!$E$2:$E$173,0),MATCH('Selection Pane Data'!U$3,List!$E$2:$CD$2,0)),"")</f>
        <v/>
      </c>
      <c r="V159" s="13" t="str">
        <f>IF(V$4="Yes",INDEX(List!$E$2:$CD$173,MATCH('Selection Pane Data'!$B159,List!$E$2:$E$173,0),MATCH('Selection Pane Data'!V$3,List!$E$2:$CD$2,0)),"")</f>
        <v/>
      </c>
      <c r="W159" s="13" t="str">
        <f>IF(W$4="Yes",INDEX(List!$E$2:$CD$173,MATCH('Selection Pane Data'!$B159,List!$E$2:$E$173,0),MATCH('Selection Pane Data'!W$3,List!$E$2:$CD$2,0)),"")</f>
        <v/>
      </c>
      <c r="X159" s="13" t="str">
        <f>IF(X$4="Yes",INDEX(List!$E$2:$CD$173,MATCH('Selection Pane Data'!$B159,List!$E$2:$E$173,0),MATCH('Selection Pane Data'!X$3,List!$E$2:$CD$2,0)),"")</f>
        <v/>
      </c>
      <c r="Y159" s="13" t="str">
        <f>IF(Y$4="Yes",INDEX(List!$E$2:$CD$173,MATCH('Selection Pane Data'!$B159,List!$E$2:$E$173,0),MATCH('Selection Pane Data'!Y$3,List!$E$2:$CD$2,0)),"")</f>
        <v/>
      </c>
      <c r="Z159" s="13" t="str">
        <f>IF(Z$4="Yes",INDEX(List!$E$2:$CD$173,MATCH('Selection Pane Data'!$B159,List!$E$2:$E$173,0),MATCH('Selection Pane Data'!Z$3,List!$E$2:$CD$2,0)),"")</f>
        <v/>
      </c>
      <c r="AA159" s="13" t="e">
        <f>IF(AA$4="Yes",INDEX(List!$E$2:$CD$173,MATCH('Selection Pane Data'!$B159,List!$E$2:$E$173,0),MATCH('Selection Pane Data'!AA$3,List!$E$2:$CD$2,0)),"")</f>
        <v>#N/A</v>
      </c>
      <c r="AB159" s="13" t="str">
        <f>IF(AB$4="Yes",INDEX(List!$E$2:$CD$173,MATCH('Selection Pane Data'!$B159,List!$E$2:$E$173,0),MATCH('Selection Pane Data'!AB$3,List!$E$2:$CD$2,0)),"")</f>
        <v/>
      </c>
      <c r="AC159" s="13" t="str">
        <f>IF(AC$4="Yes",INDEX(List!$E$2:$CD$173,MATCH('Selection Pane Data'!$B159,List!$E$2:$E$173,0),MATCH('Selection Pane Data'!AC$3,List!$E$2:$CD$2,0)),"")</f>
        <v/>
      </c>
      <c r="AD159" s="13" t="str">
        <f>IF(AD$4="Yes",INDEX(List!$E$2:$CD$173,MATCH('Selection Pane Data'!$B159,List!$E$2:$E$173,0),MATCH('Selection Pane Data'!AD$3,List!$E$2:$CD$2,0)),"")</f>
        <v/>
      </c>
      <c r="AE159" s="13" t="str">
        <f>IF(AE$4="Yes",INDEX(List!$E$2:$CD$173,MATCH('Selection Pane Data'!$B159,List!$E$2:$E$173,0),MATCH('Selection Pane Data'!AE$3,List!$E$2:$CD$2,0)),"")</f>
        <v/>
      </c>
      <c r="AF159" s="13" t="str">
        <f>IF(AF$4="Yes",INDEX(List!$E$2:$CD$173,MATCH('Selection Pane Data'!$B159,List!$E$2:$E$173,0),MATCH('Selection Pane Data'!AF$3,List!$E$2:$CD$2,0)),"")</f>
        <v/>
      </c>
      <c r="AG159" s="13" t="str">
        <f>IF(AG$4="Yes",INDEX(List!$E$2:$CD$173,MATCH('Selection Pane Data'!$B159,List!$E$2:$E$173,0),MATCH('Selection Pane Data'!AG$3,List!$E$2:$CD$2,0)),"")</f>
        <v/>
      </c>
      <c r="AH159" s="13" t="str">
        <f>IF(AH$4="Yes",INDEX(List!$E$2:$CD$173,MATCH('Selection Pane Data'!$B159,List!$E$2:$E$173,0),MATCH('Selection Pane Data'!AH$3,List!$E$2:$CD$2,0)),"")</f>
        <v/>
      </c>
      <c r="AI159" s="13" t="str">
        <f>IF(AI$4="Yes",INDEX(List!$E$2:$CD$173,MATCH('Selection Pane Data'!$B159,List!$E$2:$E$173,0),MATCH('Selection Pane Data'!AI$3,List!$E$2:$CD$2,0)),"")</f>
        <v/>
      </c>
      <c r="AJ159" s="13" t="str">
        <f>IF(AJ$4="Yes",INDEX(List!$E$2:$CD$173,MATCH('Selection Pane Data'!$B159,List!$E$2:$E$173,0),MATCH('Selection Pane Data'!AJ$3,List!$E$2:$CD$2,0)),"")</f>
        <v/>
      </c>
      <c r="AK159" s="13" t="str">
        <f>IF(AK$4="Yes",INDEX(List!$E$2:$CD$173,MATCH('Selection Pane Data'!$B159,List!$E$2:$E$173,0),MATCH('Selection Pane Data'!AK$3,List!$E$2:$CD$2,0)),"")</f>
        <v/>
      </c>
      <c r="AL159" s="13" t="str">
        <f>IF(AL$4="Yes",INDEX(List!$E$2:$CD$173,MATCH('Selection Pane Data'!$B159,List!$E$2:$E$173,0),MATCH('Selection Pane Data'!AL$3,List!$E$2:$CD$2,0)),"")</f>
        <v/>
      </c>
      <c r="AM159" s="13" t="str">
        <f>IF(AM$4="Yes",INDEX(List!$E$2:$CD$173,MATCH('Selection Pane Data'!$B159,List!$E$2:$E$173,0),MATCH('Selection Pane Data'!AM$3,List!$E$2:$CD$2,0)),"")</f>
        <v/>
      </c>
      <c r="AN159" s="13" t="str">
        <f>IF(AN$4="Yes",INDEX(List!$E$2:$CD$173,MATCH('Selection Pane Data'!$B159,List!$E$2:$E$173,0),MATCH('Selection Pane Data'!AN$3,List!$E$2:$CD$2,0)),"")</f>
        <v/>
      </c>
      <c r="AO159" s="13" t="str">
        <f>IF(AO$4="Yes",INDEX(List!$E$2:$CD$173,MATCH('Selection Pane Data'!$B159,List!$E$2:$E$173,0),MATCH('Selection Pane Data'!AO$3,List!$E$2:$CD$2,0)),"")</f>
        <v/>
      </c>
      <c r="AP159" s="13" t="str">
        <f>IF(AP$4="Yes",INDEX(List!$E$2:$CD$173,MATCH('Selection Pane Data'!$B159,List!$E$2:$E$173,0),MATCH('Selection Pane Data'!AP$3,List!$E$2:$CD$2,0)),"")</f>
        <v/>
      </c>
      <c r="AQ159" s="13" t="str">
        <f>IF(AQ$4="Yes",INDEX(List!$E$2:$CD$173,MATCH('Selection Pane Data'!$B159,List!$E$2:$E$173,0),MATCH('Selection Pane Data'!AQ$3,List!$E$2:$CD$2,0)),"")</f>
        <v/>
      </c>
      <c r="AR159" s="13" t="str">
        <f>IF(AR$4="Yes",INDEX(List!$E$2:$CD$173,MATCH('Selection Pane Data'!$B159,List!$E$2:$E$173,0),MATCH('Selection Pane Data'!AR$3,List!$E$2:$CD$2,0)),"")</f>
        <v/>
      </c>
      <c r="AS159" s="13" t="str">
        <f>IF(AS$4="Yes",INDEX(List!$E$2:$CD$173,MATCH('Selection Pane Data'!$B159,List!$E$2:$E$173,0),MATCH('Selection Pane Data'!AS$3,List!$E$2:$CD$2,0)),"")</f>
        <v/>
      </c>
      <c r="AT159" s="13" t="str">
        <f>IF(AT$4="Yes",INDEX(List!$E$2:$CD$173,MATCH('Selection Pane Data'!$B159,List!$E$2:$E$173,0),MATCH('Selection Pane Data'!AT$3,List!$E$2:$CD$2,0)),"")</f>
        <v/>
      </c>
      <c r="AU159" s="13" t="str">
        <f>IF(AU$4="Yes",INDEX(List!$E$2:$CD$173,MATCH('Selection Pane Data'!$B159,List!$E$2:$E$173,0),MATCH('Selection Pane Data'!AU$3,List!$E$2:$CD$2,0)),"")</f>
        <v/>
      </c>
      <c r="AV159" s="13" t="str">
        <f>IF(AV$4="Yes",INDEX(List!$E$2:$CD$173,MATCH('Selection Pane Data'!$B159,List!$E$2:$E$173,0),MATCH('Selection Pane Data'!AV$3,List!$E$2:$CD$2,0)),"")</f>
        <v/>
      </c>
      <c r="AW159" s="13" t="str">
        <f>IF(AW$4="Yes",INDEX(List!$E$2:$CD$173,MATCH('Selection Pane Data'!$B159,List!$E$2:$E$173,0),MATCH('Selection Pane Data'!AW$3,List!$E$2:$CD$2,0)),"")</f>
        <v/>
      </c>
      <c r="AX159" s="13" t="str">
        <f>IF(AX$4="Yes",INDEX(List!$E$2:$CD$173,MATCH('Selection Pane Data'!$B159,List!$E$2:$E$173,0),MATCH('Selection Pane Data'!AX$3,List!$E$2:$CD$2,0)),"")</f>
        <v/>
      </c>
      <c r="AY159" s="13" t="str">
        <f>IF(AY$4="Yes",INDEX(List!$E$2:$CD$173,MATCH('Selection Pane Data'!$B159,List!$E$2:$E$173,0),MATCH('Selection Pane Data'!AY$3,List!$E$2:$CD$2,0)),"")</f>
        <v/>
      </c>
      <c r="AZ159" s="13" t="str">
        <f>IF(AZ$4="Yes",INDEX(List!$E$2:$CD$173,MATCH('Selection Pane Data'!$B159,List!$E$2:$E$173,0),MATCH('Selection Pane Data'!AZ$3,List!$E$2:$CD$2,0)),"")</f>
        <v/>
      </c>
      <c r="BA159" s="13" t="str">
        <f>IF(BA$4="Yes",INDEX(List!$E$2:$CD$173,MATCH('Selection Pane Data'!$B159,List!$E$2:$E$173,0),MATCH('Selection Pane Data'!BA$3,List!$E$2:$CD$2,0)),"")</f>
        <v/>
      </c>
      <c r="BB159" s="13" t="str">
        <f>IF(BB$4="Yes",INDEX(List!$E$2:$CD$173,MATCH('Selection Pane Data'!$B159,List!$E$2:$E$173,0),MATCH('Selection Pane Data'!BB$3,List!$E$2:$CD$2,0)),"")</f>
        <v/>
      </c>
      <c r="BC159" s="13" t="str">
        <f>IF(BC$4="Yes",INDEX(List!$E$2:$CD$173,MATCH('Selection Pane Data'!$B159,List!$E$2:$E$173,0),MATCH('Selection Pane Data'!BC$3,List!$E$2:$CD$2,0)),"")</f>
        <v/>
      </c>
      <c r="BD159" s="13" t="str">
        <f>IF(BD$4="Yes",INDEX(List!$E$2:$CD$173,MATCH('Selection Pane Data'!$B159,List!$E$2:$E$173,0),MATCH('Selection Pane Data'!BD$3,List!$E$2:$CD$2,0)),"")</f>
        <v/>
      </c>
      <c r="BE159" s="13" t="str">
        <f>IF(BE$4="Yes",INDEX(List!$E$2:$CD$173,MATCH('Selection Pane Data'!$B159,List!$E$2:$E$173,0),MATCH('Selection Pane Data'!BE$3,List!$E$2:$CD$2,0)),"")</f>
        <v/>
      </c>
      <c r="BF159" s="13" t="str">
        <f>IF(BF$4="Yes",INDEX(List!$E$2:$CD$173,MATCH('Selection Pane Data'!$B159,List!$E$2:$E$173,0),MATCH('Selection Pane Data'!BF$3,List!$E$2:$CD$2,0)),"")</f>
        <v/>
      </c>
      <c r="BG159" s="13" t="str">
        <f>IF(BG$4="Yes",INDEX(List!$E$2:$CD$173,MATCH('Selection Pane Data'!$B159,List!$E$2:$E$173,0),MATCH('Selection Pane Data'!BG$3,List!$E$2:$CD$2,0)),"")</f>
        <v/>
      </c>
      <c r="BH159" s="13" t="str">
        <f>IF(BH$4="Yes",INDEX(List!$E$2:$CD$173,MATCH('Selection Pane Data'!$B159,List!$E$2:$E$173,0),MATCH('Selection Pane Data'!BH$3,List!$E$2:$CD$2,0)),"")</f>
        <v/>
      </c>
      <c r="BI159" s="13" t="str">
        <f>IF(BI$4="Yes",INDEX(List!$E$2:$CD$173,MATCH('Selection Pane Data'!$B159,List!$E$2:$E$173,0),MATCH('Selection Pane Data'!BI$3,List!$E$2:$CD$2,0)),"")</f>
        <v/>
      </c>
      <c r="BJ159" s="13" t="str">
        <f>IF(BJ$4="Yes",INDEX(List!$E$2:$CD$173,MATCH('Selection Pane Data'!$B159,List!$E$2:$E$173,0),MATCH('Selection Pane Data'!BJ$3,List!$E$2:$CD$2,0)),"")</f>
        <v/>
      </c>
      <c r="BK159" s="13" t="str">
        <f>IF(BK$4="Yes",INDEX(List!$E$2:$CD$173,MATCH('Selection Pane Data'!$B159,List!$E$2:$E$173,0),MATCH('Selection Pane Data'!BK$3,List!$E$2:$CD$2,0)),"")</f>
        <v/>
      </c>
      <c r="BL159" s="13" t="str">
        <f>IF(BL$4="Yes",INDEX(List!$E$2:$CD$173,MATCH('Selection Pane Data'!$B159,List!$E$2:$E$173,0),MATCH('Selection Pane Data'!BL$3,List!$E$2:$CD$2,0)),"")</f>
        <v/>
      </c>
      <c r="BM159" s="13" t="str">
        <f>IF(BM$4="Yes",INDEX(List!$E$2:$CD$173,MATCH('Selection Pane Data'!$B159,List!$E$2:$E$173,0),MATCH('Selection Pane Data'!BM$3,List!$E$2:$CD$2,0)),"")</f>
        <v/>
      </c>
      <c r="BN159" s="13" t="str">
        <f>IF(BN$4="Yes",INDEX(List!$E$2:$CD$173,MATCH('Selection Pane Data'!$B159,List!$E$2:$E$173,0),MATCH('Selection Pane Data'!BN$3,List!$E$2:$CD$2,0)),"")</f>
        <v/>
      </c>
      <c r="BO159" s="13" t="str">
        <f>IF(BO$4="Yes",INDEX(List!$E$2:$CD$173,MATCH('Selection Pane Data'!$B159,List!$E$2:$E$173,0),MATCH('Selection Pane Data'!BO$3,List!$E$2:$CD$2,0)),"")</f>
        <v/>
      </c>
      <c r="BP159" s="13" t="str">
        <f>IF(BP$4="Yes",INDEX(List!$E$2:$CD$173,MATCH('Selection Pane Data'!$B159,List!$E$2:$E$173,0),MATCH('Selection Pane Data'!BP$3,List!$E$2:$CD$2,0)),"")</f>
        <v/>
      </c>
      <c r="BQ159" s="13" t="str">
        <f>IF(BQ$4="Yes",INDEX(List!$E$2:$CD$173,MATCH('Selection Pane Data'!$B159,List!$E$2:$E$173,0),MATCH('Selection Pane Data'!BQ$3,List!$E$2:$CD$2,0)),"")</f>
        <v/>
      </c>
      <c r="BR159" s="13" t="str">
        <f>IF(BR$4="Yes",INDEX(List!$E$2:$CD$173,MATCH('Selection Pane Data'!$B159,List!$E$2:$E$173,0),MATCH('Selection Pane Data'!BR$3,List!$E$2:$CD$2,0)),"")</f>
        <v/>
      </c>
      <c r="BS159" s="13" t="str">
        <f>IF(BS$4="Yes",INDEX(List!$E$2:$CD$173,MATCH('Selection Pane Data'!$B159,List!$E$2:$E$173,0),MATCH('Selection Pane Data'!BS$3,List!$E$2:$CD$2,0)),"")</f>
        <v/>
      </c>
      <c r="BT159" s="13" t="str">
        <f>IF(BT$4="Yes",INDEX(List!$E$2:$CD$173,MATCH('Selection Pane Data'!$B159,List!$E$2:$E$173,0),MATCH('Selection Pane Data'!BT$3,List!$E$2:$CD$2,0)),"")</f>
        <v/>
      </c>
      <c r="BU159" s="13" t="str">
        <f>IF(BU$4="Yes",INDEX(List!$E$2:$CD$173,MATCH('Selection Pane Data'!$B159,List!$E$2:$E$173,0),MATCH('Selection Pane Data'!BU$3,List!$E$2:$CD$2,0)),"")</f>
        <v/>
      </c>
      <c r="BV159" s="13" t="str">
        <f>IF(BV$4="Yes",INDEX(List!$E$2:$CD$173,MATCH('Selection Pane Data'!$B159,List!$E$2:$E$173,0),MATCH('Selection Pane Data'!BV$3,List!$E$2:$CD$2,0)),"")</f>
        <v/>
      </c>
      <c r="BW159" s="13" t="str">
        <f>IF(BW$4="Yes",INDEX(List!$E$2:$CD$173,MATCH('Selection Pane Data'!$B159,List!$E$2:$E$173,0),MATCH('Selection Pane Data'!BW$3,List!$E$2:$CD$2,0)),"")</f>
        <v/>
      </c>
      <c r="BX159" s="13" t="str">
        <f>IF(BX$4="Yes",INDEX(List!$E$2:$CD$173,MATCH('Selection Pane Data'!$B159,List!$E$2:$E$173,0),MATCH('Selection Pane Data'!BX$3,List!$E$2:$CD$2,0)),"")</f>
        <v/>
      </c>
      <c r="BY159" s="13" t="str">
        <f>IF(BY$4="Yes",INDEX(List!$E$2:$CD$173,MATCH('Selection Pane Data'!$B159,List!$E$2:$E$173,0),MATCH('Selection Pane Data'!BY$3,List!$E$2:$CD$2,0)),"")</f>
        <v/>
      </c>
      <c r="BZ159" s="13" t="str">
        <f>IF(BZ$4="Yes",INDEX(List!$E$2:$CD$173,MATCH('Selection Pane Data'!$B159,List!$E$2:$E$173,0),MATCH('Selection Pane Data'!BZ$3,List!$E$2:$CD$2,0)),"")</f>
        <v/>
      </c>
      <c r="CA159" s="13" t="str">
        <f>IF(CA$4="Yes",INDEX(List!$E$2:$CD$173,MATCH('Selection Pane Data'!$B159,List!$E$2:$E$173,0),MATCH('Selection Pane Data'!CA$3,List!$E$2:$CD$2,0)),"")</f>
        <v/>
      </c>
      <c r="CB159" s="13" t="str">
        <f>IF(CB$4="Yes",INDEX(List!$E$2:$CD$173,MATCH('Selection Pane Data'!$B159,List!$E$2:$E$173,0),MATCH('Selection Pane Data'!CB$3,List!$E$2:$CD$2,0)),"")</f>
        <v/>
      </c>
      <c r="CC159" s="13" t="str">
        <f>IF(CC$4="Yes",INDEX(List!$E$2:$CD$173,MATCH('Selection Pane Data'!$B159,List!$E$2:$E$173,0),MATCH('Selection Pane Data'!CC$3,List!$E$2:$CD$2,0)),"")</f>
        <v/>
      </c>
      <c r="CD159" s="13" t="str">
        <f>IF(CD$4="Yes",INDEX(List!$E$2:$CD$173,MATCH('Selection Pane Data'!$B159,List!$E$2:$E$173,0),MATCH('Selection Pane Data'!CD$3,List!$E$2:$CD$2,0)),"")</f>
        <v/>
      </c>
      <c r="CE159" s="13" t="str">
        <f>IF(CE$4="Yes",INDEX(List!$E$2:$CD$173,MATCH('Selection Pane Data'!$B159,List!$E$2:$E$173,0),MATCH('Selection Pane Data'!CE$3,List!$E$2:$CD$2,0)),"")</f>
        <v/>
      </c>
    </row>
    <row r="160" spans="2:83" x14ac:dyDescent="0.35">
      <c r="B160" s="21" t="s">
        <v>447</v>
      </c>
      <c r="C160" s="126" t="str">
        <f>VLOOKUP(B160,List!$E$2:$G$173,2,FALSE)</f>
        <v>N/A</v>
      </c>
      <c r="D160" s="31" t="str">
        <f>List!G158</f>
        <v>Not Applicable</v>
      </c>
      <c r="E160" s="31" t="str">
        <f>IF(Placemat!$F$4="All Practices","All Practices",IF(VLOOKUP(B160,Table7[#All],6,FALSE)="No Mapping","New CMMC Practices","Practices with NIST 800-171 Mappings"))</f>
        <v>Practices with NIST 800-171 Mappings</v>
      </c>
      <c r="F160" t="str">
        <f>INDEX('CMMC Levels'!$A$1:$F$172,MATCH('Selection Pane Data'!$C160,'CMMC Levels'!$A$1:$A$172,0),MATCH(Placemat!$F$4,'CMMC Levels'!$A$1:$F$1,0))</f>
        <v>N/A</v>
      </c>
      <c r="G160" s="77" t="str">
        <f>IF((COUNTIF(List!H158:CE158,"P")+COUNTIF(List!H158:CE158,"S"))=0,"N",IF(COUNTIF(H160:CE160,"P"),"P",IF(COUNTIF(H160:CE160,"S"),"S","U")))</f>
        <v>N</v>
      </c>
      <c r="H160" s="13" t="str">
        <f>IF(H$4="Yes",INDEX(List!$E$2:$CD$173,MATCH('Selection Pane Data'!$B160,List!$E$2:$E$173,0),MATCH('Selection Pane Data'!H$3,List!$E$2:$CD$2,0)),"")</f>
        <v/>
      </c>
      <c r="I160" s="13" t="str">
        <f>IF(I$4="Yes",INDEX(List!$E$2:$CD$173,MATCH('Selection Pane Data'!$B160,List!$E$2:$E$173,0),MATCH('Selection Pane Data'!I$3,List!$E$2:$CD$2,0)),"")</f>
        <v/>
      </c>
      <c r="J160" s="13" t="e">
        <f>IF(J$4="Yes",INDEX(List!$E$2:$CD$173,MATCH('Selection Pane Data'!$B160,List!$E$2:$E$173,0),MATCH('Selection Pane Data'!J$3,List!$E$2:$CD$2,0)),"")</f>
        <v>#N/A</v>
      </c>
      <c r="K160" s="13" t="str">
        <f>IF(K$4="Yes",INDEX(List!$E$2:$CD$173,MATCH('Selection Pane Data'!$B160,List!$E$2:$E$173,0),MATCH('Selection Pane Data'!K$3,List!$E$2:$CD$2,0)),"")</f>
        <v/>
      </c>
      <c r="L160" s="13" t="str">
        <f>IF(L$4="Yes",INDEX(List!$E$2:$CD$173,MATCH('Selection Pane Data'!$B160,List!$E$2:$E$173,0),MATCH('Selection Pane Data'!L$3,List!$E$2:$CD$2,0)),"")</f>
        <v/>
      </c>
      <c r="M160" s="13" t="str">
        <f>IF(M$4="Yes",INDEX(List!$E$2:$CD$173,MATCH('Selection Pane Data'!$B160,List!$E$2:$E$173,0),MATCH('Selection Pane Data'!M$3,List!$E$2:$CD$2,0)),"")</f>
        <v/>
      </c>
      <c r="N160" s="13" t="str">
        <f>IF(N$4="Yes",INDEX(List!$E$2:$CD$173,MATCH('Selection Pane Data'!$B160,List!$E$2:$E$173,0),MATCH('Selection Pane Data'!N$3,List!$E$2:$CD$2,0)),"")</f>
        <v/>
      </c>
      <c r="O160" s="13" t="str">
        <f>IF(O$4="Yes",INDEX(List!$E$2:$CD$173,MATCH('Selection Pane Data'!$B160,List!$E$2:$E$173,0),MATCH('Selection Pane Data'!O$3,List!$E$2:$CD$2,0)),"")</f>
        <v/>
      </c>
      <c r="P160" s="13" t="str">
        <f>IF(P$4="Yes",INDEX(List!$E$2:$CD$173,MATCH('Selection Pane Data'!$B160,List!$E$2:$E$173,0),MATCH('Selection Pane Data'!P$3,List!$E$2:$CD$2,0)),"")</f>
        <v/>
      </c>
      <c r="Q160" s="13" t="str">
        <f>IF(Q$4="Yes",INDEX(List!$E$2:$CD$173,MATCH('Selection Pane Data'!$B160,List!$E$2:$E$173,0),MATCH('Selection Pane Data'!Q$3,List!$E$2:$CD$2,0)),"")</f>
        <v/>
      </c>
      <c r="R160" s="13" t="str">
        <f>IF(R$4="Yes",INDEX(List!$E$2:$CD$173,MATCH('Selection Pane Data'!$B160,List!$E$2:$E$173,0),MATCH('Selection Pane Data'!R$3,List!$E$2:$CD$2,0)),"")</f>
        <v/>
      </c>
      <c r="S160" s="13" t="str">
        <f>IF(S$4="Yes",INDEX(List!$E$2:$CD$173,MATCH('Selection Pane Data'!$B160,List!$E$2:$E$173,0),MATCH('Selection Pane Data'!S$3,List!$E$2:$CD$2,0)),"")</f>
        <v/>
      </c>
      <c r="T160" s="13" t="str">
        <f>IF(T$4="Yes",INDEX(List!$E$2:$CD$173,MATCH('Selection Pane Data'!$B160,List!$E$2:$E$173,0),MATCH('Selection Pane Data'!T$3,List!$E$2:$CD$2,0)),"")</f>
        <v/>
      </c>
      <c r="U160" s="13" t="str">
        <f>IF(U$4="Yes",INDEX(List!$E$2:$CD$173,MATCH('Selection Pane Data'!$B160,List!$E$2:$E$173,0),MATCH('Selection Pane Data'!U$3,List!$E$2:$CD$2,0)),"")</f>
        <v/>
      </c>
      <c r="V160" s="13" t="str">
        <f>IF(V$4="Yes",INDEX(List!$E$2:$CD$173,MATCH('Selection Pane Data'!$B160,List!$E$2:$E$173,0),MATCH('Selection Pane Data'!V$3,List!$E$2:$CD$2,0)),"")</f>
        <v/>
      </c>
      <c r="W160" s="13" t="str">
        <f>IF(W$4="Yes",INDEX(List!$E$2:$CD$173,MATCH('Selection Pane Data'!$B160,List!$E$2:$E$173,0),MATCH('Selection Pane Data'!W$3,List!$E$2:$CD$2,0)),"")</f>
        <v/>
      </c>
      <c r="X160" s="13" t="str">
        <f>IF(X$4="Yes",INDEX(List!$E$2:$CD$173,MATCH('Selection Pane Data'!$B160,List!$E$2:$E$173,0),MATCH('Selection Pane Data'!X$3,List!$E$2:$CD$2,0)),"")</f>
        <v/>
      </c>
      <c r="Y160" s="13" t="str">
        <f>IF(Y$4="Yes",INDEX(List!$E$2:$CD$173,MATCH('Selection Pane Data'!$B160,List!$E$2:$E$173,0),MATCH('Selection Pane Data'!Y$3,List!$E$2:$CD$2,0)),"")</f>
        <v/>
      </c>
      <c r="Z160" s="13" t="str">
        <f>IF(Z$4="Yes",INDEX(List!$E$2:$CD$173,MATCH('Selection Pane Data'!$B160,List!$E$2:$E$173,0),MATCH('Selection Pane Data'!Z$3,List!$E$2:$CD$2,0)),"")</f>
        <v/>
      </c>
      <c r="AA160" s="13" t="e">
        <f>IF(AA$4="Yes",INDEX(List!$E$2:$CD$173,MATCH('Selection Pane Data'!$B160,List!$E$2:$E$173,0),MATCH('Selection Pane Data'!AA$3,List!$E$2:$CD$2,0)),"")</f>
        <v>#N/A</v>
      </c>
      <c r="AB160" s="13" t="str">
        <f>IF(AB$4="Yes",INDEX(List!$E$2:$CD$173,MATCH('Selection Pane Data'!$B160,List!$E$2:$E$173,0),MATCH('Selection Pane Data'!AB$3,List!$E$2:$CD$2,0)),"")</f>
        <v/>
      </c>
      <c r="AC160" s="13" t="str">
        <f>IF(AC$4="Yes",INDEX(List!$E$2:$CD$173,MATCH('Selection Pane Data'!$B160,List!$E$2:$E$173,0),MATCH('Selection Pane Data'!AC$3,List!$E$2:$CD$2,0)),"")</f>
        <v/>
      </c>
      <c r="AD160" s="13" t="str">
        <f>IF(AD$4="Yes",INDEX(List!$E$2:$CD$173,MATCH('Selection Pane Data'!$B160,List!$E$2:$E$173,0),MATCH('Selection Pane Data'!AD$3,List!$E$2:$CD$2,0)),"")</f>
        <v/>
      </c>
      <c r="AE160" s="13" t="str">
        <f>IF(AE$4="Yes",INDEX(List!$E$2:$CD$173,MATCH('Selection Pane Data'!$B160,List!$E$2:$E$173,0),MATCH('Selection Pane Data'!AE$3,List!$E$2:$CD$2,0)),"")</f>
        <v/>
      </c>
      <c r="AF160" s="13" t="str">
        <f>IF(AF$4="Yes",INDEX(List!$E$2:$CD$173,MATCH('Selection Pane Data'!$B160,List!$E$2:$E$173,0),MATCH('Selection Pane Data'!AF$3,List!$E$2:$CD$2,0)),"")</f>
        <v/>
      </c>
      <c r="AG160" s="13" t="str">
        <f>IF(AG$4="Yes",INDEX(List!$E$2:$CD$173,MATCH('Selection Pane Data'!$B160,List!$E$2:$E$173,0),MATCH('Selection Pane Data'!AG$3,List!$E$2:$CD$2,0)),"")</f>
        <v/>
      </c>
      <c r="AH160" s="13" t="str">
        <f>IF(AH$4="Yes",INDEX(List!$E$2:$CD$173,MATCH('Selection Pane Data'!$B160,List!$E$2:$E$173,0),MATCH('Selection Pane Data'!AH$3,List!$E$2:$CD$2,0)),"")</f>
        <v/>
      </c>
      <c r="AI160" s="13" t="str">
        <f>IF(AI$4="Yes",INDEX(List!$E$2:$CD$173,MATCH('Selection Pane Data'!$B160,List!$E$2:$E$173,0),MATCH('Selection Pane Data'!AI$3,List!$E$2:$CD$2,0)),"")</f>
        <v/>
      </c>
      <c r="AJ160" s="13" t="str">
        <f>IF(AJ$4="Yes",INDEX(List!$E$2:$CD$173,MATCH('Selection Pane Data'!$B160,List!$E$2:$E$173,0),MATCH('Selection Pane Data'!AJ$3,List!$E$2:$CD$2,0)),"")</f>
        <v/>
      </c>
      <c r="AK160" s="13" t="str">
        <f>IF(AK$4="Yes",INDEX(List!$E$2:$CD$173,MATCH('Selection Pane Data'!$B160,List!$E$2:$E$173,0),MATCH('Selection Pane Data'!AK$3,List!$E$2:$CD$2,0)),"")</f>
        <v/>
      </c>
      <c r="AL160" s="13" t="str">
        <f>IF(AL$4="Yes",INDEX(List!$E$2:$CD$173,MATCH('Selection Pane Data'!$B160,List!$E$2:$E$173,0),MATCH('Selection Pane Data'!AL$3,List!$E$2:$CD$2,0)),"")</f>
        <v/>
      </c>
      <c r="AM160" s="13" t="str">
        <f>IF(AM$4="Yes",INDEX(List!$E$2:$CD$173,MATCH('Selection Pane Data'!$B160,List!$E$2:$E$173,0),MATCH('Selection Pane Data'!AM$3,List!$E$2:$CD$2,0)),"")</f>
        <v/>
      </c>
      <c r="AN160" s="13" t="str">
        <f>IF(AN$4="Yes",INDEX(List!$E$2:$CD$173,MATCH('Selection Pane Data'!$B160,List!$E$2:$E$173,0),MATCH('Selection Pane Data'!AN$3,List!$E$2:$CD$2,0)),"")</f>
        <v/>
      </c>
      <c r="AO160" s="13" t="str">
        <f>IF(AO$4="Yes",INDEX(List!$E$2:$CD$173,MATCH('Selection Pane Data'!$B160,List!$E$2:$E$173,0),MATCH('Selection Pane Data'!AO$3,List!$E$2:$CD$2,0)),"")</f>
        <v/>
      </c>
      <c r="AP160" s="13" t="str">
        <f>IF(AP$4="Yes",INDEX(List!$E$2:$CD$173,MATCH('Selection Pane Data'!$B160,List!$E$2:$E$173,0),MATCH('Selection Pane Data'!AP$3,List!$E$2:$CD$2,0)),"")</f>
        <v/>
      </c>
      <c r="AQ160" s="13" t="str">
        <f>IF(AQ$4="Yes",INDEX(List!$E$2:$CD$173,MATCH('Selection Pane Data'!$B160,List!$E$2:$E$173,0),MATCH('Selection Pane Data'!AQ$3,List!$E$2:$CD$2,0)),"")</f>
        <v/>
      </c>
      <c r="AR160" s="13" t="str">
        <f>IF(AR$4="Yes",INDEX(List!$E$2:$CD$173,MATCH('Selection Pane Data'!$B160,List!$E$2:$E$173,0),MATCH('Selection Pane Data'!AR$3,List!$E$2:$CD$2,0)),"")</f>
        <v/>
      </c>
      <c r="AS160" s="13" t="str">
        <f>IF(AS$4="Yes",INDEX(List!$E$2:$CD$173,MATCH('Selection Pane Data'!$B160,List!$E$2:$E$173,0),MATCH('Selection Pane Data'!AS$3,List!$E$2:$CD$2,0)),"")</f>
        <v/>
      </c>
      <c r="AT160" s="13" t="str">
        <f>IF(AT$4="Yes",INDEX(List!$E$2:$CD$173,MATCH('Selection Pane Data'!$B160,List!$E$2:$E$173,0),MATCH('Selection Pane Data'!AT$3,List!$E$2:$CD$2,0)),"")</f>
        <v/>
      </c>
      <c r="AU160" s="13" t="str">
        <f>IF(AU$4="Yes",INDEX(List!$E$2:$CD$173,MATCH('Selection Pane Data'!$B160,List!$E$2:$E$173,0),MATCH('Selection Pane Data'!AU$3,List!$E$2:$CD$2,0)),"")</f>
        <v/>
      </c>
      <c r="AV160" s="13" t="str">
        <f>IF(AV$4="Yes",INDEX(List!$E$2:$CD$173,MATCH('Selection Pane Data'!$B160,List!$E$2:$E$173,0),MATCH('Selection Pane Data'!AV$3,List!$E$2:$CD$2,0)),"")</f>
        <v/>
      </c>
      <c r="AW160" s="13" t="str">
        <f>IF(AW$4="Yes",INDEX(List!$E$2:$CD$173,MATCH('Selection Pane Data'!$B160,List!$E$2:$E$173,0),MATCH('Selection Pane Data'!AW$3,List!$E$2:$CD$2,0)),"")</f>
        <v/>
      </c>
      <c r="AX160" s="13" t="str">
        <f>IF(AX$4="Yes",INDEX(List!$E$2:$CD$173,MATCH('Selection Pane Data'!$B160,List!$E$2:$E$173,0),MATCH('Selection Pane Data'!AX$3,List!$E$2:$CD$2,0)),"")</f>
        <v/>
      </c>
      <c r="AY160" s="13" t="str">
        <f>IF(AY$4="Yes",INDEX(List!$E$2:$CD$173,MATCH('Selection Pane Data'!$B160,List!$E$2:$E$173,0),MATCH('Selection Pane Data'!AY$3,List!$E$2:$CD$2,0)),"")</f>
        <v/>
      </c>
      <c r="AZ160" s="13" t="str">
        <f>IF(AZ$4="Yes",INDEX(List!$E$2:$CD$173,MATCH('Selection Pane Data'!$B160,List!$E$2:$E$173,0),MATCH('Selection Pane Data'!AZ$3,List!$E$2:$CD$2,0)),"")</f>
        <v/>
      </c>
      <c r="BA160" s="13" t="str">
        <f>IF(BA$4="Yes",INDEX(List!$E$2:$CD$173,MATCH('Selection Pane Data'!$B160,List!$E$2:$E$173,0),MATCH('Selection Pane Data'!BA$3,List!$E$2:$CD$2,0)),"")</f>
        <v/>
      </c>
      <c r="BB160" s="13" t="str">
        <f>IF(BB$4="Yes",INDEX(List!$E$2:$CD$173,MATCH('Selection Pane Data'!$B160,List!$E$2:$E$173,0),MATCH('Selection Pane Data'!BB$3,List!$E$2:$CD$2,0)),"")</f>
        <v/>
      </c>
      <c r="BC160" s="13" t="str">
        <f>IF(BC$4="Yes",INDEX(List!$E$2:$CD$173,MATCH('Selection Pane Data'!$B160,List!$E$2:$E$173,0),MATCH('Selection Pane Data'!BC$3,List!$E$2:$CD$2,0)),"")</f>
        <v/>
      </c>
      <c r="BD160" s="13" t="str">
        <f>IF(BD$4="Yes",INDEX(List!$E$2:$CD$173,MATCH('Selection Pane Data'!$B160,List!$E$2:$E$173,0),MATCH('Selection Pane Data'!BD$3,List!$E$2:$CD$2,0)),"")</f>
        <v/>
      </c>
      <c r="BE160" s="13" t="str">
        <f>IF(BE$4="Yes",INDEX(List!$E$2:$CD$173,MATCH('Selection Pane Data'!$B160,List!$E$2:$E$173,0),MATCH('Selection Pane Data'!BE$3,List!$E$2:$CD$2,0)),"")</f>
        <v/>
      </c>
      <c r="BF160" s="13" t="str">
        <f>IF(BF$4="Yes",INDEX(List!$E$2:$CD$173,MATCH('Selection Pane Data'!$B160,List!$E$2:$E$173,0),MATCH('Selection Pane Data'!BF$3,List!$E$2:$CD$2,0)),"")</f>
        <v/>
      </c>
      <c r="BG160" s="13" t="str">
        <f>IF(BG$4="Yes",INDEX(List!$E$2:$CD$173,MATCH('Selection Pane Data'!$B160,List!$E$2:$E$173,0),MATCH('Selection Pane Data'!BG$3,List!$E$2:$CD$2,0)),"")</f>
        <v/>
      </c>
      <c r="BH160" s="13" t="str">
        <f>IF(BH$4="Yes",INDEX(List!$E$2:$CD$173,MATCH('Selection Pane Data'!$B160,List!$E$2:$E$173,0),MATCH('Selection Pane Data'!BH$3,List!$E$2:$CD$2,0)),"")</f>
        <v/>
      </c>
      <c r="BI160" s="13" t="str">
        <f>IF(BI$4="Yes",INDEX(List!$E$2:$CD$173,MATCH('Selection Pane Data'!$B160,List!$E$2:$E$173,0),MATCH('Selection Pane Data'!BI$3,List!$E$2:$CD$2,0)),"")</f>
        <v/>
      </c>
      <c r="BJ160" s="13" t="str">
        <f>IF(BJ$4="Yes",INDEX(List!$E$2:$CD$173,MATCH('Selection Pane Data'!$B160,List!$E$2:$E$173,0),MATCH('Selection Pane Data'!BJ$3,List!$E$2:$CD$2,0)),"")</f>
        <v/>
      </c>
      <c r="BK160" s="13" t="str">
        <f>IF(BK$4="Yes",INDEX(List!$E$2:$CD$173,MATCH('Selection Pane Data'!$B160,List!$E$2:$E$173,0),MATCH('Selection Pane Data'!BK$3,List!$E$2:$CD$2,0)),"")</f>
        <v/>
      </c>
      <c r="BL160" s="13" t="str">
        <f>IF(BL$4="Yes",INDEX(List!$E$2:$CD$173,MATCH('Selection Pane Data'!$B160,List!$E$2:$E$173,0),MATCH('Selection Pane Data'!BL$3,List!$E$2:$CD$2,0)),"")</f>
        <v/>
      </c>
      <c r="BM160" s="13" t="str">
        <f>IF(BM$4="Yes",INDEX(List!$E$2:$CD$173,MATCH('Selection Pane Data'!$B160,List!$E$2:$E$173,0),MATCH('Selection Pane Data'!BM$3,List!$E$2:$CD$2,0)),"")</f>
        <v/>
      </c>
      <c r="BN160" s="13" t="str">
        <f>IF(BN$4="Yes",INDEX(List!$E$2:$CD$173,MATCH('Selection Pane Data'!$B160,List!$E$2:$E$173,0),MATCH('Selection Pane Data'!BN$3,List!$E$2:$CD$2,0)),"")</f>
        <v/>
      </c>
      <c r="BO160" s="13" t="str">
        <f>IF(BO$4="Yes",INDEX(List!$E$2:$CD$173,MATCH('Selection Pane Data'!$B160,List!$E$2:$E$173,0),MATCH('Selection Pane Data'!BO$3,List!$E$2:$CD$2,0)),"")</f>
        <v/>
      </c>
      <c r="BP160" s="13" t="str">
        <f>IF(BP$4="Yes",INDEX(List!$E$2:$CD$173,MATCH('Selection Pane Data'!$B160,List!$E$2:$E$173,0),MATCH('Selection Pane Data'!BP$3,List!$E$2:$CD$2,0)),"")</f>
        <v/>
      </c>
      <c r="BQ160" s="13" t="str">
        <f>IF(BQ$4="Yes",INDEX(List!$E$2:$CD$173,MATCH('Selection Pane Data'!$B160,List!$E$2:$E$173,0),MATCH('Selection Pane Data'!BQ$3,List!$E$2:$CD$2,0)),"")</f>
        <v/>
      </c>
      <c r="BR160" s="13" t="str">
        <f>IF(BR$4="Yes",INDEX(List!$E$2:$CD$173,MATCH('Selection Pane Data'!$B160,List!$E$2:$E$173,0),MATCH('Selection Pane Data'!BR$3,List!$E$2:$CD$2,0)),"")</f>
        <v/>
      </c>
      <c r="BS160" s="13" t="str">
        <f>IF(BS$4="Yes",INDEX(List!$E$2:$CD$173,MATCH('Selection Pane Data'!$B160,List!$E$2:$E$173,0),MATCH('Selection Pane Data'!BS$3,List!$E$2:$CD$2,0)),"")</f>
        <v/>
      </c>
      <c r="BT160" s="13" t="str">
        <f>IF(BT$4="Yes",INDEX(List!$E$2:$CD$173,MATCH('Selection Pane Data'!$B160,List!$E$2:$E$173,0),MATCH('Selection Pane Data'!BT$3,List!$E$2:$CD$2,0)),"")</f>
        <v/>
      </c>
      <c r="BU160" s="13" t="str">
        <f>IF(BU$4="Yes",INDEX(List!$E$2:$CD$173,MATCH('Selection Pane Data'!$B160,List!$E$2:$E$173,0),MATCH('Selection Pane Data'!BU$3,List!$E$2:$CD$2,0)),"")</f>
        <v/>
      </c>
      <c r="BV160" s="13" t="str">
        <f>IF(BV$4="Yes",INDEX(List!$E$2:$CD$173,MATCH('Selection Pane Data'!$B160,List!$E$2:$E$173,0),MATCH('Selection Pane Data'!BV$3,List!$E$2:$CD$2,0)),"")</f>
        <v/>
      </c>
      <c r="BW160" s="13" t="str">
        <f>IF(BW$4="Yes",INDEX(List!$E$2:$CD$173,MATCH('Selection Pane Data'!$B160,List!$E$2:$E$173,0),MATCH('Selection Pane Data'!BW$3,List!$E$2:$CD$2,0)),"")</f>
        <v/>
      </c>
      <c r="BX160" s="13" t="str">
        <f>IF(BX$4="Yes",INDEX(List!$E$2:$CD$173,MATCH('Selection Pane Data'!$B160,List!$E$2:$E$173,0),MATCH('Selection Pane Data'!BX$3,List!$E$2:$CD$2,0)),"")</f>
        <v/>
      </c>
      <c r="BY160" s="13" t="str">
        <f>IF(BY$4="Yes",INDEX(List!$E$2:$CD$173,MATCH('Selection Pane Data'!$B160,List!$E$2:$E$173,0),MATCH('Selection Pane Data'!BY$3,List!$E$2:$CD$2,0)),"")</f>
        <v/>
      </c>
      <c r="BZ160" s="13" t="str">
        <f>IF(BZ$4="Yes",INDEX(List!$E$2:$CD$173,MATCH('Selection Pane Data'!$B160,List!$E$2:$E$173,0),MATCH('Selection Pane Data'!BZ$3,List!$E$2:$CD$2,0)),"")</f>
        <v/>
      </c>
      <c r="CA160" s="13" t="str">
        <f>IF(CA$4="Yes",INDEX(List!$E$2:$CD$173,MATCH('Selection Pane Data'!$B160,List!$E$2:$E$173,0),MATCH('Selection Pane Data'!CA$3,List!$E$2:$CD$2,0)),"")</f>
        <v/>
      </c>
      <c r="CB160" s="13" t="str">
        <f>IF(CB$4="Yes",INDEX(List!$E$2:$CD$173,MATCH('Selection Pane Data'!$B160,List!$E$2:$E$173,0),MATCH('Selection Pane Data'!CB$3,List!$E$2:$CD$2,0)),"")</f>
        <v/>
      </c>
      <c r="CC160" s="13" t="str">
        <f>IF(CC$4="Yes",INDEX(List!$E$2:$CD$173,MATCH('Selection Pane Data'!$B160,List!$E$2:$E$173,0),MATCH('Selection Pane Data'!CC$3,List!$E$2:$CD$2,0)),"")</f>
        <v/>
      </c>
      <c r="CD160" s="13" t="str">
        <f>IF(CD$4="Yes",INDEX(List!$E$2:$CD$173,MATCH('Selection Pane Data'!$B160,List!$E$2:$E$173,0),MATCH('Selection Pane Data'!CD$3,List!$E$2:$CD$2,0)),"")</f>
        <v/>
      </c>
      <c r="CE160" s="13" t="str">
        <f>IF(CE$4="Yes",INDEX(List!$E$2:$CD$173,MATCH('Selection Pane Data'!$B160,List!$E$2:$E$173,0),MATCH('Selection Pane Data'!CE$3,List!$E$2:$CD$2,0)),"")</f>
        <v/>
      </c>
    </row>
    <row r="161" spans="2:83" x14ac:dyDescent="0.35">
      <c r="B161" s="21" t="s">
        <v>448</v>
      </c>
      <c r="C161" s="126" t="str">
        <f>VLOOKUP(B161,List!$E$2:$G$173,2,FALSE)</f>
        <v>N/A</v>
      </c>
      <c r="D161" s="31" t="str">
        <f>List!G159</f>
        <v>Not Applicable</v>
      </c>
      <c r="E161" s="31" t="str">
        <f>IF(Placemat!$F$4="All Practices","All Practices",IF(VLOOKUP(B161,Table7[#All],6,FALSE)="No Mapping","New CMMC Practices","Practices with NIST 800-171 Mappings"))</f>
        <v>Practices with NIST 800-171 Mappings</v>
      </c>
      <c r="F161" t="str">
        <f>INDEX('CMMC Levels'!$A$1:$F$172,MATCH('Selection Pane Data'!$C161,'CMMC Levels'!$A$1:$A$172,0),MATCH(Placemat!$F$4,'CMMC Levels'!$A$1:$F$1,0))</f>
        <v>N/A</v>
      </c>
      <c r="G161" s="77" t="str">
        <f>IF((COUNTIF(List!H159:CE159,"P")+COUNTIF(List!H159:CE159,"S"))=0,"N",IF(COUNTIF(H161:CE161,"P"),"P",IF(COUNTIF(H161:CE161,"S"),"S","U")))</f>
        <v>N</v>
      </c>
      <c r="H161" s="13" t="str">
        <f>IF(H$4="Yes",INDEX(List!$E$2:$CD$173,MATCH('Selection Pane Data'!$B161,List!$E$2:$E$173,0),MATCH('Selection Pane Data'!H$3,List!$E$2:$CD$2,0)),"")</f>
        <v/>
      </c>
      <c r="I161" s="13" t="str">
        <f>IF(I$4="Yes",INDEX(List!$E$2:$CD$173,MATCH('Selection Pane Data'!$B161,List!$E$2:$E$173,0),MATCH('Selection Pane Data'!I$3,List!$E$2:$CD$2,0)),"")</f>
        <v/>
      </c>
      <c r="J161" s="13" t="e">
        <f>IF(J$4="Yes",INDEX(List!$E$2:$CD$173,MATCH('Selection Pane Data'!$B161,List!$E$2:$E$173,0),MATCH('Selection Pane Data'!J$3,List!$E$2:$CD$2,0)),"")</f>
        <v>#N/A</v>
      </c>
      <c r="K161" s="13" t="str">
        <f>IF(K$4="Yes",INDEX(List!$E$2:$CD$173,MATCH('Selection Pane Data'!$B161,List!$E$2:$E$173,0),MATCH('Selection Pane Data'!K$3,List!$E$2:$CD$2,0)),"")</f>
        <v/>
      </c>
      <c r="L161" s="13" t="str">
        <f>IF(L$4="Yes",INDEX(List!$E$2:$CD$173,MATCH('Selection Pane Data'!$B161,List!$E$2:$E$173,0),MATCH('Selection Pane Data'!L$3,List!$E$2:$CD$2,0)),"")</f>
        <v/>
      </c>
      <c r="M161" s="13" t="str">
        <f>IF(M$4="Yes",INDEX(List!$E$2:$CD$173,MATCH('Selection Pane Data'!$B161,List!$E$2:$E$173,0),MATCH('Selection Pane Data'!M$3,List!$E$2:$CD$2,0)),"")</f>
        <v/>
      </c>
      <c r="N161" s="13" t="str">
        <f>IF(N$4="Yes",INDEX(List!$E$2:$CD$173,MATCH('Selection Pane Data'!$B161,List!$E$2:$E$173,0),MATCH('Selection Pane Data'!N$3,List!$E$2:$CD$2,0)),"")</f>
        <v/>
      </c>
      <c r="O161" s="13" t="str">
        <f>IF(O$4="Yes",INDEX(List!$E$2:$CD$173,MATCH('Selection Pane Data'!$B161,List!$E$2:$E$173,0),MATCH('Selection Pane Data'!O$3,List!$E$2:$CD$2,0)),"")</f>
        <v/>
      </c>
      <c r="P161" s="13" t="str">
        <f>IF(P$4="Yes",INDEX(List!$E$2:$CD$173,MATCH('Selection Pane Data'!$B161,List!$E$2:$E$173,0),MATCH('Selection Pane Data'!P$3,List!$E$2:$CD$2,0)),"")</f>
        <v/>
      </c>
      <c r="Q161" s="13" t="str">
        <f>IF(Q$4="Yes",INDEX(List!$E$2:$CD$173,MATCH('Selection Pane Data'!$B161,List!$E$2:$E$173,0),MATCH('Selection Pane Data'!Q$3,List!$E$2:$CD$2,0)),"")</f>
        <v/>
      </c>
      <c r="R161" s="13" t="str">
        <f>IF(R$4="Yes",INDEX(List!$E$2:$CD$173,MATCH('Selection Pane Data'!$B161,List!$E$2:$E$173,0),MATCH('Selection Pane Data'!R$3,List!$E$2:$CD$2,0)),"")</f>
        <v/>
      </c>
      <c r="S161" s="13" t="str">
        <f>IF(S$4="Yes",INDEX(List!$E$2:$CD$173,MATCH('Selection Pane Data'!$B161,List!$E$2:$E$173,0),MATCH('Selection Pane Data'!S$3,List!$E$2:$CD$2,0)),"")</f>
        <v/>
      </c>
      <c r="T161" s="13" t="str">
        <f>IF(T$4="Yes",INDEX(List!$E$2:$CD$173,MATCH('Selection Pane Data'!$B161,List!$E$2:$E$173,0),MATCH('Selection Pane Data'!T$3,List!$E$2:$CD$2,0)),"")</f>
        <v/>
      </c>
      <c r="U161" s="13" t="str">
        <f>IF(U$4="Yes",INDEX(List!$E$2:$CD$173,MATCH('Selection Pane Data'!$B161,List!$E$2:$E$173,0),MATCH('Selection Pane Data'!U$3,List!$E$2:$CD$2,0)),"")</f>
        <v/>
      </c>
      <c r="V161" s="13" t="str">
        <f>IF(V$4="Yes",INDEX(List!$E$2:$CD$173,MATCH('Selection Pane Data'!$B161,List!$E$2:$E$173,0),MATCH('Selection Pane Data'!V$3,List!$E$2:$CD$2,0)),"")</f>
        <v/>
      </c>
      <c r="W161" s="13" t="str">
        <f>IF(W$4="Yes",INDEX(List!$E$2:$CD$173,MATCH('Selection Pane Data'!$B161,List!$E$2:$E$173,0),MATCH('Selection Pane Data'!W$3,List!$E$2:$CD$2,0)),"")</f>
        <v/>
      </c>
      <c r="X161" s="13" t="str">
        <f>IF(X$4="Yes",INDEX(List!$E$2:$CD$173,MATCH('Selection Pane Data'!$B161,List!$E$2:$E$173,0),MATCH('Selection Pane Data'!X$3,List!$E$2:$CD$2,0)),"")</f>
        <v/>
      </c>
      <c r="Y161" s="13" t="str">
        <f>IF(Y$4="Yes",INDEX(List!$E$2:$CD$173,MATCH('Selection Pane Data'!$B161,List!$E$2:$E$173,0),MATCH('Selection Pane Data'!Y$3,List!$E$2:$CD$2,0)),"")</f>
        <v/>
      </c>
      <c r="Z161" s="13" t="str">
        <f>IF(Z$4="Yes",INDEX(List!$E$2:$CD$173,MATCH('Selection Pane Data'!$B161,List!$E$2:$E$173,0),MATCH('Selection Pane Data'!Z$3,List!$E$2:$CD$2,0)),"")</f>
        <v/>
      </c>
      <c r="AA161" s="13" t="e">
        <f>IF(AA$4="Yes",INDEX(List!$E$2:$CD$173,MATCH('Selection Pane Data'!$B161,List!$E$2:$E$173,0),MATCH('Selection Pane Data'!AA$3,List!$E$2:$CD$2,0)),"")</f>
        <v>#N/A</v>
      </c>
      <c r="AB161" s="13" t="str">
        <f>IF(AB$4="Yes",INDEX(List!$E$2:$CD$173,MATCH('Selection Pane Data'!$B161,List!$E$2:$E$173,0),MATCH('Selection Pane Data'!AB$3,List!$E$2:$CD$2,0)),"")</f>
        <v/>
      </c>
      <c r="AC161" s="13" t="str">
        <f>IF(AC$4="Yes",INDEX(List!$E$2:$CD$173,MATCH('Selection Pane Data'!$B161,List!$E$2:$E$173,0),MATCH('Selection Pane Data'!AC$3,List!$E$2:$CD$2,0)),"")</f>
        <v/>
      </c>
      <c r="AD161" s="13" t="str">
        <f>IF(AD$4="Yes",INDEX(List!$E$2:$CD$173,MATCH('Selection Pane Data'!$B161,List!$E$2:$E$173,0),MATCH('Selection Pane Data'!AD$3,List!$E$2:$CD$2,0)),"")</f>
        <v/>
      </c>
      <c r="AE161" s="13" t="str">
        <f>IF(AE$4="Yes",INDEX(List!$E$2:$CD$173,MATCH('Selection Pane Data'!$B161,List!$E$2:$E$173,0),MATCH('Selection Pane Data'!AE$3,List!$E$2:$CD$2,0)),"")</f>
        <v/>
      </c>
      <c r="AF161" s="13" t="str">
        <f>IF(AF$4="Yes",INDEX(List!$E$2:$CD$173,MATCH('Selection Pane Data'!$B161,List!$E$2:$E$173,0),MATCH('Selection Pane Data'!AF$3,List!$E$2:$CD$2,0)),"")</f>
        <v/>
      </c>
      <c r="AG161" s="13" t="str">
        <f>IF(AG$4="Yes",INDEX(List!$E$2:$CD$173,MATCH('Selection Pane Data'!$B161,List!$E$2:$E$173,0),MATCH('Selection Pane Data'!AG$3,List!$E$2:$CD$2,0)),"")</f>
        <v/>
      </c>
      <c r="AH161" s="13" t="str">
        <f>IF(AH$4="Yes",INDEX(List!$E$2:$CD$173,MATCH('Selection Pane Data'!$B161,List!$E$2:$E$173,0),MATCH('Selection Pane Data'!AH$3,List!$E$2:$CD$2,0)),"")</f>
        <v/>
      </c>
      <c r="AI161" s="13" t="str">
        <f>IF(AI$4="Yes",INDEX(List!$E$2:$CD$173,MATCH('Selection Pane Data'!$B161,List!$E$2:$E$173,0),MATCH('Selection Pane Data'!AI$3,List!$E$2:$CD$2,0)),"")</f>
        <v/>
      </c>
      <c r="AJ161" s="13" t="str">
        <f>IF(AJ$4="Yes",INDEX(List!$E$2:$CD$173,MATCH('Selection Pane Data'!$B161,List!$E$2:$E$173,0),MATCH('Selection Pane Data'!AJ$3,List!$E$2:$CD$2,0)),"")</f>
        <v/>
      </c>
      <c r="AK161" s="13" t="str">
        <f>IF(AK$4="Yes",INDEX(List!$E$2:$CD$173,MATCH('Selection Pane Data'!$B161,List!$E$2:$E$173,0),MATCH('Selection Pane Data'!AK$3,List!$E$2:$CD$2,0)),"")</f>
        <v/>
      </c>
      <c r="AL161" s="13" t="str">
        <f>IF(AL$4="Yes",INDEX(List!$E$2:$CD$173,MATCH('Selection Pane Data'!$B161,List!$E$2:$E$173,0),MATCH('Selection Pane Data'!AL$3,List!$E$2:$CD$2,0)),"")</f>
        <v/>
      </c>
      <c r="AM161" s="13" t="str">
        <f>IF(AM$4="Yes",INDEX(List!$E$2:$CD$173,MATCH('Selection Pane Data'!$B161,List!$E$2:$E$173,0),MATCH('Selection Pane Data'!AM$3,List!$E$2:$CD$2,0)),"")</f>
        <v/>
      </c>
      <c r="AN161" s="13" t="str">
        <f>IF(AN$4="Yes",INDEX(List!$E$2:$CD$173,MATCH('Selection Pane Data'!$B161,List!$E$2:$E$173,0),MATCH('Selection Pane Data'!AN$3,List!$E$2:$CD$2,0)),"")</f>
        <v/>
      </c>
      <c r="AO161" s="13" t="str">
        <f>IF(AO$4="Yes",INDEX(List!$E$2:$CD$173,MATCH('Selection Pane Data'!$B161,List!$E$2:$E$173,0),MATCH('Selection Pane Data'!AO$3,List!$E$2:$CD$2,0)),"")</f>
        <v/>
      </c>
      <c r="AP161" s="13" t="str">
        <f>IF(AP$4="Yes",INDEX(List!$E$2:$CD$173,MATCH('Selection Pane Data'!$B161,List!$E$2:$E$173,0),MATCH('Selection Pane Data'!AP$3,List!$E$2:$CD$2,0)),"")</f>
        <v/>
      </c>
      <c r="AQ161" s="13" t="str">
        <f>IF(AQ$4="Yes",INDEX(List!$E$2:$CD$173,MATCH('Selection Pane Data'!$B161,List!$E$2:$E$173,0),MATCH('Selection Pane Data'!AQ$3,List!$E$2:$CD$2,0)),"")</f>
        <v/>
      </c>
      <c r="AR161" s="13" t="str">
        <f>IF(AR$4="Yes",INDEX(List!$E$2:$CD$173,MATCH('Selection Pane Data'!$B161,List!$E$2:$E$173,0),MATCH('Selection Pane Data'!AR$3,List!$E$2:$CD$2,0)),"")</f>
        <v/>
      </c>
      <c r="AS161" s="13" t="str">
        <f>IF(AS$4="Yes",INDEX(List!$E$2:$CD$173,MATCH('Selection Pane Data'!$B161,List!$E$2:$E$173,0),MATCH('Selection Pane Data'!AS$3,List!$E$2:$CD$2,0)),"")</f>
        <v/>
      </c>
      <c r="AT161" s="13" t="str">
        <f>IF(AT$4="Yes",INDEX(List!$E$2:$CD$173,MATCH('Selection Pane Data'!$B161,List!$E$2:$E$173,0),MATCH('Selection Pane Data'!AT$3,List!$E$2:$CD$2,0)),"")</f>
        <v/>
      </c>
      <c r="AU161" s="13" t="str">
        <f>IF(AU$4="Yes",INDEX(List!$E$2:$CD$173,MATCH('Selection Pane Data'!$B161,List!$E$2:$E$173,0),MATCH('Selection Pane Data'!AU$3,List!$E$2:$CD$2,0)),"")</f>
        <v/>
      </c>
      <c r="AV161" s="13" t="str">
        <f>IF(AV$4="Yes",INDEX(List!$E$2:$CD$173,MATCH('Selection Pane Data'!$B161,List!$E$2:$E$173,0),MATCH('Selection Pane Data'!AV$3,List!$E$2:$CD$2,0)),"")</f>
        <v/>
      </c>
      <c r="AW161" s="13" t="str">
        <f>IF(AW$4="Yes",INDEX(List!$E$2:$CD$173,MATCH('Selection Pane Data'!$B161,List!$E$2:$E$173,0),MATCH('Selection Pane Data'!AW$3,List!$E$2:$CD$2,0)),"")</f>
        <v/>
      </c>
      <c r="AX161" s="13" t="str">
        <f>IF(AX$4="Yes",INDEX(List!$E$2:$CD$173,MATCH('Selection Pane Data'!$B161,List!$E$2:$E$173,0),MATCH('Selection Pane Data'!AX$3,List!$E$2:$CD$2,0)),"")</f>
        <v/>
      </c>
      <c r="AY161" s="13" t="str">
        <f>IF(AY$4="Yes",INDEX(List!$E$2:$CD$173,MATCH('Selection Pane Data'!$B161,List!$E$2:$E$173,0),MATCH('Selection Pane Data'!AY$3,List!$E$2:$CD$2,0)),"")</f>
        <v/>
      </c>
      <c r="AZ161" s="13" t="str">
        <f>IF(AZ$4="Yes",INDEX(List!$E$2:$CD$173,MATCH('Selection Pane Data'!$B161,List!$E$2:$E$173,0),MATCH('Selection Pane Data'!AZ$3,List!$E$2:$CD$2,0)),"")</f>
        <v/>
      </c>
      <c r="BA161" s="13" t="str">
        <f>IF(BA$4="Yes",INDEX(List!$E$2:$CD$173,MATCH('Selection Pane Data'!$B161,List!$E$2:$E$173,0),MATCH('Selection Pane Data'!BA$3,List!$E$2:$CD$2,0)),"")</f>
        <v/>
      </c>
      <c r="BB161" s="13" t="str">
        <f>IF(BB$4="Yes",INDEX(List!$E$2:$CD$173,MATCH('Selection Pane Data'!$B161,List!$E$2:$E$173,0),MATCH('Selection Pane Data'!BB$3,List!$E$2:$CD$2,0)),"")</f>
        <v/>
      </c>
      <c r="BC161" s="13" t="str">
        <f>IF(BC$4="Yes",INDEX(List!$E$2:$CD$173,MATCH('Selection Pane Data'!$B161,List!$E$2:$E$173,0),MATCH('Selection Pane Data'!BC$3,List!$E$2:$CD$2,0)),"")</f>
        <v/>
      </c>
      <c r="BD161" s="13" t="str">
        <f>IF(BD$4="Yes",INDEX(List!$E$2:$CD$173,MATCH('Selection Pane Data'!$B161,List!$E$2:$E$173,0),MATCH('Selection Pane Data'!BD$3,List!$E$2:$CD$2,0)),"")</f>
        <v/>
      </c>
      <c r="BE161" s="13" t="str">
        <f>IF(BE$4="Yes",INDEX(List!$E$2:$CD$173,MATCH('Selection Pane Data'!$B161,List!$E$2:$E$173,0),MATCH('Selection Pane Data'!BE$3,List!$E$2:$CD$2,0)),"")</f>
        <v/>
      </c>
      <c r="BF161" s="13" t="str">
        <f>IF(BF$4="Yes",INDEX(List!$E$2:$CD$173,MATCH('Selection Pane Data'!$B161,List!$E$2:$E$173,0),MATCH('Selection Pane Data'!BF$3,List!$E$2:$CD$2,0)),"")</f>
        <v/>
      </c>
      <c r="BG161" s="13" t="str">
        <f>IF(BG$4="Yes",INDEX(List!$E$2:$CD$173,MATCH('Selection Pane Data'!$B161,List!$E$2:$E$173,0),MATCH('Selection Pane Data'!BG$3,List!$E$2:$CD$2,0)),"")</f>
        <v/>
      </c>
      <c r="BH161" s="13" t="str">
        <f>IF(BH$4="Yes",INDEX(List!$E$2:$CD$173,MATCH('Selection Pane Data'!$B161,List!$E$2:$E$173,0),MATCH('Selection Pane Data'!BH$3,List!$E$2:$CD$2,0)),"")</f>
        <v/>
      </c>
      <c r="BI161" s="13" t="str">
        <f>IF(BI$4="Yes",INDEX(List!$E$2:$CD$173,MATCH('Selection Pane Data'!$B161,List!$E$2:$E$173,0),MATCH('Selection Pane Data'!BI$3,List!$E$2:$CD$2,0)),"")</f>
        <v/>
      </c>
      <c r="BJ161" s="13" t="str">
        <f>IF(BJ$4="Yes",INDEX(List!$E$2:$CD$173,MATCH('Selection Pane Data'!$B161,List!$E$2:$E$173,0),MATCH('Selection Pane Data'!BJ$3,List!$E$2:$CD$2,0)),"")</f>
        <v/>
      </c>
      <c r="BK161" s="13" t="str">
        <f>IF(BK$4="Yes",INDEX(List!$E$2:$CD$173,MATCH('Selection Pane Data'!$B161,List!$E$2:$E$173,0),MATCH('Selection Pane Data'!BK$3,List!$E$2:$CD$2,0)),"")</f>
        <v/>
      </c>
      <c r="BL161" s="13" t="str">
        <f>IF(BL$4="Yes",INDEX(List!$E$2:$CD$173,MATCH('Selection Pane Data'!$B161,List!$E$2:$E$173,0),MATCH('Selection Pane Data'!BL$3,List!$E$2:$CD$2,0)),"")</f>
        <v/>
      </c>
      <c r="BM161" s="13" t="str">
        <f>IF(BM$4="Yes",INDEX(List!$E$2:$CD$173,MATCH('Selection Pane Data'!$B161,List!$E$2:$E$173,0),MATCH('Selection Pane Data'!BM$3,List!$E$2:$CD$2,0)),"")</f>
        <v/>
      </c>
      <c r="BN161" s="13" t="str">
        <f>IF(BN$4="Yes",INDEX(List!$E$2:$CD$173,MATCH('Selection Pane Data'!$B161,List!$E$2:$E$173,0),MATCH('Selection Pane Data'!BN$3,List!$E$2:$CD$2,0)),"")</f>
        <v/>
      </c>
      <c r="BO161" s="13" t="str">
        <f>IF(BO$4="Yes",INDEX(List!$E$2:$CD$173,MATCH('Selection Pane Data'!$B161,List!$E$2:$E$173,0),MATCH('Selection Pane Data'!BO$3,List!$E$2:$CD$2,0)),"")</f>
        <v/>
      </c>
      <c r="BP161" s="13" t="str">
        <f>IF(BP$4="Yes",INDEX(List!$E$2:$CD$173,MATCH('Selection Pane Data'!$B161,List!$E$2:$E$173,0),MATCH('Selection Pane Data'!BP$3,List!$E$2:$CD$2,0)),"")</f>
        <v/>
      </c>
      <c r="BQ161" s="13" t="str">
        <f>IF(BQ$4="Yes",INDEX(List!$E$2:$CD$173,MATCH('Selection Pane Data'!$B161,List!$E$2:$E$173,0),MATCH('Selection Pane Data'!BQ$3,List!$E$2:$CD$2,0)),"")</f>
        <v/>
      </c>
      <c r="BR161" s="13" t="str">
        <f>IF(BR$4="Yes",INDEX(List!$E$2:$CD$173,MATCH('Selection Pane Data'!$B161,List!$E$2:$E$173,0),MATCH('Selection Pane Data'!BR$3,List!$E$2:$CD$2,0)),"")</f>
        <v/>
      </c>
      <c r="BS161" s="13" t="str">
        <f>IF(BS$4="Yes",INDEX(List!$E$2:$CD$173,MATCH('Selection Pane Data'!$B161,List!$E$2:$E$173,0),MATCH('Selection Pane Data'!BS$3,List!$E$2:$CD$2,0)),"")</f>
        <v/>
      </c>
      <c r="BT161" s="13" t="str">
        <f>IF(BT$4="Yes",INDEX(List!$E$2:$CD$173,MATCH('Selection Pane Data'!$B161,List!$E$2:$E$173,0),MATCH('Selection Pane Data'!BT$3,List!$E$2:$CD$2,0)),"")</f>
        <v/>
      </c>
      <c r="BU161" s="13" t="str">
        <f>IF(BU$4="Yes",INDEX(List!$E$2:$CD$173,MATCH('Selection Pane Data'!$B161,List!$E$2:$E$173,0),MATCH('Selection Pane Data'!BU$3,List!$E$2:$CD$2,0)),"")</f>
        <v/>
      </c>
      <c r="BV161" s="13" t="str">
        <f>IF(BV$4="Yes",INDEX(List!$E$2:$CD$173,MATCH('Selection Pane Data'!$B161,List!$E$2:$E$173,0),MATCH('Selection Pane Data'!BV$3,List!$E$2:$CD$2,0)),"")</f>
        <v/>
      </c>
      <c r="BW161" s="13" t="str">
        <f>IF(BW$4="Yes",INDEX(List!$E$2:$CD$173,MATCH('Selection Pane Data'!$B161,List!$E$2:$E$173,0),MATCH('Selection Pane Data'!BW$3,List!$E$2:$CD$2,0)),"")</f>
        <v/>
      </c>
      <c r="BX161" s="13" t="str">
        <f>IF(BX$4="Yes",INDEX(List!$E$2:$CD$173,MATCH('Selection Pane Data'!$B161,List!$E$2:$E$173,0),MATCH('Selection Pane Data'!BX$3,List!$E$2:$CD$2,0)),"")</f>
        <v/>
      </c>
      <c r="BY161" s="13" t="str">
        <f>IF(BY$4="Yes",INDEX(List!$E$2:$CD$173,MATCH('Selection Pane Data'!$B161,List!$E$2:$E$173,0),MATCH('Selection Pane Data'!BY$3,List!$E$2:$CD$2,0)),"")</f>
        <v/>
      </c>
      <c r="BZ161" s="13" t="str">
        <f>IF(BZ$4="Yes",INDEX(List!$E$2:$CD$173,MATCH('Selection Pane Data'!$B161,List!$E$2:$E$173,0),MATCH('Selection Pane Data'!BZ$3,List!$E$2:$CD$2,0)),"")</f>
        <v/>
      </c>
      <c r="CA161" s="13" t="str">
        <f>IF(CA$4="Yes",INDEX(List!$E$2:$CD$173,MATCH('Selection Pane Data'!$B161,List!$E$2:$E$173,0),MATCH('Selection Pane Data'!CA$3,List!$E$2:$CD$2,0)),"")</f>
        <v/>
      </c>
      <c r="CB161" s="13" t="str">
        <f>IF(CB$4="Yes",INDEX(List!$E$2:$CD$173,MATCH('Selection Pane Data'!$B161,List!$E$2:$E$173,0),MATCH('Selection Pane Data'!CB$3,List!$E$2:$CD$2,0)),"")</f>
        <v/>
      </c>
      <c r="CC161" s="13" t="str">
        <f>IF(CC$4="Yes",INDEX(List!$E$2:$CD$173,MATCH('Selection Pane Data'!$B161,List!$E$2:$E$173,0),MATCH('Selection Pane Data'!CC$3,List!$E$2:$CD$2,0)),"")</f>
        <v/>
      </c>
      <c r="CD161" s="13" t="str">
        <f>IF(CD$4="Yes",INDEX(List!$E$2:$CD$173,MATCH('Selection Pane Data'!$B161,List!$E$2:$E$173,0),MATCH('Selection Pane Data'!CD$3,List!$E$2:$CD$2,0)),"")</f>
        <v/>
      </c>
      <c r="CE161" s="13" t="str">
        <f>IF(CE$4="Yes",INDEX(List!$E$2:$CD$173,MATCH('Selection Pane Data'!$B161,List!$E$2:$E$173,0),MATCH('Selection Pane Data'!CE$3,List!$E$2:$CD$2,0)),"")</f>
        <v/>
      </c>
    </row>
    <row r="162" spans="2:83" x14ac:dyDescent="0.35">
      <c r="B162" s="21" t="s">
        <v>449</v>
      </c>
      <c r="C162" s="126" t="str">
        <f>VLOOKUP(B162,List!$E$2:$G$173,2,FALSE)</f>
        <v>N/A</v>
      </c>
      <c r="D162" s="31" t="str">
        <f>List!G160</f>
        <v>Not Applicable</v>
      </c>
      <c r="E162" s="31" t="str">
        <f>IF(Placemat!$F$4="All Practices","All Practices",IF(VLOOKUP(B162,Table7[#All],6,FALSE)="No Mapping","New CMMC Practices","Practices with NIST 800-171 Mappings"))</f>
        <v>Practices with NIST 800-171 Mappings</v>
      </c>
      <c r="F162" t="str">
        <f>INDEX('CMMC Levels'!$A$1:$F$172,MATCH('Selection Pane Data'!$C162,'CMMC Levels'!$A$1:$A$172,0),MATCH(Placemat!$F$4,'CMMC Levels'!$A$1:$F$1,0))</f>
        <v>N/A</v>
      </c>
      <c r="G162" s="77" t="str">
        <f>IF((COUNTIF(List!H160:CE160,"P")+COUNTIF(List!H160:CE160,"S"))=0,"N",IF(COUNTIF(H162:CE162,"P"),"P",IF(COUNTIF(H162:CE162,"S"),"S","U")))</f>
        <v>N</v>
      </c>
      <c r="H162" s="13" t="str">
        <f>IF(H$4="Yes",INDEX(List!$E$2:$CD$173,MATCH('Selection Pane Data'!$B162,List!$E$2:$E$173,0),MATCH('Selection Pane Data'!H$3,List!$E$2:$CD$2,0)),"")</f>
        <v/>
      </c>
      <c r="I162" s="13" t="str">
        <f>IF(I$4="Yes",INDEX(List!$E$2:$CD$173,MATCH('Selection Pane Data'!$B162,List!$E$2:$E$173,0),MATCH('Selection Pane Data'!I$3,List!$E$2:$CD$2,0)),"")</f>
        <v/>
      </c>
      <c r="J162" s="13" t="e">
        <f>IF(J$4="Yes",INDEX(List!$E$2:$CD$173,MATCH('Selection Pane Data'!$B162,List!$E$2:$E$173,0),MATCH('Selection Pane Data'!J$3,List!$E$2:$CD$2,0)),"")</f>
        <v>#N/A</v>
      </c>
      <c r="K162" s="13" t="str">
        <f>IF(K$4="Yes",INDEX(List!$E$2:$CD$173,MATCH('Selection Pane Data'!$B162,List!$E$2:$E$173,0),MATCH('Selection Pane Data'!K$3,List!$E$2:$CD$2,0)),"")</f>
        <v/>
      </c>
      <c r="L162" s="13" t="str">
        <f>IF(L$4="Yes",INDEX(List!$E$2:$CD$173,MATCH('Selection Pane Data'!$B162,List!$E$2:$E$173,0),MATCH('Selection Pane Data'!L$3,List!$E$2:$CD$2,0)),"")</f>
        <v/>
      </c>
      <c r="M162" s="13" t="str">
        <f>IF(M$4="Yes",INDEX(List!$E$2:$CD$173,MATCH('Selection Pane Data'!$B162,List!$E$2:$E$173,0),MATCH('Selection Pane Data'!M$3,List!$E$2:$CD$2,0)),"")</f>
        <v/>
      </c>
      <c r="N162" s="13" t="str">
        <f>IF(N$4="Yes",INDEX(List!$E$2:$CD$173,MATCH('Selection Pane Data'!$B162,List!$E$2:$E$173,0),MATCH('Selection Pane Data'!N$3,List!$E$2:$CD$2,0)),"")</f>
        <v/>
      </c>
      <c r="O162" s="13" t="str">
        <f>IF(O$4="Yes",INDEX(List!$E$2:$CD$173,MATCH('Selection Pane Data'!$B162,List!$E$2:$E$173,0),MATCH('Selection Pane Data'!O$3,List!$E$2:$CD$2,0)),"")</f>
        <v/>
      </c>
      <c r="P162" s="13" t="str">
        <f>IF(P$4="Yes",INDEX(List!$E$2:$CD$173,MATCH('Selection Pane Data'!$B162,List!$E$2:$E$173,0),MATCH('Selection Pane Data'!P$3,List!$E$2:$CD$2,0)),"")</f>
        <v/>
      </c>
      <c r="Q162" s="13" t="str">
        <f>IF(Q$4="Yes",INDEX(List!$E$2:$CD$173,MATCH('Selection Pane Data'!$B162,List!$E$2:$E$173,0),MATCH('Selection Pane Data'!Q$3,List!$E$2:$CD$2,0)),"")</f>
        <v/>
      </c>
      <c r="R162" s="13" t="str">
        <f>IF(R$4="Yes",INDEX(List!$E$2:$CD$173,MATCH('Selection Pane Data'!$B162,List!$E$2:$E$173,0),MATCH('Selection Pane Data'!R$3,List!$E$2:$CD$2,0)),"")</f>
        <v/>
      </c>
      <c r="S162" s="13" t="str">
        <f>IF(S$4="Yes",INDEX(List!$E$2:$CD$173,MATCH('Selection Pane Data'!$B162,List!$E$2:$E$173,0),MATCH('Selection Pane Data'!S$3,List!$E$2:$CD$2,0)),"")</f>
        <v/>
      </c>
      <c r="T162" s="13" t="str">
        <f>IF(T$4="Yes",INDEX(List!$E$2:$CD$173,MATCH('Selection Pane Data'!$B162,List!$E$2:$E$173,0),MATCH('Selection Pane Data'!T$3,List!$E$2:$CD$2,0)),"")</f>
        <v/>
      </c>
      <c r="U162" s="13" t="str">
        <f>IF(U$4="Yes",INDEX(List!$E$2:$CD$173,MATCH('Selection Pane Data'!$B162,List!$E$2:$E$173,0),MATCH('Selection Pane Data'!U$3,List!$E$2:$CD$2,0)),"")</f>
        <v/>
      </c>
      <c r="V162" s="13" t="str">
        <f>IF(V$4="Yes",INDEX(List!$E$2:$CD$173,MATCH('Selection Pane Data'!$B162,List!$E$2:$E$173,0),MATCH('Selection Pane Data'!V$3,List!$E$2:$CD$2,0)),"")</f>
        <v/>
      </c>
      <c r="W162" s="13" t="str">
        <f>IF(W$4="Yes",INDEX(List!$E$2:$CD$173,MATCH('Selection Pane Data'!$B162,List!$E$2:$E$173,0),MATCH('Selection Pane Data'!W$3,List!$E$2:$CD$2,0)),"")</f>
        <v/>
      </c>
      <c r="X162" s="13" t="str">
        <f>IF(X$4="Yes",INDEX(List!$E$2:$CD$173,MATCH('Selection Pane Data'!$B162,List!$E$2:$E$173,0),MATCH('Selection Pane Data'!X$3,List!$E$2:$CD$2,0)),"")</f>
        <v/>
      </c>
      <c r="Y162" s="13" t="str">
        <f>IF(Y$4="Yes",INDEX(List!$E$2:$CD$173,MATCH('Selection Pane Data'!$B162,List!$E$2:$E$173,0),MATCH('Selection Pane Data'!Y$3,List!$E$2:$CD$2,0)),"")</f>
        <v/>
      </c>
      <c r="Z162" s="13" t="str">
        <f>IF(Z$4="Yes",INDEX(List!$E$2:$CD$173,MATCH('Selection Pane Data'!$B162,List!$E$2:$E$173,0),MATCH('Selection Pane Data'!Z$3,List!$E$2:$CD$2,0)),"")</f>
        <v/>
      </c>
      <c r="AA162" s="13" t="e">
        <f>IF(AA$4="Yes",INDEX(List!$E$2:$CD$173,MATCH('Selection Pane Data'!$B162,List!$E$2:$E$173,0),MATCH('Selection Pane Data'!AA$3,List!$E$2:$CD$2,0)),"")</f>
        <v>#N/A</v>
      </c>
      <c r="AB162" s="13" t="str">
        <f>IF(AB$4="Yes",INDEX(List!$E$2:$CD$173,MATCH('Selection Pane Data'!$B162,List!$E$2:$E$173,0),MATCH('Selection Pane Data'!AB$3,List!$E$2:$CD$2,0)),"")</f>
        <v/>
      </c>
      <c r="AC162" s="13" t="str">
        <f>IF(AC$4="Yes",INDEX(List!$E$2:$CD$173,MATCH('Selection Pane Data'!$B162,List!$E$2:$E$173,0),MATCH('Selection Pane Data'!AC$3,List!$E$2:$CD$2,0)),"")</f>
        <v/>
      </c>
      <c r="AD162" s="13" t="str">
        <f>IF(AD$4="Yes",INDEX(List!$E$2:$CD$173,MATCH('Selection Pane Data'!$B162,List!$E$2:$E$173,0),MATCH('Selection Pane Data'!AD$3,List!$E$2:$CD$2,0)),"")</f>
        <v/>
      </c>
      <c r="AE162" s="13" t="str">
        <f>IF(AE$4="Yes",INDEX(List!$E$2:$CD$173,MATCH('Selection Pane Data'!$B162,List!$E$2:$E$173,0),MATCH('Selection Pane Data'!AE$3,List!$E$2:$CD$2,0)),"")</f>
        <v/>
      </c>
      <c r="AF162" s="13" t="str">
        <f>IF(AF$4="Yes",INDEX(List!$E$2:$CD$173,MATCH('Selection Pane Data'!$B162,List!$E$2:$E$173,0),MATCH('Selection Pane Data'!AF$3,List!$E$2:$CD$2,0)),"")</f>
        <v/>
      </c>
      <c r="AG162" s="13" t="str">
        <f>IF(AG$4="Yes",INDEX(List!$E$2:$CD$173,MATCH('Selection Pane Data'!$B162,List!$E$2:$E$173,0),MATCH('Selection Pane Data'!AG$3,List!$E$2:$CD$2,0)),"")</f>
        <v/>
      </c>
      <c r="AH162" s="13" t="str">
        <f>IF(AH$4="Yes",INDEX(List!$E$2:$CD$173,MATCH('Selection Pane Data'!$B162,List!$E$2:$E$173,0),MATCH('Selection Pane Data'!AH$3,List!$E$2:$CD$2,0)),"")</f>
        <v/>
      </c>
      <c r="AI162" s="13" t="str">
        <f>IF(AI$4="Yes",INDEX(List!$E$2:$CD$173,MATCH('Selection Pane Data'!$B162,List!$E$2:$E$173,0),MATCH('Selection Pane Data'!AI$3,List!$E$2:$CD$2,0)),"")</f>
        <v/>
      </c>
      <c r="AJ162" s="13" t="str">
        <f>IF(AJ$4="Yes",INDEX(List!$E$2:$CD$173,MATCH('Selection Pane Data'!$B162,List!$E$2:$E$173,0),MATCH('Selection Pane Data'!AJ$3,List!$E$2:$CD$2,0)),"")</f>
        <v/>
      </c>
      <c r="AK162" s="13" t="str">
        <f>IF(AK$4="Yes",INDEX(List!$E$2:$CD$173,MATCH('Selection Pane Data'!$B162,List!$E$2:$E$173,0),MATCH('Selection Pane Data'!AK$3,List!$E$2:$CD$2,0)),"")</f>
        <v/>
      </c>
      <c r="AL162" s="13" t="str">
        <f>IF(AL$4="Yes",INDEX(List!$E$2:$CD$173,MATCH('Selection Pane Data'!$B162,List!$E$2:$E$173,0),MATCH('Selection Pane Data'!AL$3,List!$E$2:$CD$2,0)),"")</f>
        <v/>
      </c>
      <c r="AM162" s="13" t="str">
        <f>IF(AM$4="Yes",INDEX(List!$E$2:$CD$173,MATCH('Selection Pane Data'!$B162,List!$E$2:$E$173,0),MATCH('Selection Pane Data'!AM$3,List!$E$2:$CD$2,0)),"")</f>
        <v/>
      </c>
      <c r="AN162" s="13" t="str">
        <f>IF(AN$4="Yes",INDEX(List!$E$2:$CD$173,MATCH('Selection Pane Data'!$B162,List!$E$2:$E$173,0),MATCH('Selection Pane Data'!AN$3,List!$E$2:$CD$2,0)),"")</f>
        <v/>
      </c>
      <c r="AO162" s="13" t="str">
        <f>IF(AO$4="Yes",INDEX(List!$E$2:$CD$173,MATCH('Selection Pane Data'!$B162,List!$E$2:$E$173,0),MATCH('Selection Pane Data'!AO$3,List!$E$2:$CD$2,0)),"")</f>
        <v/>
      </c>
      <c r="AP162" s="13" t="str">
        <f>IF(AP$4="Yes",INDEX(List!$E$2:$CD$173,MATCH('Selection Pane Data'!$B162,List!$E$2:$E$173,0),MATCH('Selection Pane Data'!AP$3,List!$E$2:$CD$2,0)),"")</f>
        <v/>
      </c>
      <c r="AQ162" s="13" t="str">
        <f>IF(AQ$4="Yes",INDEX(List!$E$2:$CD$173,MATCH('Selection Pane Data'!$B162,List!$E$2:$E$173,0),MATCH('Selection Pane Data'!AQ$3,List!$E$2:$CD$2,0)),"")</f>
        <v/>
      </c>
      <c r="AR162" s="13" t="str">
        <f>IF(AR$4="Yes",INDEX(List!$E$2:$CD$173,MATCH('Selection Pane Data'!$B162,List!$E$2:$E$173,0),MATCH('Selection Pane Data'!AR$3,List!$E$2:$CD$2,0)),"")</f>
        <v/>
      </c>
      <c r="AS162" s="13" t="str">
        <f>IF(AS$4="Yes",INDEX(List!$E$2:$CD$173,MATCH('Selection Pane Data'!$B162,List!$E$2:$E$173,0),MATCH('Selection Pane Data'!AS$3,List!$E$2:$CD$2,0)),"")</f>
        <v/>
      </c>
      <c r="AT162" s="13" t="str">
        <f>IF(AT$4="Yes",INDEX(List!$E$2:$CD$173,MATCH('Selection Pane Data'!$B162,List!$E$2:$E$173,0),MATCH('Selection Pane Data'!AT$3,List!$E$2:$CD$2,0)),"")</f>
        <v/>
      </c>
      <c r="AU162" s="13" t="str">
        <f>IF(AU$4="Yes",INDEX(List!$E$2:$CD$173,MATCH('Selection Pane Data'!$B162,List!$E$2:$E$173,0),MATCH('Selection Pane Data'!AU$3,List!$E$2:$CD$2,0)),"")</f>
        <v/>
      </c>
      <c r="AV162" s="13" t="str">
        <f>IF(AV$4="Yes",INDEX(List!$E$2:$CD$173,MATCH('Selection Pane Data'!$B162,List!$E$2:$E$173,0),MATCH('Selection Pane Data'!AV$3,List!$E$2:$CD$2,0)),"")</f>
        <v/>
      </c>
      <c r="AW162" s="13" t="str">
        <f>IF(AW$4="Yes",INDEX(List!$E$2:$CD$173,MATCH('Selection Pane Data'!$B162,List!$E$2:$E$173,0),MATCH('Selection Pane Data'!AW$3,List!$E$2:$CD$2,0)),"")</f>
        <v/>
      </c>
      <c r="AX162" s="13" t="str">
        <f>IF(AX$4="Yes",INDEX(List!$E$2:$CD$173,MATCH('Selection Pane Data'!$B162,List!$E$2:$E$173,0),MATCH('Selection Pane Data'!AX$3,List!$E$2:$CD$2,0)),"")</f>
        <v/>
      </c>
      <c r="AY162" s="13" t="str">
        <f>IF(AY$4="Yes",INDEX(List!$E$2:$CD$173,MATCH('Selection Pane Data'!$B162,List!$E$2:$E$173,0),MATCH('Selection Pane Data'!AY$3,List!$E$2:$CD$2,0)),"")</f>
        <v/>
      </c>
      <c r="AZ162" s="13" t="str">
        <f>IF(AZ$4="Yes",INDEX(List!$E$2:$CD$173,MATCH('Selection Pane Data'!$B162,List!$E$2:$E$173,0),MATCH('Selection Pane Data'!AZ$3,List!$E$2:$CD$2,0)),"")</f>
        <v/>
      </c>
      <c r="BA162" s="13" t="str">
        <f>IF(BA$4="Yes",INDEX(List!$E$2:$CD$173,MATCH('Selection Pane Data'!$B162,List!$E$2:$E$173,0),MATCH('Selection Pane Data'!BA$3,List!$E$2:$CD$2,0)),"")</f>
        <v/>
      </c>
      <c r="BB162" s="13" t="str">
        <f>IF(BB$4="Yes",INDEX(List!$E$2:$CD$173,MATCH('Selection Pane Data'!$B162,List!$E$2:$E$173,0),MATCH('Selection Pane Data'!BB$3,List!$E$2:$CD$2,0)),"")</f>
        <v/>
      </c>
      <c r="BC162" s="13" t="str">
        <f>IF(BC$4="Yes",INDEX(List!$E$2:$CD$173,MATCH('Selection Pane Data'!$B162,List!$E$2:$E$173,0),MATCH('Selection Pane Data'!BC$3,List!$E$2:$CD$2,0)),"")</f>
        <v/>
      </c>
      <c r="BD162" s="13" t="str">
        <f>IF(BD$4="Yes",INDEX(List!$E$2:$CD$173,MATCH('Selection Pane Data'!$B162,List!$E$2:$E$173,0),MATCH('Selection Pane Data'!BD$3,List!$E$2:$CD$2,0)),"")</f>
        <v/>
      </c>
      <c r="BE162" s="13" t="str">
        <f>IF(BE$4="Yes",INDEX(List!$E$2:$CD$173,MATCH('Selection Pane Data'!$B162,List!$E$2:$E$173,0),MATCH('Selection Pane Data'!BE$3,List!$E$2:$CD$2,0)),"")</f>
        <v/>
      </c>
      <c r="BF162" s="13" t="str">
        <f>IF(BF$4="Yes",INDEX(List!$E$2:$CD$173,MATCH('Selection Pane Data'!$B162,List!$E$2:$E$173,0),MATCH('Selection Pane Data'!BF$3,List!$E$2:$CD$2,0)),"")</f>
        <v/>
      </c>
      <c r="BG162" s="13" t="str">
        <f>IF(BG$4="Yes",INDEX(List!$E$2:$CD$173,MATCH('Selection Pane Data'!$B162,List!$E$2:$E$173,0),MATCH('Selection Pane Data'!BG$3,List!$E$2:$CD$2,0)),"")</f>
        <v/>
      </c>
      <c r="BH162" s="13" t="str">
        <f>IF(BH$4="Yes",INDEX(List!$E$2:$CD$173,MATCH('Selection Pane Data'!$B162,List!$E$2:$E$173,0),MATCH('Selection Pane Data'!BH$3,List!$E$2:$CD$2,0)),"")</f>
        <v/>
      </c>
      <c r="BI162" s="13" t="str">
        <f>IF(BI$4="Yes",INDEX(List!$E$2:$CD$173,MATCH('Selection Pane Data'!$B162,List!$E$2:$E$173,0),MATCH('Selection Pane Data'!BI$3,List!$E$2:$CD$2,0)),"")</f>
        <v/>
      </c>
      <c r="BJ162" s="13" t="str">
        <f>IF(BJ$4="Yes",INDEX(List!$E$2:$CD$173,MATCH('Selection Pane Data'!$B162,List!$E$2:$E$173,0),MATCH('Selection Pane Data'!BJ$3,List!$E$2:$CD$2,0)),"")</f>
        <v/>
      </c>
      <c r="BK162" s="13" t="str">
        <f>IF(BK$4="Yes",INDEX(List!$E$2:$CD$173,MATCH('Selection Pane Data'!$B162,List!$E$2:$E$173,0),MATCH('Selection Pane Data'!BK$3,List!$E$2:$CD$2,0)),"")</f>
        <v/>
      </c>
      <c r="BL162" s="13" t="str">
        <f>IF(BL$4="Yes",INDEX(List!$E$2:$CD$173,MATCH('Selection Pane Data'!$B162,List!$E$2:$E$173,0),MATCH('Selection Pane Data'!BL$3,List!$E$2:$CD$2,0)),"")</f>
        <v/>
      </c>
      <c r="BM162" s="13" t="str">
        <f>IF(BM$4="Yes",INDEX(List!$E$2:$CD$173,MATCH('Selection Pane Data'!$B162,List!$E$2:$E$173,0),MATCH('Selection Pane Data'!BM$3,List!$E$2:$CD$2,0)),"")</f>
        <v/>
      </c>
      <c r="BN162" s="13" t="str">
        <f>IF(BN$4="Yes",INDEX(List!$E$2:$CD$173,MATCH('Selection Pane Data'!$B162,List!$E$2:$E$173,0),MATCH('Selection Pane Data'!BN$3,List!$E$2:$CD$2,0)),"")</f>
        <v/>
      </c>
      <c r="BO162" s="13" t="str">
        <f>IF(BO$4="Yes",INDEX(List!$E$2:$CD$173,MATCH('Selection Pane Data'!$B162,List!$E$2:$E$173,0),MATCH('Selection Pane Data'!BO$3,List!$E$2:$CD$2,0)),"")</f>
        <v/>
      </c>
      <c r="BP162" s="13" t="str">
        <f>IF(BP$4="Yes",INDEX(List!$E$2:$CD$173,MATCH('Selection Pane Data'!$B162,List!$E$2:$E$173,0),MATCH('Selection Pane Data'!BP$3,List!$E$2:$CD$2,0)),"")</f>
        <v/>
      </c>
      <c r="BQ162" s="13" t="str">
        <f>IF(BQ$4="Yes",INDEX(List!$E$2:$CD$173,MATCH('Selection Pane Data'!$B162,List!$E$2:$E$173,0),MATCH('Selection Pane Data'!BQ$3,List!$E$2:$CD$2,0)),"")</f>
        <v/>
      </c>
      <c r="BR162" s="13" t="str">
        <f>IF(BR$4="Yes",INDEX(List!$E$2:$CD$173,MATCH('Selection Pane Data'!$B162,List!$E$2:$E$173,0),MATCH('Selection Pane Data'!BR$3,List!$E$2:$CD$2,0)),"")</f>
        <v/>
      </c>
      <c r="BS162" s="13" t="str">
        <f>IF(BS$4="Yes",INDEX(List!$E$2:$CD$173,MATCH('Selection Pane Data'!$B162,List!$E$2:$E$173,0),MATCH('Selection Pane Data'!BS$3,List!$E$2:$CD$2,0)),"")</f>
        <v/>
      </c>
      <c r="BT162" s="13" t="str">
        <f>IF(BT$4="Yes",INDEX(List!$E$2:$CD$173,MATCH('Selection Pane Data'!$B162,List!$E$2:$E$173,0),MATCH('Selection Pane Data'!BT$3,List!$E$2:$CD$2,0)),"")</f>
        <v/>
      </c>
      <c r="BU162" s="13" t="str">
        <f>IF(BU$4="Yes",INDEX(List!$E$2:$CD$173,MATCH('Selection Pane Data'!$B162,List!$E$2:$E$173,0),MATCH('Selection Pane Data'!BU$3,List!$E$2:$CD$2,0)),"")</f>
        <v/>
      </c>
      <c r="BV162" s="13" t="str">
        <f>IF(BV$4="Yes",INDEX(List!$E$2:$CD$173,MATCH('Selection Pane Data'!$B162,List!$E$2:$E$173,0),MATCH('Selection Pane Data'!BV$3,List!$E$2:$CD$2,0)),"")</f>
        <v/>
      </c>
      <c r="BW162" s="13" t="str">
        <f>IF(BW$4="Yes",INDEX(List!$E$2:$CD$173,MATCH('Selection Pane Data'!$B162,List!$E$2:$E$173,0),MATCH('Selection Pane Data'!BW$3,List!$E$2:$CD$2,0)),"")</f>
        <v/>
      </c>
      <c r="BX162" s="13" t="str">
        <f>IF(BX$4="Yes",INDEX(List!$E$2:$CD$173,MATCH('Selection Pane Data'!$B162,List!$E$2:$E$173,0),MATCH('Selection Pane Data'!BX$3,List!$E$2:$CD$2,0)),"")</f>
        <v/>
      </c>
      <c r="BY162" s="13" t="str">
        <f>IF(BY$4="Yes",INDEX(List!$E$2:$CD$173,MATCH('Selection Pane Data'!$B162,List!$E$2:$E$173,0),MATCH('Selection Pane Data'!BY$3,List!$E$2:$CD$2,0)),"")</f>
        <v/>
      </c>
      <c r="BZ162" s="13" t="str">
        <f>IF(BZ$4="Yes",INDEX(List!$E$2:$CD$173,MATCH('Selection Pane Data'!$B162,List!$E$2:$E$173,0),MATCH('Selection Pane Data'!BZ$3,List!$E$2:$CD$2,0)),"")</f>
        <v/>
      </c>
      <c r="CA162" s="13" t="str">
        <f>IF(CA$4="Yes",INDEX(List!$E$2:$CD$173,MATCH('Selection Pane Data'!$B162,List!$E$2:$E$173,0),MATCH('Selection Pane Data'!CA$3,List!$E$2:$CD$2,0)),"")</f>
        <v/>
      </c>
      <c r="CB162" s="13" t="str">
        <f>IF(CB$4="Yes",INDEX(List!$E$2:$CD$173,MATCH('Selection Pane Data'!$B162,List!$E$2:$E$173,0),MATCH('Selection Pane Data'!CB$3,List!$E$2:$CD$2,0)),"")</f>
        <v/>
      </c>
      <c r="CC162" s="13" t="str">
        <f>IF(CC$4="Yes",INDEX(List!$E$2:$CD$173,MATCH('Selection Pane Data'!$B162,List!$E$2:$E$173,0),MATCH('Selection Pane Data'!CC$3,List!$E$2:$CD$2,0)),"")</f>
        <v/>
      </c>
      <c r="CD162" s="13" t="str">
        <f>IF(CD$4="Yes",INDEX(List!$E$2:$CD$173,MATCH('Selection Pane Data'!$B162,List!$E$2:$E$173,0),MATCH('Selection Pane Data'!CD$3,List!$E$2:$CD$2,0)),"")</f>
        <v/>
      </c>
      <c r="CE162" s="13" t="str">
        <f>IF(CE$4="Yes",INDEX(List!$E$2:$CD$173,MATCH('Selection Pane Data'!$B162,List!$E$2:$E$173,0),MATCH('Selection Pane Data'!CE$3,List!$E$2:$CD$2,0)),"")</f>
        <v/>
      </c>
    </row>
    <row r="163" spans="2:83" x14ac:dyDescent="0.35">
      <c r="B163" s="21" t="s">
        <v>450</v>
      </c>
      <c r="C163" s="126" t="str">
        <f>VLOOKUP(B163,List!$E$2:$G$173,2,FALSE)</f>
        <v>SI.L1-3.14.1</v>
      </c>
      <c r="D163" s="31" t="str">
        <f>List!G161</f>
        <v>Shared Coverage</v>
      </c>
      <c r="E163" s="31" t="str">
        <f>IF(Placemat!$F$4="All Practices","All Practices",IF(VLOOKUP(B163,Table7[#All],6,FALSE)="No Mapping","New CMMC Practices","Practices with NIST 800-171 Mappings"))</f>
        <v>Practices with NIST 800-171 Mappings</v>
      </c>
      <c r="F163" t="str">
        <f>INDEX('CMMC Levels'!$A$1:$F$172,MATCH('Selection Pane Data'!$C163,'CMMC Levels'!$A$1:$A$172,0),MATCH(Placemat!$F$4,'CMMC Levels'!$A$1:$F$1,0))</f>
        <v>X</v>
      </c>
      <c r="G163" s="77" t="str">
        <f>IF((COUNTIF(List!H161:CE161,"P")+COUNTIF(List!H161:CE161,"S"))=0,"N",IF(COUNTIF(H163:CE163,"P"),"P",IF(COUNTIF(H163:CE163,"S"),"S","U")))</f>
        <v>U</v>
      </c>
      <c r="H163" s="13" t="str">
        <f>IF(H$4="Yes",INDEX(List!$E$2:$CD$173,MATCH('Selection Pane Data'!$B163,List!$E$2:$E$173,0),MATCH('Selection Pane Data'!H$3,List!$E$2:$CD$2,0)),"")</f>
        <v/>
      </c>
      <c r="I163" s="13" t="str">
        <f>IF(I$4="Yes",INDEX(List!$E$2:$CD$173,MATCH('Selection Pane Data'!$B163,List!$E$2:$E$173,0),MATCH('Selection Pane Data'!I$3,List!$E$2:$CD$2,0)),"")</f>
        <v/>
      </c>
      <c r="J163" s="13" t="str">
        <f>IF(J$4="Yes",INDEX(List!$E$2:$CD$173,MATCH('Selection Pane Data'!$B163,List!$E$2:$E$173,0),MATCH('Selection Pane Data'!J$3,List!$E$2:$CD$2,0)),"")</f>
        <v>N</v>
      </c>
      <c r="K163" s="13" t="str">
        <f>IF(K$4="Yes",INDEX(List!$E$2:$CD$173,MATCH('Selection Pane Data'!$B163,List!$E$2:$E$173,0),MATCH('Selection Pane Data'!K$3,List!$E$2:$CD$2,0)),"")</f>
        <v/>
      </c>
      <c r="L163" s="13" t="str">
        <f>IF(L$4="Yes",INDEX(List!$E$2:$CD$173,MATCH('Selection Pane Data'!$B163,List!$E$2:$E$173,0),MATCH('Selection Pane Data'!L$3,List!$E$2:$CD$2,0)),"")</f>
        <v/>
      </c>
      <c r="M163" s="13" t="str">
        <f>IF(M$4="Yes",INDEX(List!$E$2:$CD$173,MATCH('Selection Pane Data'!$B163,List!$E$2:$E$173,0),MATCH('Selection Pane Data'!M$3,List!$E$2:$CD$2,0)),"")</f>
        <v/>
      </c>
      <c r="N163" s="13" t="str">
        <f>IF(N$4="Yes",INDEX(List!$E$2:$CD$173,MATCH('Selection Pane Data'!$B163,List!$E$2:$E$173,0),MATCH('Selection Pane Data'!N$3,List!$E$2:$CD$2,0)),"")</f>
        <v/>
      </c>
      <c r="O163" s="13" t="str">
        <f>IF(O$4="Yes",INDEX(List!$E$2:$CD$173,MATCH('Selection Pane Data'!$B163,List!$E$2:$E$173,0),MATCH('Selection Pane Data'!O$3,List!$E$2:$CD$2,0)),"")</f>
        <v/>
      </c>
      <c r="P163" s="13" t="str">
        <f>IF(P$4="Yes",INDEX(List!$E$2:$CD$173,MATCH('Selection Pane Data'!$B163,List!$E$2:$E$173,0),MATCH('Selection Pane Data'!P$3,List!$E$2:$CD$2,0)),"")</f>
        <v/>
      </c>
      <c r="Q163" s="13" t="str">
        <f>IF(Q$4="Yes",INDEX(List!$E$2:$CD$173,MATCH('Selection Pane Data'!$B163,List!$E$2:$E$173,0),MATCH('Selection Pane Data'!Q$3,List!$E$2:$CD$2,0)),"")</f>
        <v/>
      </c>
      <c r="R163" s="13" t="str">
        <f>IF(R$4="Yes",INDEX(List!$E$2:$CD$173,MATCH('Selection Pane Data'!$B163,List!$E$2:$E$173,0),MATCH('Selection Pane Data'!R$3,List!$E$2:$CD$2,0)),"")</f>
        <v/>
      </c>
      <c r="S163" s="13" t="str">
        <f>IF(S$4="Yes",INDEX(List!$E$2:$CD$173,MATCH('Selection Pane Data'!$B163,List!$E$2:$E$173,0),MATCH('Selection Pane Data'!S$3,List!$E$2:$CD$2,0)),"")</f>
        <v/>
      </c>
      <c r="T163" s="13" t="str">
        <f>IF(T$4="Yes",INDEX(List!$E$2:$CD$173,MATCH('Selection Pane Data'!$B163,List!$E$2:$E$173,0),MATCH('Selection Pane Data'!T$3,List!$E$2:$CD$2,0)),"")</f>
        <v/>
      </c>
      <c r="U163" s="13" t="str">
        <f>IF(U$4="Yes",INDEX(List!$E$2:$CD$173,MATCH('Selection Pane Data'!$B163,List!$E$2:$E$173,0),MATCH('Selection Pane Data'!U$3,List!$E$2:$CD$2,0)),"")</f>
        <v/>
      </c>
      <c r="V163" s="13" t="str">
        <f>IF(V$4="Yes",INDEX(List!$E$2:$CD$173,MATCH('Selection Pane Data'!$B163,List!$E$2:$E$173,0),MATCH('Selection Pane Data'!V$3,List!$E$2:$CD$2,0)),"")</f>
        <v/>
      </c>
      <c r="W163" s="13" t="str">
        <f>IF(W$4="Yes",INDEX(List!$E$2:$CD$173,MATCH('Selection Pane Data'!$B163,List!$E$2:$E$173,0),MATCH('Selection Pane Data'!W$3,List!$E$2:$CD$2,0)),"")</f>
        <v/>
      </c>
      <c r="X163" s="13" t="str">
        <f>IF(X$4="Yes",INDEX(List!$E$2:$CD$173,MATCH('Selection Pane Data'!$B163,List!$E$2:$E$173,0),MATCH('Selection Pane Data'!X$3,List!$E$2:$CD$2,0)),"")</f>
        <v/>
      </c>
      <c r="Y163" s="13" t="str">
        <f>IF(Y$4="Yes",INDEX(List!$E$2:$CD$173,MATCH('Selection Pane Data'!$B163,List!$E$2:$E$173,0),MATCH('Selection Pane Data'!Y$3,List!$E$2:$CD$2,0)),"")</f>
        <v/>
      </c>
      <c r="Z163" s="13" t="str">
        <f>IF(Z$4="Yes",INDEX(List!$E$2:$CD$173,MATCH('Selection Pane Data'!$B163,List!$E$2:$E$173,0),MATCH('Selection Pane Data'!Z$3,List!$E$2:$CD$2,0)),"")</f>
        <v/>
      </c>
      <c r="AA163" s="13" t="str">
        <f>IF(AA$4="Yes",INDEX(List!$E$2:$CD$173,MATCH('Selection Pane Data'!$B163,List!$E$2:$E$173,0),MATCH('Selection Pane Data'!AA$3,List!$E$2:$CD$2,0)),"")</f>
        <v>N</v>
      </c>
      <c r="AB163" s="13" t="str">
        <f>IF(AB$4="Yes",INDEX(List!$E$2:$CD$173,MATCH('Selection Pane Data'!$B163,List!$E$2:$E$173,0),MATCH('Selection Pane Data'!AB$3,List!$E$2:$CD$2,0)),"")</f>
        <v/>
      </c>
      <c r="AC163" s="13" t="str">
        <f>IF(AC$4="Yes",INDEX(List!$E$2:$CD$173,MATCH('Selection Pane Data'!$B163,List!$E$2:$E$173,0),MATCH('Selection Pane Data'!AC$3,List!$E$2:$CD$2,0)),"")</f>
        <v/>
      </c>
      <c r="AD163" s="13" t="str">
        <f>IF(AD$4="Yes",INDEX(List!$E$2:$CD$173,MATCH('Selection Pane Data'!$B163,List!$E$2:$E$173,0),MATCH('Selection Pane Data'!AD$3,List!$E$2:$CD$2,0)),"")</f>
        <v/>
      </c>
      <c r="AE163" s="13" t="str">
        <f>IF(AE$4="Yes",INDEX(List!$E$2:$CD$173,MATCH('Selection Pane Data'!$B163,List!$E$2:$E$173,0),MATCH('Selection Pane Data'!AE$3,List!$E$2:$CD$2,0)),"")</f>
        <v/>
      </c>
      <c r="AF163" s="13" t="str">
        <f>IF(AF$4="Yes",INDEX(List!$E$2:$CD$173,MATCH('Selection Pane Data'!$B163,List!$E$2:$E$173,0),MATCH('Selection Pane Data'!AF$3,List!$E$2:$CD$2,0)),"")</f>
        <v/>
      </c>
      <c r="AG163" s="13" t="str">
        <f>IF(AG$4="Yes",INDEX(List!$E$2:$CD$173,MATCH('Selection Pane Data'!$B163,List!$E$2:$E$173,0),MATCH('Selection Pane Data'!AG$3,List!$E$2:$CD$2,0)),"")</f>
        <v/>
      </c>
      <c r="AH163" s="13" t="str">
        <f>IF(AH$4="Yes",INDEX(List!$E$2:$CD$173,MATCH('Selection Pane Data'!$B163,List!$E$2:$E$173,0),MATCH('Selection Pane Data'!AH$3,List!$E$2:$CD$2,0)),"")</f>
        <v/>
      </c>
      <c r="AI163" s="13" t="str">
        <f>IF(AI$4="Yes",INDEX(List!$E$2:$CD$173,MATCH('Selection Pane Data'!$B163,List!$E$2:$E$173,0),MATCH('Selection Pane Data'!AI$3,List!$E$2:$CD$2,0)),"")</f>
        <v/>
      </c>
      <c r="AJ163" s="13" t="str">
        <f>IF(AJ$4="Yes",INDEX(List!$E$2:$CD$173,MATCH('Selection Pane Data'!$B163,List!$E$2:$E$173,0),MATCH('Selection Pane Data'!AJ$3,List!$E$2:$CD$2,0)),"")</f>
        <v/>
      </c>
      <c r="AK163" s="13" t="str">
        <f>IF(AK$4="Yes",INDEX(List!$E$2:$CD$173,MATCH('Selection Pane Data'!$B163,List!$E$2:$E$173,0),MATCH('Selection Pane Data'!AK$3,List!$E$2:$CD$2,0)),"")</f>
        <v/>
      </c>
      <c r="AL163" s="13" t="str">
        <f>IF(AL$4="Yes",INDEX(List!$E$2:$CD$173,MATCH('Selection Pane Data'!$B163,List!$E$2:$E$173,0),MATCH('Selection Pane Data'!AL$3,List!$E$2:$CD$2,0)),"")</f>
        <v/>
      </c>
      <c r="AM163" s="13" t="str">
        <f>IF(AM$4="Yes",INDEX(List!$E$2:$CD$173,MATCH('Selection Pane Data'!$B163,List!$E$2:$E$173,0),MATCH('Selection Pane Data'!AM$3,List!$E$2:$CD$2,0)),"")</f>
        <v/>
      </c>
      <c r="AN163" s="13" t="str">
        <f>IF(AN$4="Yes",INDEX(List!$E$2:$CD$173,MATCH('Selection Pane Data'!$B163,List!$E$2:$E$173,0),MATCH('Selection Pane Data'!AN$3,List!$E$2:$CD$2,0)),"")</f>
        <v/>
      </c>
      <c r="AO163" s="13" t="str">
        <f>IF(AO$4="Yes",INDEX(List!$E$2:$CD$173,MATCH('Selection Pane Data'!$B163,List!$E$2:$E$173,0),MATCH('Selection Pane Data'!AO$3,List!$E$2:$CD$2,0)),"")</f>
        <v/>
      </c>
      <c r="AP163" s="13" t="str">
        <f>IF(AP$4="Yes",INDEX(List!$E$2:$CD$173,MATCH('Selection Pane Data'!$B163,List!$E$2:$E$173,0),MATCH('Selection Pane Data'!AP$3,List!$E$2:$CD$2,0)),"")</f>
        <v/>
      </c>
      <c r="AQ163" s="13" t="str">
        <f>IF(AQ$4="Yes",INDEX(List!$E$2:$CD$173,MATCH('Selection Pane Data'!$B163,List!$E$2:$E$173,0),MATCH('Selection Pane Data'!AQ$3,List!$E$2:$CD$2,0)),"")</f>
        <v/>
      </c>
      <c r="AR163" s="13" t="str">
        <f>IF(AR$4="Yes",INDEX(List!$E$2:$CD$173,MATCH('Selection Pane Data'!$B163,List!$E$2:$E$173,0),MATCH('Selection Pane Data'!AR$3,List!$E$2:$CD$2,0)),"")</f>
        <v/>
      </c>
      <c r="AS163" s="13" t="str">
        <f>IF(AS$4="Yes",INDEX(List!$E$2:$CD$173,MATCH('Selection Pane Data'!$B163,List!$E$2:$E$173,0),MATCH('Selection Pane Data'!AS$3,List!$E$2:$CD$2,0)),"")</f>
        <v/>
      </c>
      <c r="AT163" s="13" t="str">
        <f>IF(AT$4="Yes",INDEX(List!$E$2:$CD$173,MATCH('Selection Pane Data'!$B163,List!$E$2:$E$173,0),MATCH('Selection Pane Data'!AT$3,List!$E$2:$CD$2,0)),"")</f>
        <v/>
      </c>
      <c r="AU163" s="13" t="str">
        <f>IF(AU$4="Yes",INDEX(List!$E$2:$CD$173,MATCH('Selection Pane Data'!$B163,List!$E$2:$E$173,0),MATCH('Selection Pane Data'!AU$3,List!$E$2:$CD$2,0)),"")</f>
        <v/>
      </c>
      <c r="AV163" s="13" t="str">
        <f>IF(AV$4="Yes",INDEX(List!$E$2:$CD$173,MATCH('Selection Pane Data'!$B163,List!$E$2:$E$173,0),MATCH('Selection Pane Data'!AV$3,List!$E$2:$CD$2,0)),"")</f>
        <v/>
      </c>
      <c r="AW163" s="13" t="str">
        <f>IF(AW$4="Yes",INDEX(List!$E$2:$CD$173,MATCH('Selection Pane Data'!$B163,List!$E$2:$E$173,0),MATCH('Selection Pane Data'!AW$3,List!$E$2:$CD$2,0)),"")</f>
        <v/>
      </c>
      <c r="AX163" s="13" t="str">
        <f>IF(AX$4="Yes",INDEX(List!$E$2:$CD$173,MATCH('Selection Pane Data'!$B163,List!$E$2:$E$173,0),MATCH('Selection Pane Data'!AX$3,List!$E$2:$CD$2,0)),"")</f>
        <v/>
      </c>
      <c r="AY163" s="13" t="str">
        <f>IF(AY$4="Yes",INDEX(List!$E$2:$CD$173,MATCH('Selection Pane Data'!$B163,List!$E$2:$E$173,0),MATCH('Selection Pane Data'!AY$3,List!$E$2:$CD$2,0)),"")</f>
        <v/>
      </c>
      <c r="AZ163" s="13" t="str">
        <f>IF(AZ$4="Yes",INDEX(List!$E$2:$CD$173,MATCH('Selection Pane Data'!$B163,List!$E$2:$E$173,0),MATCH('Selection Pane Data'!AZ$3,List!$E$2:$CD$2,0)),"")</f>
        <v/>
      </c>
      <c r="BA163" s="13" t="str">
        <f>IF(BA$4="Yes",INDEX(List!$E$2:$CD$173,MATCH('Selection Pane Data'!$B163,List!$E$2:$E$173,0),MATCH('Selection Pane Data'!BA$3,List!$E$2:$CD$2,0)),"")</f>
        <v/>
      </c>
      <c r="BB163" s="13" t="str">
        <f>IF(BB$4="Yes",INDEX(List!$E$2:$CD$173,MATCH('Selection Pane Data'!$B163,List!$E$2:$E$173,0),MATCH('Selection Pane Data'!BB$3,List!$E$2:$CD$2,0)),"")</f>
        <v/>
      </c>
      <c r="BC163" s="13" t="str">
        <f>IF(BC$4="Yes",INDEX(List!$E$2:$CD$173,MATCH('Selection Pane Data'!$B163,List!$E$2:$E$173,0),MATCH('Selection Pane Data'!BC$3,List!$E$2:$CD$2,0)),"")</f>
        <v/>
      </c>
      <c r="BD163" s="13" t="str">
        <f>IF(BD$4="Yes",INDEX(List!$E$2:$CD$173,MATCH('Selection Pane Data'!$B163,List!$E$2:$E$173,0),MATCH('Selection Pane Data'!BD$3,List!$E$2:$CD$2,0)),"")</f>
        <v/>
      </c>
      <c r="BE163" s="13" t="str">
        <f>IF(BE$4="Yes",INDEX(List!$E$2:$CD$173,MATCH('Selection Pane Data'!$B163,List!$E$2:$E$173,0),MATCH('Selection Pane Data'!BE$3,List!$E$2:$CD$2,0)),"")</f>
        <v/>
      </c>
      <c r="BF163" s="13" t="str">
        <f>IF(BF$4="Yes",INDEX(List!$E$2:$CD$173,MATCH('Selection Pane Data'!$B163,List!$E$2:$E$173,0),MATCH('Selection Pane Data'!BF$3,List!$E$2:$CD$2,0)),"")</f>
        <v/>
      </c>
      <c r="BG163" s="13" t="str">
        <f>IF(BG$4="Yes",INDEX(List!$E$2:$CD$173,MATCH('Selection Pane Data'!$B163,List!$E$2:$E$173,0),MATCH('Selection Pane Data'!BG$3,List!$E$2:$CD$2,0)),"")</f>
        <v/>
      </c>
      <c r="BH163" s="13" t="str">
        <f>IF(BH$4="Yes",INDEX(List!$E$2:$CD$173,MATCH('Selection Pane Data'!$B163,List!$E$2:$E$173,0),MATCH('Selection Pane Data'!BH$3,List!$E$2:$CD$2,0)),"")</f>
        <v/>
      </c>
      <c r="BI163" s="13" t="str">
        <f>IF(BI$4="Yes",INDEX(List!$E$2:$CD$173,MATCH('Selection Pane Data'!$B163,List!$E$2:$E$173,0),MATCH('Selection Pane Data'!BI$3,List!$E$2:$CD$2,0)),"")</f>
        <v/>
      </c>
      <c r="BJ163" s="13" t="str">
        <f>IF(BJ$4="Yes",INDEX(List!$E$2:$CD$173,MATCH('Selection Pane Data'!$B163,List!$E$2:$E$173,0),MATCH('Selection Pane Data'!BJ$3,List!$E$2:$CD$2,0)),"")</f>
        <v/>
      </c>
      <c r="BK163" s="13" t="str">
        <f>IF(BK$4="Yes",INDEX(List!$E$2:$CD$173,MATCH('Selection Pane Data'!$B163,List!$E$2:$E$173,0),MATCH('Selection Pane Data'!BK$3,List!$E$2:$CD$2,0)),"")</f>
        <v/>
      </c>
      <c r="BL163" s="13" t="str">
        <f>IF(BL$4="Yes",INDEX(List!$E$2:$CD$173,MATCH('Selection Pane Data'!$B163,List!$E$2:$E$173,0),MATCH('Selection Pane Data'!BL$3,List!$E$2:$CD$2,0)),"")</f>
        <v/>
      </c>
      <c r="BM163" s="13" t="str">
        <f>IF(BM$4="Yes",INDEX(List!$E$2:$CD$173,MATCH('Selection Pane Data'!$B163,List!$E$2:$E$173,0),MATCH('Selection Pane Data'!BM$3,List!$E$2:$CD$2,0)),"")</f>
        <v/>
      </c>
      <c r="BN163" s="13" t="str">
        <f>IF(BN$4="Yes",INDEX(List!$E$2:$CD$173,MATCH('Selection Pane Data'!$B163,List!$E$2:$E$173,0),MATCH('Selection Pane Data'!BN$3,List!$E$2:$CD$2,0)),"")</f>
        <v/>
      </c>
      <c r="BO163" s="13" t="str">
        <f>IF(BO$4="Yes",INDEX(List!$E$2:$CD$173,MATCH('Selection Pane Data'!$B163,List!$E$2:$E$173,0),MATCH('Selection Pane Data'!BO$3,List!$E$2:$CD$2,0)),"")</f>
        <v/>
      </c>
      <c r="BP163" s="13" t="str">
        <f>IF(BP$4="Yes",INDEX(List!$E$2:$CD$173,MATCH('Selection Pane Data'!$B163,List!$E$2:$E$173,0),MATCH('Selection Pane Data'!BP$3,List!$E$2:$CD$2,0)),"")</f>
        <v/>
      </c>
      <c r="BQ163" s="13" t="str">
        <f>IF(BQ$4="Yes",INDEX(List!$E$2:$CD$173,MATCH('Selection Pane Data'!$B163,List!$E$2:$E$173,0),MATCH('Selection Pane Data'!BQ$3,List!$E$2:$CD$2,0)),"")</f>
        <v/>
      </c>
      <c r="BR163" s="13" t="str">
        <f>IF(BR$4="Yes",INDEX(List!$E$2:$CD$173,MATCH('Selection Pane Data'!$B163,List!$E$2:$E$173,0),MATCH('Selection Pane Data'!BR$3,List!$E$2:$CD$2,0)),"")</f>
        <v/>
      </c>
      <c r="BS163" s="13" t="str">
        <f>IF(BS$4="Yes",INDEX(List!$E$2:$CD$173,MATCH('Selection Pane Data'!$B163,List!$E$2:$E$173,0),MATCH('Selection Pane Data'!BS$3,List!$E$2:$CD$2,0)),"")</f>
        <v/>
      </c>
      <c r="BT163" s="13" t="str">
        <f>IF(BT$4="Yes",INDEX(List!$E$2:$CD$173,MATCH('Selection Pane Data'!$B163,List!$E$2:$E$173,0),MATCH('Selection Pane Data'!BT$3,List!$E$2:$CD$2,0)),"")</f>
        <v/>
      </c>
      <c r="BU163" s="13" t="str">
        <f>IF(BU$4="Yes",INDEX(List!$E$2:$CD$173,MATCH('Selection Pane Data'!$B163,List!$E$2:$E$173,0),MATCH('Selection Pane Data'!BU$3,List!$E$2:$CD$2,0)),"")</f>
        <v/>
      </c>
      <c r="BV163" s="13" t="str">
        <f>IF(BV$4="Yes",INDEX(List!$E$2:$CD$173,MATCH('Selection Pane Data'!$B163,List!$E$2:$E$173,0),MATCH('Selection Pane Data'!BV$3,List!$E$2:$CD$2,0)),"")</f>
        <v/>
      </c>
      <c r="BW163" s="13" t="str">
        <f>IF(BW$4="Yes",INDEX(List!$E$2:$CD$173,MATCH('Selection Pane Data'!$B163,List!$E$2:$E$173,0),MATCH('Selection Pane Data'!BW$3,List!$E$2:$CD$2,0)),"")</f>
        <v/>
      </c>
      <c r="BX163" s="13" t="str">
        <f>IF(BX$4="Yes",INDEX(List!$E$2:$CD$173,MATCH('Selection Pane Data'!$B163,List!$E$2:$E$173,0),MATCH('Selection Pane Data'!BX$3,List!$E$2:$CD$2,0)),"")</f>
        <v/>
      </c>
      <c r="BY163" s="13" t="str">
        <f>IF(BY$4="Yes",INDEX(List!$E$2:$CD$173,MATCH('Selection Pane Data'!$B163,List!$E$2:$E$173,0),MATCH('Selection Pane Data'!BY$3,List!$E$2:$CD$2,0)),"")</f>
        <v/>
      </c>
      <c r="BZ163" s="13" t="str">
        <f>IF(BZ$4="Yes",INDEX(List!$E$2:$CD$173,MATCH('Selection Pane Data'!$B163,List!$E$2:$E$173,0),MATCH('Selection Pane Data'!BZ$3,List!$E$2:$CD$2,0)),"")</f>
        <v/>
      </c>
      <c r="CA163" s="13" t="str">
        <f>IF(CA$4="Yes",INDEX(List!$E$2:$CD$173,MATCH('Selection Pane Data'!$B163,List!$E$2:$E$173,0),MATCH('Selection Pane Data'!CA$3,List!$E$2:$CD$2,0)),"")</f>
        <v/>
      </c>
      <c r="CB163" s="13" t="str">
        <f>IF(CB$4="Yes",INDEX(List!$E$2:$CD$173,MATCH('Selection Pane Data'!$B163,List!$E$2:$E$173,0),MATCH('Selection Pane Data'!CB$3,List!$E$2:$CD$2,0)),"")</f>
        <v/>
      </c>
      <c r="CC163" s="13" t="str">
        <f>IF(CC$4="Yes",INDEX(List!$E$2:$CD$173,MATCH('Selection Pane Data'!$B163,List!$E$2:$E$173,0),MATCH('Selection Pane Data'!CC$3,List!$E$2:$CD$2,0)),"")</f>
        <v/>
      </c>
      <c r="CD163" s="13" t="str">
        <f>IF(CD$4="Yes",INDEX(List!$E$2:$CD$173,MATCH('Selection Pane Data'!$B163,List!$E$2:$E$173,0),MATCH('Selection Pane Data'!CD$3,List!$E$2:$CD$2,0)),"")</f>
        <v/>
      </c>
      <c r="CE163" s="13" t="str">
        <f>IF(CE$4="Yes",INDEX(List!$E$2:$CD$173,MATCH('Selection Pane Data'!$B163,List!$E$2:$E$173,0),MATCH('Selection Pane Data'!CE$3,List!$E$2:$CD$2,0)),"")</f>
        <v/>
      </c>
    </row>
    <row r="164" spans="2:83" x14ac:dyDescent="0.35">
      <c r="B164" s="21" t="s">
        <v>451</v>
      </c>
      <c r="C164" s="126" t="str">
        <f>VLOOKUP(B164,List!$E$2:$G$173,2,FALSE)</f>
        <v>SI.L1-3.14.2</v>
      </c>
      <c r="D164" s="31" t="str">
        <f>List!G162</f>
        <v>Shared Coverage</v>
      </c>
      <c r="E164" s="31" t="str">
        <f>IF(Placemat!$F$4="All Practices","All Practices",IF(VLOOKUP(B164,Table7[#All],6,FALSE)="No Mapping","New CMMC Practices","Practices with NIST 800-171 Mappings"))</f>
        <v>Practices with NIST 800-171 Mappings</v>
      </c>
      <c r="F164" t="str">
        <f>INDEX('CMMC Levels'!$A$1:$F$172,MATCH('Selection Pane Data'!$C164,'CMMC Levels'!$A$1:$A$172,0),MATCH(Placemat!$F$4,'CMMC Levels'!$A$1:$F$1,0))</f>
        <v>X</v>
      </c>
      <c r="G164" s="77" t="str">
        <f>IF((COUNTIF(List!H162:CE162,"P")+COUNTIF(List!H162:CE162,"S"))=0,"N",IF(COUNTIF(H164:CE164,"P"),"P",IF(COUNTIF(H164:CE164,"S"),"S","U")))</f>
        <v>U</v>
      </c>
      <c r="H164" s="13" t="str">
        <f>IF(H$4="Yes",INDEX(List!$E$2:$CD$173,MATCH('Selection Pane Data'!$B164,List!$E$2:$E$173,0),MATCH('Selection Pane Data'!H$3,List!$E$2:$CD$2,0)),"")</f>
        <v/>
      </c>
      <c r="I164" s="13" t="str">
        <f>IF(I$4="Yes",INDEX(List!$E$2:$CD$173,MATCH('Selection Pane Data'!$B164,List!$E$2:$E$173,0),MATCH('Selection Pane Data'!I$3,List!$E$2:$CD$2,0)),"")</f>
        <v/>
      </c>
      <c r="J164" s="13" t="str">
        <f>IF(J$4="Yes",INDEX(List!$E$2:$CD$173,MATCH('Selection Pane Data'!$B164,List!$E$2:$E$173,0),MATCH('Selection Pane Data'!J$3,List!$E$2:$CD$2,0)),"")</f>
        <v>N</v>
      </c>
      <c r="K164" s="13" t="str">
        <f>IF(K$4="Yes",INDEX(List!$E$2:$CD$173,MATCH('Selection Pane Data'!$B164,List!$E$2:$E$173,0),MATCH('Selection Pane Data'!K$3,List!$E$2:$CD$2,0)),"")</f>
        <v/>
      </c>
      <c r="L164" s="13" t="str">
        <f>IF(L$4="Yes",INDEX(List!$E$2:$CD$173,MATCH('Selection Pane Data'!$B164,List!$E$2:$E$173,0),MATCH('Selection Pane Data'!L$3,List!$E$2:$CD$2,0)),"")</f>
        <v/>
      </c>
      <c r="M164" s="13" t="str">
        <f>IF(M$4="Yes",INDEX(List!$E$2:$CD$173,MATCH('Selection Pane Data'!$B164,List!$E$2:$E$173,0),MATCH('Selection Pane Data'!M$3,List!$E$2:$CD$2,0)),"")</f>
        <v/>
      </c>
      <c r="N164" s="13" t="str">
        <f>IF(N$4="Yes",INDEX(List!$E$2:$CD$173,MATCH('Selection Pane Data'!$B164,List!$E$2:$E$173,0),MATCH('Selection Pane Data'!N$3,List!$E$2:$CD$2,0)),"")</f>
        <v/>
      </c>
      <c r="O164" s="13" t="str">
        <f>IF(O$4="Yes",INDEX(List!$E$2:$CD$173,MATCH('Selection Pane Data'!$B164,List!$E$2:$E$173,0),MATCH('Selection Pane Data'!O$3,List!$E$2:$CD$2,0)),"")</f>
        <v/>
      </c>
      <c r="P164" s="13" t="str">
        <f>IF(P$4="Yes",INDEX(List!$E$2:$CD$173,MATCH('Selection Pane Data'!$B164,List!$E$2:$E$173,0),MATCH('Selection Pane Data'!P$3,List!$E$2:$CD$2,0)),"")</f>
        <v/>
      </c>
      <c r="Q164" s="13" t="str">
        <f>IF(Q$4="Yes",INDEX(List!$E$2:$CD$173,MATCH('Selection Pane Data'!$B164,List!$E$2:$E$173,0),MATCH('Selection Pane Data'!Q$3,List!$E$2:$CD$2,0)),"")</f>
        <v/>
      </c>
      <c r="R164" s="13" t="str">
        <f>IF(R$4="Yes",INDEX(List!$E$2:$CD$173,MATCH('Selection Pane Data'!$B164,List!$E$2:$E$173,0),MATCH('Selection Pane Data'!R$3,List!$E$2:$CD$2,0)),"")</f>
        <v/>
      </c>
      <c r="S164" s="13" t="str">
        <f>IF(S$4="Yes",INDEX(List!$E$2:$CD$173,MATCH('Selection Pane Data'!$B164,List!$E$2:$E$173,0),MATCH('Selection Pane Data'!S$3,List!$E$2:$CD$2,0)),"")</f>
        <v/>
      </c>
      <c r="T164" s="13" t="str">
        <f>IF(T$4="Yes",INDEX(List!$E$2:$CD$173,MATCH('Selection Pane Data'!$B164,List!$E$2:$E$173,0),MATCH('Selection Pane Data'!T$3,List!$E$2:$CD$2,0)),"")</f>
        <v/>
      </c>
      <c r="U164" s="13" t="str">
        <f>IF(U$4="Yes",INDEX(List!$E$2:$CD$173,MATCH('Selection Pane Data'!$B164,List!$E$2:$E$173,0),MATCH('Selection Pane Data'!U$3,List!$E$2:$CD$2,0)),"")</f>
        <v/>
      </c>
      <c r="V164" s="13" t="str">
        <f>IF(V$4="Yes",INDEX(List!$E$2:$CD$173,MATCH('Selection Pane Data'!$B164,List!$E$2:$E$173,0),MATCH('Selection Pane Data'!V$3,List!$E$2:$CD$2,0)),"")</f>
        <v/>
      </c>
      <c r="W164" s="13" t="str">
        <f>IF(W$4="Yes",INDEX(List!$E$2:$CD$173,MATCH('Selection Pane Data'!$B164,List!$E$2:$E$173,0),MATCH('Selection Pane Data'!W$3,List!$E$2:$CD$2,0)),"")</f>
        <v/>
      </c>
      <c r="X164" s="13" t="str">
        <f>IF(X$4="Yes",INDEX(List!$E$2:$CD$173,MATCH('Selection Pane Data'!$B164,List!$E$2:$E$173,0),MATCH('Selection Pane Data'!X$3,List!$E$2:$CD$2,0)),"")</f>
        <v/>
      </c>
      <c r="Y164" s="13" t="str">
        <f>IF(Y$4="Yes",INDEX(List!$E$2:$CD$173,MATCH('Selection Pane Data'!$B164,List!$E$2:$E$173,0),MATCH('Selection Pane Data'!Y$3,List!$E$2:$CD$2,0)),"")</f>
        <v/>
      </c>
      <c r="Z164" s="13" t="str">
        <f>IF(Z$4="Yes",INDEX(List!$E$2:$CD$173,MATCH('Selection Pane Data'!$B164,List!$E$2:$E$173,0),MATCH('Selection Pane Data'!Z$3,List!$E$2:$CD$2,0)),"")</f>
        <v/>
      </c>
      <c r="AA164" s="13" t="str">
        <f>IF(AA$4="Yes",INDEX(List!$E$2:$CD$173,MATCH('Selection Pane Data'!$B164,List!$E$2:$E$173,0),MATCH('Selection Pane Data'!AA$3,List!$E$2:$CD$2,0)),"")</f>
        <v>N</v>
      </c>
      <c r="AB164" s="13" t="str">
        <f>IF(AB$4="Yes",INDEX(List!$E$2:$CD$173,MATCH('Selection Pane Data'!$B164,List!$E$2:$E$173,0),MATCH('Selection Pane Data'!AB$3,List!$E$2:$CD$2,0)),"")</f>
        <v/>
      </c>
      <c r="AC164" s="13" t="str">
        <f>IF(AC$4="Yes",INDEX(List!$E$2:$CD$173,MATCH('Selection Pane Data'!$B164,List!$E$2:$E$173,0),MATCH('Selection Pane Data'!AC$3,List!$E$2:$CD$2,0)),"")</f>
        <v/>
      </c>
      <c r="AD164" s="13" t="str">
        <f>IF(AD$4="Yes",INDEX(List!$E$2:$CD$173,MATCH('Selection Pane Data'!$B164,List!$E$2:$E$173,0),MATCH('Selection Pane Data'!AD$3,List!$E$2:$CD$2,0)),"")</f>
        <v/>
      </c>
      <c r="AE164" s="13" t="str">
        <f>IF(AE$4="Yes",INDEX(List!$E$2:$CD$173,MATCH('Selection Pane Data'!$B164,List!$E$2:$E$173,0),MATCH('Selection Pane Data'!AE$3,List!$E$2:$CD$2,0)),"")</f>
        <v/>
      </c>
      <c r="AF164" s="13" t="str">
        <f>IF(AF$4="Yes",INDEX(List!$E$2:$CD$173,MATCH('Selection Pane Data'!$B164,List!$E$2:$E$173,0),MATCH('Selection Pane Data'!AF$3,List!$E$2:$CD$2,0)),"")</f>
        <v/>
      </c>
      <c r="AG164" s="13" t="str">
        <f>IF(AG$4="Yes",INDEX(List!$E$2:$CD$173,MATCH('Selection Pane Data'!$B164,List!$E$2:$E$173,0),MATCH('Selection Pane Data'!AG$3,List!$E$2:$CD$2,0)),"")</f>
        <v/>
      </c>
      <c r="AH164" s="13" t="str">
        <f>IF(AH$4="Yes",INDEX(List!$E$2:$CD$173,MATCH('Selection Pane Data'!$B164,List!$E$2:$E$173,0),MATCH('Selection Pane Data'!AH$3,List!$E$2:$CD$2,0)),"")</f>
        <v/>
      </c>
      <c r="AI164" s="13" t="str">
        <f>IF(AI$4="Yes",INDEX(List!$E$2:$CD$173,MATCH('Selection Pane Data'!$B164,List!$E$2:$E$173,0),MATCH('Selection Pane Data'!AI$3,List!$E$2:$CD$2,0)),"")</f>
        <v/>
      </c>
      <c r="AJ164" s="13" t="str">
        <f>IF(AJ$4="Yes",INDEX(List!$E$2:$CD$173,MATCH('Selection Pane Data'!$B164,List!$E$2:$E$173,0),MATCH('Selection Pane Data'!AJ$3,List!$E$2:$CD$2,0)),"")</f>
        <v/>
      </c>
      <c r="AK164" s="13" t="str">
        <f>IF(AK$4="Yes",INDEX(List!$E$2:$CD$173,MATCH('Selection Pane Data'!$B164,List!$E$2:$E$173,0),MATCH('Selection Pane Data'!AK$3,List!$E$2:$CD$2,0)),"")</f>
        <v/>
      </c>
      <c r="AL164" s="13" t="str">
        <f>IF(AL$4="Yes",INDEX(List!$E$2:$CD$173,MATCH('Selection Pane Data'!$B164,List!$E$2:$E$173,0),MATCH('Selection Pane Data'!AL$3,List!$E$2:$CD$2,0)),"")</f>
        <v/>
      </c>
      <c r="AM164" s="13" t="str">
        <f>IF(AM$4="Yes",INDEX(List!$E$2:$CD$173,MATCH('Selection Pane Data'!$B164,List!$E$2:$E$173,0),MATCH('Selection Pane Data'!AM$3,List!$E$2:$CD$2,0)),"")</f>
        <v/>
      </c>
      <c r="AN164" s="13" t="str">
        <f>IF(AN$4="Yes",INDEX(List!$E$2:$CD$173,MATCH('Selection Pane Data'!$B164,List!$E$2:$E$173,0),MATCH('Selection Pane Data'!AN$3,List!$E$2:$CD$2,0)),"")</f>
        <v/>
      </c>
      <c r="AO164" s="13" t="str">
        <f>IF(AO$4="Yes",INDEX(List!$E$2:$CD$173,MATCH('Selection Pane Data'!$B164,List!$E$2:$E$173,0),MATCH('Selection Pane Data'!AO$3,List!$E$2:$CD$2,0)),"")</f>
        <v/>
      </c>
      <c r="AP164" s="13" t="str">
        <f>IF(AP$4="Yes",INDEX(List!$E$2:$CD$173,MATCH('Selection Pane Data'!$B164,List!$E$2:$E$173,0),MATCH('Selection Pane Data'!AP$3,List!$E$2:$CD$2,0)),"")</f>
        <v/>
      </c>
      <c r="AQ164" s="13" t="str">
        <f>IF(AQ$4="Yes",INDEX(List!$E$2:$CD$173,MATCH('Selection Pane Data'!$B164,List!$E$2:$E$173,0),MATCH('Selection Pane Data'!AQ$3,List!$E$2:$CD$2,0)),"")</f>
        <v/>
      </c>
      <c r="AR164" s="13" t="str">
        <f>IF(AR$4="Yes",INDEX(List!$E$2:$CD$173,MATCH('Selection Pane Data'!$B164,List!$E$2:$E$173,0),MATCH('Selection Pane Data'!AR$3,List!$E$2:$CD$2,0)),"")</f>
        <v/>
      </c>
      <c r="AS164" s="13" t="str">
        <f>IF(AS$4="Yes",INDEX(List!$E$2:$CD$173,MATCH('Selection Pane Data'!$B164,List!$E$2:$E$173,0),MATCH('Selection Pane Data'!AS$3,List!$E$2:$CD$2,0)),"")</f>
        <v/>
      </c>
      <c r="AT164" s="13" t="str">
        <f>IF(AT$4="Yes",INDEX(List!$E$2:$CD$173,MATCH('Selection Pane Data'!$B164,List!$E$2:$E$173,0),MATCH('Selection Pane Data'!AT$3,List!$E$2:$CD$2,0)),"")</f>
        <v/>
      </c>
      <c r="AU164" s="13" t="str">
        <f>IF(AU$4="Yes",INDEX(List!$E$2:$CD$173,MATCH('Selection Pane Data'!$B164,List!$E$2:$E$173,0),MATCH('Selection Pane Data'!AU$3,List!$E$2:$CD$2,0)),"")</f>
        <v/>
      </c>
      <c r="AV164" s="13" t="str">
        <f>IF(AV$4="Yes",INDEX(List!$E$2:$CD$173,MATCH('Selection Pane Data'!$B164,List!$E$2:$E$173,0),MATCH('Selection Pane Data'!AV$3,List!$E$2:$CD$2,0)),"")</f>
        <v/>
      </c>
      <c r="AW164" s="13" t="str">
        <f>IF(AW$4="Yes",INDEX(List!$E$2:$CD$173,MATCH('Selection Pane Data'!$B164,List!$E$2:$E$173,0),MATCH('Selection Pane Data'!AW$3,List!$E$2:$CD$2,0)),"")</f>
        <v/>
      </c>
      <c r="AX164" s="13" t="str">
        <f>IF(AX$4="Yes",INDEX(List!$E$2:$CD$173,MATCH('Selection Pane Data'!$B164,List!$E$2:$E$173,0),MATCH('Selection Pane Data'!AX$3,List!$E$2:$CD$2,0)),"")</f>
        <v/>
      </c>
      <c r="AY164" s="13" t="str">
        <f>IF(AY$4="Yes",INDEX(List!$E$2:$CD$173,MATCH('Selection Pane Data'!$B164,List!$E$2:$E$173,0),MATCH('Selection Pane Data'!AY$3,List!$E$2:$CD$2,0)),"")</f>
        <v/>
      </c>
      <c r="AZ164" s="13" t="str">
        <f>IF(AZ$4="Yes",INDEX(List!$E$2:$CD$173,MATCH('Selection Pane Data'!$B164,List!$E$2:$E$173,0),MATCH('Selection Pane Data'!AZ$3,List!$E$2:$CD$2,0)),"")</f>
        <v/>
      </c>
      <c r="BA164" s="13" t="str">
        <f>IF(BA$4="Yes",INDEX(List!$E$2:$CD$173,MATCH('Selection Pane Data'!$B164,List!$E$2:$E$173,0),MATCH('Selection Pane Data'!BA$3,List!$E$2:$CD$2,0)),"")</f>
        <v/>
      </c>
      <c r="BB164" s="13" t="str">
        <f>IF(BB$4="Yes",INDEX(List!$E$2:$CD$173,MATCH('Selection Pane Data'!$B164,List!$E$2:$E$173,0),MATCH('Selection Pane Data'!BB$3,List!$E$2:$CD$2,0)),"")</f>
        <v/>
      </c>
      <c r="BC164" s="13" t="str">
        <f>IF(BC$4="Yes",INDEX(List!$E$2:$CD$173,MATCH('Selection Pane Data'!$B164,List!$E$2:$E$173,0),MATCH('Selection Pane Data'!BC$3,List!$E$2:$CD$2,0)),"")</f>
        <v/>
      </c>
      <c r="BD164" s="13" t="str">
        <f>IF(BD$4="Yes",INDEX(List!$E$2:$CD$173,MATCH('Selection Pane Data'!$B164,List!$E$2:$E$173,0),MATCH('Selection Pane Data'!BD$3,List!$E$2:$CD$2,0)),"")</f>
        <v/>
      </c>
      <c r="BE164" s="13" t="str">
        <f>IF(BE$4="Yes",INDEX(List!$E$2:$CD$173,MATCH('Selection Pane Data'!$B164,List!$E$2:$E$173,0),MATCH('Selection Pane Data'!BE$3,List!$E$2:$CD$2,0)),"")</f>
        <v/>
      </c>
      <c r="BF164" s="13" t="str">
        <f>IF(BF$4="Yes",INDEX(List!$E$2:$CD$173,MATCH('Selection Pane Data'!$B164,List!$E$2:$E$173,0),MATCH('Selection Pane Data'!BF$3,List!$E$2:$CD$2,0)),"")</f>
        <v/>
      </c>
      <c r="BG164" s="13" t="str">
        <f>IF(BG$4="Yes",INDEX(List!$E$2:$CD$173,MATCH('Selection Pane Data'!$B164,List!$E$2:$E$173,0),MATCH('Selection Pane Data'!BG$3,List!$E$2:$CD$2,0)),"")</f>
        <v/>
      </c>
      <c r="BH164" s="13" t="str">
        <f>IF(BH$4="Yes",INDEX(List!$E$2:$CD$173,MATCH('Selection Pane Data'!$B164,List!$E$2:$E$173,0),MATCH('Selection Pane Data'!BH$3,List!$E$2:$CD$2,0)),"")</f>
        <v/>
      </c>
      <c r="BI164" s="13" t="str">
        <f>IF(BI$4="Yes",INDEX(List!$E$2:$CD$173,MATCH('Selection Pane Data'!$B164,List!$E$2:$E$173,0),MATCH('Selection Pane Data'!BI$3,List!$E$2:$CD$2,0)),"")</f>
        <v/>
      </c>
      <c r="BJ164" s="13" t="str">
        <f>IF(BJ$4="Yes",INDEX(List!$E$2:$CD$173,MATCH('Selection Pane Data'!$B164,List!$E$2:$E$173,0),MATCH('Selection Pane Data'!BJ$3,List!$E$2:$CD$2,0)),"")</f>
        <v/>
      </c>
      <c r="BK164" s="13" t="str">
        <f>IF(BK$4="Yes",INDEX(List!$E$2:$CD$173,MATCH('Selection Pane Data'!$B164,List!$E$2:$E$173,0),MATCH('Selection Pane Data'!BK$3,List!$E$2:$CD$2,0)),"")</f>
        <v/>
      </c>
      <c r="BL164" s="13" t="str">
        <f>IF(BL$4="Yes",INDEX(List!$E$2:$CD$173,MATCH('Selection Pane Data'!$B164,List!$E$2:$E$173,0),MATCH('Selection Pane Data'!BL$3,List!$E$2:$CD$2,0)),"")</f>
        <v/>
      </c>
      <c r="BM164" s="13" t="str">
        <f>IF(BM$4="Yes",INDEX(List!$E$2:$CD$173,MATCH('Selection Pane Data'!$B164,List!$E$2:$E$173,0),MATCH('Selection Pane Data'!BM$3,List!$E$2:$CD$2,0)),"")</f>
        <v/>
      </c>
      <c r="BN164" s="13" t="str">
        <f>IF(BN$4="Yes",INDEX(List!$E$2:$CD$173,MATCH('Selection Pane Data'!$B164,List!$E$2:$E$173,0),MATCH('Selection Pane Data'!BN$3,List!$E$2:$CD$2,0)),"")</f>
        <v/>
      </c>
      <c r="BO164" s="13" t="str">
        <f>IF(BO$4="Yes",INDEX(List!$E$2:$CD$173,MATCH('Selection Pane Data'!$B164,List!$E$2:$E$173,0),MATCH('Selection Pane Data'!BO$3,List!$E$2:$CD$2,0)),"")</f>
        <v/>
      </c>
      <c r="BP164" s="13" t="str">
        <f>IF(BP$4="Yes",INDEX(List!$E$2:$CD$173,MATCH('Selection Pane Data'!$B164,List!$E$2:$E$173,0),MATCH('Selection Pane Data'!BP$3,List!$E$2:$CD$2,0)),"")</f>
        <v/>
      </c>
      <c r="BQ164" s="13" t="str">
        <f>IF(BQ$4="Yes",INDEX(List!$E$2:$CD$173,MATCH('Selection Pane Data'!$B164,List!$E$2:$E$173,0),MATCH('Selection Pane Data'!BQ$3,List!$E$2:$CD$2,0)),"")</f>
        <v/>
      </c>
      <c r="BR164" s="13" t="str">
        <f>IF(BR$4="Yes",INDEX(List!$E$2:$CD$173,MATCH('Selection Pane Data'!$B164,List!$E$2:$E$173,0),MATCH('Selection Pane Data'!BR$3,List!$E$2:$CD$2,0)),"")</f>
        <v/>
      </c>
      <c r="BS164" s="13" t="str">
        <f>IF(BS$4="Yes",INDEX(List!$E$2:$CD$173,MATCH('Selection Pane Data'!$B164,List!$E$2:$E$173,0),MATCH('Selection Pane Data'!BS$3,List!$E$2:$CD$2,0)),"")</f>
        <v/>
      </c>
      <c r="BT164" s="13" t="str">
        <f>IF(BT$4="Yes",INDEX(List!$E$2:$CD$173,MATCH('Selection Pane Data'!$B164,List!$E$2:$E$173,0),MATCH('Selection Pane Data'!BT$3,List!$E$2:$CD$2,0)),"")</f>
        <v/>
      </c>
      <c r="BU164" s="13" t="str">
        <f>IF(BU$4="Yes",INDEX(List!$E$2:$CD$173,MATCH('Selection Pane Data'!$B164,List!$E$2:$E$173,0),MATCH('Selection Pane Data'!BU$3,List!$E$2:$CD$2,0)),"")</f>
        <v/>
      </c>
      <c r="BV164" s="13" t="str">
        <f>IF(BV$4="Yes",INDEX(List!$E$2:$CD$173,MATCH('Selection Pane Data'!$B164,List!$E$2:$E$173,0),MATCH('Selection Pane Data'!BV$3,List!$E$2:$CD$2,0)),"")</f>
        <v/>
      </c>
      <c r="BW164" s="13" t="str">
        <f>IF(BW$4="Yes",INDEX(List!$E$2:$CD$173,MATCH('Selection Pane Data'!$B164,List!$E$2:$E$173,0),MATCH('Selection Pane Data'!BW$3,List!$E$2:$CD$2,0)),"")</f>
        <v/>
      </c>
      <c r="BX164" s="13" t="str">
        <f>IF(BX$4="Yes",INDEX(List!$E$2:$CD$173,MATCH('Selection Pane Data'!$B164,List!$E$2:$E$173,0),MATCH('Selection Pane Data'!BX$3,List!$E$2:$CD$2,0)),"")</f>
        <v/>
      </c>
      <c r="BY164" s="13" t="str">
        <f>IF(BY$4="Yes",INDEX(List!$E$2:$CD$173,MATCH('Selection Pane Data'!$B164,List!$E$2:$E$173,0),MATCH('Selection Pane Data'!BY$3,List!$E$2:$CD$2,0)),"")</f>
        <v/>
      </c>
      <c r="BZ164" s="13" t="str">
        <f>IF(BZ$4="Yes",INDEX(List!$E$2:$CD$173,MATCH('Selection Pane Data'!$B164,List!$E$2:$E$173,0),MATCH('Selection Pane Data'!BZ$3,List!$E$2:$CD$2,0)),"")</f>
        <v/>
      </c>
      <c r="CA164" s="13" t="str">
        <f>IF(CA$4="Yes",INDEX(List!$E$2:$CD$173,MATCH('Selection Pane Data'!$B164,List!$E$2:$E$173,0),MATCH('Selection Pane Data'!CA$3,List!$E$2:$CD$2,0)),"")</f>
        <v/>
      </c>
      <c r="CB164" s="13" t="str">
        <f>IF(CB$4="Yes",INDEX(List!$E$2:$CD$173,MATCH('Selection Pane Data'!$B164,List!$E$2:$E$173,0),MATCH('Selection Pane Data'!CB$3,List!$E$2:$CD$2,0)),"")</f>
        <v/>
      </c>
      <c r="CC164" s="13" t="str">
        <f>IF(CC$4="Yes",INDEX(List!$E$2:$CD$173,MATCH('Selection Pane Data'!$B164,List!$E$2:$E$173,0),MATCH('Selection Pane Data'!CC$3,List!$E$2:$CD$2,0)),"")</f>
        <v/>
      </c>
      <c r="CD164" s="13" t="str">
        <f>IF(CD$4="Yes",INDEX(List!$E$2:$CD$173,MATCH('Selection Pane Data'!$B164,List!$E$2:$E$173,0),MATCH('Selection Pane Data'!CD$3,List!$E$2:$CD$2,0)),"")</f>
        <v/>
      </c>
      <c r="CE164" s="13" t="str">
        <f>IF(CE$4="Yes",INDEX(List!$E$2:$CD$173,MATCH('Selection Pane Data'!$B164,List!$E$2:$E$173,0),MATCH('Selection Pane Data'!CE$3,List!$E$2:$CD$2,0)),"")</f>
        <v/>
      </c>
    </row>
    <row r="165" spans="2:83" x14ac:dyDescent="0.35">
      <c r="B165" s="21" t="s">
        <v>452</v>
      </c>
      <c r="C165" s="126" t="str">
        <f>VLOOKUP(B165,List!$E$2:$G$173,2,FALSE)</f>
        <v>SI.L1-3.14.4</v>
      </c>
      <c r="D165" s="31" t="str">
        <f>List!G163</f>
        <v>Shared Coverage</v>
      </c>
      <c r="E165" s="31" t="str">
        <f>IF(Placemat!$F$4="All Practices","All Practices",IF(VLOOKUP(B165,Table7[#All],6,FALSE)="No Mapping","New CMMC Practices","Practices with NIST 800-171 Mappings"))</f>
        <v>Practices with NIST 800-171 Mappings</v>
      </c>
      <c r="F165" t="str">
        <f>INDEX('CMMC Levels'!$A$1:$F$172,MATCH('Selection Pane Data'!$C165,'CMMC Levels'!$A$1:$A$172,0),MATCH(Placemat!$F$4,'CMMC Levels'!$A$1:$F$1,0))</f>
        <v>X</v>
      </c>
      <c r="G165" s="77" t="str">
        <f>IF((COUNTIF(List!H163:CE163,"P")+COUNTIF(List!H163:CE163,"S"))=0,"N",IF(COUNTIF(H165:CE165,"P"),"P",IF(COUNTIF(H165:CE165,"S"),"S","U")))</f>
        <v>U</v>
      </c>
      <c r="H165" s="13" t="str">
        <f>IF(H$4="Yes",INDEX(List!$E$2:$CD$173,MATCH('Selection Pane Data'!$B165,List!$E$2:$E$173,0),MATCH('Selection Pane Data'!H$3,List!$E$2:$CD$2,0)),"")</f>
        <v/>
      </c>
      <c r="I165" s="13" t="str">
        <f>IF(I$4="Yes",INDEX(List!$E$2:$CD$173,MATCH('Selection Pane Data'!$B165,List!$E$2:$E$173,0),MATCH('Selection Pane Data'!I$3,List!$E$2:$CD$2,0)),"")</f>
        <v/>
      </c>
      <c r="J165" s="13" t="str">
        <f>IF(J$4="Yes",INDEX(List!$E$2:$CD$173,MATCH('Selection Pane Data'!$B165,List!$E$2:$E$173,0),MATCH('Selection Pane Data'!J$3,List!$E$2:$CD$2,0)),"")</f>
        <v>N</v>
      </c>
      <c r="K165" s="13" t="str">
        <f>IF(K$4="Yes",INDEX(List!$E$2:$CD$173,MATCH('Selection Pane Data'!$B165,List!$E$2:$E$173,0),MATCH('Selection Pane Data'!K$3,List!$E$2:$CD$2,0)),"")</f>
        <v/>
      </c>
      <c r="L165" s="13" t="str">
        <f>IF(L$4="Yes",INDEX(List!$E$2:$CD$173,MATCH('Selection Pane Data'!$B165,List!$E$2:$E$173,0),MATCH('Selection Pane Data'!L$3,List!$E$2:$CD$2,0)),"")</f>
        <v/>
      </c>
      <c r="M165" s="13" t="str">
        <f>IF(M$4="Yes",INDEX(List!$E$2:$CD$173,MATCH('Selection Pane Data'!$B165,List!$E$2:$E$173,0),MATCH('Selection Pane Data'!M$3,List!$E$2:$CD$2,0)),"")</f>
        <v/>
      </c>
      <c r="N165" s="13" t="str">
        <f>IF(N$4="Yes",INDEX(List!$E$2:$CD$173,MATCH('Selection Pane Data'!$B165,List!$E$2:$E$173,0),MATCH('Selection Pane Data'!N$3,List!$E$2:$CD$2,0)),"")</f>
        <v/>
      </c>
      <c r="O165" s="13" t="str">
        <f>IF(O$4="Yes",INDEX(List!$E$2:$CD$173,MATCH('Selection Pane Data'!$B165,List!$E$2:$E$173,0),MATCH('Selection Pane Data'!O$3,List!$E$2:$CD$2,0)),"")</f>
        <v/>
      </c>
      <c r="P165" s="13" t="str">
        <f>IF(P$4="Yes",INDEX(List!$E$2:$CD$173,MATCH('Selection Pane Data'!$B165,List!$E$2:$E$173,0),MATCH('Selection Pane Data'!P$3,List!$E$2:$CD$2,0)),"")</f>
        <v/>
      </c>
      <c r="Q165" s="13" t="str">
        <f>IF(Q$4="Yes",INDEX(List!$E$2:$CD$173,MATCH('Selection Pane Data'!$B165,List!$E$2:$E$173,0),MATCH('Selection Pane Data'!Q$3,List!$E$2:$CD$2,0)),"")</f>
        <v/>
      </c>
      <c r="R165" s="13" t="str">
        <f>IF(R$4="Yes",INDEX(List!$E$2:$CD$173,MATCH('Selection Pane Data'!$B165,List!$E$2:$E$173,0),MATCH('Selection Pane Data'!R$3,List!$E$2:$CD$2,0)),"")</f>
        <v/>
      </c>
      <c r="S165" s="13" t="str">
        <f>IF(S$4="Yes",INDEX(List!$E$2:$CD$173,MATCH('Selection Pane Data'!$B165,List!$E$2:$E$173,0),MATCH('Selection Pane Data'!S$3,List!$E$2:$CD$2,0)),"")</f>
        <v/>
      </c>
      <c r="T165" s="13" t="str">
        <f>IF(T$4="Yes",INDEX(List!$E$2:$CD$173,MATCH('Selection Pane Data'!$B165,List!$E$2:$E$173,0),MATCH('Selection Pane Data'!T$3,List!$E$2:$CD$2,0)),"")</f>
        <v/>
      </c>
      <c r="U165" s="13" t="str">
        <f>IF(U$4="Yes",INDEX(List!$E$2:$CD$173,MATCH('Selection Pane Data'!$B165,List!$E$2:$E$173,0),MATCH('Selection Pane Data'!U$3,List!$E$2:$CD$2,0)),"")</f>
        <v/>
      </c>
      <c r="V165" s="13" t="str">
        <f>IF(V$4="Yes",INDEX(List!$E$2:$CD$173,MATCH('Selection Pane Data'!$B165,List!$E$2:$E$173,0),MATCH('Selection Pane Data'!V$3,List!$E$2:$CD$2,0)),"")</f>
        <v/>
      </c>
      <c r="W165" s="13" t="str">
        <f>IF(W$4="Yes",INDEX(List!$E$2:$CD$173,MATCH('Selection Pane Data'!$B165,List!$E$2:$E$173,0),MATCH('Selection Pane Data'!W$3,List!$E$2:$CD$2,0)),"")</f>
        <v/>
      </c>
      <c r="X165" s="13" t="str">
        <f>IF(X$4="Yes",INDEX(List!$E$2:$CD$173,MATCH('Selection Pane Data'!$B165,List!$E$2:$E$173,0),MATCH('Selection Pane Data'!X$3,List!$E$2:$CD$2,0)),"")</f>
        <v/>
      </c>
      <c r="Y165" s="13" t="str">
        <f>IF(Y$4="Yes",INDEX(List!$E$2:$CD$173,MATCH('Selection Pane Data'!$B165,List!$E$2:$E$173,0),MATCH('Selection Pane Data'!Y$3,List!$E$2:$CD$2,0)),"")</f>
        <v/>
      </c>
      <c r="Z165" s="13" t="str">
        <f>IF(Z$4="Yes",INDEX(List!$E$2:$CD$173,MATCH('Selection Pane Data'!$B165,List!$E$2:$E$173,0),MATCH('Selection Pane Data'!Z$3,List!$E$2:$CD$2,0)),"")</f>
        <v/>
      </c>
      <c r="AA165" s="13" t="str">
        <f>IF(AA$4="Yes",INDEX(List!$E$2:$CD$173,MATCH('Selection Pane Data'!$B165,List!$E$2:$E$173,0),MATCH('Selection Pane Data'!AA$3,List!$E$2:$CD$2,0)),"")</f>
        <v>N</v>
      </c>
      <c r="AB165" s="13" t="str">
        <f>IF(AB$4="Yes",INDEX(List!$E$2:$CD$173,MATCH('Selection Pane Data'!$B165,List!$E$2:$E$173,0),MATCH('Selection Pane Data'!AB$3,List!$E$2:$CD$2,0)),"")</f>
        <v/>
      </c>
      <c r="AC165" s="13" t="str">
        <f>IF(AC$4="Yes",INDEX(List!$E$2:$CD$173,MATCH('Selection Pane Data'!$B165,List!$E$2:$E$173,0),MATCH('Selection Pane Data'!AC$3,List!$E$2:$CD$2,0)),"")</f>
        <v/>
      </c>
      <c r="AD165" s="13" t="str">
        <f>IF(AD$4="Yes",INDEX(List!$E$2:$CD$173,MATCH('Selection Pane Data'!$B165,List!$E$2:$E$173,0),MATCH('Selection Pane Data'!AD$3,List!$E$2:$CD$2,0)),"")</f>
        <v/>
      </c>
      <c r="AE165" s="13" t="str">
        <f>IF(AE$4="Yes",INDEX(List!$E$2:$CD$173,MATCH('Selection Pane Data'!$B165,List!$E$2:$E$173,0),MATCH('Selection Pane Data'!AE$3,List!$E$2:$CD$2,0)),"")</f>
        <v/>
      </c>
      <c r="AF165" s="13" t="str">
        <f>IF(AF$4="Yes",INDEX(List!$E$2:$CD$173,MATCH('Selection Pane Data'!$B165,List!$E$2:$E$173,0),MATCH('Selection Pane Data'!AF$3,List!$E$2:$CD$2,0)),"")</f>
        <v/>
      </c>
      <c r="AG165" s="13" t="str">
        <f>IF(AG$4="Yes",INDEX(List!$E$2:$CD$173,MATCH('Selection Pane Data'!$B165,List!$E$2:$E$173,0),MATCH('Selection Pane Data'!AG$3,List!$E$2:$CD$2,0)),"")</f>
        <v/>
      </c>
      <c r="AH165" s="13" t="str">
        <f>IF(AH$4="Yes",INDEX(List!$E$2:$CD$173,MATCH('Selection Pane Data'!$B165,List!$E$2:$E$173,0),MATCH('Selection Pane Data'!AH$3,List!$E$2:$CD$2,0)),"")</f>
        <v/>
      </c>
      <c r="AI165" s="13" t="str">
        <f>IF(AI$4="Yes",INDEX(List!$E$2:$CD$173,MATCH('Selection Pane Data'!$B165,List!$E$2:$E$173,0),MATCH('Selection Pane Data'!AI$3,List!$E$2:$CD$2,0)),"")</f>
        <v/>
      </c>
      <c r="AJ165" s="13" t="str">
        <f>IF(AJ$4="Yes",INDEX(List!$E$2:$CD$173,MATCH('Selection Pane Data'!$B165,List!$E$2:$E$173,0),MATCH('Selection Pane Data'!AJ$3,List!$E$2:$CD$2,0)),"")</f>
        <v/>
      </c>
      <c r="AK165" s="13" t="str">
        <f>IF(AK$4="Yes",INDEX(List!$E$2:$CD$173,MATCH('Selection Pane Data'!$B165,List!$E$2:$E$173,0),MATCH('Selection Pane Data'!AK$3,List!$E$2:$CD$2,0)),"")</f>
        <v/>
      </c>
      <c r="AL165" s="13" t="str">
        <f>IF(AL$4="Yes",INDEX(List!$E$2:$CD$173,MATCH('Selection Pane Data'!$B165,List!$E$2:$E$173,0),MATCH('Selection Pane Data'!AL$3,List!$E$2:$CD$2,0)),"")</f>
        <v/>
      </c>
      <c r="AM165" s="13" t="str">
        <f>IF(AM$4="Yes",INDEX(List!$E$2:$CD$173,MATCH('Selection Pane Data'!$B165,List!$E$2:$E$173,0),MATCH('Selection Pane Data'!AM$3,List!$E$2:$CD$2,0)),"")</f>
        <v/>
      </c>
      <c r="AN165" s="13" t="str">
        <f>IF(AN$4="Yes",INDEX(List!$E$2:$CD$173,MATCH('Selection Pane Data'!$B165,List!$E$2:$E$173,0),MATCH('Selection Pane Data'!AN$3,List!$E$2:$CD$2,0)),"")</f>
        <v/>
      </c>
      <c r="AO165" s="13" t="str">
        <f>IF(AO$4="Yes",INDEX(List!$E$2:$CD$173,MATCH('Selection Pane Data'!$B165,List!$E$2:$E$173,0),MATCH('Selection Pane Data'!AO$3,List!$E$2:$CD$2,0)),"")</f>
        <v/>
      </c>
      <c r="AP165" s="13" t="str">
        <f>IF(AP$4="Yes",INDEX(List!$E$2:$CD$173,MATCH('Selection Pane Data'!$B165,List!$E$2:$E$173,0),MATCH('Selection Pane Data'!AP$3,List!$E$2:$CD$2,0)),"")</f>
        <v/>
      </c>
      <c r="AQ165" s="13" t="str">
        <f>IF(AQ$4="Yes",INDEX(List!$E$2:$CD$173,MATCH('Selection Pane Data'!$B165,List!$E$2:$E$173,0),MATCH('Selection Pane Data'!AQ$3,List!$E$2:$CD$2,0)),"")</f>
        <v/>
      </c>
      <c r="AR165" s="13" t="str">
        <f>IF(AR$4="Yes",INDEX(List!$E$2:$CD$173,MATCH('Selection Pane Data'!$B165,List!$E$2:$E$173,0),MATCH('Selection Pane Data'!AR$3,List!$E$2:$CD$2,0)),"")</f>
        <v/>
      </c>
      <c r="AS165" s="13" t="str">
        <f>IF(AS$4="Yes",INDEX(List!$E$2:$CD$173,MATCH('Selection Pane Data'!$B165,List!$E$2:$E$173,0),MATCH('Selection Pane Data'!AS$3,List!$E$2:$CD$2,0)),"")</f>
        <v/>
      </c>
      <c r="AT165" s="13" t="str">
        <f>IF(AT$4="Yes",INDEX(List!$E$2:$CD$173,MATCH('Selection Pane Data'!$B165,List!$E$2:$E$173,0),MATCH('Selection Pane Data'!AT$3,List!$E$2:$CD$2,0)),"")</f>
        <v/>
      </c>
      <c r="AU165" s="13" t="str">
        <f>IF(AU$4="Yes",INDEX(List!$E$2:$CD$173,MATCH('Selection Pane Data'!$B165,List!$E$2:$E$173,0),MATCH('Selection Pane Data'!AU$3,List!$E$2:$CD$2,0)),"")</f>
        <v/>
      </c>
      <c r="AV165" s="13" t="str">
        <f>IF(AV$4="Yes",INDEX(List!$E$2:$CD$173,MATCH('Selection Pane Data'!$B165,List!$E$2:$E$173,0),MATCH('Selection Pane Data'!AV$3,List!$E$2:$CD$2,0)),"")</f>
        <v/>
      </c>
      <c r="AW165" s="13" t="str">
        <f>IF(AW$4="Yes",INDEX(List!$E$2:$CD$173,MATCH('Selection Pane Data'!$B165,List!$E$2:$E$173,0),MATCH('Selection Pane Data'!AW$3,List!$E$2:$CD$2,0)),"")</f>
        <v/>
      </c>
      <c r="AX165" s="13" t="str">
        <f>IF(AX$4="Yes",INDEX(List!$E$2:$CD$173,MATCH('Selection Pane Data'!$B165,List!$E$2:$E$173,0),MATCH('Selection Pane Data'!AX$3,List!$E$2:$CD$2,0)),"")</f>
        <v/>
      </c>
      <c r="AY165" s="13" t="str">
        <f>IF(AY$4="Yes",INDEX(List!$E$2:$CD$173,MATCH('Selection Pane Data'!$B165,List!$E$2:$E$173,0),MATCH('Selection Pane Data'!AY$3,List!$E$2:$CD$2,0)),"")</f>
        <v/>
      </c>
      <c r="AZ165" s="13" t="str">
        <f>IF(AZ$4="Yes",INDEX(List!$E$2:$CD$173,MATCH('Selection Pane Data'!$B165,List!$E$2:$E$173,0),MATCH('Selection Pane Data'!AZ$3,List!$E$2:$CD$2,0)),"")</f>
        <v/>
      </c>
      <c r="BA165" s="13" t="str">
        <f>IF(BA$4="Yes",INDEX(List!$E$2:$CD$173,MATCH('Selection Pane Data'!$B165,List!$E$2:$E$173,0),MATCH('Selection Pane Data'!BA$3,List!$E$2:$CD$2,0)),"")</f>
        <v/>
      </c>
      <c r="BB165" s="13" t="str">
        <f>IF(BB$4="Yes",INDEX(List!$E$2:$CD$173,MATCH('Selection Pane Data'!$B165,List!$E$2:$E$173,0),MATCH('Selection Pane Data'!BB$3,List!$E$2:$CD$2,0)),"")</f>
        <v/>
      </c>
      <c r="BC165" s="13" t="str">
        <f>IF(BC$4="Yes",INDEX(List!$E$2:$CD$173,MATCH('Selection Pane Data'!$B165,List!$E$2:$E$173,0),MATCH('Selection Pane Data'!BC$3,List!$E$2:$CD$2,0)),"")</f>
        <v/>
      </c>
      <c r="BD165" s="13" t="str">
        <f>IF(BD$4="Yes",INDEX(List!$E$2:$CD$173,MATCH('Selection Pane Data'!$B165,List!$E$2:$E$173,0),MATCH('Selection Pane Data'!BD$3,List!$E$2:$CD$2,0)),"")</f>
        <v/>
      </c>
      <c r="BE165" s="13" t="str">
        <f>IF(BE$4="Yes",INDEX(List!$E$2:$CD$173,MATCH('Selection Pane Data'!$B165,List!$E$2:$E$173,0),MATCH('Selection Pane Data'!BE$3,List!$E$2:$CD$2,0)),"")</f>
        <v/>
      </c>
      <c r="BF165" s="13" t="str">
        <f>IF(BF$4="Yes",INDEX(List!$E$2:$CD$173,MATCH('Selection Pane Data'!$B165,List!$E$2:$E$173,0),MATCH('Selection Pane Data'!BF$3,List!$E$2:$CD$2,0)),"")</f>
        <v/>
      </c>
      <c r="BG165" s="13" t="str">
        <f>IF(BG$4="Yes",INDEX(List!$E$2:$CD$173,MATCH('Selection Pane Data'!$B165,List!$E$2:$E$173,0),MATCH('Selection Pane Data'!BG$3,List!$E$2:$CD$2,0)),"")</f>
        <v/>
      </c>
      <c r="BH165" s="13" t="str">
        <f>IF(BH$4="Yes",INDEX(List!$E$2:$CD$173,MATCH('Selection Pane Data'!$B165,List!$E$2:$E$173,0),MATCH('Selection Pane Data'!BH$3,List!$E$2:$CD$2,0)),"")</f>
        <v/>
      </c>
      <c r="BI165" s="13" t="str">
        <f>IF(BI$4="Yes",INDEX(List!$E$2:$CD$173,MATCH('Selection Pane Data'!$B165,List!$E$2:$E$173,0),MATCH('Selection Pane Data'!BI$3,List!$E$2:$CD$2,0)),"")</f>
        <v/>
      </c>
      <c r="BJ165" s="13" t="str">
        <f>IF(BJ$4="Yes",INDEX(List!$E$2:$CD$173,MATCH('Selection Pane Data'!$B165,List!$E$2:$E$173,0),MATCH('Selection Pane Data'!BJ$3,List!$E$2:$CD$2,0)),"")</f>
        <v/>
      </c>
      <c r="BK165" s="13" t="str">
        <f>IF(BK$4="Yes",INDEX(List!$E$2:$CD$173,MATCH('Selection Pane Data'!$B165,List!$E$2:$E$173,0),MATCH('Selection Pane Data'!BK$3,List!$E$2:$CD$2,0)),"")</f>
        <v/>
      </c>
      <c r="BL165" s="13" t="str">
        <f>IF(BL$4="Yes",INDEX(List!$E$2:$CD$173,MATCH('Selection Pane Data'!$B165,List!$E$2:$E$173,0),MATCH('Selection Pane Data'!BL$3,List!$E$2:$CD$2,0)),"")</f>
        <v/>
      </c>
      <c r="BM165" s="13" t="str">
        <f>IF(BM$4="Yes",INDEX(List!$E$2:$CD$173,MATCH('Selection Pane Data'!$B165,List!$E$2:$E$173,0),MATCH('Selection Pane Data'!BM$3,List!$E$2:$CD$2,0)),"")</f>
        <v/>
      </c>
      <c r="BN165" s="13" t="str">
        <f>IF(BN$4="Yes",INDEX(List!$E$2:$CD$173,MATCH('Selection Pane Data'!$B165,List!$E$2:$E$173,0),MATCH('Selection Pane Data'!BN$3,List!$E$2:$CD$2,0)),"")</f>
        <v/>
      </c>
      <c r="BO165" s="13" t="str">
        <f>IF(BO$4="Yes",INDEX(List!$E$2:$CD$173,MATCH('Selection Pane Data'!$B165,List!$E$2:$E$173,0),MATCH('Selection Pane Data'!BO$3,List!$E$2:$CD$2,0)),"")</f>
        <v/>
      </c>
      <c r="BP165" s="13" t="str">
        <f>IF(BP$4="Yes",INDEX(List!$E$2:$CD$173,MATCH('Selection Pane Data'!$B165,List!$E$2:$E$173,0),MATCH('Selection Pane Data'!BP$3,List!$E$2:$CD$2,0)),"")</f>
        <v/>
      </c>
      <c r="BQ165" s="13" t="str">
        <f>IF(BQ$4="Yes",INDEX(List!$E$2:$CD$173,MATCH('Selection Pane Data'!$B165,List!$E$2:$E$173,0),MATCH('Selection Pane Data'!BQ$3,List!$E$2:$CD$2,0)),"")</f>
        <v/>
      </c>
      <c r="BR165" s="13" t="str">
        <f>IF(BR$4="Yes",INDEX(List!$E$2:$CD$173,MATCH('Selection Pane Data'!$B165,List!$E$2:$E$173,0),MATCH('Selection Pane Data'!BR$3,List!$E$2:$CD$2,0)),"")</f>
        <v/>
      </c>
      <c r="BS165" s="13" t="str">
        <f>IF(BS$4="Yes",INDEX(List!$E$2:$CD$173,MATCH('Selection Pane Data'!$B165,List!$E$2:$E$173,0),MATCH('Selection Pane Data'!BS$3,List!$E$2:$CD$2,0)),"")</f>
        <v/>
      </c>
      <c r="BT165" s="13" t="str">
        <f>IF(BT$4="Yes",INDEX(List!$E$2:$CD$173,MATCH('Selection Pane Data'!$B165,List!$E$2:$E$173,0),MATCH('Selection Pane Data'!BT$3,List!$E$2:$CD$2,0)),"")</f>
        <v/>
      </c>
      <c r="BU165" s="13" t="str">
        <f>IF(BU$4="Yes",INDEX(List!$E$2:$CD$173,MATCH('Selection Pane Data'!$B165,List!$E$2:$E$173,0),MATCH('Selection Pane Data'!BU$3,List!$E$2:$CD$2,0)),"")</f>
        <v/>
      </c>
      <c r="BV165" s="13" t="str">
        <f>IF(BV$4="Yes",INDEX(List!$E$2:$CD$173,MATCH('Selection Pane Data'!$B165,List!$E$2:$E$173,0),MATCH('Selection Pane Data'!BV$3,List!$E$2:$CD$2,0)),"")</f>
        <v/>
      </c>
      <c r="BW165" s="13" t="str">
        <f>IF(BW$4="Yes",INDEX(List!$E$2:$CD$173,MATCH('Selection Pane Data'!$B165,List!$E$2:$E$173,0),MATCH('Selection Pane Data'!BW$3,List!$E$2:$CD$2,0)),"")</f>
        <v/>
      </c>
      <c r="BX165" s="13" t="str">
        <f>IF(BX$4="Yes",INDEX(List!$E$2:$CD$173,MATCH('Selection Pane Data'!$B165,List!$E$2:$E$173,0),MATCH('Selection Pane Data'!BX$3,List!$E$2:$CD$2,0)),"")</f>
        <v/>
      </c>
      <c r="BY165" s="13" t="str">
        <f>IF(BY$4="Yes",INDEX(List!$E$2:$CD$173,MATCH('Selection Pane Data'!$B165,List!$E$2:$E$173,0),MATCH('Selection Pane Data'!BY$3,List!$E$2:$CD$2,0)),"")</f>
        <v/>
      </c>
      <c r="BZ165" s="13" t="str">
        <f>IF(BZ$4="Yes",INDEX(List!$E$2:$CD$173,MATCH('Selection Pane Data'!$B165,List!$E$2:$E$173,0),MATCH('Selection Pane Data'!BZ$3,List!$E$2:$CD$2,0)),"")</f>
        <v/>
      </c>
      <c r="CA165" s="13" t="str">
        <f>IF(CA$4="Yes",INDEX(List!$E$2:$CD$173,MATCH('Selection Pane Data'!$B165,List!$E$2:$E$173,0),MATCH('Selection Pane Data'!CA$3,List!$E$2:$CD$2,0)),"")</f>
        <v/>
      </c>
      <c r="CB165" s="13" t="str">
        <f>IF(CB$4="Yes",INDEX(List!$E$2:$CD$173,MATCH('Selection Pane Data'!$B165,List!$E$2:$E$173,0),MATCH('Selection Pane Data'!CB$3,List!$E$2:$CD$2,0)),"")</f>
        <v/>
      </c>
      <c r="CC165" s="13" t="str">
        <f>IF(CC$4="Yes",INDEX(List!$E$2:$CD$173,MATCH('Selection Pane Data'!$B165,List!$E$2:$E$173,0),MATCH('Selection Pane Data'!CC$3,List!$E$2:$CD$2,0)),"")</f>
        <v/>
      </c>
      <c r="CD165" s="13" t="str">
        <f>IF(CD$4="Yes",INDEX(List!$E$2:$CD$173,MATCH('Selection Pane Data'!$B165,List!$E$2:$E$173,0),MATCH('Selection Pane Data'!CD$3,List!$E$2:$CD$2,0)),"")</f>
        <v/>
      </c>
      <c r="CE165" s="13" t="str">
        <f>IF(CE$4="Yes",INDEX(List!$E$2:$CD$173,MATCH('Selection Pane Data'!$B165,List!$E$2:$E$173,0),MATCH('Selection Pane Data'!CE$3,List!$E$2:$CD$2,0)),"")</f>
        <v/>
      </c>
    </row>
    <row r="166" spans="2:83" x14ac:dyDescent="0.35">
      <c r="B166" s="21" t="s">
        <v>453</v>
      </c>
      <c r="C166" s="126" t="str">
        <f>VLOOKUP(B166,List!$E$2:$G$173,2,FALSE)</f>
        <v>SI.L1-3.14.5</v>
      </c>
      <c r="D166" s="31" t="str">
        <f>List!G164</f>
        <v>Customer Responsibility</v>
      </c>
      <c r="E166" s="31" t="str">
        <f>IF(Placemat!$F$4="All Practices","All Practices",IF(VLOOKUP(B166,Table7[#All],6,FALSE)="No Mapping","New CMMC Practices","Practices with NIST 800-171 Mappings"))</f>
        <v>Practices with NIST 800-171 Mappings</v>
      </c>
      <c r="F166" t="str">
        <f>INDEX('CMMC Levels'!$A$1:$F$172,MATCH('Selection Pane Data'!$C166,'CMMC Levels'!$A$1:$A$172,0),MATCH(Placemat!$F$4,'CMMC Levels'!$A$1:$F$1,0))</f>
        <v>X</v>
      </c>
      <c r="G166" s="77" t="str">
        <f>IF((COUNTIF(List!H164:CE164,"P")+COUNTIF(List!H164:CE164,"S"))=0,"N",IF(COUNTIF(H166:CE166,"P"),"P",IF(COUNTIF(H166:CE166,"S"),"S","U")))</f>
        <v>U</v>
      </c>
      <c r="H166" s="13" t="str">
        <f>IF(H$4="Yes",INDEX(List!$E$2:$CD$173,MATCH('Selection Pane Data'!$B166,List!$E$2:$E$173,0),MATCH('Selection Pane Data'!H$3,List!$E$2:$CD$2,0)),"")</f>
        <v/>
      </c>
      <c r="I166" s="13" t="str">
        <f>IF(I$4="Yes",INDEX(List!$E$2:$CD$173,MATCH('Selection Pane Data'!$B166,List!$E$2:$E$173,0),MATCH('Selection Pane Data'!I$3,List!$E$2:$CD$2,0)),"")</f>
        <v/>
      </c>
      <c r="J166" s="13" t="str">
        <f>IF(J$4="Yes",INDEX(List!$E$2:$CD$173,MATCH('Selection Pane Data'!$B166,List!$E$2:$E$173,0),MATCH('Selection Pane Data'!J$3,List!$E$2:$CD$2,0)),"")</f>
        <v>N</v>
      </c>
      <c r="K166" s="13" t="str">
        <f>IF(K$4="Yes",INDEX(List!$E$2:$CD$173,MATCH('Selection Pane Data'!$B166,List!$E$2:$E$173,0),MATCH('Selection Pane Data'!K$3,List!$E$2:$CD$2,0)),"")</f>
        <v/>
      </c>
      <c r="L166" s="13" t="str">
        <f>IF(L$4="Yes",INDEX(List!$E$2:$CD$173,MATCH('Selection Pane Data'!$B166,List!$E$2:$E$173,0),MATCH('Selection Pane Data'!L$3,List!$E$2:$CD$2,0)),"")</f>
        <v/>
      </c>
      <c r="M166" s="13" t="str">
        <f>IF(M$4="Yes",INDEX(List!$E$2:$CD$173,MATCH('Selection Pane Data'!$B166,List!$E$2:$E$173,0),MATCH('Selection Pane Data'!M$3,List!$E$2:$CD$2,0)),"")</f>
        <v/>
      </c>
      <c r="N166" s="13" t="str">
        <f>IF(N$4="Yes",INDEX(List!$E$2:$CD$173,MATCH('Selection Pane Data'!$B166,List!$E$2:$E$173,0),MATCH('Selection Pane Data'!N$3,List!$E$2:$CD$2,0)),"")</f>
        <v/>
      </c>
      <c r="O166" s="13" t="str">
        <f>IF(O$4="Yes",INDEX(List!$E$2:$CD$173,MATCH('Selection Pane Data'!$B166,List!$E$2:$E$173,0),MATCH('Selection Pane Data'!O$3,List!$E$2:$CD$2,0)),"")</f>
        <v/>
      </c>
      <c r="P166" s="13" t="str">
        <f>IF(P$4="Yes",INDEX(List!$E$2:$CD$173,MATCH('Selection Pane Data'!$B166,List!$E$2:$E$173,0),MATCH('Selection Pane Data'!P$3,List!$E$2:$CD$2,0)),"")</f>
        <v/>
      </c>
      <c r="Q166" s="13" t="str">
        <f>IF(Q$4="Yes",INDEX(List!$E$2:$CD$173,MATCH('Selection Pane Data'!$B166,List!$E$2:$E$173,0),MATCH('Selection Pane Data'!Q$3,List!$E$2:$CD$2,0)),"")</f>
        <v/>
      </c>
      <c r="R166" s="13" t="str">
        <f>IF(R$4="Yes",INDEX(List!$E$2:$CD$173,MATCH('Selection Pane Data'!$B166,List!$E$2:$E$173,0),MATCH('Selection Pane Data'!R$3,List!$E$2:$CD$2,0)),"")</f>
        <v/>
      </c>
      <c r="S166" s="13" t="str">
        <f>IF(S$4="Yes",INDEX(List!$E$2:$CD$173,MATCH('Selection Pane Data'!$B166,List!$E$2:$E$173,0),MATCH('Selection Pane Data'!S$3,List!$E$2:$CD$2,0)),"")</f>
        <v/>
      </c>
      <c r="T166" s="13" t="str">
        <f>IF(T$4="Yes",INDEX(List!$E$2:$CD$173,MATCH('Selection Pane Data'!$B166,List!$E$2:$E$173,0),MATCH('Selection Pane Data'!T$3,List!$E$2:$CD$2,0)),"")</f>
        <v/>
      </c>
      <c r="U166" s="13" t="str">
        <f>IF(U$4="Yes",INDEX(List!$E$2:$CD$173,MATCH('Selection Pane Data'!$B166,List!$E$2:$E$173,0),MATCH('Selection Pane Data'!U$3,List!$E$2:$CD$2,0)),"")</f>
        <v/>
      </c>
      <c r="V166" s="13" t="str">
        <f>IF(V$4="Yes",INDEX(List!$E$2:$CD$173,MATCH('Selection Pane Data'!$B166,List!$E$2:$E$173,0),MATCH('Selection Pane Data'!V$3,List!$E$2:$CD$2,0)),"")</f>
        <v/>
      </c>
      <c r="W166" s="13" t="str">
        <f>IF(W$4="Yes",INDEX(List!$E$2:$CD$173,MATCH('Selection Pane Data'!$B166,List!$E$2:$E$173,0),MATCH('Selection Pane Data'!W$3,List!$E$2:$CD$2,0)),"")</f>
        <v/>
      </c>
      <c r="X166" s="13" t="str">
        <f>IF(X$4="Yes",INDEX(List!$E$2:$CD$173,MATCH('Selection Pane Data'!$B166,List!$E$2:$E$173,0),MATCH('Selection Pane Data'!X$3,List!$E$2:$CD$2,0)),"")</f>
        <v/>
      </c>
      <c r="Y166" s="13" t="str">
        <f>IF(Y$4="Yes",INDEX(List!$E$2:$CD$173,MATCH('Selection Pane Data'!$B166,List!$E$2:$E$173,0),MATCH('Selection Pane Data'!Y$3,List!$E$2:$CD$2,0)),"")</f>
        <v/>
      </c>
      <c r="Z166" s="13" t="str">
        <f>IF(Z$4="Yes",INDEX(List!$E$2:$CD$173,MATCH('Selection Pane Data'!$B166,List!$E$2:$E$173,0),MATCH('Selection Pane Data'!Z$3,List!$E$2:$CD$2,0)),"")</f>
        <v/>
      </c>
      <c r="AA166" s="13" t="str">
        <f>IF(AA$4="Yes",INDEX(List!$E$2:$CD$173,MATCH('Selection Pane Data'!$B166,List!$E$2:$E$173,0),MATCH('Selection Pane Data'!AA$3,List!$E$2:$CD$2,0)),"")</f>
        <v>N</v>
      </c>
      <c r="AB166" s="13" t="str">
        <f>IF(AB$4="Yes",INDEX(List!$E$2:$CD$173,MATCH('Selection Pane Data'!$B166,List!$E$2:$E$173,0),MATCH('Selection Pane Data'!AB$3,List!$E$2:$CD$2,0)),"")</f>
        <v/>
      </c>
      <c r="AC166" s="13" t="str">
        <f>IF(AC$4="Yes",INDEX(List!$E$2:$CD$173,MATCH('Selection Pane Data'!$B166,List!$E$2:$E$173,0),MATCH('Selection Pane Data'!AC$3,List!$E$2:$CD$2,0)),"")</f>
        <v/>
      </c>
      <c r="AD166" s="13" t="str">
        <f>IF(AD$4="Yes",INDEX(List!$E$2:$CD$173,MATCH('Selection Pane Data'!$B166,List!$E$2:$E$173,0),MATCH('Selection Pane Data'!AD$3,List!$E$2:$CD$2,0)),"")</f>
        <v/>
      </c>
      <c r="AE166" s="13" t="str">
        <f>IF(AE$4="Yes",INDEX(List!$E$2:$CD$173,MATCH('Selection Pane Data'!$B166,List!$E$2:$E$173,0),MATCH('Selection Pane Data'!AE$3,List!$E$2:$CD$2,0)),"")</f>
        <v/>
      </c>
      <c r="AF166" s="13" t="str">
        <f>IF(AF$4="Yes",INDEX(List!$E$2:$CD$173,MATCH('Selection Pane Data'!$B166,List!$E$2:$E$173,0),MATCH('Selection Pane Data'!AF$3,List!$E$2:$CD$2,0)),"")</f>
        <v/>
      </c>
      <c r="AG166" s="13" t="str">
        <f>IF(AG$4="Yes",INDEX(List!$E$2:$CD$173,MATCH('Selection Pane Data'!$B166,List!$E$2:$E$173,0),MATCH('Selection Pane Data'!AG$3,List!$E$2:$CD$2,0)),"")</f>
        <v/>
      </c>
      <c r="AH166" s="13" t="str">
        <f>IF(AH$4="Yes",INDEX(List!$E$2:$CD$173,MATCH('Selection Pane Data'!$B166,List!$E$2:$E$173,0),MATCH('Selection Pane Data'!AH$3,List!$E$2:$CD$2,0)),"")</f>
        <v/>
      </c>
      <c r="AI166" s="13" t="str">
        <f>IF(AI$4="Yes",INDEX(List!$E$2:$CD$173,MATCH('Selection Pane Data'!$B166,List!$E$2:$E$173,0),MATCH('Selection Pane Data'!AI$3,List!$E$2:$CD$2,0)),"")</f>
        <v/>
      </c>
      <c r="AJ166" s="13" t="str">
        <f>IF(AJ$4="Yes",INDEX(List!$E$2:$CD$173,MATCH('Selection Pane Data'!$B166,List!$E$2:$E$173,0),MATCH('Selection Pane Data'!AJ$3,List!$E$2:$CD$2,0)),"")</f>
        <v/>
      </c>
      <c r="AK166" s="13" t="str">
        <f>IF(AK$4="Yes",INDEX(List!$E$2:$CD$173,MATCH('Selection Pane Data'!$B166,List!$E$2:$E$173,0),MATCH('Selection Pane Data'!AK$3,List!$E$2:$CD$2,0)),"")</f>
        <v/>
      </c>
      <c r="AL166" s="13" t="str">
        <f>IF(AL$4="Yes",INDEX(List!$E$2:$CD$173,MATCH('Selection Pane Data'!$B166,List!$E$2:$E$173,0),MATCH('Selection Pane Data'!AL$3,List!$E$2:$CD$2,0)),"")</f>
        <v/>
      </c>
      <c r="AM166" s="13" t="str">
        <f>IF(AM$4="Yes",INDEX(List!$E$2:$CD$173,MATCH('Selection Pane Data'!$B166,List!$E$2:$E$173,0),MATCH('Selection Pane Data'!AM$3,List!$E$2:$CD$2,0)),"")</f>
        <v/>
      </c>
      <c r="AN166" s="13" t="str">
        <f>IF(AN$4="Yes",INDEX(List!$E$2:$CD$173,MATCH('Selection Pane Data'!$B166,List!$E$2:$E$173,0),MATCH('Selection Pane Data'!AN$3,List!$E$2:$CD$2,0)),"")</f>
        <v/>
      </c>
      <c r="AO166" s="13" t="str">
        <f>IF(AO$4="Yes",INDEX(List!$E$2:$CD$173,MATCH('Selection Pane Data'!$B166,List!$E$2:$E$173,0),MATCH('Selection Pane Data'!AO$3,List!$E$2:$CD$2,0)),"")</f>
        <v/>
      </c>
      <c r="AP166" s="13" t="str">
        <f>IF(AP$4="Yes",INDEX(List!$E$2:$CD$173,MATCH('Selection Pane Data'!$B166,List!$E$2:$E$173,0),MATCH('Selection Pane Data'!AP$3,List!$E$2:$CD$2,0)),"")</f>
        <v/>
      </c>
      <c r="AQ166" s="13" t="str">
        <f>IF(AQ$4="Yes",INDEX(List!$E$2:$CD$173,MATCH('Selection Pane Data'!$B166,List!$E$2:$E$173,0),MATCH('Selection Pane Data'!AQ$3,List!$E$2:$CD$2,0)),"")</f>
        <v/>
      </c>
      <c r="AR166" s="13" t="str">
        <f>IF(AR$4="Yes",INDEX(List!$E$2:$CD$173,MATCH('Selection Pane Data'!$B166,List!$E$2:$E$173,0),MATCH('Selection Pane Data'!AR$3,List!$E$2:$CD$2,0)),"")</f>
        <v/>
      </c>
      <c r="AS166" s="13" t="str">
        <f>IF(AS$4="Yes",INDEX(List!$E$2:$CD$173,MATCH('Selection Pane Data'!$B166,List!$E$2:$E$173,0),MATCH('Selection Pane Data'!AS$3,List!$E$2:$CD$2,0)),"")</f>
        <v/>
      </c>
      <c r="AT166" s="13" t="str">
        <f>IF(AT$4="Yes",INDEX(List!$E$2:$CD$173,MATCH('Selection Pane Data'!$B166,List!$E$2:$E$173,0),MATCH('Selection Pane Data'!AT$3,List!$E$2:$CD$2,0)),"")</f>
        <v/>
      </c>
      <c r="AU166" s="13" t="str">
        <f>IF(AU$4="Yes",INDEX(List!$E$2:$CD$173,MATCH('Selection Pane Data'!$B166,List!$E$2:$E$173,0),MATCH('Selection Pane Data'!AU$3,List!$E$2:$CD$2,0)),"")</f>
        <v/>
      </c>
      <c r="AV166" s="13" t="str">
        <f>IF(AV$4="Yes",INDEX(List!$E$2:$CD$173,MATCH('Selection Pane Data'!$B166,List!$E$2:$E$173,0),MATCH('Selection Pane Data'!AV$3,List!$E$2:$CD$2,0)),"")</f>
        <v/>
      </c>
      <c r="AW166" s="13" t="str">
        <f>IF(AW$4="Yes",INDEX(List!$E$2:$CD$173,MATCH('Selection Pane Data'!$B166,List!$E$2:$E$173,0),MATCH('Selection Pane Data'!AW$3,List!$E$2:$CD$2,0)),"")</f>
        <v/>
      </c>
      <c r="AX166" s="13" t="str">
        <f>IF(AX$4="Yes",INDEX(List!$E$2:$CD$173,MATCH('Selection Pane Data'!$B166,List!$E$2:$E$173,0),MATCH('Selection Pane Data'!AX$3,List!$E$2:$CD$2,0)),"")</f>
        <v/>
      </c>
      <c r="AY166" s="13" t="str">
        <f>IF(AY$4="Yes",INDEX(List!$E$2:$CD$173,MATCH('Selection Pane Data'!$B166,List!$E$2:$E$173,0),MATCH('Selection Pane Data'!AY$3,List!$E$2:$CD$2,0)),"")</f>
        <v/>
      </c>
      <c r="AZ166" s="13" t="str">
        <f>IF(AZ$4="Yes",INDEX(List!$E$2:$CD$173,MATCH('Selection Pane Data'!$B166,List!$E$2:$E$173,0),MATCH('Selection Pane Data'!AZ$3,List!$E$2:$CD$2,0)),"")</f>
        <v/>
      </c>
      <c r="BA166" s="13" t="str">
        <f>IF(BA$4="Yes",INDEX(List!$E$2:$CD$173,MATCH('Selection Pane Data'!$B166,List!$E$2:$E$173,0),MATCH('Selection Pane Data'!BA$3,List!$E$2:$CD$2,0)),"")</f>
        <v/>
      </c>
      <c r="BB166" s="13" t="str">
        <f>IF(BB$4="Yes",INDEX(List!$E$2:$CD$173,MATCH('Selection Pane Data'!$B166,List!$E$2:$E$173,0),MATCH('Selection Pane Data'!BB$3,List!$E$2:$CD$2,0)),"")</f>
        <v/>
      </c>
      <c r="BC166" s="13" t="str">
        <f>IF(BC$4="Yes",INDEX(List!$E$2:$CD$173,MATCH('Selection Pane Data'!$B166,List!$E$2:$E$173,0),MATCH('Selection Pane Data'!BC$3,List!$E$2:$CD$2,0)),"")</f>
        <v/>
      </c>
      <c r="BD166" s="13" t="str">
        <f>IF(BD$4="Yes",INDEX(List!$E$2:$CD$173,MATCH('Selection Pane Data'!$B166,List!$E$2:$E$173,0),MATCH('Selection Pane Data'!BD$3,List!$E$2:$CD$2,0)),"")</f>
        <v/>
      </c>
      <c r="BE166" s="13" t="str">
        <f>IF(BE$4="Yes",INDEX(List!$E$2:$CD$173,MATCH('Selection Pane Data'!$B166,List!$E$2:$E$173,0),MATCH('Selection Pane Data'!BE$3,List!$E$2:$CD$2,0)),"")</f>
        <v/>
      </c>
      <c r="BF166" s="13" t="str">
        <f>IF(BF$4="Yes",INDEX(List!$E$2:$CD$173,MATCH('Selection Pane Data'!$B166,List!$E$2:$E$173,0),MATCH('Selection Pane Data'!BF$3,List!$E$2:$CD$2,0)),"")</f>
        <v/>
      </c>
      <c r="BG166" s="13" t="str">
        <f>IF(BG$4="Yes",INDEX(List!$E$2:$CD$173,MATCH('Selection Pane Data'!$B166,List!$E$2:$E$173,0),MATCH('Selection Pane Data'!BG$3,List!$E$2:$CD$2,0)),"")</f>
        <v/>
      </c>
      <c r="BH166" s="13" t="str">
        <f>IF(BH$4="Yes",INDEX(List!$E$2:$CD$173,MATCH('Selection Pane Data'!$B166,List!$E$2:$E$173,0),MATCH('Selection Pane Data'!BH$3,List!$E$2:$CD$2,0)),"")</f>
        <v/>
      </c>
      <c r="BI166" s="13" t="str">
        <f>IF(BI$4="Yes",INDEX(List!$E$2:$CD$173,MATCH('Selection Pane Data'!$B166,List!$E$2:$E$173,0),MATCH('Selection Pane Data'!BI$3,List!$E$2:$CD$2,0)),"")</f>
        <v/>
      </c>
      <c r="BJ166" s="13" t="str">
        <f>IF(BJ$4="Yes",INDEX(List!$E$2:$CD$173,MATCH('Selection Pane Data'!$B166,List!$E$2:$E$173,0),MATCH('Selection Pane Data'!BJ$3,List!$E$2:$CD$2,0)),"")</f>
        <v/>
      </c>
      <c r="BK166" s="13" t="str">
        <f>IF(BK$4="Yes",INDEX(List!$E$2:$CD$173,MATCH('Selection Pane Data'!$B166,List!$E$2:$E$173,0),MATCH('Selection Pane Data'!BK$3,List!$E$2:$CD$2,0)),"")</f>
        <v/>
      </c>
      <c r="BL166" s="13" t="str">
        <f>IF(BL$4="Yes",INDEX(List!$E$2:$CD$173,MATCH('Selection Pane Data'!$B166,List!$E$2:$E$173,0),MATCH('Selection Pane Data'!BL$3,List!$E$2:$CD$2,0)),"")</f>
        <v/>
      </c>
      <c r="BM166" s="13" t="str">
        <f>IF(BM$4="Yes",INDEX(List!$E$2:$CD$173,MATCH('Selection Pane Data'!$B166,List!$E$2:$E$173,0),MATCH('Selection Pane Data'!BM$3,List!$E$2:$CD$2,0)),"")</f>
        <v/>
      </c>
      <c r="BN166" s="13" t="str">
        <f>IF(BN$4="Yes",INDEX(List!$E$2:$CD$173,MATCH('Selection Pane Data'!$B166,List!$E$2:$E$173,0),MATCH('Selection Pane Data'!BN$3,List!$E$2:$CD$2,0)),"")</f>
        <v/>
      </c>
      <c r="BO166" s="13" t="str">
        <f>IF(BO$4="Yes",INDEX(List!$E$2:$CD$173,MATCH('Selection Pane Data'!$B166,List!$E$2:$E$173,0),MATCH('Selection Pane Data'!BO$3,List!$E$2:$CD$2,0)),"")</f>
        <v/>
      </c>
      <c r="BP166" s="13" t="str">
        <f>IF(BP$4="Yes",INDEX(List!$E$2:$CD$173,MATCH('Selection Pane Data'!$B166,List!$E$2:$E$173,0),MATCH('Selection Pane Data'!BP$3,List!$E$2:$CD$2,0)),"")</f>
        <v/>
      </c>
      <c r="BQ166" s="13" t="str">
        <f>IF(BQ$4="Yes",INDEX(List!$E$2:$CD$173,MATCH('Selection Pane Data'!$B166,List!$E$2:$E$173,0),MATCH('Selection Pane Data'!BQ$3,List!$E$2:$CD$2,0)),"")</f>
        <v/>
      </c>
      <c r="BR166" s="13" t="str">
        <f>IF(BR$4="Yes",INDEX(List!$E$2:$CD$173,MATCH('Selection Pane Data'!$B166,List!$E$2:$E$173,0),MATCH('Selection Pane Data'!BR$3,List!$E$2:$CD$2,0)),"")</f>
        <v/>
      </c>
      <c r="BS166" s="13" t="str">
        <f>IF(BS$4="Yes",INDEX(List!$E$2:$CD$173,MATCH('Selection Pane Data'!$B166,List!$E$2:$E$173,0),MATCH('Selection Pane Data'!BS$3,List!$E$2:$CD$2,0)),"")</f>
        <v/>
      </c>
      <c r="BT166" s="13" t="str">
        <f>IF(BT$4="Yes",INDEX(List!$E$2:$CD$173,MATCH('Selection Pane Data'!$B166,List!$E$2:$E$173,0),MATCH('Selection Pane Data'!BT$3,List!$E$2:$CD$2,0)),"")</f>
        <v/>
      </c>
      <c r="BU166" s="13" t="str">
        <f>IF(BU$4="Yes",INDEX(List!$E$2:$CD$173,MATCH('Selection Pane Data'!$B166,List!$E$2:$E$173,0),MATCH('Selection Pane Data'!BU$3,List!$E$2:$CD$2,0)),"")</f>
        <v/>
      </c>
      <c r="BV166" s="13" t="str">
        <f>IF(BV$4="Yes",INDEX(List!$E$2:$CD$173,MATCH('Selection Pane Data'!$B166,List!$E$2:$E$173,0),MATCH('Selection Pane Data'!BV$3,List!$E$2:$CD$2,0)),"")</f>
        <v/>
      </c>
      <c r="BW166" s="13" t="str">
        <f>IF(BW$4="Yes",INDEX(List!$E$2:$CD$173,MATCH('Selection Pane Data'!$B166,List!$E$2:$E$173,0),MATCH('Selection Pane Data'!BW$3,List!$E$2:$CD$2,0)),"")</f>
        <v/>
      </c>
      <c r="BX166" s="13" t="str">
        <f>IF(BX$4="Yes",INDEX(List!$E$2:$CD$173,MATCH('Selection Pane Data'!$B166,List!$E$2:$E$173,0),MATCH('Selection Pane Data'!BX$3,List!$E$2:$CD$2,0)),"")</f>
        <v/>
      </c>
      <c r="BY166" s="13" t="str">
        <f>IF(BY$4="Yes",INDEX(List!$E$2:$CD$173,MATCH('Selection Pane Data'!$B166,List!$E$2:$E$173,0),MATCH('Selection Pane Data'!BY$3,List!$E$2:$CD$2,0)),"")</f>
        <v/>
      </c>
      <c r="BZ166" s="13" t="str">
        <f>IF(BZ$4="Yes",INDEX(List!$E$2:$CD$173,MATCH('Selection Pane Data'!$B166,List!$E$2:$E$173,0),MATCH('Selection Pane Data'!BZ$3,List!$E$2:$CD$2,0)),"")</f>
        <v/>
      </c>
      <c r="CA166" s="13" t="str">
        <f>IF(CA$4="Yes",INDEX(List!$E$2:$CD$173,MATCH('Selection Pane Data'!$B166,List!$E$2:$E$173,0),MATCH('Selection Pane Data'!CA$3,List!$E$2:$CD$2,0)),"")</f>
        <v/>
      </c>
      <c r="CB166" s="13" t="str">
        <f>IF(CB$4="Yes",INDEX(List!$E$2:$CD$173,MATCH('Selection Pane Data'!$B166,List!$E$2:$E$173,0),MATCH('Selection Pane Data'!CB$3,List!$E$2:$CD$2,0)),"")</f>
        <v/>
      </c>
      <c r="CC166" s="13" t="str">
        <f>IF(CC$4="Yes",INDEX(List!$E$2:$CD$173,MATCH('Selection Pane Data'!$B166,List!$E$2:$E$173,0),MATCH('Selection Pane Data'!CC$3,List!$E$2:$CD$2,0)),"")</f>
        <v/>
      </c>
      <c r="CD166" s="13" t="str">
        <f>IF(CD$4="Yes",INDEX(List!$E$2:$CD$173,MATCH('Selection Pane Data'!$B166,List!$E$2:$E$173,0),MATCH('Selection Pane Data'!CD$3,List!$E$2:$CD$2,0)),"")</f>
        <v/>
      </c>
      <c r="CE166" s="13" t="str">
        <f>IF(CE$4="Yes",INDEX(List!$E$2:$CD$173,MATCH('Selection Pane Data'!$B166,List!$E$2:$E$173,0),MATCH('Selection Pane Data'!CE$3,List!$E$2:$CD$2,0)),"")</f>
        <v/>
      </c>
    </row>
    <row r="167" spans="2:83" x14ac:dyDescent="0.35">
      <c r="B167" s="21" t="s">
        <v>454</v>
      </c>
      <c r="C167" s="126" t="str">
        <f>VLOOKUP(B167,List!$E$2:$G$173,2,FALSE)</f>
        <v>SI.L2-3.14.3</v>
      </c>
      <c r="D167" s="31" t="str">
        <f>List!G165</f>
        <v>Customer Responsibility</v>
      </c>
      <c r="E167" s="31" t="str">
        <f>IF(Placemat!$F$4="All Practices","All Practices",IF(VLOOKUP(B167,Table7[#All],6,FALSE)="No Mapping","New CMMC Practices","Practices with NIST 800-171 Mappings"))</f>
        <v>Practices with NIST 800-171 Mappings</v>
      </c>
      <c r="F167" t="str">
        <f>INDEX('CMMC Levels'!$A$1:$F$172,MATCH('Selection Pane Data'!$C167,'CMMC Levels'!$A$1:$A$172,0),MATCH(Placemat!$F$4,'CMMC Levels'!$A$1:$F$1,0))</f>
        <v>X</v>
      </c>
      <c r="G167" s="77" t="str">
        <f>IF((COUNTIF(List!H165:CE165,"P")+COUNTIF(List!H165:CE165,"S"))=0,"N",IF(COUNTIF(H167:CE167,"P"),"P",IF(COUNTIF(H167:CE167,"S"),"S","U")))</f>
        <v>U</v>
      </c>
      <c r="H167" s="13" t="str">
        <f>IF(H$4="Yes",INDEX(List!$E$2:$CD$173,MATCH('Selection Pane Data'!$B167,List!$E$2:$E$173,0),MATCH('Selection Pane Data'!H$3,List!$E$2:$CD$2,0)),"")</f>
        <v/>
      </c>
      <c r="I167" s="13" t="str">
        <f>IF(I$4="Yes",INDEX(List!$E$2:$CD$173,MATCH('Selection Pane Data'!$B167,List!$E$2:$E$173,0),MATCH('Selection Pane Data'!I$3,List!$E$2:$CD$2,0)),"")</f>
        <v/>
      </c>
      <c r="J167" s="13" t="str">
        <f>IF(J$4="Yes",INDEX(List!$E$2:$CD$173,MATCH('Selection Pane Data'!$B167,List!$E$2:$E$173,0),MATCH('Selection Pane Data'!J$3,List!$E$2:$CD$2,0)),"")</f>
        <v>N</v>
      </c>
      <c r="K167" s="13" t="str">
        <f>IF(K$4="Yes",INDEX(List!$E$2:$CD$173,MATCH('Selection Pane Data'!$B167,List!$E$2:$E$173,0),MATCH('Selection Pane Data'!K$3,List!$E$2:$CD$2,0)),"")</f>
        <v/>
      </c>
      <c r="L167" s="13" t="str">
        <f>IF(L$4="Yes",INDEX(List!$E$2:$CD$173,MATCH('Selection Pane Data'!$B167,List!$E$2:$E$173,0),MATCH('Selection Pane Data'!L$3,List!$E$2:$CD$2,0)),"")</f>
        <v/>
      </c>
      <c r="M167" s="13" t="str">
        <f>IF(M$4="Yes",INDEX(List!$E$2:$CD$173,MATCH('Selection Pane Data'!$B167,List!$E$2:$E$173,0),MATCH('Selection Pane Data'!M$3,List!$E$2:$CD$2,0)),"")</f>
        <v/>
      </c>
      <c r="N167" s="13" t="str">
        <f>IF(N$4="Yes",INDEX(List!$E$2:$CD$173,MATCH('Selection Pane Data'!$B167,List!$E$2:$E$173,0),MATCH('Selection Pane Data'!N$3,List!$E$2:$CD$2,0)),"")</f>
        <v/>
      </c>
      <c r="O167" s="13" t="str">
        <f>IF(O$4="Yes",INDEX(List!$E$2:$CD$173,MATCH('Selection Pane Data'!$B167,List!$E$2:$E$173,0),MATCH('Selection Pane Data'!O$3,List!$E$2:$CD$2,0)),"")</f>
        <v/>
      </c>
      <c r="P167" s="13" t="str">
        <f>IF(P$4="Yes",INDEX(List!$E$2:$CD$173,MATCH('Selection Pane Data'!$B167,List!$E$2:$E$173,0),MATCH('Selection Pane Data'!P$3,List!$E$2:$CD$2,0)),"")</f>
        <v/>
      </c>
      <c r="Q167" s="13" t="str">
        <f>IF(Q$4="Yes",INDEX(List!$E$2:$CD$173,MATCH('Selection Pane Data'!$B167,List!$E$2:$E$173,0),MATCH('Selection Pane Data'!Q$3,List!$E$2:$CD$2,0)),"")</f>
        <v/>
      </c>
      <c r="R167" s="13" t="str">
        <f>IF(R$4="Yes",INDEX(List!$E$2:$CD$173,MATCH('Selection Pane Data'!$B167,List!$E$2:$E$173,0),MATCH('Selection Pane Data'!R$3,List!$E$2:$CD$2,0)),"")</f>
        <v/>
      </c>
      <c r="S167" s="13" t="str">
        <f>IF(S$4="Yes",INDEX(List!$E$2:$CD$173,MATCH('Selection Pane Data'!$B167,List!$E$2:$E$173,0),MATCH('Selection Pane Data'!S$3,List!$E$2:$CD$2,0)),"")</f>
        <v/>
      </c>
      <c r="T167" s="13" t="str">
        <f>IF(T$4="Yes",INDEX(List!$E$2:$CD$173,MATCH('Selection Pane Data'!$B167,List!$E$2:$E$173,0),MATCH('Selection Pane Data'!T$3,List!$E$2:$CD$2,0)),"")</f>
        <v/>
      </c>
      <c r="U167" s="13" t="str">
        <f>IF(U$4="Yes",INDEX(List!$E$2:$CD$173,MATCH('Selection Pane Data'!$B167,List!$E$2:$E$173,0),MATCH('Selection Pane Data'!U$3,List!$E$2:$CD$2,0)),"")</f>
        <v/>
      </c>
      <c r="V167" s="13" t="str">
        <f>IF(V$4="Yes",INDEX(List!$E$2:$CD$173,MATCH('Selection Pane Data'!$B167,List!$E$2:$E$173,0),MATCH('Selection Pane Data'!V$3,List!$E$2:$CD$2,0)),"")</f>
        <v/>
      </c>
      <c r="W167" s="13" t="str">
        <f>IF(W$4="Yes",INDEX(List!$E$2:$CD$173,MATCH('Selection Pane Data'!$B167,List!$E$2:$E$173,0),MATCH('Selection Pane Data'!W$3,List!$E$2:$CD$2,0)),"")</f>
        <v/>
      </c>
      <c r="X167" s="13" t="str">
        <f>IF(X$4="Yes",INDEX(List!$E$2:$CD$173,MATCH('Selection Pane Data'!$B167,List!$E$2:$E$173,0),MATCH('Selection Pane Data'!X$3,List!$E$2:$CD$2,0)),"")</f>
        <v/>
      </c>
      <c r="Y167" s="13" t="str">
        <f>IF(Y$4="Yes",INDEX(List!$E$2:$CD$173,MATCH('Selection Pane Data'!$B167,List!$E$2:$E$173,0),MATCH('Selection Pane Data'!Y$3,List!$E$2:$CD$2,0)),"")</f>
        <v/>
      </c>
      <c r="Z167" s="13" t="str">
        <f>IF(Z$4="Yes",INDEX(List!$E$2:$CD$173,MATCH('Selection Pane Data'!$B167,List!$E$2:$E$173,0),MATCH('Selection Pane Data'!Z$3,List!$E$2:$CD$2,0)),"")</f>
        <v/>
      </c>
      <c r="AA167" s="13" t="str">
        <f>IF(AA$4="Yes",INDEX(List!$E$2:$CD$173,MATCH('Selection Pane Data'!$B167,List!$E$2:$E$173,0),MATCH('Selection Pane Data'!AA$3,List!$E$2:$CD$2,0)),"")</f>
        <v>N</v>
      </c>
      <c r="AB167" s="13" t="str">
        <f>IF(AB$4="Yes",INDEX(List!$E$2:$CD$173,MATCH('Selection Pane Data'!$B167,List!$E$2:$E$173,0),MATCH('Selection Pane Data'!AB$3,List!$E$2:$CD$2,0)),"")</f>
        <v/>
      </c>
      <c r="AC167" s="13" t="str">
        <f>IF(AC$4="Yes",INDEX(List!$E$2:$CD$173,MATCH('Selection Pane Data'!$B167,List!$E$2:$E$173,0),MATCH('Selection Pane Data'!AC$3,List!$E$2:$CD$2,0)),"")</f>
        <v/>
      </c>
      <c r="AD167" s="13" t="str">
        <f>IF(AD$4="Yes",INDEX(List!$E$2:$CD$173,MATCH('Selection Pane Data'!$B167,List!$E$2:$E$173,0),MATCH('Selection Pane Data'!AD$3,List!$E$2:$CD$2,0)),"")</f>
        <v/>
      </c>
      <c r="AE167" s="13" t="str">
        <f>IF(AE$4="Yes",INDEX(List!$E$2:$CD$173,MATCH('Selection Pane Data'!$B167,List!$E$2:$E$173,0),MATCH('Selection Pane Data'!AE$3,List!$E$2:$CD$2,0)),"")</f>
        <v/>
      </c>
      <c r="AF167" s="13" t="str">
        <f>IF(AF$4="Yes",INDEX(List!$E$2:$CD$173,MATCH('Selection Pane Data'!$B167,List!$E$2:$E$173,0),MATCH('Selection Pane Data'!AF$3,List!$E$2:$CD$2,0)),"")</f>
        <v/>
      </c>
      <c r="AG167" s="13" t="str">
        <f>IF(AG$4="Yes",INDEX(List!$E$2:$CD$173,MATCH('Selection Pane Data'!$B167,List!$E$2:$E$173,0),MATCH('Selection Pane Data'!AG$3,List!$E$2:$CD$2,0)),"")</f>
        <v/>
      </c>
      <c r="AH167" s="13" t="str">
        <f>IF(AH$4="Yes",INDEX(List!$E$2:$CD$173,MATCH('Selection Pane Data'!$B167,List!$E$2:$E$173,0),MATCH('Selection Pane Data'!AH$3,List!$E$2:$CD$2,0)),"")</f>
        <v/>
      </c>
      <c r="AI167" s="13" t="str">
        <f>IF(AI$4="Yes",INDEX(List!$E$2:$CD$173,MATCH('Selection Pane Data'!$B167,List!$E$2:$E$173,0),MATCH('Selection Pane Data'!AI$3,List!$E$2:$CD$2,0)),"")</f>
        <v/>
      </c>
      <c r="AJ167" s="13" t="str">
        <f>IF(AJ$4="Yes",INDEX(List!$E$2:$CD$173,MATCH('Selection Pane Data'!$B167,List!$E$2:$E$173,0),MATCH('Selection Pane Data'!AJ$3,List!$E$2:$CD$2,0)),"")</f>
        <v/>
      </c>
      <c r="AK167" s="13" t="str">
        <f>IF(AK$4="Yes",INDEX(List!$E$2:$CD$173,MATCH('Selection Pane Data'!$B167,List!$E$2:$E$173,0),MATCH('Selection Pane Data'!AK$3,List!$E$2:$CD$2,0)),"")</f>
        <v/>
      </c>
      <c r="AL167" s="13" t="str">
        <f>IF(AL$4="Yes",INDEX(List!$E$2:$CD$173,MATCH('Selection Pane Data'!$B167,List!$E$2:$E$173,0),MATCH('Selection Pane Data'!AL$3,List!$E$2:$CD$2,0)),"")</f>
        <v/>
      </c>
      <c r="AM167" s="13" t="str">
        <f>IF(AM$4="Yes",INDEX(List!$E$2:$CD$173,MATCH('Selection Pane Data'!$B167,List!$E$2:$E$173,0),MATCH('Selection Pane Data'!AM$3,List!$E$2:$CD$2,0)),"")</f>
        <v/>
      </c>
      <c r="AN167" s="13" t="str">
        <f>IF(AN$4="Yes",INDEX(List!$E$2:$CD$173,MATCH('Selection Pane Data'!$B167,List!$E$2:$E$173,0),MATCH('Selection Pane Data'!AN$3,List!$E$2:$CD$2,0)),"")</f>
        <v/>
      </c>
      <c r="AO167" s="13" t="str">
        <f>IF(AO$4="Yes",INDEX(List!$E$2:$CD$173,MATCH('Selection Pane Data'!$B167,List!$E$2:$E$173,0),MATCH('Selection Pane Data'!AO$3,List!$E$2:$CD$2,0)),"")</f>
        <v/>
      </c>
      <c r="AP167" s="13" t="str">
        <f>IF(AP$4="Yes",INDEX(List!$E$2:$CD$173,MATCH('Selection Pane Data'!$B167,List!$E$2:$E$173,0),MATCH('Selection Pane Data'!AP$3,List!$E$2:$CD$2,0)),"")</f>
        <v/>
      </c>
      <c r="AQ167" s="13" t="str">
        <f>IF(AQ$4="Yes",INDEX(List!$E$2:$CD$173,MATCH('Selection Pane Data'!$B167,List!$E$2:$E$173,0),MATCH('Selection Pane Data'!AQ$3,List!$E$2:$CD$2,0)),"")</f>
        <v/>
      </c>
      <c r="AR167" s="13" t="str">
        <f>IF(AR$4="Yes",INDEX(List!$E$2:$CD$173,MATCH('Selection Pane Data'!$B167,List!$E$2:$E$173,0),MATCH('Selection Pane Data'!AR$3,List!$E$2:$CD$2,0)),"")</f>
        <v/>
      </c>
      <c r="AS167" s="13" t="str">
        <f>IF(AS$4="Yes",INDEX(List!$E$2:$CD$173,MATCH('Selection Pane Data'!$B167,List!$E$2:$E$173,0),MATCH('Selection Pane Data'!AS$3,List!$E$2:$CD$2,0)),"")</f>
        <v/>
      </c>
      <c r="AT167" s="13" t="str">
        <f>IF(AT$4="Yes",INDEX(List!$E$2:$CD$173,MATCH('Selection Pane Data'!$B167,List!$E$2:$E$173,0),MATCH('Selection Pane Data'!AT$3,List!$E$2:$CD$2,0)),"")</f>
        <v/>
      </c>
      <c r="AU167" s="13" t="str">
        <f>IF(AU$4="Yes",INDEX(List!$E$2:$CD$173,MATCH('Selection Pane Data'!$B167,List!$E$2:$E$173,0),MATCH('Selection Pane Data'!AU$3,List!$E$2:$CD$2,0)),"")</f>
        <v/>
      </c>
      <c r="AV167" s="13" t="str">
        <f>IF(AV$4="Yes",INDEX(List!$E$2:$CD$173,MATCH('Selection Pane Data'!$B167,List!$E$2:$E$173,0),MATCH('Selection Pane Data'!AV$3,List!$E$2:$CD$2,0)),"")</f>
        <v/>
      </c>
      <c r="AW167" s="13" t="str">
        <f>IF(AW$4="Yes",INDEX(List!$E$2:$CD$173,MATCH('Selection Pane Data'!$B167,List!$E$2:$E$173,0),MATCH('Selection Pane Data'!AW$3,List!$E$2:$CD$2,0)),"")</f>
        <v/>
      </c>
      <c r="AX167" s="13" t="str">
        <f>IF(AX$4="Yes",INDEX(List!$E$2:$CD$173,MATCH('Selection Pane Data'!$B167,List!$E$2:$E$173,0),MATCH('Selection Pane Data'!AX$3,List!$E$2:$CD$2,0)),"")</f>
        <v/>
      </c>
      <c r="AY167" s="13" t="str">
        <f>IF(AY$4="Yes",INDEX(List!$E$2:$CD$173,MATCH('Selection Pane Data'!$B167,List!$E$2:$E$173,0),MATCH('Selection Pane Data'!AY$3,List!$E$2:$CD$2,0)),"")</f>
        <v/>
      </c>
      <c r="AZ167" s="13" t="str">
        <f>IF(AZ$4="Yes",INDEX(List!$E$2:$CD$173,MATCH('Selection Pane Data'!$B167,List!$E$2:$E$173,0),MATCH('Selection Pane Data'!AZ$3,List!$E$2:$CD$2,0)),"")</f>
        <v/>
      </c>
      <c r="BA167" s="13" t="str">
        <f>IF(BA$4="Yes",INDEX(List!$E$2:$CD$173,MATCH('Selection Pane Data'!$B167,List!$E$2:$E$173,0),MATCH('Selection Pane Data'!BA$3,List!$E$2:$CD$2,0)),"")</f>
        <v/>
      </c>
      <c r="BB167" s="13" t="str">
        <f>IF(BB$4="Yes",INDEX(List!$E$2:$CD$173,MATCH('Selection Pane Data'!$B167,List!$E$2:$E$173,0),MATCH('Selection Pane Data'!BB$3,List!$E$2:$CD$2,0)),"")</f>
        <v/>
      </c>
      <c r="BC167" s="13" t="str">
        <f>IF(BC$4="Yes",INDEX(List!$E$2:$CD$173,MATCH('Selection Pane Data'!$B167,List!$E$2:$E$173,0),MATCH('Selection Pane Data'!BC$3,List!$E$2:$CD$2,0)),"")</f>
        <v/>
      </c>
      <c r="BD167" s="13" t="str">
        <f>IF(BD$4="Yes",INDEX(List!$E$2:$CD$173,MATCH('Selection Pane Data'!$B167,List!$E$2:$E$173,0),MATCH('Selection Pane Data'!BD$3,List!$E$2:$CD$2,0)),"")</f>
        <v/>
      </c>
      <c r="BE167" s="13" t="str">
        <f>IF(BE$4="Yes",INDEX(List!$E$2:$CD$173,MATCH('Selection Pane Data'!$B167,List!$E$2:$E$173,0),MATCH('Selection Pane Data'!BE$3,List!$E$2:$CD$2,0)),"")</f>
        <v/>
      </c>
      <c r="BF167" s="13" t="str">
        <f>IF(BF$4="Yes",INDEX(List!$E$2:$CD$173,MATCH('Selection Pane Data'!$B167,List!$E$2:$E$173,0),MATCH('Selection Pane Data'!BF$3,List!$E$2:$CD$2,0)),"")</f>
        <v/>
      </c>
      <c r="BG167" s="13" t="str">
        <f>IF(BG$4="Yes",INDEX(List!$E$2:$CD$173,MATCH('Selection Pane Data'!$B167,List!$E$2:$E$173,0),MATCH('Selection Pane Data'!BG$3,List!$E$2:$CD$2,0)),"")</f>
        <v/>
      </c>
      <c r="BH167" s="13" t="str">
        <f>IF(BH$4="Yes",INDEX(List!$E$2:$CD$173,MATCH('Selection Pane Data'!$B167,List!$E$2:$E$173,0),MATCH('Selection Pane Data'!BH$3,List!$E$2:$CD$2,0)),"")</f>
        <v/>
      </c>
      <c r="BI167" s="13" t="str">
        <f>IF(BI$4="Yes",INDEX(List!$E$2:$CD$173,MATCH('Selection Pane Data'!$B167,List!$E$2:$E$173,0),MATCH('Selection Pane Data'!BI$3,List!$E$2:$CD$2,0)),"")</f>
        <v/>
      </c>
      <c r="BJ167" s="13" t="str">
        <f>IF(BJ$4="Yes",INDEX(List!$E$2:$CD$173,MATCH('Selection Pane Data'!$B167,List!$E$2:$E$173,0),MATCH('Selection Pane Data'!BJ$3,List!$E$2:$CD$2,0)),"")</f>
        <v/>
      </c>
      <c r="BK167" s="13" t="str">
        <f>IF(BK$4="Yes",INDEX(List!$E$2:$CD$173,MATCH('Selection Pane Data'!$B167,List!$E$2:$E$173,0),MATCH('Selection Pane Data'!BK$3,List!$E$2:$CD$2,0)),"")</f>
        <v/>
      </c>
      <c r="BL167" s="13" t="str">
        <f>IF(BL$4="Yes",INDEX(List!$E$2:$CD$173,MATCH('Selection Pane Data'!$B167,List!$E$2:$E$173,0),MATCH('Selection Pane Data'!BL$3,List!$E$2:$CD$2,0)),"")</f>
        <v/>
      </c>
      <c r="BM167" s="13" t="str">
        <f>IF(BM$4="Yes",INDEX(List!$E$2:$CD$173,MATCH('Selection Pane Data'!$B167,List!$E$2:$E$173,0),MATCH('Selection Pane Data'!BM$3,List!$E$2:$CD$2,0)),"")</f>
        <v/>
      </c>
      <c r="BN167" s="13" t="str">
        <f>IF(BN$4="Yes",INDEX(List!$E$2:$CD$173,MATCH('Selection Pane Data'!$B167,List!$E$2:$E$173,0),MATCH('Selection Pane Data'!BN$3,List!$E$2:$CD$2,0)),"")</f>
        <v/>
      </c>
      <c r="BO167" s="13" t="str">
        <f>IF(BO$4="Yes",INDEX(List!$E$2:$CD$173,MATCH('Selection Pane Data'!$B167,List!$E$2:$E$173,0),MATCH('Selection Pane Data'!BO$3,List!$E$2:$CD$2,0)),"")</f>
        <v/>
      </c>
      <c r="BP167" s="13" t="str">
        <f>IF(BP$4="Yes",INDEX(List!$E$2:$CD$173,MATCH('Selection Pane Data'!$B167,List!$E$2:$E$173,0),MATCH('Selection Pane Data'!BP$3,List!$E$2:$CD$2,0)),"")</f>
        <v/>
      </c>
      <c r="BQ167" s="13" t="str">
        <f>IF(BQ$4="Yes",INDEX(List!$E$2:$CD$173,MATCH('Selection Pane Data'!$B167,List!$E$2:$E$173,0),MATCH('Selection Pane Data'!BQ$3,List!$E$2:$CD$2,0)),"")</f>
        <v/>
      </c>
      <c r="BR167" s="13" t="str">
        <f>IF(BR$4="Yes",INDEX(List!$E$2:$CD$173,MATCH('Selection Pane Data'!$B167,List!$E$2:$E$173,0),MATCH('Selection Pane Data'!BR$3,List!$E$2:$CD$2,0)),"")</f>
        <v/>
      </c>
      <c r="BS167" s="13" t="str">
        <f>IF(BS$4="Yes",INDEX(List!$E$2:$CD$173,MATCH('Selection Pane Data'!$B167,List!$E$2:$E$173,0),MATCH('Selection Pane Data'!BS$3,List!$E$2:$CD$2,0)),"")</f>
        <v/>
      </c>
      <c r="BT167" s="13" t="str">
        <f>IF(BT$4="Yes",INDEX(List!$E$2:$CD$173,MATCH('Selection Pane Data'!$B167,List!$E$2:$E$173,0),MATCH('Selection Pane Data'!BT$3,List!$E$2:$CD$2,0)),"")</f>
        <v/>
      </c>
      <c r="BU167" s="13" t="str">
        <f>IF(BU$4="Yes",INDEX(List!$E$2:$CD$173,MATCH('Selection Pane Data'!$B167,List!$E$2:$E$173,0),MATCH('Selection Pane Data'!BU$3,List!$E$2:$CD$2,0)),"")</f>
        <v/>
      </c>
      <c r="BV167" s="13" t="str">
        <f>IF(BV$4="Yes",INDEX(List!$E$2:$CD$173,MATCH('Selection Pane Data'!$B167,List!$E$2:$E$173,0),MATCH('Selection Pane Data'!BV$3,List!$E$2:$CD$2,0)),"")</f>
        <v/>
      </c>
      <c r="BW167" s="13" t="str">
        <f>IF(BW$4="Yes",INDEX(List!$E$2:$CD$173,MATCH('Selection Pane Data'!$B167,List!$E$2:$E$173,0),MATCH('Selection Pane Data'!BW$3,List!$E$2:$CD$2,0)),"")</f>
        <v/>
      </c>
      <c r="BX167" s="13" t="str">
        <f>IF(BX$4="Yes",INDEX(List!$E$2:$CD$173,MATCH('Selection Pane Data'!$B167,List!$E$2:$E$173,0),MATCH('Selection Pane Data'!BX$3,List!$E$2:$CD$2,0)),"")</f>
        <v/>
      </c>
      <c r="BY167" s="13" t="str">
        <f>IF(BY$4="Yes",INDEX(List!$E$2:$CD$173,MATCH('Selection Pane Data'!$B167,List!$E$2:$E$173,0),MATCH('Selection Pane Data'!BY$3,List!$E$2:$CD$2,0)),"")</f>
        <v/>
      </c>
      <c r="BZ167" s="13" t="str">
        <f>IF(BZ$4="Yes",INDEX(List!$E$2:$CD$173,MATCH('Selection Pane Data'!$B167,List!$E$2:$E$173,0),MATCH('Selection Pane Data'!BZ$3,List!$E$2:$CD$2,0)),"")</f>
        <v/>
      </c>
      <c r="CA167" s="13" t="str">
        <f>IF(CA$4="Yes",INDEX(List!$E$2:$CD$173,MATCH('Selection Pane Data'!$B167,List!$E$2:$E$173,0),MATCH('Selection Pane Data'!CA$3,List!$E$2:$CD$2,0)),"")</f>
        <v/>
      </c>
      <c r="CB167" s="13" t="str">
        <f>IF(CB$4="Yes",INDEX(List!$E$2:$CD$173,MATCH('Selection Pane Data'!$B167,List!$E$2:$E$173,0),MATCH('Selection Pane Data'!CB$3,List!$E$2:$CD$2,0)),"")</f>
        <v/>
      </c>
      <c r="CC167" s="13" t="str">
        <f>IF(CC$4="Yes",INDEX(List!$E$2:$CD$173,MATCH('Selection Pane Data'!$B167,List!$E$2:$E$173,0),MATCH('Selection Pane Data'!CC$3,List!$E$2:$CD$2,0)),"")</f>
        <v/>
      </c>
      <c r="CD167" s="13" t="str">
        <f>IF(CD$4="Yes",INDEX(List!$E$2:$CD$173,MATCH('Selection Pane Data'!$B167,List!$E$2:$E$173,0),MATCH('Selection Pane Data'!CD$3,List!$E$2:$CD$2,0)),"")</f>
        <v/>
      </c>
      <c r="CE167" s="13" t="str">
        <f>IF(CE$4="Yes",INDEX(List!$E$2:$CD$173,MATCH('Selection Pane Data'!$B167,List!$E$2:$E$173,0),MATCH('Selection Pane Data'!CE$3,List!$E$2:$CD$2,0)),"")</f>
        <v/>
      </c>
    </row>
    <row r="168" spans="2:83" x14ac:dyDescent="0.35">
      <c r="B168" s="21" t="s">
        <v>455</v>
      </c>
      <c r="C168" s="126" t="str">
        <f>VLOOKUP(B168,List!$E$2:$G$173,2,FALSE)</f>
        <v>SI.L2-3.14.6</v>
      </c>
      <c r="D168" s="31" t="str">
        <f>List!G166</f>
        <v>Shared Coverage</v>
      </c>
      <c r="E168" s="31" t="str">
        <f>IF(Placemat!$F$4="All Practices","All Practices",IF(VLOOKUP(B168,Table7[#All],6,FALSE)="No Mapping","New CMMC Practices","Practices with NIST 800-171 Mappings"))</f>
        <v>Practices with NIST 800-171 Mappings</v>
      </c>
      <c r="F168" t="str">
        <f>INDEX('CMMC Levels'!$A$1:$F$172,MATCH('Selection Pane Data'!$C168,'CMMC Levels'!$A$1:$A$172,0),MATCH(Placemat!$F$4,'CMMC Levels'!$A$1:$F$1,0))</f>
        <v>X</v>
      </c>
      <c r="G168" s="77" t="str">
        <f>IF((COUNTIF(List!H166:CE166,"P")+COUNTIF(List!H166:CE166,"S"))=0,"N",IF(COUNTIF(H168:CE168,"P"),"P",IF(COUNTIF(H168:CE168,"S"),"S","U")))</f>
        <v>U</v>
      </c>
      <c r="H168" s="13" t="str">
        <f>IF(H$4="Yes",INDEX(List!$E$2:$CD$173,MATCH('Selection Pane Data'!$B168,List!$E$2:$E$173,0),MATCH('Selection Pane Data'!H$3,List!$E$2:$CD$2,0)),"")</f>
        <v/>
      </c>
      <c r="I168" s="13" t="str">
        <f>IF(I$4="Yes",INDEX(List!$E$2:$CD$173,MATCH('Selection Pane Data'!$B168,List!$E$2:$E$173,0),MATCH('Selection Pane Data'!I$3,List!$E$2:$CD$2,0)),"")</f>
        <v/>
      </c>
      <c r="J168" s="13" t="str">
        <f>IF(J$4="Yes",INDEX(List!$E$2:$CD$173,MATCH('Selection Pane Data'!$B168,List!$E$2:$E$173,0),MATCH('Selection Pane Data'!J$3,List!$E$2:$CD$2,0)),"")</f>
        <v>N</v>
      </c>
      <c r="K168" s="13" t="str">
        <f>IF(K$4="Yes",INDEX(List!$E$2:$CD$173,MATCH('Selection Pane Data'!$B168,List!$E$2:$E$173,0),MATCH('Selection Pane Data'!K$3,List!$E$2:$CD$2,0)),"")</f>
        <v/>
      </c>
      <c r="L168" s="13" t="str">
        <f>IF(L$4="Yes",INDEX(List!$E$2:$CD$173,MATCH('Selection Pane Data'!$B168,List!$E$2:$E$173,0),MATCH('Selection Pane Data'!L$3,List!$E$2:$CD$2,0)),"")</f>
        <v/>
      </c>
      <c r="M168" s="13" t="str">
        <f>IF(M$4="Yes",INDEX(List!$E$2:$CD$173,MATCH('Selection Pane Data'!$B168,List!$E$2:$E$173,0),MATCH('Selection Pane Data'!M$3,List!$E$2:$CD$2,0)),"")</f>
        <v/>
      </c>
      <c r="N168" s="13" t="str">
        <f>IF(N$4="Yes",INDEX(List!$E$2:$CD$173,MATCH('Selection Pane Data'!$B168,List!$E$2:$E$173,0),MATCH('Selection Pane Data'!N$3,List!$E$2:$CD$2,0)),"")</f>
        <v/>
      </c>
      <c r="O168" s="13" t="str">
        <f>IF(O$4="Yes",INDEX(List!$E$2:$CD$173,MATCH('Selection Pane Data'!$B168,List!$E$2:$E$173,0),MATCH('Selection Pane Data'!O$3,List!$E$2:$CD$2,0)),"")</f>
        <v/>
      </c>
      <c r="P168" s="13" t="str">
        <f>IF(P$4="Yes",INDEX(List!$E$2:$CD$173,MATCH('Selection Pane Data'!$B168,List!$E$2:$E$173,0),MATCH('Selection Pane Data'!P$3,List!$E$2:$CD$2,0)),"")</f>
        <v/>
      </c>
      <c r="Q168" s="13" t="str">
        <f>IF(Q$4="Yes",INDEX(List!$E$2:$CD$173,MATCH('Selection Pane Data'!$B168,List!$E$2:$E$173,0),MATCH('Selection Pane Data'!Q$3,List!$E$2:$CD$2,0)),"")</f>
        <v/>
      </c>
      <c r="R168" s="13" t="str">
        <f>IF(R$4="Yes",INDEX(List!$E$2:$CD$173,MATCH('Selection Pane Data'!$B168,List!$E$2:$E$173,0),MATCH('Selection Pane Data'!R$3,List!$E$2:$CD$2,0)),"")</f>
        <v/>
      </c>
      <c r="S168" s="13" t="str">
        <f>IF(S$4="Yes",INDEX(List!$E$2:$CD$173,MATCH('Selection Pane Data'!$B168,List!$E$2:$E$173,0),MATCH('Selection Pane Data'!S$3,List!$E$2:$CD$2,0)),"")</f>
        <v/>
      </c>
      <c r="T168" s="13" t="str">
        <f>IF(T$4="Yes",INDEX(List!$E$2:$CD$173,MATCH('Selection Pane Data'!$B168,List!$E$2:$E$173,0),MATCH('Selection Pane Data'!T$3,List!$E$2:$CD$2,0)),"")</f>
        <v/>
      </c>
      <c r="U168" s="13" t="str">
        <f>IF(U$4="Yes",INDEX(List!$E$2:$CD$173,MATCH('Selection Pane Data'!$B168,List!$E$2:$E$173,0),MATCH('Selection Pane Data'!U$3,List!$E$2:$CD$2,0)),"")</f>
        <v/>
      </c>
      <c r="V168" s="13" t="str">
        <f>IF(V$4="Yes",INDEX(List!$E$2:$CD$173,MATCH('Selection Pane Data'!$B168,List!$E$2:$E$173,0),MATCH('Selection Pane Data'!V$3,List!$E$2:$CD$2,0)),"")</f>
        <v/>
      </c>
      <c r="W168" s="13" t="str">
        <f>IF(W$4="Yes",INDEX(List!$E$2:$CD$173,MATCH('Selection Pane Data'!$B168,List!$E$2:$E$173,0),MATCH('Selection Pane Data'!W$3,List!$E$2:$CD$2,0)),"")</f>
        <v/>
      </c>
      <c r="X168" s="13" t="str">
        <f>IF(X$4="Yes",INDEX(List!$E$2:$CD$173,MATCH('Selection Pane Data'!$B168,List!$E$2:$E$173,0),MATCH('Selection Pane Data'!X$3,List!$E$2:$CD$2,0)),"")</f>
        <v/>
      </c>
      <c r="Y168" s="13" t="str">
        <f>IF(Y$4="Yes",INDEX(List!$E$2:$CD$173,MATCH('Selection Pane Data'!$B168,List!$E$2:$E$173,0),MATCH('Selection Pane Data'!Y$3,List!$E$2:$CD$2,0)),"")</f>
        <v/>
      </c>
      <c r="Z168" s="13" t="str">
        <f>IF(Z$4="Yes",INDEX(List!$E$2:$CD$173,MATCH('Selection Pane Data'!$B168,List!$E$2:$E$173,0),MATCH('Selection Pane Data'!Z$3,List!$E$2:$CD$2,0)),"")</f>
        <v/>
      </c>
      <c r="AA168" s="13" t="str">
        <f>IF(AA$4="Yes",INDEX(List!$E$2:$CD$173,MATCH('Selection Pane Data'!$B168,List!$E$2:$E$173,0),MATCH('Selection Pane Data'!AA$3,List!$E$2:$CD$2,0)),"")</f>
        <v>N</v>
      </c>
      <c r="AB168" s="13" t="str">
        <f>IF(AB$4="Yes",INDEX(List!$E$2:$CD$173,MATCH('Selection Pane Data'!$B168,List!$E$2:$E$173,0),MATCH('Selection Pane Data'!AB$3,List!$E$2:$CD$2,0)),"")</f>
        <v/>
      </c>
      <c r="AC168" s="13" t="str">
        <f>IF(AC$4="Yes",INDEX(List!$E$2:$CD$173,MATCH('Selection Pane Data'!$B168,List!$E$2:$E$173,0),MATCH('Selection Pane Data'!AC$3,List!$E$2:$CD$2,0)),"")</f>
        <v/>
      </c>
      <c r="AD168" s="13" t="str">
        <f>IF(AD$4="Yes",INDEX(List!$E$2:$CD$173,MATCH('Selection Pane Data'!$B168,List!$E$2:$E$173,0),MATCH('Selection Pane Data'!AD$3,List!$E$2:$CD$2,0)),"")</f>
        <v/>
      </c>
      <c r="AE168" s="13" t="str">
        <f>IF(AE$4="Yes",INDEX(List!$E$2:$CD$173,MATCH('Selection Pane Data'!$B168,List!$E$2:$E$173,0),MATCH('Selection Pane Data'!AE$3,List!$E$2:$CD$2,0)),"")</f>
        <v/>
      </c>
      <c r="AF168" s="13" t="str">
        <f>IF(AF$4="Yes",INDEX(List!$E$2:$CD$173,MATCH('Selection Pane Data'!$B168,List!$E$2:$E$173,0),MATCH('Selection Pane Data'!AF$3,List!$E$2:$CD$2,0)),"")</f>
        <v/>
      </c>
      <c r="AG168" s="13" t="str">
        <f>IF(AG$4="Yes",INDEX(List!$E$2:$CD$173,MATCH('Selection Pane Data'!$B168,List!$E$2:$E$173,0),MATCH('Selection Pane Data'!AG$3,List!$E$2:$CD$2,0)),"")</f>
        <v/>
      </c>
      <c r="AH168" s="13" t="str">
        <f>IF(AH$4="Yes",INDEX(List!$E$2:$CD$173,MATCH('Selection Pane Data'!$B168,List!$E$2:$E$173,0),MATCH('Selection Pane Data'!AH$3,List!$E$2:$CD$2,0)),"")</f>
        <v/>
      </c>
      <c r="AI168" s="13" t="str">
        <f>IF(AI$4="Yes",INDEX(List!$E$2:$CD$173,MATCH('Selection Pane Data'!$B168,List!$E$2:$E$173,0),MATCH('Selection Pane Data'!AI$3,List!$E$2:$CD$2,0)),"")</f>
        <v/>
      </c>
      <c r="AJ168" s="13" t="str">
        <f>IF(AJ$4="Yes",INDEX(List!$E$2:$CD$173,MATCH('Selection Pane Data'!$B168,List!$E$2:$E$173,0),MATCH('Selection Pane Data'!AJ$3,List!$E$2:$CD$2,0)),"")</f>
        <v/>
      </c>
      <c r="AK168" s="13" t="str">
        <f>IF(AK$4="Yes",INDEX(List!$E$2:$CD$173,MATCH('Selection Pane Data'!$B168,List!$E$2:$E$173,0),MATCH('Selection Pane Data'!AK$3,List!$E$2:$CD$2,0)),"")</f>
        <v/>
      </c>
      <c r="AL168" s="13" t="str">
        <f>IF(AL$4="Yes",INDEX(List!$E$2:$CD$173,MATCH('Selection Pane Data'!$B168,List!$E$2:$E$173,0),MATCH('Selection Pane Data'!AL$3,List!$E$2:$CD$2,0)),"")</f>
        <v/>
      </c>
      <c r="AM168" s="13" t="str">
        <f>IF(AM$4="Yes",INDEX(List!$E$2:$CD$173,MATCH('Selection Pane Data'!$B168,List!$E$2:$E$173,0),MATCH('Selection Pane Data'!AM$3,List!$E$2:$CD$2,0)),"")</f>
        <v/>
      </c>
      <c r="AN168" s="13" t="str">
        <f>IF(AN$4="Yes",INDEX(List!$E$2:$CD$173,MATCH('Selection Pane Data'!$B168,List!$E$2:$E$173,0),MATCH('Selection Pane Data'!AN$3,List!$E$2:$CD$2,0)),"")</f>
        <v/>
      </c>
      <c r="AO168" s="13" t="str">
        <f>IF(AO$4="Yes",INDEX(List!$E$2:$CD$173,MATCH('Selection Pane Data'!$B168,List!$E$2:$E$173,0),MATCH('Selection Pane Data'!AO$3,List!$E$2:$CD$2,0)),"")</f>
        <v/>
      </c>
      <c r="AP168" s="13" t="str">
        <f>IF(AP$4="Yes",INDEX(List!$E$2:$CD$173,MATCH('Selection Pane Data'!$B168,List!$E$2:$E$173,0),MATCH('Selection Pane Data'!AP$3,List!$E$2:$CD$2,0)),"")</f>
        <v/>
      </c>
      <c r="AQ168" s="13" t="str">
        <f>IF(AQ$4="Yes",INDEX(List!$E$2:$CD$173,MATCH('Selection Pane Data'!$B168,List!$E$2:$E$173,0),MATCH('Selection Pane Data'!AQ$3,List!$E$2:$CD$2,0)),"")</f>
        <v/>
      </c>
      <c r="AR168" s="13" t="str">
        <f>IF(AR$4="Yes",INDEX(List!$E$2:$CD$173,MATCH('Selection Pane Data'!$B168,List!$E$2:$E$173,0),MATCH('Selection Pane Data'!AR$3,List!$E$2:$CD$2,0)),"")</f>
        <v/>
      </c>
      <c r="AS168" s="13" t="str">
        <f>IF(AS$4="Yes",INDEX(List!$E$2:$CD$173,MATCH('Selection Pane Data'!$B168,List!$E$2:$E$173,0),MATCH('Selection Pane Data'!AS$3,List!$E$2:$CD$2,0)),"")</f>
        <v/>
      </c>
      <c r="AT168" s="13" t="str">
        <f>IF(AT$4="Yes",INDEX(List!$E$2:$CD$173,MATCH('Selection Pane Data'!$B168,List!$E$2:$E$173,0),MATCH('Selection Pane Data'!AT$3,List!$E$2:$CD$2,0)),"")</f>
        <v/>
      </c>
      <c r="AU168" s="13" t="str">
        <f>IF(AU$4="Yes",INDEX(List!$E$2:$CD$173,MATCH('Selection Pane Data'!$B168,List!$E$2:$E$173,0),MATCH('Selection Pane Data'!AU$3,List!$E$2:$CD$2,0)),"")</f>
        <v/>
      </c>
      <c r="AV168" s="13" t="str">
        <f>IF(AV$4="Yes",INDEX(List!$E$2:$CD$173,MATCH('Selection Pane Data'!$B168,List!$E$2:$E$173,0),MATCH('Selection Pane Data'!AV$3,List!$E$2:$CD$2,0)),"")</f>
        <v/>
      </c>
      <c r="AW168" s="13" t="str">
        <f>IF(AW$4="Yes",INDEX(List!$E$2:$CD$173,MATCH('Selection Pane Data'!$B168,List!$E$2:$E$173,0),MATCH('Selection Pane Data'!AW$3,List!$E$2:$CD$2,0)),"")</f>
        <v/>
      </c>
      <c r="AX168" s="13" t="str">
        <f>IF(AX$4="Yes",INDEX(List!$E$2:$CD$173,MATCH('Selection Pane Data'!$B168,List!$E$2:$E$173,0),MATCH('Selection Pane Data'!AX$3,List!$E$2:$CD$2,0)),"")</f>
        <v/>
      </c>
      <c r="AY168" s="13" t="str">
        <f>IF(AY$4="Yes",INDEX(List!$E$2:$CD$173,MATCH('Selection Pane Data'!$B168,List!$E$2:$E$173,0),MATCH('Selection Pane Data'!AY$3,List!$E$2:$CD$2,0)),"")</f>
        <v/>
      </c>
      <c r="AZ168" s="13" t="str">
        <f>IF(AZ$4="Yes",INDEX(List!$E$2:$CD$173,MATCH('Selection Pane Data'!$B168,List!$E$2:$E$173,0),MATCH('Selection Pane Data'!AZ$3,List!$E$2:$CD$2,0)),"")</f>
        <v/>
      </c>
      <c r="BA168" s="13" t="str">
        <f>IF(BA$4="Yes",INDEX(List!$E$2:$CD$173,MATCH('Selection Pane Data'!$B168,List!$E$2:$E$173,0),MATCH('Selection Pane Data'!BA$3,List!$E$2:$CD$2,0)),"")</f>
        <v/>
      </c>
      <c r="BB168" s="13" t="str">
        <f>IF(BB$4="Yes",INDEX(List!$E$2:$CD$173,MATCH('Selection Pane Data'!$B168,List!$E$2:$E$173,0),MATCH('Selection Pane Data'!BB$3,List!$E$2:$CD$2,0)),"")</f>
        <v/>
      </c>
      <c r="BC168" s="13" t="str">
        <f>IF(BC$4="Yes",INDEX(List!$E$2:$CD$173,MATCH('Selection Pane Data'!$B168,List!$E$2:$E$173,0),MATCH('Selection Pane Data'!BC$3,List!$E$2:$CD$2,0)),"")</f>
        <v/>
      </c>
      <c r="BD168" s="13" t="str">
        <f>IF(BD$4="Yes",INDEX(List!$E$2:$CD$173,MATCH('Selection Pane Data'!$B168,List!$E$2:$E$173,0),MATCH('Selection Pane Data'!BD$3,List!$E$2:$CD$2,0)),"")</f>
        <v/>
      </c>
      <c r="BE168" s="13" t="str">
        <f>IF(BE$4="Yes",INDEX(List!$E$2:$CD$173,MATCH('Selection Pane Data'!$B168,List!$E$2:$E$173,0),MATCH('Selection Pane Data'!BE$3,List!$E$2:$CD$2,0)),"")</f>
        <v/>
      </c>
      <c r="BF168" s="13" t="str">
        <f>IF(BF$4="Yes",INDEX(List!$E$2:$CD$173,MATCH('Selection Pane Data'!$B168,List!$E$2:$E$173,0),MATCH('Selection Pane Data'!BF$3,List!$E$2:$CD$2,0)),"")</f>
        <v/>
      </c>
      <c r="BG168" s="13" t="str">
        <f>IF(BG$4="Yes",INDEX(List!$E$2:$CD$173,MATCH('Selection Pane Data'!$B168,List!$E$2:$E$173,0),MATCH('Selection Pane Data'!BG$3,List!$E$2:$CD$2,0)),"")</f>
        <v/>
      </c>
      <c r="BH168" s="13" t="str">
        <f>IF(BH$4="Yes",INDEX(List!$E$2:$CD$173,MATCH('Selection Pane Data'!$B168,List!$E$2:$E$173,0),MATCH('Selection Pane Data'!BH$3,List!$E$2:$CD$2,0)),"")</f>
        <v/>
      </c>
      <c r="BI168" s="13" t="str">
        <f>IF(BI$4="Yes",INDEX(List!$E$2:$CD$173,MATCH('Selection Pane Data'!$B168,List!$E$2:$E$173,0),MATCH('Selection Pane Data'!BI$3,List!$E$2:$CD$2,0)),"")</f>
        <v/>
      </c>
      <c r="BJ168" s="13" t="str">
        <f>IF(BJ$4="Yes",INDEX(List!$E$2:$CD$173,MATCH('Selection Pane Data'!$B168,List!$E$2:$E$173,0),MATCH('Selection Pane Data'!BJ$3,List!$E$2:$CD$2,0)),"")</f>
        <v/>
      </c>
      <c r="BK168" s="13" t="str">
        <f>IF(BK$4="Yes",INDEX(List!$E$2:$CD$173,MATCH('Selection Pane Data'!$B168,List!$E$2:$E$173,0),MATCH('Selection Pane Data'!BK$3,List!$E$2:$CD$2,0)),"")</f>
        <v/>
      </c>
      <c r="BL168" s="13" t="str">
        <f>IF(BL$4="Yes",INDEX(List!$E$2:$CD$173,MATCH('Selection Pane Data'!$B168,List!$E$2:$E$173,0),MATCH('Selection Pane Data'!BL$3,List!$E$2:$CD$2,0)),"")</f>
        <v/>
      </c>
      <c r="BM168" s="13" t="str">
        <f>IF(BM$4="Yes",INDEX(List!$E$2:$CD$173,MATCH('Selection Pane Data'!$B168,List!$E$2:$E$173,0),MATCH('Selection Pane Data'!BM$3,List!$E$2:$CD$2,0)),"")</f>
        <v/>
      </c>
      <c r="BN168" s="13" t="str">
        <f>IF(BN$4="Yes",INDEX(List!$E$2:$CD$173,MATCH('Selection Pane Data'!$B168,List!$E$2:$E$173,0),MATCH('Selection Pane Data'!BN$3,List!$E$2:$CD$2,0)),"")</f>
        <v/>
      </c>
      <c r="BO168" s="13" t="str">
        <f>IF(BO$4="Yes",INDEX(List!$E$2:$CD$173,MATCH('Selection Pane Data'!$B168,List!$E$2:$E$173,0),MATCH('Selection Pane Data'!BO$3,List!$E$2:$CD$2,0)),"")</f>
        <v/>
      </c>
      <c r="BP168" s="13" t="str">
        <f>IF(BP$4="Yes",INDEX(List!$E$2:$CD$173,MATCH('Selection Pane Data'!$B168,List!$E$2:$E$173,0),MATCH('Selection Pane Data'!BP$3,List!$E$2:$CD$2,0)),"")</f>
        <v/>
      </c>
      <c r="BQ168" s="13" t="str">
        <f>IF(BQ$4="Yes",INDEX(List!$E$2:$CD$173,MATCH('Selection Pane Data'!$B168,List!$E$2:$E$173,0),MATCH('Selection Pane Data'!BQ$3,List!$E$2:$CD$2,0)),"")</f>
        <v/>
      </c>
      <c r="BR168" s="13" t="str">
        <f>IF(BR$4="Yes",INDEX(List!$E$2:$CD$173,MATCH('Selection Pane Data'!$B168,List!$E$2:$E$173,0),MATCH('Selection Pane Data'!BR$3,List!$E$2:$CD$2,0)),"")</f>
        <v/>
      </c>
      <c r="BS168" s="13" t="str">
        <f>IF(BS$4="Yes",INDEX(List!$E$2:$CD$173,MATCH('Selection Pane Data'!$B168,List!$E$2:$E$173,0),MATCH('Selection Pane Data'!BS$3,List!$E$2:$CD$2,0)),"")</f>
        <v/>
      </c>
      <c r="BT168" s="13" t="str">
        <f>IF(BT$4="Yes",INDEX(List!$E$2:$CD$173,MATCH('Selection Pane Data'!$B168,List!$E$2:$E$173,0),MATCH('Selection Pane Data'!BT$3,List!$E$2:$CD$2,0)),"")</f>
        <v/>
      </c>
      <c r="BU168" s="13" t="str">
        <f>IF(BU$4="Yes",INDEX(List!$E$2:$CD$173,MATCH('Selection Pane Data'!$B168,List!$E$2:$E$173,0),MATCH('Selection Pane Data'!BU$3,List!$E$2:$CD$2,0)),"")</f>
        <v/>
      </c>
      <c r="BV168" s="13" t="str">
        <f>IF(BV$4="Yes",INDEX(List!$E$2:$CD$173,MATCH('Selection Pane Data'!$B168,List!$E$2:$E$173,0),MATCH('Selection Pane Data'!BV$3,List!$E$2:$CD$2,0)),"")</f>
        <v/>
      </c>
      <c r="BW168" s="13" t="str">
        <f>IF(BW$4="Yes",INDEX(List!$E$2:$CD$173,MATCH('Selection Pane Data'!$B168,List!$E$2:$E$173,0),MATCH('Selection Pane Data'!BW$3,List!$E$2:$CD$2,0)),"")</f>
        <v/>
      </c>
      <c r="BX168" s="13" t="str">
        <f>IF(BX$4="Yes",INDEX(List!$E$2:$CD$173,MATCH('Selection Pane Data'!$B168,List!$E$2:$E$173,0),MATCH('Selection Pane Data'!BX$3,List!$E$2:$CD$2,0)),"")</f>
        <v/>
      </c>
      <c r="BY168" s="13" t="str">
        <f>IF(BY$4="Yes",INDEX(List!$E$2:$CD$173,MATCH('Selection Pane Data'!$B168,List!$E$2:$E$173,0),MATCH('Selection Pane Data'!BY$3,List!$E$2:$CD$2,0)),"")</f>
        <v/>
      </c>
      <c r="BZ168" s="13" t="str">
        <f>IF(BZ$4="Yes",INDEX(List!$E$2:$CD$173,MATCH('Selection Pane Data'!$B168,List!$E$2:$E$173,0),MATCH('Selection Pane Data'!BZ$3,List!$E$2:$CD$2,0)),"")</f>
        <v/>
      </c>
      <c r="CA168" s="13" t="str">
        <f>IF(CA$4="Yes",INDEX(List!$E$2:$CD$173,MATCH('Selection Pane Data'!$B168,List!$E$2:$E$173,0),MATCH('Selection Pane Data'!CA$3,List!$E$2:$CD$2,0)),"")</f>
        <v/>
      </c>
      <c r="CB168" s="13" t="str">
        <f>IF(CB$4="Yes",INDEX(List!$E$2:$CD$173,MATCH('Selection Pane Data'!$B168,List!$E$2:$E$173,0),MATCH('Selection Pane Data'!CB$3,List!$E$2:$CD$2,0)),"")</f>
        <v/>
      </c>
      <c r="CC168" s="13" t="str">
        <f>IF(CC$4="Yes",INDEX(List!$E$2:$CD$173,MATCH('Selection Pane Data'!$B168,List!$E$2:$E$173,0),MATCH('Selection Pane Data'!CC$3,List!$E$2:$CD$2,0)),"")</f>
        <v/>
      </c>
      <c r="CD168" s="13" t="str">
        <f>IF(CD$4="Yes",INDEX(List!$E$2:$CD$173,MATCH('Selection Pane Data'!$B168,List!$E$2:$E$173,0),MATCH('Selection Pane Data'!CD$3,List!$E$2:$CD$2,0)),"")</f>
        <v/>
      </c>
      <c r="CE168" s="13" t="str">
        <f>IF(CE$4="Yes",INDEX(List!$E$2:$CD$173,MATCH('Selection Pane Data'!$B168,List!$E$2:$E$173,0),MATCH('Selection Pane Data'!CE$3,List!$E$2:$CD$2,0)),"")</f>
        <v/>
      </c>
    </row>
    <row r="169" spans="2:83" x14ac:dyDescent="0.35">
      <c r="B169" s="21" t="s">
        <v>456</v>
      </c>
      <c r="C169" s="126" t="str">
        <f>VLOOKUP(B169,List!$E$2:$G$173,2,FALSE)</f>
        <v>SI.L2-3.14.7</v>
      </c>
      <c r="D169" s="31" t="str">
        <f>List!G167</f>
        <v>Customer Responsibility</v>
      </c>
      <c r="E169" s="31" t="str">
        <f>IF(Placemat!$F$4="All Practices","All Practices",IF(VLOOKUP(B169,Table7[#All],6,FALSE)="No Mapping","New CMMC Practices","Practices with NIST 800-171 Mappings"))</f>
        <v>Practices with NIST 800-171 Mappings</v>
      </c>
      <c r="F169" t="str">
        <f>INDEX('CMMC Levels'!$A$1:$F$172,MATCH('Selection Pane Data'!$C169,'CMMC Levels'!$A$1:$A$172,0),MATCH(Placemat!$F$4,'CMMC Levels'!$A$1:$F$1,0))</f>
        <v>X</v>
      </c>
      <c r="G169" s="77" t="str">
        <f>IF((COUNTIF(List!H167:CE167,"P")+COUNTIF(List!H167:CE167,"S"))=0,"N",IF(COUNTIF(H169:CE169,"P"),"P",IF(COUNTIF(H169:CE169,"S"),"S","U")))</f>
        <v>U</v>
      </c>
      <c r="H169" s="13" t="str">
        <f>IF(H$4="Yes",INDEX(List!$E$2:$CD$173,MATCH('Selection Pane Data'!$B169,List!$E$2:$E$173,0),MATCH('Selection Pane Data'!H$3,List!$E$2:$CD$2,0)),"")</f>
        <v/>
      </c>
      <c r="I169" s="13" t="str">
        <f>IF(I$4="Yes",INDEX(List!$E$2:$CD$173,MATCH('Selection Pane Data'!$B169,List!$E$2:$E$173,0),MATCH('Selection Pane Data'!I$3,List!$E$2:$CD$2,0)),"")</f>
        <v/>
      </c>
      <c r="J169" s="13" t="str">
        <f>IF(J$4="Yes",INDEX(List!$E$2:$CD$173,MATCH('Selection Pane Data'!$B169,List!$E$2:$E$173,0),MATCH('Selection Pane Data'!J$3,List!$E$2:$CD$2,0)),"")</f>
        <v>N</v>
      </c>
      <c r="K169" s="13" t="str">
        <f>IF(K$4="Yes",INDEX(List!$E$2:$CD$173,MATCH('Selection Pane Data'!$B169,List!$E$2:$E$173,0),MATCH('Selection Pane Data'!K$3,List!$E$2:$CD$2,0)),"")</f>
        <v/>
      </c>
      <c r="L169" s="13" t="str">
        <f>IF(L$4="Yes",INDEX(List!$E$2:$CD$173,MATCH('Selection Pane Data'!$B169,List!$E$2:$E$173,0),MATCH('Selection Pane Data'!L$3,List!$E$2:$CD$2,0)),"")</f>
        <v/>
      </c>
      <c r="M169" s="13" t="str">
        <f>IF(M$4="Yes",INDEX(List!$E$2:$CD$173,MATCH('Selection Pane Data'!$B169,List!$E$2:$E$173,0),MATCH('Selection Pane Data'!M$3,List!$E$2:$CD$2,0)),"")</f>
        <v/>
      </c>
      <c r="N169" s="13" t="str">
        <f>IF(N$4="Yes",INDEX(List!$E$2:$CD$173,MATCH('Selection Pane Data'!$B169,List!$E$2:$E$173,0),MATCH('Selection Pane Data'!N$3,List!$E$2:$CD$2,0)),"")</f>
        <v/>
      </c>
      <c r="O169" s="13" t="str">
        <f>IF(O$4="Yes",INDEX(List!$E$2:$CD$173,MATCH('Selection Pane Data'!$B169,List!$E$2:$E$173,0),MATCH('Selection Pane Data'!O$3,List!$E$2:$CD$2,0)),"")</f>
        <v/>
      </c>
      <c r="P169" s="13" t="str">
        <f>IF(P$4="Yes",INDEX(List!$E$2:$CD$173,MATCH('Selection Pane Data'!$B169,List!$E$2:$E$173,0),MATCH('Selection Pane Data'!P$3,List!$E$2:$CD$2,0)),"")</f>
        <v/>
      </c>
      <c r="Q169" s="13" t="str">
        <f>IF(Q$4="Yes",INDEX(List!$E$2:$CD$173,MATCH('Selection Pane Data'!$B169,List!$E$2:$E$173,0),MATCH('Selection Pane Data'!Q$3,List!$E$2:$CD$2,0)),"")</f>
        <v/>
      </c>
      <c r="R169" s="13" t="str">
        <f>IF(R$4="Yes",INDEX(List!$E$2:$CD$173,MATCH('Selection Pane Data'!$B169,List!$E$2:$E$173,0),MATCH('Selection Pane Data'!R$3,List!$E$2:$CD$2,0)),"")</f>
        <v/>
      </c>
      <c r="S169" s="13" t="str">
        <f>IF(S$4="Yes",INDEX(List!$E$2:$CD$173,MATCH('Selection Pane Data'!$B169,List!$E$2:$E$173,0),MATCH('Selection Pane Data'!S$3,List!$E$2:$CD$2,0)),"")</f>
        <v/>
      </c>
      <c r="T169" s="13" t="str">
        <f>IF(T$4="Yes",INDEX(List!$E$2:$CD$173,MATCH('Selection Pane Data'!$B169,List!$E$2:$E$173,0),MATCH('Selection Pane Data'!T$3,List!$E$2:$CD$2,0)),"")</f>
        <v/>
      </c>
      <c r="U169" s="13" t="str">
        <f>IF(U$4="Yes",INDEX(List!$E$2:$CD$173,MATCH('Selection Pane Data'!$B169,List!$E$2:$E$173,0),MATCH('Selection Pane Data'!U$3,List!$E$2:$CD$2,0)),"")</f>
        <v/>
      </c>
      <c r="V169" s="13" t="str">
        <f>IF(V$4="Yes",INDEX(List!$E$2:$CD$173,MATCH('Selection Pane Data'!$B169,List!$E$2:$E$173,0),MATCH('Selection Pane Data'!V$3,List!$E$2:$CD$2,0)),"")</f>
        <v/>
      </c>
      <c r="W169" s="13" t="str">
        <f>IF(W$4="Yes",INDEX(List!$E$2:$CD$173,MATCH('Selection Pane Data'!$B169,List!$E$2:$E$173,0),MATCH('Selection Pane Data'!W$3,List!$E$2:$CD$2,0)),"")</f>
        <v/>
      </c>
      <c r="X169" s="13" t="str">
        <f>IF(X$4="Yes",INDEX(List!$E$2:$CD$173,MATCH('Selection Pane Data'!$B169,List!$E$2:$E$173,0),MATCH('Selection Pane Data'!X$3,List!$E$2:$CD$2,0)),"")</f>
        <v/>
      </c>
      <c r="Y169" s="13" t="str">
        <f>IF(Y$4="Yes",INDEX(List!$E$2:$CD$173,MATCH('Selection Pane Data'!$B169,List!$E$2:$E$173,0),MATCH('Selection Pane Data'!Y$3,List!$E$2:$CD$2,0)),"")</f>
        <v/>
      </c>
      <c r="Z169" s="13" t="str">
        <f>IF(Z$4="Yes",INDEX(List!$E$2:$CD$173,MATCH('Selection Pane Data'!$B169,List!$E$2:$E$173,0),MATCH('Selection Pane Data'!Z$3,List!$E$2:$CD$2,0)),"")</f>
        <v/>
      </c>
      <c r="AA169" s="13" t="str">
        <f>IF(AA$4="Yes",INDEX(List!$E$2:$CD$173,MATCH('Selection Pane Data'!$B169,List!$E$2:$E$173,0),MATCH('Selection Pane Data'!AA$3,List!$E$2:$CD$2,0)),"")</f>
        <v>N</v>
      </c>
      <c r="AB169" s="13" t="str">
        <f>IF(AB$4="Yes",INDEX(List!$E$2:$CD$173,MATCH('Selection Pane Data'!$B169,List!$E$2:$E$173,0),MATCH('Selection Pane Data'!AB$3,List!$E$2:$CD$2,0)),"")</f>
        <v/>
      </c>
      <c r="AC169" s="13" t="str">
        <f>IF(AC$4="Yes",INDEX(List!$E$2:$CD$173,MATCH('Selection Pane Data'!$B169,List!$E$2:$E$173,0),MATCH('Selection Pane Data'!AC$3,List!$E$2:$CD$2,0)),"")</f>
        <v/>
      </c>
      <c r="AD169" s="13" t="str">
        <f>IF(AD$4="Yes",INDEX(List!$E$2:$CD$173,MATCH('Selection Pane Data'!$B169,List!$E$2:$E$173,0),MATCH('Selection Pane Data'!AD$3,List!$E$2:$CD$2,0)),"")</f>
        <v/>
      </c>
      <c r="AE169" s="13" t="str">
        <f>IF(AE$4="Yes",INDEX(List!$E$2:$CD$173,MATCH('Selection Pane Data'!$B169,List!$E$2:$E$173,0),MATCH('Selection Pane Data'!AE$3,List!$E$2:$CD$2,0)),"")</f>
        <v/>
      </c>
      <c r="AF169" s="13" t="str">
        <f>IF(AF$4="Yes",INDEX(List!$E$2:$CD$173,MATCH('Selection Pane Data'!$B169,List!$E$2:$E$173,0),MATCH('Selection Pane Data'!AF$3,List!$E$2:$CD$2,0)),"")</f>
        <v/>
      </c>
      <c r="AG169" s="13" t="str">
        <f>IF(AG$4="Yes",INDEX(List!$E$2:$CD$173,MATCH('Selection Pane Data'!$B169,List!$E$2:$E$173,0),MATCH('Selection Pane Data'!AG$3,List!$E$2:$CD$2,0)),"")</f>
        <v/>
      </c>
      <c r="AH169" s="13" t="str">
        <f>IF(AH$4="Yes",INDEX(List!$E$2:$CD$173,MATCH('Selection Pane Data'!$B169,List!$E$2:$E$173,0),MATCH('Selection Pane Data'!AH$3,List!$E$2:$CD$2,0)),"")</f>
        <v/>
      </c>
      <c r="AI169" s="13" t="str">
        <f>IF(AI$4="Yes",INDEX(List!$E$2:$CD$173,MATCH('Selection Pane Data'!$B169,List!$E$2:$E$173,0),MATCH('Selection Pane Data'!AI$3,List!$E$2:$CD$2,0)),"")</f>
        <v/>
      </c>
      <c r="AJ169" s="13" t="str">
        <f>IF(AJ$4="Yes",INDEX(List!$E$2:$CD$173,MATCH('Selection Pane Data'!$B169,List!$E$2:$E$173,0),MATCH('Selection Pane Data'!AJ$3,List!$E$2:$CD$2,0)),"")</f>
        <v/>
      </c>
      <c r="AK169" s="13" t="str">
        <f>IF(AK$4="Yes",INDEX(List!$E$2:$CD$173,MATCH('Selection Pane Data'!$B169,List!$E$2:$E$173,0),MATCH('Selection Pane Data'!AK$3,List!$E$2:$CD$2,0)),"")</f>
        <v/>
      </c>
      <c r="AL169" s="13" t="str">
        <f>IF(AL$4="Yes",INDEX(List!$E$2:$CD$173,MATCH('Selection Pane Data'!$B169,List!$E$2:$E$173,0),MATCH('Selection Pane Data'!AL$3,List!$E$2:$CD$2,0)),"")</f>
        <v/>
      </c>
      <c r="AM169" s="13" t="str">
        <f>IF(AM$4="Yes",INDEX(List!$E$2:$CD$173,MATCH('Selection Pane Data'!$B169,List!$E$2:$E$173,0),MATCH('Selection Pane Data'!AM$3,List!$E$2:$CD$2,0)),"")</f>
        <v/>
      </c>
      <c r="AN169" s="13" t="str">
        <f>IF(AN$4="Yes",INDEX(List!$E$2:$CD$173,MATCH('Selection Pane Data'!$B169,List!$E$2:$E$173,0),MATCH('Selection Pane Data'!AN$3,List!$E$2:$CD$2,0)),"")</f>
        <v/>
      </c>
      <c r="AO169" s="13" t="str">
        <f>IF(AO$4="Yes",INDEX(List!$E$2:$CD$173,MATCH('Selection Pane Data'!$B169,List!$E$2:$E$173,0),MATCH('Selection Pane Data'!AO$3,List!$E$2:$CD$2,0)),"")</f>
        <v/>
      </c>
      <c r="AP169" s="13" t="str">
        <f>IF(AP$4="Yes",INDEX(List!$E$2:$CD$173,MATCH('Selection Pane Data'!$B169,List!$E$2:$E$173,0),MATCH('Selection Pane Data'!AP$3,List!$E$2:$CD$2,0)),"")</f>
        <v/>
      </c>
      <c r="AQ169" s="13" t="str">
        <f>IF(AQ$4="Yes",INDEX(List!$E$2:$CD$173,MATCH('Selection Pane Data'!$B169,List!$E$2:$E$173,0),MATCH('Selection Pane Data'!AQ$3,List!$E$2:$CD$2,0)),"")</f>
        <v/>
      </c>
      <c r="AR169" s="13" t="str">
        <f>IF(AR$4="Yes",INDEX(List!$E$2:$CD$173,MATCH('Selection Pane Data'!$B169,List!$E$2:$E$173,0),MATCH('Selection Pane Data'!AR$3,List!$E$2:$CD$2,0)),"")</f>
        <v/>
      </c>
      <c r="AS169" s="13" t="str">
        <f>IF(AS$4="Yes",INDEX(List!$E$2:$CD$173,MATCH('Selection Pane Data'!$B169,List!$E$2:$E$173,0),MATCH('Selection Pane Data'!AS$3,List!$E$2:$CD$2,0)),"")</f>
        <v/>
      </c>
      <c r="AT169" s="13" t="str">
        <f>IF(AT$4="Yes",INDEX(List!$E$2:$CD$173,MATCH('Selection Pane Data'!$B169,List!$E$2:$E$173,0),MATCH('Selection Pane Data'!AT$3,List!$E$2:$CD$2,0)),"")</f>
        <v/>
      </c>
      <c r="AU169" s="13" t="str">
        <f>IF(AU$4="Yes",INDEX(List!$E$2:$CD$173,MATCH('Selection Pane Data'!$B169,List!$E$2:$E$173,0),MATCH('Selection Pane Data'!AU$3,List!$E$2:$CD$2,0)),"")</f>
        <v/>
      </c>
      <c r="AV169" s="13" t="str">
        <f>IF(AV$4="Yes",INDEX(List!$E$2:$CD$173,MATCH('Selection Pane Data'!$B169,List!$E$2:$E$173,0),MATCH('Selection Pane Data'!AV$3,List!$E$2:$CD$2,0)),"")</f>
        <v/>
      </c>
      <c r="AW169" s="13" t="str">
        <f>IF(AW$4="Yes",INDEX(List!$E$2:$CD$173,MATCH('Selection Pane Data'!$B169,List!$E$2:$E$173,0),MATCH('Selection Pane Data'!AW$3,List!$E$2:$CD$2,0)),"")</f>
        <v/>
      </c>
      <c r="AX169" s="13" t="str">
        <f>IF(AX$4="Yes",INDEX(List!$E$2:$CD$173,MATCH('Selection Pane Data'!$B169,List!$E$2:$E$173,0),MATCH('Selection Pane Data'!AX$3,List!$E$2:$CD$2,0)),"")</f>
        <v/>
      </c>
      <c r="AY169" s="13" t="str">
        <f>IF(AY$4="Yes",INDEX(List!$E$2:$CD$173,MATCH('Selection Pane Data'!$B169,List!$E$2:$E$173,0),MATCH('Selection Pane Data'!AY$3,List!$E$2:$CD$2,0)),"")</f>
        <v/>
      </c>
      <c r="AZ169" s="13" t="str">
        <f>IF(AZ$4="Yes",INDEX(List!$E$2:$CD$173,MATCH('Selection Pane Data'!$B169,List!$E$2:$E$173,0),MATCH('Selection Pane Data'!AZ$3,List!$E$2:$CD$2,0)),"")</f>
        <v/>
      </c>
      <c r="BA169" s="13" t="str">
        <f>IF(BA$4="Yes",INDEX(List!$E$2:$CD$173,MATCH('Selection Pane Data'!$B169,List!$E$2:$E$173,0),MATCH('Selection Pane Data'!BA$3,List!$E$2:$CD$2,0)),"")</f>
        <v/>
      </c>
      <c r="BB169" s="13" t="str">
        <f>IF(BB$4="Yes",INDEX(List!$E$2:$CD$173,MATCH('Selection Pane Data'!$B169,List!$E$2:$E$173,0),MATCH('Selection Pane Data'!BB$3,List!$E$2:$CD$2,0)),"")</f>
        <v/>
      </c>
      <c r="BC169" s="13" t="str">
        <f>IF(BC$4="Yes",INDEX(List!$E$2:$CD$173,MATCH('Selection Pane Data'!$B169,List!$E$2:$E$173,0),MATCH('Selection Pane Data'!BC$3,List!$E$2:$CD$2,0)),"")</f>
        <v/>
      </c>
      <c r="BD169" s="13" t="str">
        <f>IF(BD$4="Yes",INDEX(List!$E$2:$CD$173,MATCH('Selection Pane Data'!$B169,List!$E$2:$E$173,0),MATCH('Selection Pane Data'!BD$3,List!$E$2:$CD$2,0)),"")</f>
        <v/>
      </c>
      <c r="BE169" s="13" t="str">
        <f>IF(BE$4="Yes",INDEX(List!$E$2:$CD$173,MATCH('Selection Pane Data'!$B169,List!$E$2:$E$173,0),MATCH('Selection Pane Data'!BE$3,List!$E$2:$CD$2,0)),"")</f>
        <v/>
      </c>
      <c r="BF169" s="13" t="str">
        <f>IF(BF$4="Yes",INDEX(List!$E$2:$CD$173,MATCH('Selection Pane Data'!$B169,List!$E$2:$E$173,0),MATCH('Selection Pane Data'!BF$3,List!$E$2:$CD$2,0)),"")</f>
        <v/>
      </c>
      <c r="BG169" s="13" t="str">
        <f>IF(BG$4="Yes",INDEX(List!$E$2:$CD$173,MATCH('Selection Pane Data'!$B169,List!$E$2:$E$173,0),MATCH('Selection Pane Data'!BG$3,List!$E$2:$CD$2,0)),"")</f>
        <v/>
      </c>
      <c r="BH169" s="13" t="str">
        <f>IF(BH$4="Yes",INDEX(List!$E$2:$CD$173,MATCH('Selection Pane Data'!$B169,List!$E$2:$E$173,0),MATCH('Selection Pane Data'!BH$3,List!$E$2:$CD$2,0)),"")</f>
        <v/>
      </c>
      <c r="BI169" s="13" t="str">
        <f>IF(BI$4="Yes",INDEX(List!$E$2:$CD$173,MATCH('Selection Pane Data'!$B169,List!$E$2:$E$173,0),MATCH('Selection Pane Data'!BI$3,List!$E$2:$CD$2,0)),"")</f>
        <v/>
      </c>
      <c r="BJ169" s="13" t="str">
        <f>IF(BJ$4="Yes",INDEX(List!$E$2:$CD$173,MATCH('Selection Pane Data'!$B169,List!$E$2:$E$173,0),MATCH('Selection Pane Data'!BJ$3,List!$E$2:$CD$2,0)),"")</f>
        <v/>
      </c>
      <c r="BK169" s="13" t="str">
        <f>IF(BK$4="Yes",INDEX(List!$E$2:$CD$173,MATCH('Selection Pane Data'!$B169,List!$E$2:$E$173,0),MATCH('Selection Pane Data'!BK$3,List!$E$2:$CD$2,0)),"")</f>
        <v/>
      </c>
      <c r="BL169" s="13" t="str">
        <f>IF(BL$4="Yes",INDEX(List!$E$2:$CD$173,MATCH('Selection Pane Data'!$B169,List!$E$2:$E$173,0),MATCH('Selection Pane Data'!BL$3,List!$E$2:$CD$2,0)),"")</f>
        <v/>
      </c>
      <c r="BM169" s="13" t="str">
        <f>IF(BM$4="Yes",INDEX(List!$E$2:$CD$173,MATCH('Selection Pane Data'!$B169,List!$E$2:$E$173,0),MATCH('Selection Pane Data'!BM$3,List!$E$2:$CD$2,0)),"")</f>
        <v/>
      </c>
      <c r="BN169" s="13" t="str">
        <f>IF(BN$4="Yes",INDEX(List!$E$2:$CD$173,MATCH('Selection Pane Data'!$B169,List!$E$2:$E$173,0),MATCH('Selection Pane Data'!BN$3,List!$E$2:$CD$2,0)),"")</f>
        <v/>
      </c>
      <c r="BO169" s="13" t="str">
        <f>IF(BO$4="Yes",INDEX(List!$E$2:$CD$173,MATCH('Selection Pane Data'!$B169,List!$E$2:$E$173,0),MATCH('Selection Pane Data'!BO$3,List!$E$2:$CD$2,0)),"")</f>
        <v/>
      </c>
      <c r="BP169" s="13" t="str">
        <f>IF(BP$4="Yes",INDEX(List!$E$2:$CD$173,MATCH('Selection Pane Data'!$B169,List!$E$2:$E$173,0),MATCH('Selection Pane Data'!BP$3,List!$E$2:$CD$2,0)),"")</f>
        <v/>
      </c>
      <c r="BQ169" s="13" t="str">
        <f>IF(BQ$4="Yes",INDEX(List!$E$2:$CD$173,MATCH('Selection Pane Data'!$B169,List!$E$2:$E$173,0),MATCH('Selection Pane Data'!BQ$3,List!$E$2:$CD$2,0)),"")</f>
        <v/>
      </c>
      <c r="BR169" s="13" t="str">
        <f>IF(BR$4="Yes",INDEX(List!$E$2:$CD$173,MATCH('Selection Pane Data'!$B169,List!$E$2:$E$173,0),MATCH('Selection Pane Data'!BR$3,List!$E$2:$CD$2,0)),"")</f>
        <v/>
      </c>
      <c r="BS169" s="13" t="str">
        <f>IF(BS$4="Yes",INDEX(List!$E$2:$CD$173,MATCH('Selection Pane Data'!$B169,List!$E$2:$E$173,0),MATCH('Selection Pane Data'!BS$3,List!$E$2:$CD$2,0)),"")</f>
        <v/>
      </c>
      <c r="BT169" s="13" t="str">
        <f>IF(BT$4="Yes",INDEX(List!$E$2:$CD$173,MATCH('Selection Pane Data'!$B169,List!$E$2:$E$173,0),MATCH('Selection Pane Data'!BT$3,List!$E$2:$CD$2,0)),"")</f>
        <v/>
      </c>
      <c r="BU169" s="13" t="str">
        <f>IF(BU$4="Yes",INDEX(List!$E$2:$CD$173,MATCH('Selection Pane Data'!$B169,List!$E$2:$E$173,0),MATCH('Selection Pane Data'!BU$3,List!$E$2:$CD$2,0)),"")</f>
        <v/>
      </c>
      <c r="BV169" s="13" t="str">
        <f>IF(BV$4="Yes",INDEX(List!$E$2:$CD$173,MATCH('Selection Pane Data'!$B169,List!$E$2:$E$173,0),MATCH('Selection Pane Data'!BV$3,List!$E$2:$CD$2,0)),"")</f>
        <v/>
      </c>
      <c r="BW169" s="13" t="str">
        <f>IF(BW$4="Yes",INDEX(List!$E$2:$CD$173,MATCH('Selection Pane Data'!$B169,List!$E$2:$E$173,0),MATCH('Selection Pane Data'!BW$3,List!$E$2:$CD$2,0)),"")</f>
        <v/>
      </c>
      <c r="BX169" s="13" t="str">
        <f>IF(BX$4="Yes",INDEX(List!$E$2:$CD$173,MATCH('Selection Pane Data'!$B169,List!$E$2:$E$173,0),MATCH('Selection Pane Data'!BX$3,List!$E$2:$CD$2,0)),"")</f>
        <v/>
      </c>
      <c r="BY169" s="13" t="str">
        <f>IF(BY$4="Yes",INDEX(List!$E$2:$CD$173,MATCH('Selection Pane Data'!$B169,List!$E$2:$E$173,0),MATCH('Selection Pane Data'!BY$3,List!$E$2:$CD$2,0)),"")</f>
        <v/>
      </c>
      <c r="BZ169" s="13" t="str">
        <f>IF(BZ$4="Yes",INDEX(List!$E$2:$CD$173,MATCH('Selection Pane Data'!$B169,List!$E$2:$E$173,0),MATCH('Selection Pane Data'!BZ$3,List!$E$2:$CD$2,0)),"")</f>
        <v/>
      </c>
      <c r="CA169" s="13" t="str">
        <f>IF(CA$4="Yes",INDEX(List!$E$2:$CD$173,MATCH('Selection Pane Data'!$B169,List!$E$2:$E$173,0),MATCH('Selection Pane Data'!CA$3,List!$E$2:$CD$2,0)),"")</f>
        <v/>
      </c>
      <c r="CB169" s="13" t="str">
        <f>IF(CB$4="Yes",INDEX(List!$E$2:$CD$173,MATCH('Selection Pane Data'!$B169,List!$E$2:$E$173,0),MATCH('Selection Pane Data'!CB$3,List!$E$2:$CD$2,0)),"")</f>
        <v/>
      </c>
      <c r="CC169" s="13" t="str">
        <f>IF(CC$4="Yes",INDEX(List!$E$2:$CD$173,MATCH('Selection Pane Data'!$B169,List!$E$2:$E$173,0),MATCH('Selection Pane Data'!CC$3,List!$E$2:$CD$2,0)),"")</f>
        <v/>
      </c>
      <c r="CD169" s="13" t="str">
        <f>IF(CD$4="Yes",INDEX(List!$E$2:$CD$173,MATCH('Selection Pane Data'!$B169,List!$E$2:$E$173,0),MATCH('Selection Pane Data'!CD$3,List!$E$2:$CD$2,0)),"")</f>
        <v/>
      </c>
      <c r="CE169" s="13" t="str">
        <f>IF(CE$4="Yes",INDEX(List!$E$2:$CD$173,MATCH('Selection Pane Data'!$B169,List!$E$2:$E$173,0),MATCH('Selection Pane Data'!CE$3,List!$E$2:$CD$2,0)),"")</f>
        <v/>
      </c>
    </row>
    <row r="170" spans="2:83" x14ac:dyDescent="0.35">
      <c r="B170" s="21" t="s">
        <v>457</v>
      </c>
      <c r="C170" s="126" t="str">
        <f>VLOOKUP(B170,List!$E$2:$G$173,2,FALSE)</f>
        <v>N/A</v>
      </c>
      <c r="D170" s="31" t="str">
        <f>List!G168</f>
        <v>Shared Coverage</v>
      </c>
      <c r="E170" s="31" t="str">
        <f>IF(Placemat!$F$4="All Practices","All Practices",IF(VLOOKUP(B170,Table7[#All],6,FALSE)="No Mapping","New CMMC Practices","Practices with NIST 800-171 Mappings"))</f>
        <v>Practices with NIST 800-171 Mappings</v>
      </c>
      <c r="F170" t="str">
        <f>INDEX('CMMC Levels'!$A$1:$F$172,MATCH('Selection Pane Data'!$C170,'CMMC Levels'!$A$1:$A$172,0),MATCH(Placemat!$F$4,'CMMC Levels'!$A$1:$F$1,0))</f>
        <v>N/A</v>
      </c>
      <c r="G170" s="77" t="str">
        <f>IF((COUNTIF(List!H168:CE168,"P")+COUNTIF(List!H168:CE168,"S"))=0,"N",IF(COUNTIF(H170:CE170,"P"),"P",IF(COUNTIF(H170:CE170,"S"),"S","U")))</f>
        <v>N</v>
      </c>
      <c r="H170" s="13" t="str">
        <f>IF(H$4="Yes",INDEX(List!$E$2:$CD$173,MATCH('Selection Pane Data'!$B170,List!$E$2:$E$173,0),MATCH('Selection Pane Data'!H$3,List!$E$2:$CD$2,0)),"")</f>
        <v/>
      </c>
      <c r="I170" s="13" t="str">
        <f>IF(I$4="Yes",INDEX(List!$E$2:$CD$173,MATCH('Selection Pane Data'!$B170,List!$E$2:$E$173,0),MATCH('Selection Pane Data'!I$3,List!$E$2:$CD$2,0)),"")</f>
        <v/>
      </c>
      <c r="J170" s="13" t="e">
        <f>IF(J$4="Yes",INDEX(List!$E$2:$CD$173,MATCH('Selection Pane Data'!$B170,List!$E$2:$E$173,0),MATCH('Selection Pane Data'!J$3,List!$E$2:$CD$2,0)),"")</f>
        <v>#N/A</v>
      </c>
      <c r="K170" s="13" t="str">
        <f>IF(K$4="Yes",INDEX(List!$E$2:$CD$173,MATCH('Selection Pane Data'!$B170,List!$E$2:$E$173,0),MATCH('Selection Pane Data'!K$3,List!$E$2:$CD$2,0)),"")</f>
        <v/>
      </c>
      <c r="L170" s="13" t="str">
        <f>IF(L$4="Yes",INDEX(List!$E$2:$CD$173,MATCH('Selection Pane Data'!$B170,List!$E$2:$E$173,0),MATCH('Selection Pane Data'!L$3,List!$E$2:$CD$2,0)),"")</f>
        <v/>
      </c>
      <c r="M170" s="13" t="str">
        <f>IF(M$4="Yes",INDEX(List!$E$2:$CD$173,MATCH('Selection Pane Data'!$B170,List!$E$2:$E$173,0),MATCH('Selection Pane Data'!M$3,List!$E$2:$CD$2,0)),"")</f>
        <v/>
      </c>
      <c r="N170" s="13" t="str">
        <f>IF(N$4="Yes",INDEX(List!$E$2:$CD$173,MATCH('Selection Pane Data'!$B170,List!$E$2:$E$173,0),MATCH('Selection Pane Data'!N$3,List!$E$2:$CD$2,0)),"")</f>
        <v/>
      </c>
      <c r="O170" s="13" t="str">
        <f>IF(O$4="Yes",INDEX(List!$E$2:$CD$173,MATCH('Selection Pane Data'!$B170,List!$E$2:$E$173,0),MATCH('Selection Pane Data'!O$3,List!$E$2:$CD$2,0)),"")</f>
        <v/>
      </c>
      <c r="P170" s="13" t="str">
        <f>IF(P$4="Yes",INDEX(List!$E$2:$CD$173,MATCH('Selection Pane Data'!$B170,List!$E$2:$E$173,0),MATCH('Selection Pane Data'!P$3,List!$E$2:$CD$2,0)),"")</f>
        <v/>
      </c>
      <c r="Q170" s="13" t="str">
        <f>IF(Q$4="Yes",INDEX(List!$E$2:$CD$173,MATCH('Selection Pane Data'!$B170,List!$E$2:$E$173,0),MATCH('Selection Pane Data'!Q$3,List!$E$2:$CD$2,0)),"")</f>
        <v/>
      </c>
      <c r="R170" s="13" t="str">
        <f>IF(R$4="Yes",INDEX(List!$E$2:$CD$173,MATCH('Selection Pane Data'!$B170,List!$E$2:$E$173,0),MATCH('Selection Pane Data'!R$3,List!$E$2:$CD$2,0)),"")</f>
        <v/>
      </c>
      <c r="S170" s="13" t="str">
        <f>IF(S$4="Yes",INDEX(List!$E$2:$CD$173,MATCH('Selection Pane Data'!$B170,List!$E$2:$E$173,0),MATCH('Selection Pane Data'!S$3,List!$E$2:$CD$2,0)),"")</f>
        <v/>
      </c>
      <c r="T170" s="13" t="str">
        <f>IF(T$4="Yes",INDEX(List!$E$2:$CD$173,MATCH('Selection Pane Data'!$B170,List!$E$2:$E$173,0),MATCH('Selection Pane Data'!T$3,List!$E$2:$CD$2,0)),"")</f>
        <v/>
      </c>
      <c r="U170" s="13" t="str">
        <f>IF(U$4="Yes",INDEX(List!$E$2:$CD$173,MATCH('Selection Pane Data'!$B170,List!$E$2:$E$173,0),MATCH('Selection Pane Data'!U$3,List!$E$2:$CD$2,0)),"")</f>
        <v/>
      </c>
      <c r="V170" s="13" t="str">
        <f>IF(V$4="Yes",INDEX(List!$E$2:$CD$173,MATCH('Selection Pane Data'!$B170,List!$E$2:$E$173,0),MATCH('Selection Pane Data'!V$3,List!$E$2:$CD$2,0)),"")</f>
        <v/>
      </c>
      <c r="W170" s="13" t="str">
        <f>IF(W$4="Yes",INDEX(List!$E$2:$CD$173,MATCH('Selection Pane Data'!$B170,List!$E$2:$E$173,0),MATCH('Selection Pane Data'!W$3,List!$E$2:$CD$2,0)),"")</f>
        <v/>
      </c>
      <c r="X170" s="13" t="str">
        <f>IF(X$4="Yes",INDEX(List!$E$2:$CD$173,MATCH('Selection Pane Data'!$B170,List!$E$2:$E$173,0),MATCH('Selection Pane Data'!X$3,List!$E$2:$CD$2,0)),"")</f>
        <v/>
      </c>
      <c r="Y170" s="13" t="str">
        <f>IF(Y$4="Yes",INDEX(List!$E$2:$CD$173,MATCH('Selection Pane Data'!$B170,List!$E$2:$E$173,0),MATCH('Selection Pane Data'!Y$3,List!$E$2:$CD$2,0)),"")</f>
        <v/>
      </c>
      <c r="Z170" s="13" t="str">
        <f>IF(Z$4="Yes",INDEX(List!$E$2:$CD$173,MATCH('Selection Pane Data'!$B170,List!$E$2:$E$173,0),MATCH('Selection Pane Data'!Z$3,List!$E$2:$CD$2,0)),"")</f>
        <v/>
      </c>
      <c r="AA170" s="13" t="e">
        <f>IF(AA$4="Yes",INDEX(List!$E$2:$CD$173,MATCH('Selection Pane Data'!$B170,List!$E$2:$E$173,0),MATCH('Selection Pane Data'!AA$3,List!$E$2:$CD$2,0)),"")</f>
        <v>#N/A</v>
      </c>
      <c r="AB170" s="13" t="str">
        <f>IF(AB$4="Yes",INDEX(List!$E$2:$CD$173,MATCH('Selection Pane Data'!$B170,List!$E$2:$E$173,0),MATCH('Selection Pane Data'!AB$3,List!$E$2:$CD$2,0)),"")</f>
        <v/>
      </c>
      <c r="AC170" s="13" t="str">
        <f>IF(AC$4="Yes",INDEX(List!$E$2:$CD$173,MATCH('Selection Pane Data'!$B170,List!$E$2:$E$173,0),MATCH('Selection Pane Data'!AC$3,List!$E$2:$CD$2,0)),"")</f>
        <v/>
      </c>
      <c r="AD170" s="13" t="str">
        <f>IF(AD$4="Yes",INDEX(List!$E$2:$CD$173,MATCH('Selection Pane Data'!$B170,List!$E$2:$E$173,0),MATCH('Selection Pane Data'!AD$3,List!$E$2:$CD$2,0)),"")</f>
        <v/>
      </c>
      <c r="AE170" s="13" t="str">
        <f>IF(AE$4="Yes",INDEX(List!$E$2:$CD$173,MATCH('Selection Pane Data'!$B170,List!$E$2:$E$173,0),MATCH('Selection Pane Data'!AE$3,List!$E$2:$CD$2,0)),"")</f>
        <v/>
      </c>
      <c r="AF170" s="13" t="str">
        <f>IF(AF$4="Yes",INDEX(List!$E$2:$CD$173,MATCH('Selection Pane Data'!$B170,List!$E$2:$E$173,0),MATCH('Selection Pane Data'!AF$3,List!$E$2:$CD$2,0)),"")</f>
        <v/>
      </c>
      <c r="AG170" s="13" t="str">
        <f>IF(AG$4="Yes",INDEX(List!$E$2:$CD$173,MATCH('Selection Pane Data'!$B170,List!$E$2:$E$173,0),MATCH('Selection Pane Data'!AG$3,List!$E$2:$CD$2,0)),"")</f>
        <v/>
      </c>
      <c r="AH170" s="13" t="str">
        <f>IF(AH$4="Yes",INDEX(List!$E$2:$CD$173,MATCH('Selection Pane Data'!$B170,List!$E$2:$E$173,0),MATCH('Selection Pane Data'!AH$3,List!$E$2:$CD$2,0)),"")</f>
        <v/>
      </c>
      <c r="AI170" s="13" t="str">
        <f>IF(AI$4="Yes",INDEX(List!$E$2:$CD$173,MATCH('Selection Pane Data'!$B170,List!$E$2:$E$173,0),MATCH('Selection Pane Data'!AI$3,List!$E$2:$CD$2,0)),"")</f>
        <v/>
      </c>
      <c r="AJ170" s="13" t="str">
        <f>IF(AJ$4="Yes",INDEX(List!$E$2:$CD$173,MATCH('Selection Pane Data'!$B170,List!$E$2:$E$173,0),MATCH('Selection Pane Data'!AJ$3,List!$E$2:$CD$2,0)),"")</f>
        <v/>
      </c>
      <c r="AK170" s="13" t="str">
        <f>IF(AK$4="Yes",INDEX(List!$E$2:$CD$173,MATCH('Selection Pane Data'!$B170,List!$E$2:$E$173,0),MATCH('Selection Pane Data'!AK$3,List!$E$2:$CD$2,0)),"")</f>
        <v/>
      </c>
      <c r="AL170" s="13" t="str">
        <f>IF(AL$4="Yes",INDEX(List!$E$2:$CD$173,MATCH('Selection Pane Data'!$B170,List!$E$2:$E$173,0),MATCH('Selection Pane Data'!AL$3,List!$E$2:$CD$2,0)),"")</f>
        <v/>
      </c>
      <c r="AM170" s="13" t="str">
        <f>IF(AM$4="Yes",INDEX(List!$E$2:$CD$173,MATCH('Selection Pane Data'!$B170,List!$E$2:$E$173,0),MATCH('Selection Pane Data'!AM$3,List!$E$2:$CD$2,0)),"")</f>
        <v/>
      </c>
      <c r="AN170" s="13" t="str">
        <f>IF(AN$4="Yes",INDEX(List!$E$2:$CD$173,MATCH('Selection Pane Data'!$B170,List!$E$2:$E$173,0),MATCH('Selection Pane Data'!AN$3,List!$E$2:$CD$2,0)),"")</f>
        <v/>
      </c>
      <c r="AO170" s="13" t="str">
        <f>IF(AO$4="Yes",INDEX(List!$E$2:$CD$173,MATCH('Selection Pane Data'!$B170,List!$E$2:$E$173,0),MATCH('Selection Pane Data'!AO$3,List!$E$2:$CD$2,0)),"")</f>
        <v/>
      </c>
      <c r="AP170" s="13" t="str">
        <f>IF(AP$4="Yes",INDEX(List!$E$2:$CD$173,MATCH('Selection Pane Data'!$B170,List!$E$2:$E$173,0),MATCH('Selection Pane Data'!AP$3,List!$E$2:$CD$2,0)),"")</f>
        <v/>
      </c>
      <c r="AQ170" s="13" t="str">
        <f>IF(AQ$4="Yes",INDEX(List!$E$2:$CD$173,MATCH('Selection Pane Data'!$B170,List!$E$2:$E$173,0),MATCH('Selection Pane Data'!AQ$3,List!$E$2:$CD$2,0)),"")</f>
        <v/>
      </c>
      <c r="AR170" s="13" t="str">
        <f>IF(AR$4="Yes",INDEX(List!$E$2:$CD$173,MATCH('Selection Pane Data'!$B170,List!$E$2:$E$173,0),MATCH('Selection Pane Data'!AR$3,List!$E$2:$CD$2,0)),"")</f>
        <v/>
      </c>
      <c r="AS170" s="13" t="str">
        <f>IF(AS$4="Yes",INDEX(List!$E$2:$CD$173,MATCH('Selection Pane Data'!$B170,List!$E$2:$E$173,0),MATCH('Selection Pane Data'!AS$3,List!$E$2:$CD$2,0)),"")</f>
        <v/>
      </c>
      <c r="AT170" s="13" t="str">
        <f>IF(AT$4="Yes",INDEX(List!$E$2:$CD$173,MATCH('Selection Pane Data'!$B170,List!$E$2:$E$173,0),MATCH('Selection Pane Data'!AT$3,List!$E$2:$CD$2,0)),"")</f>
        <v/>
      </c>
      <c r="AU170" s="13" t="str">
        <f>IF(AU$4="Yes",INDEX(List!$E$2:$CD$173,MATCH('Selection Pane Data'!$B170,List!$E$2:$E$173,0),MATCH('Selection Pane Data'!AU$3,List!$E$2:$CD$2,0)),"")</f>
        <v/>
      </c>
      <c r="AV170" s="13" t="str">
        <f>IF(AV$4="Yes",INDEX(List!$E$2:$CD$173,MATCH('Selection Pane Data'!$B170,List!$E$2:$E$173,0),MATCH('Selection Pane Data'!AV$3,List!$E$2:$CD$2,0)),"")</f>
        <v/>
      </c>
      <c r="AW170" s="13" t="str">
        <f>IF(AW$4="Yes",INDEX(List!$E$2:$CD$173,MATCH('Selection Pane Data'!$B170,List!$E$2:$E$173,0),MATCH('Selection Pane Data'!AW$3,List!$E$2:$CD$2,0)),"")</f>
        <v/>
      </c>
      <c r="AX170" s="13" t="str">
        <f>IF(AX$4="Yes",INDEX(List!$E$2:$CD$173,MATCH('Selection Pane Data'!$B170,List!$E$2:$E$173,0),MATCH('Selection Pane Data'!AX$3,List!$E$2:$CD$2,0)),"")</f>
        <v/>
      </c>
      <c r="AY170" s="13" t="str">
        <f>IF(AY$4="Yes",INDEX(List!$E$2:$CD$173,MATCH('Selection Pane Data'!$B170,List!$E$2:$E$173,0),MATCH('Selection Pane Data'!AY$3,List!$E$2:$CD$2,0)),"")</f>
        <v/>
      </c>
      <c r="AZ170" s="13" t="str">
        <f>IF(AZ$4="Yes",INDEX(List!$E$2:$CD$173,MATCH('Selection Pane Data'!$B170,List!$E$2:$E$173,0),MATCH('Selection Pane Data'!AZ$3,List!$E$2:$CD$2,0)),"")</f>
        <v/>
      </c>
      <c r="BA170" s="13" t="str">
        <f>IF(BA$4="Yes",INDEX(List!$E$2:$CD$173,MATCH('Selection Pane Data'!$B170,List!$E$2:$E$173,0),MATCH('Selection Pane Data'!BA$3,List!$E$2:$CD$2,0)),"")</f>
        <v/>
      </c>
      <c r="BB170" s="13" t="str">
        <f>IF(BB$4="Yes",INDEX(List!$E$2:$CD$173,MATCH('Selection Pane Data'!$B170,List!$E$2:$E$173,0),MATCH('Selection Pane Data'!BB$3,List!$E$2:$CD$2,0)),"")</f>
        <v/>
      </c>
      <c r="BC170" s="13" t="str">
        <f>IF(BC$4="Yes",INDEX(List!$E$2:$CD$173,MATCH('Selection Pane Data'!$B170,List!$E$2:$E$173,0),MATCH('Selection Pane Data'!BC$3,List!$E$2:$CD$2,0)),"")</f>
        <v/>
      </c>
      <c r="BD170" s="13" t="str">
        <f>IF(BD$4="Yes",INDEX(List!$E$2:$CD$173,MATCH('Selection Pane Data'!$B170,List!$E$2:$E$173,0),MATCH('Selection Pane Data'!BD$3,List!$E$2:$CD$2,0)),"")</f>
        <v/>
      </c>
      <c r="BE170" s="13" t="str">
        <f>IF(BE$4="Yes",INDEX(List!$E$2:$CD$173,MATCH('Selection Pane Data'!$B170,List!$E$2:$E$173,0),MATCH('Selection Pane Data'!BE$3,List!$E$2:$CD$2,0)),"")</f>
        <v/>
      </c>
      <c r="BF170" s="13" t="str">
        <f>IF(BF$4="Yes",INDEX(List!$E$2:$CD$173,MATCH('Selection Pane Data'!$B170,List!$E$2:$E$173,0),MATCH('Selection Pane Data'!BF$3,List!$E$2:$CD$2,0)),"")</f>
        <v/>
      </c>
      <c r="BG170" s="13" t="str">
        <f>IF(BG$4="Yes",INDEX(List!$E$2:$CD$173,MATCH('Selection Pane Data'!$B170,List!$E$2:$E$173,0),MATCH('Selection Pane Data'!BG$3,List!$E$2:$CD$2,0)),"")</f>
        <v/>
      </c>
      <c r="BH170" s="13" t="str">
        <f>IF(BH$4="Yes",INDEX(List!$E$2:$CD$173,MATCH('Selection Pane Data'!$B170,List!$E$2:$E$173,0),MATCH('Selection Pane Data'!BH$3,List!$E$2:$CD$2,0)),"")</f>
        <v/>
      </c>
      <c r="BI170" s="13" t="str">
        <f>IF(BI$4="Yes",INDEX(List!$E$2:$CD$173,MATCH('Selection Pane Data'!$B170,List!$E$2:$E$173,0),MATCH('Selection Pane Data'!BI$3,List!$E$2:$CD$2,0)),"")</f>
        <v/>
      </c>
      <c r="BJ170" s="13" t="str">
        <f>IF(BJ$4="Yes",INDEX(List!$E$2:$CD$173,MATCH('Selection Pane Data'!$B170,List!$E$2:$E$173,0),MATCH('Selection Pane Data'!BJ$3,List!$E$2:$CD$2,0)),"")</f>
        <v/>
      </c>
      <c r="BK170" s="13" t="str">
        <f>IF(BK$4="Yes",INDEX(List!$E$2:$CD$173,MATCH('Selection Pane Data'!$B170,List!$E$2:$E$173,0),MATCH('Selection Pane Data'!BK$3,List!$E$2:$CD$2,0)),"")</f>
        <v/>
      </c>
      <c r="BL170" s="13" t="str">
        <f>IF(BL$4="Yes",INDEX(List!$E$2:$CD$173,MATCH('Selection Pane Data'!$B170,List!$E$2:$E$173,0),MATCH('Selection Pane Data'!BL$3,List!$E$2:$CD$2,0)),"")</f>
        <v/>
      </c>
      <c r="BM170" s="13" t="str">
        <f>IF(BM$4="Yes",INDEX(List!$E$2:$CD$173,MATCH('Selection Pane Data'!$B170,List!$E$2:$E$173,0),MATCH('Selection Pane Data'!BM$3,List!$E$2:$CD$2,0)),"")</f>
        <v/>
      </c>
      <c r="BN170" s="13" t="str">
        <f>IF(BN$4="Yes",INDEX(List!$E$2:$CD$173,MATCH('Selection Pane Data'!$B170,List!$E$2:$E$173,0),MATCH('Selection Pane Data'!BN$3,List!$E$2:$CD$2,0)),"")</f>
        <v/>
      </c>
      <c r="BO170" s="13" t="str">
        <f>IF(BO$4="Yes",INDEX(List!$E$2:$CD$173,MATCH('Selection Pane Data'!$B170,List!$E$2:$E$173,0),MATCH('Selection Pane Data'!BO$3,List!$E$2:$CD$2,0)),"")</f>
        <v/>
      </c>
      <c r="BP170" s="13" t="str">
        <f>IF(BP$4="Yes",INDEX(List!$E$2:$CD$173,MATCH('Selection Pane Data'!$B170,List!$E$2:$E$173,0),MATCH('Selection Pane Data'!BP$3,List!$E$2:$CD$2,0)),"")</f>
        <v/>
      </c>
      <c r="BQ170" s="13" t="str">
        <f>IF(BQ$4="Yes",INDEX(List!$E$2:$CD$173,MATCH('Selection Pane Data'!$B170,List!$E$2:$E$173,0),MATCH('Selection Pane Data'!BQ$3,List!$E$2:$CD$2,0)),"")</f>
        <v/>
      </c>
      <c r="BR170" s="13" t="str">
        <f>IF(BR$4="Yes",INDEX(List!$E$2:$CD$173,MATCH('Selection Pane Data'!$B170,List!$E$2:$E$173,0),MATCH('Selection Pane Data'!BR$3,List!$E$2:$CD$2,0)),"")</f>
        <v/>
      </c>
      <c r="BS170" s="13" t="str">
        <f>IF(BS$4="Yes",INDEX(List!$E$2:$CD$173,MATCH('Selection Pane Data'!$B170,List!$E$2:$E$173,0),MATCH('Selection Pane Data'!BS$3,List!$E$2:$CD$2,0)),"")</f>
        <v/>
      </c>
      <c r="BT170" s="13" t="str">
        <f>IF(BT$4="Yes",INDEX(List!$E$2:$CD$173,MATCH('Selection Pane Data'!$B170,List!$E$2:$E$173,0),MATCH('Selection Pane Data'!BT$3,List!$E$2:$CD$2,0)),"")</f>
        <v/>
      </c>
      <c r="BU170" s="13" t="str">
        <f>IF(BU$4="Yes",INDEX(List!$E$2:$CD$173,MATCH('Selection Pane Data'!$B170,List!$E$2:$E$173,0),MATCH('Selection Pane Data'!BU$3,List!$E$2:$CD$2,0)),"")</f>
        <v/>
      </c>
      <c r="BV170" s="13" t="str">
        <f>IF(BV$4="Yes",INDEX(List!$E$2:$CD$173,MATCH('Selection Pane Data'!$B170,List!$E$2:$E$173,0),MATCH('Selection Pane Data'!BV$3,List!$E$2:$CD$2,0)),"")</f>
        <v/>
      </c>
      <c r="BW170" s="13" t="str">
        <f>IF(BW$4="Yes",INDEX(List!$E$2:$CD$173,MATCH('Selection Pane Data'!$B170,List!$E$2:$E$173,0),MATCH('Selection Pane Data'!BW$3,List!$E$2:$CD$2,0)),"")</f>
        <v/>
      </c>
      <c r="BX170" s="13" t="str">
        <f>IF(BX$4="Yes",INDEX(List!$E$2:$CD$173,MATCH('Selection Pane Data'!$B170,List!$E$2:$E$173,0),MATCH('Selection Pane Data'!BX$3,List!$E$2:$CD$2,0)),"")</f>
        <v/>
      </c>
      <c r="BY170" s="13" t="str">
        <f>IF(BY$4="Yes",INDEX(List!$E$2:$CD$173,MATCH('Selection Pane Data'!$B170,List!$E$2:$E$173,0),MATCH('Selection Pane Data'!BY$3,List!$E$2:$CD$2,0)),"")</f>
        <v/>
      </c>
      <c r="BZ170" s="13" t="str">
        <f>IF(BZ$4="Yes",INDEX(List!$E$2:$CD$173,MATCH('Selection Pane Data'!$B170,List!$E$2:$E$173,0),MATCH('Selection Pane Data'!BZ$3,List!$E$2:$CD$2,0)),"")</f>
        <v/>
      </c>
      <c r="CA170" s="13" t="str">
        <f>IF(CA$4="Yes",INDEX(List!$E$2:$CD$173,MATCH('Selection Pane Data'!$B170,List!$E$2:$E$173,0),MATCH('Selection Pane Data'!CA$3,List!$E$2:$CD$2,0)),"")</f>
        <v/>
      </c>
      <c r="CB170" s="13" t="str">
        <f>IF(CB$4="Yes",INDEX(List!$E$2:$CD$173,MATCH('Selection Pane Data'!$B170,List!$E$2:$E$173,0),MATCH('Selection Pane Data'!CB$3,List!$E$2:$CD$2,0)),"")</f>
        <v/>
      </c>
      <c r="CC170" s="13" t="str">
        <f>IF(CC$4="Yes",INDEX(List!$E$2:$CD$173,MATCH('Selection Pane Data'!$B170,List!$E$2:$E$173,0),MATCH('Selection Pane Data'!CC$3,List!$E$2:$CD$2,0)),"")</f>
        <v/>
      </c>
      <c r="CD170" s="13" t="str">
        <f>IF(CD$4="Yes",INDEX(List!$E$2:$CD$173,MATCH('Selection Pane Data'!$B170,List!$E$2:$E$173,0),MATCH('Selection Pane Data'!CD$3,List!$E$2:$CD$2,0)),"")</f>
        <v/>
      </c>
      <c r="CE170" s="13" t="str">
        <f>IF(CE$4="Yes",INDEX(List!$E$2:$CD$173,MATCH('Selection Pane Data'!$B170,List!$E$2:$E$173,0),MATCH('Selection Pane Data'!CE$3,List!$E$2:$CD$2,0)),"")</f>
        <v/>
      </c>
    </row>
    <row r="171" spans="2:83" x14ac:dyDescent="0.35">
      <c r="B171" s="21" t="s">
        <v>458</v>
      </c>
      <c r="C171" s="126" t="str">
        <f>VLOOKUP(B171,List!$E$2:$G$173,2,FALSE)</f>
        <v>N/A</v>
      </c>
      <c r="D171" s="31" t="str">
        <f>List!G169</f>
        <v>Customer Responsibility</v>
      </c>
      <c r="E171" s="31" t="str">
        <f>IF(Placemat!$F$4="All Practices","All Practices",IF(VLOOKUP(B171,Table7[#All],6,FALSE)="No Mapping","New CMMC Practices","Practices with NIST 800-171 Mappings"))</f>
        <v>Practices with NIST 800-171 Mappings</v>
      </c>
      <c r="F171" t="str">
        <f>INDEX('CMMC Levels'!$A$1:$F$172,MATCH('Selection Pane Data'!$C171,'CMMC Levels'!$A$1:$A$172,0),MATCH(Placemat!$F$4,'CMMC Levels'!$A$1:$F$1,0))</f>
        <v>N/A</v>
      </c>
      <c r="G171" s="77" t="str">
        <f>IF((COUNTIF(List!H169:CE169,"P")+COUNTIF(List!H169:CE169,"S"))=0,"N",IF(COUNTIF(H171:CE171,"P"),"P",IF(COUNTIF(H171:CE171,"S"),"S","U")))</f>
        <v>N</v>
      </c>
      <c r="H171" s="13" t="str">
        <f>IF(H$4="Yes",INDEX(List!$E$2:$CD$173,MATCH('Selection Pane Data'!$B171,List!$E$2:$E$173,0),MATCH('Selection Pane Data'!H$3,List!$E$2:$CD$2,0)),"")</f>
        <v/>
      </c>
      <c r="I171" s="13" t="str">
        <f>IF(I$4="Yes",INDEX(List!$E$2:$CD$173,MATCH('Selection Pane Data'!$B171,List!$E$2:$E$173,0),MATCH('Selection Pane Data'!I$3,List!$E$2:$CD$2,0)),"")</f>
        <v/>
      </c>
      <c r="J171" s="13" t="e">
        <f>IF(J$4="Yes",INDEX(List!$E$2:$CD$173,MATCH('Selection Pane Data'!$B171,List!$E$2:$E$173,0),MATCH('Selection Pane Data'!J$3,List!$E$2:$CD$2,0)),"")</f>
        <v>#N/A</v>
      </c>
      <c r="K171" s="13" t="str">
        <f>IF(K$4="Yes",INDEX(List!$E$2:$CD$173,MATCH('Selection Pane Data'!$B171,List!$E$2:$E$173,0),MATCH('Selection Pane Data'!K$3,List!$E$2:$CD$2,0)),"")</f>
        <v/>
      </c>
      <c r="L171" s="13" t="str">
        <f>IF(L$4="Yes",INDEX(List!$E$2:$CD$173,MATCH('Selection Pane Data'!$B171,List!$E$2:$E$173,0),MATCH('Selection Pane Data'!L$3,List!$E$2:$CD$2,0)),"")</f>
        <v/>
      </c>
      <c r="M171" s="13" t="str">
        <f>IF(M$4="Yes",INDEX(List!$E$2:$CD$173,MATCH('Selection Pane Data'!$B171,List!$E$2:$E$173,0),MATCH('Selection Pane Data'!M$3,List!$E$2:$CD$2,0)),"")</f>
        <v/>
      </c>
      <c r="N171" s="13" t="str">
        <f>IF(N$4="Yes",INDEX(List!$E$2:$CD$173,MATCH('Selection Pane Data'!$B171,List!$E$2:$E$173,0),MATCH('Selection Pane Data'!N$3,List!$E$2:$CD$2,0)),"")</f>
        <v/>
      </c>
      <c r="O171" s="13" t="str">
        <f>IF(O$4="Yes",INDEX(List!$E$2:$CD$173,MATCH('Selection Pane Data'!$B171,List!$E$2:$E$173,0),MATCH('Selection Pane Data'!O$3,List!$E$2:$CD$2,0)),"")</f>
        <v/>
      </c>
      <c r="P171" s="13" t="str">
        <f>IF(P$4="Yes",INDEX(List!$E$2:$CD$173,MATCH('Selection Pane Data'!$B171,List!$E$2:$E$173,0),MATCH('Selection Pane Data'!P$3,List!$E$2:$CD$2,0)),"")</f>
        <v/>
      </c>
      <c r="Q171" s="13" t="str">
        <f>IF(Q$4="Yes",INDEX(List!$E$2:$CD$173,MATCH('Selection Pane Data'!$B171,List!$E$2:$E$173,0),MATCH('Selection Pane Data'!Q$3,List!$E$2:$CD$2,0)),"")</f>
        <v/>
      </c>
      <c r="R171" s="13" t="str">
        <f>IF(R$4="Yes",INDEX(List!$E$2:$CD$173,MATCH('Selection Pane Data'!$B171,List!$E$2:$E$173,0),MATCH('Selection Pane Data'!R$3,List!$E$2:$CD$2,0)),"")</f>
        <v/>
      </c>
      <c r="S171" s="13" t="str">
        <f>IF(S$4="Yes",INDEX(List!$E$2:$CD$173,MATCH('Selection Pane Data'!$B171,List!$E$2:$E$173,0),MATCH('Selection Pane Data'!S$3,List!$E$2:$CD$2,0)),"")</f>
        <v/>
      </c>
      <c r="T171" s="13" t="str">
        <f>IF(T$4="Yes",INDEX(List!$E$2:$CD$173,MATCH('Selection Pane Data'!$B171,List!$E$2:$E$173,0),MATCH('Selection Pane Data'!T$3,List!$E$2:$CD$2,0)),"")</f>
        <v/>
      </c>
      <c r="U171" s="13" t="str">
        <f>IF(U$4="Yes",INDEX(List!$E$2:$CD$173,MATCH('Selection Pane Data'!$B171,List!$E$2:$E$173,0),MATCH('Selection Pane Data'!U$3,List!$E$2:$CD$2,0)),"")</f>
        <v/>
      </c>
      <c r="V171" s="13" t="str">
        <f>IF(V$4="Yes",INDEX(List!$E$2:$CD$173,MATCH('Selection Pane Data'!$B171,List!$E$2:$E$173,0),MATCH('Selection Pane Data'!V$3,List!$E$2:$CD$2,0)),"")</f>
        <v/>
      </c>
      <c r="W171" s="13" t="str">
        <f>IF(W$4="Yes",INDEX(List!$E$2:$CD$173,MATCH('Selection Pane Data'!$B171,List!$E$2:$E$173,0),MATCH('Selection Pane Data'!W$3,List!$E$2:$CD$2,0)),"")</f>
        <v/>
      </c>
      <c r="X171" s="13" t="str">
        <f>IF(X$4="Yes",INDEX(List!$E$2:$CD$173,MATCH('Selection Pane Data'!$B171,List!$E$2:$E$173,0),MATCH('Selection Pane Data'!X$3,List!$E$2:$CD$2,0)),"")</f>
        <v/>
      </c>
      <c r="Y171" s="13" t="str">
        <f>IF(Y$4="Yes",INDEX(List!$E$2:$CD$173,MATCH('Selection Pane Data'!$B171,List!$E$2:$E$173,0),MATCH('Selection Pane Data'!Y$3,List!$E$2:$CD$2,0)),"")</f>
        <v/>
      </c>
      <c r="Z171" s="13" t="str">
        <f>IF(Z$4="Yes",INDEX(List!$E$2:$CD$173,MATCH('Selection Pane Data'!$B171,List!$E$2:$E$173,0),MATCH('Selection Pane Data'!Z$3,List!$E$2:$CD$2,0)),"")</f>
        <v/>
      </c>
      <c r="AA171" s="13" t="e">
        <f>IF(AA$4="Yes",INDEX(List!$E$2:$CD$173,MATCH('Selection Pane Data'!$B171,List!$E$2:$E$173,0),MATCH('Selection Pane Data'!AA$3,List!$E$2:$CD$2,0)),"")</f>
        <v>#N/A</v>
      </c>
      <c r="AB171" s="13" t="str">
        <f>IF(AB$4="Yes",INDEX(List!$E$2:$CD$173,MATCH('Selection Pane Data'!$B171,List!$E$2:$E$173,0),MATCH('Selection Pane Data'!AB$3,List!$E$2:$CD$2,0)),"")</f>
        <v/>
      </c>
      <c r="AC171" s="13" t="str">
        <f>IF(AC$4="Yes",INDEX(List!$E$2:$CD$173,MATCH('Selection Pane Data'!$B171,List!$E$2:$E$173,0),MATCH('Selection Pane Data'!AC$3,List!$E$2:$CD$2,0)),"")</f>
        <v/>
      </c>
      <c r="AD171" s="13" t="str">
        <f>IF(AD$4="Yes",INDEX(List!$E$2:$CD$173,MATCH('Selection Pane Data'!$B171,List!$E$2:$E$173,0),MATCH('Selection Pane Data'!AD$3,List!$E$2:$CD$2,0)),"")</f>
        <v/>
      </c>
      <c r="AE171" s="13" t="str">
        <f>IF(AE$4="Yes",INDEX(List!$E$2:$CD$173,MATCH('Selection Pane Data'!$B171,List!$E$2:$E$173,0),MATCH('Selection Pane Data'!AE$3,List!$E$2:$CD$2,0)),"")</f>
        <v/>
      </c>
      <c r="AF171" s="13" t="str">
        <f>IF(AF$4="Yes",INDEX(List!$E$2:$CD$173,MATCH('Selection Pane Data'!$B171,List!$E$2:$E$173,0),MATCH('Selection Pane Data'!AF$3,List!$E$2:$CD$2,0)),"")</f>
        <v/>
      </c>
      <c r="AG171" s="13" t="str">
        <f>IF(AG$4="Yes",INDEX(List!$E$2:$CD$173,MATCH('Selection Pane Data'!$B171,List!$E$2:$E$173,0),MATCH('Selection Pane Data'!AG$3,List!$E$2:$CD$2,0)),"")</f>
        <v/>
      </c>
      <c r="AH171" s="13" t="str">
        <f>IF(AH$4="Yes",INDEX(List!$E$2:$CD$173,MATCH('Selection Pane Data'!$B171,List!$E$2:$E$173,0),MATCH('Selection Pane Data'!AH$3,List!$E$2:$CD$2,0)),"")</f>
        <v/>
      </c>
      <c r="AI171" s="13" t="str">
        <f>IF(AI$4="Yes",INDEX(List!$E$2:$CD$173,MATCH('Selection Pane Data'!$B171,List!$E$2:$E$173,0),MATCH('Selection Pane Data'!AI$3,List!$E$2:$CD$2,0)),"")</f>
        <v/>
      </c>
      <c r="AJ171" s="13" t="str">
        <f>IF(AJ$4="Yes",INDEX(List!$E$2:$CD$173,MATCH('Selection Pane Data'!$B171,List!$E$2:$E$173,0),MATCH('Selection Pane Data'!AJ$3,List!$E$2:$CD$2,0)),"")</f>
        <v/>
      </c>
      <c r="AK171" s="13" t="str">
        <f>IF(AK$4="Yes",INDEX(List!$E$2:$CD$173,MATCH('Selection Pane Data'!$B171,List!$E$2:$E$173,0),MATCH('Selection Pane Data'!AK$3,List!$E$2:$CD$2,0)),"")</f>
        <v/>
      </c>
      <c r="AL171" s="13" t="str">
        <f>IF(AL$4="Yes",INDEX(List!$E$2:$CD$173,MATCH('Selection Pane Data'!$B171,List!$E$2:$E$173,0),MATCH('Selection Pane Data'!AL$3,List!$E$2:$CD$2,0)),"")</f>
        <v/>
      </c>
      <c r="AM171" s="13" t="str">
        <f>IF(AM$4="Yes",INDEX(List!$E$2:$CD$173,MATCH('Selection Pane Data'!$B171,List!$E$2:$E$173,0),MATCH('Selection Pane Data'!AM$3,List!$E$2:$CD$2,0)),"")</f>
        <v/>
      </c>
      <c r="AN171" s="13" t="str">
        <f>IF(AN$4="Yes",INDEX(List!$E$2:$CD$173,MATCH('Selection Pane Data'!$B171,List!$E$2:$E$173,0),MATCH('Selection Pane Data'!AN$3,List!$E$2:$CD$2,0)),"")</f>
        <v/>
      </c>
      <c r="AO171" s="13" t="str">
        <f>IF(AO$4="Yes",INDEX(List!$E$2:$CD$173,MATCH('Selection Pane Data'!$B171,List!$E$2:$E$173,0),MATCH('Selection Pane Data'!AO$3,List!$E$2:$CD$2,0)),"")</f>
        <v/>
      </c>
      <c r="AP171" s="13" t="str">
        <f>IF(AP$4="Yes",INDEX(List!$E$2:$CD$173,MATCH('Selection Pane Data'!$B171,List!$E$2:$E$173,0),MATCH('Selection Pane Data'!AP$3,List!$E$2:$CD$2,0)),"")</f>
        <v/>
      </c>
      <c r="AQ171" s="13" t="str">
        <f>IF(AQ$4="Yes",INDEX(List!$E$2:$CD$173,MATCH('Selection Pane Data'!$B171,List!$E$2:$E$173,0),MATCH('Selection Pane Data'!AQ$3,List!$E$2:$CD$2,0)),"")</f>
        <v/>
      </c>
      <c r="AR171" s="13" t="str">
        <f>IF(AR$4="Yes",INDEX(List!$E$2:$CD$173,MATCH('Selection Pane Data'!$B171,List!$E$2:$E$173,0),MATCH('Selection Pane Data'!AR$3,List!$E$2:$CD$2,0)),"")</f>
        <v/>
      </c>
      <c r="AS171" s="13" t="str">
        <f>IF(AS$4="Yes",INDEX(List!$E$2:$CD$173,MATCH('Selection Pane Data'!$B171,List!$E$2:$E$173,0),MATCH('Selection Pane Data'!AS$3,List!$E$2:$CD$2,0)),"")</f>
        <v/>
      </c>
      <c r="AT171" s="13" t="str">
        <f>IF(AT$4="Yes",INDEX(List!$E$2:$CD$173,MATCH('Selection Pane Data'!$B171,List!$E$2:$E$173,0),MATCH('Selection Pane Data'!AT$3,List!$E$2:$CD$2,0)),"")</f>
        <v/>
      </c>
      <c r="AU171" s="13" t="str">
        <f>IF(AU$4="Yes",INDEX(List!$E$2:$CD$173,MATCH('Selection Pane Data'!$B171,List!$E$2:$E$173,0),MATCH('Selection Pane Data'!AU$3,List!$E$2:$CD$2,0)),"")</f>
        <v/>
      </c>
      <c r="AV171" s="13" t="str">
        <f>IF(AV$4="Yes",INDEX(List!$E$2:$CD$173,MATCH('Selection Pane Data'!$B171,List!$E$2:$E$173,0),MATCH('Selection Pane Data'!AV$3,List!$E$2:$CD$2,0)),"")</f>
        <v/>
      </c>
      <c r="AW171" s="13" t="str">
        <f>IF(AW$4="Yes",INDEX(List!$E$2:$CD$173,MATCH('Selection Pane Data'!$B171,List!$E$2:$E$173,0),MATCH('Selection Pane Data'!AW$3,List!$E$2:$CD$2,0)),"")</f>
        <v/>
      </c>
      <c r="AX171" s="13" t="str">
        <f>IF(AX$4="Yes",INDEX(List!$E$2:$CD$173,MATCH('Selection Pane Data'!$B171,List!$E$2:$E$173,0),MATCH('Selection Pane Data'!AX$3,List!$E$2:$CD$2,0)),"")</f>
        <v/>
      </c>
      <c r="AY171" s="13" t="str">
        <f>IF(AY$4="Yes",INDEX(List!$E$2:$CD$173,MATCH('Selection Pane Data'!$B171,List!$E$2:$E$173,0),MATCH('Selection Pane Data'!AY$3,List!$E$2:$CD$2,0)),"")</f>
        <v/>
      </c>
      <c r="AZ171" s="13" t="str">
        <f>IF(AZ$4="Yes",INDEX(List!$E$2:$CD$173,MATCH('Selection Pane Data'!$B171,List!$E$2:$E$173,0),MATCH('Selection Pane Data'!AZ$3,List!$E$2:$CD$2,0)),"")</f>
        <v/>
      </c>
      <c r="BA171" s="13" t="str">
        <f>IF(BA$4="Yes",INDEX(List!$E$2:$CD$173,MATCH('Selection Pane Data'!$B171,List!$E$2:$E$173,0),MATCH('Selection Pane Data'!BA$3,List!$E$2:$CD$2,0)),"")</f>
        <v/>
      </c>
      <c r="BB171" s="13" t="str">
        <f>IF(BB$4="Yes",INDEX(List!$E$2:$CD$173,MATCH('Selection Pane Data'!$B171,List!$E$2:$E$173,0),MATCH('Selection Pane Data'!BB$3,List!$E$2:$CD$2,0)),"")</f>
        <v/>
      </c>
      <c r="BC171" s="13" t="str">
        <f>IF(BC$4="Yes",INDEX(List!$E$2:$CD$173,MATCH('Selection Pane Data'!$B171,List!$E$2:$E$173,0),MATCH('Selection Pane Data'!BC$3,List!$E$2:$CD$2,0)),"")</f>
        <v/>
      </c>
      <c r="BD171" s="13" t="str">
        <f>IF(BD$4="Yes",INDEX(List!$E$2:$CD$173,MATCH('Selection Pane Data'!$B171,List!$E$2:$E$173,0),MATCH('Selection Pane Data'!BD$3,List!$E$2:$CD$2,0)),"")</f>
        <v/>
      </c>
      <c r="BE171" s="13" t="str">
        <f>IF(BE$4="Yes",INDEX(List!$E$2:$CD$173,MATCH('Selection Pane Data'!$B171,List!$E$2:$E$173,0),MATCH('Selection Pane Data'!BE$3,List!$E$2:$CD$2,0)),"")</f>
        <v/>
      </c>
      <c r="BF171" s="13" t="str">
        <f>IF(BF$4="Yes",INDEX(List!$E$2:$CD$173,MATCH('Selection Pane Data'!$B171,List!$E$2:$E$173,0),MATCH('Selection Pane Data'!BF$3,List!$E$2:$CD$2,0)),"")</f>
        <v/>
      </c>
      <c r="BG171" s="13" t="str">
        <f>IF(BG$4="Yes",INDEX(List!$E$2:$CD$173,MATCH('Selection Pane Data'!$B171,List!$E$2:$E$173,0),MATCH('Selection Pane Data'!BG$3,List!$E$2:$CD$2,0)),"")</f>
        <v/>
      </c>
      <c r="BH171" s="13" t="str">
        <f>IF(BH$4="Yes",INDEX(List!$E$2:$CD$173,MATCH('Selection Pane Data'!$B171,List!$E$2:$E$173,0),MATCH('Selection Pane Data'!BH$3,List!$E$2:$CD$2,0)),"")</f>
        <v/>
      </c>
      <c r="BI171" s="13" t="str">
        <f>IF(BI$4="Yes",INDEX(List!$E$2:$CD$173,MATCH('Selection Pane Data'!$B171,List!$E$2:$E$173,0),MATCH('Selection Pane Data'!BI$3,List!$E$2:$CD$2,0)),"")</f>
        <v/>
      </c>
      <c r="BJ171" s="13" t="str">
        <f>IF(BJ$4="Yes",INDEX(List!$E$2:$CD$173,MATCH('Selection Pane Data'!$B171,List!$E$2:$E$173,0),MATCH('Selection Pane Data'!BJ$3,List!$E$2:$CD$2,0)),"")</f>
        <v/>
      </c>
      <c r="BK171" s="13" t="str">
        <f>IF(BK$4="Yes",INDEX(List!$E$2:$CD$173,MATCH('Selection Pane Data'!$B171,List!$E$2:$E$173,0),MATCH('Selection Pane Data'!BK$3,List!$E$2:$CD$2,0)),"")</f>
        <v/>
      </c>
      <c r="BL171" s="13" t="str">
        <f>IF(BL$4="Yes",INDEX(List!$E$2:$CD$173,MATCH('Selection Pane Data'!$B171,List!$E$2:$E$173,0),MATCH('Selection Pane Data'!BL$3,List!$E$2:$CD$2,0)),"")</f>
        <v/>
      </c>
      <c r="BM171" s="13" t="str">
        <f>IF(BM$4="Yes",INDEX(List!$E$2:$CD$173,MATCH('Selection Pane Data'!$B171,List!$E$2:$E$173,0),MATCH('Selection Pane Data'!BM$3,List!$E$2:$CD$2,0)),"")</f>
        <v/>
      </c>
      <c r="BN171" s="13" t="str">
        <f>IF(BN$4="Yes",INDEX(List!$E$2:$CD$173,MATCH('Selection Pane Data'!$B171,List!$E$2:$E$173,0),MATCH('Selection Pane Data'!BN$3,List!$E$2:$CD$2,0)),"")</f>
        <v/>
      </c>
      <c r="BO171" s="13" t="str">
        <f>IF(BO$4="Yes",INDEX(List!$E$2:$CD$173,MATCH('Selection Pane Data'!$B171,List!$E$2:$E$173,0),MATCH('Selection Pane Data'!BO$3,List!$E$2:$CD$2,0)),"")</f>
        <v/>
      </c>
      <c r="BP171" s="13" t="str">
        <f>IF(BP$4="Yes",INDEX(List!$E$2:$CD$173,MATCH('Selection Pane Data'!$B171,List!$E$2:$E$173,0),MATCH('Selection Pane Data'!BP$3,List!$E$2:$CD$2,0)),"")</f>
        <v/>
      </c>
      <c r="BQ171" s="13" t="str">
        <f>IF(BQ$4="Yes",INDEX(List!$E$2:$CD$173,MATCH('Selection Pane Data'!$B171,List!$E$2:$E$173,0),MATCH('Selection Pane Data'!BQ$3,List!$E$2:$CD$2,0)),"")</f>
        <v/>
      </c>
      <c r="BR171" s="13" t="str">
        <f>IF(BR$4="Yes",INDEX(List!$E$2:$CD$173,MATCH('Selection Pane Data'!$B171,List!$E$2:$E$173,0),MATCH('Selection Pane Data'!BR$3,List!$E$2:$CD$2,0)),"")</f>
        <v/>
      </c>
      <c r="BS171" s="13" t="str">
        <f>IF(BS$4="Yes",INDEX(List!$E$2:$CD$173,MATCH('Selection Pane Data'!$B171,List!$E$2:$E$173,0),MATCH('Selection Pane Data'!BS$3,List!$E$2:$CD$2,0)),"")</f>
        <v/>
      </c>
      <c r="BT171" s="13" t="str">
        <f>IF(BT$4="Yes",INDEX(List!$E$2:$CD$173,MATCH('Selection Pane Data'!$B171,List!$E$2:$E$173,0),MATCH('Selection Pane Data'!BT$3,List!$E$2:$CD$2,0)),"")</f>
        <v/>
      </c>
      <c r="BU171" s="13" t="str">
        <f>IF(BU$4="Yes",INDEX(List!$E$2:$CD$173,MATCH('Selection Pane Data'!$B171,List!$E$2:$E$173,0),MATCH('Selection Pane Data'!BU$3,List!$E$2:$CD$2,0)),"")</f>
        <v/>
      </c>
      <c r="BV171" s="13" t="str">
        <f>IF(BV$4="Yes",INDEX(List!$E$2:$CD$173,MATCH('Selection Pane Data'!$B171,List!$E$2:$E$173,0),MATCH('Selection Pane Data'!BV$3,List!$E$2:$CD$2,0)),"")</f>
        <v/>
      </c>
      <c r="BW171" s="13" t="str">
        <f>IF(BW$4="Yes",INDEX(List!$E$2:$CD$173,MATCH('Selection Pane Data'!$B171,List!$E$2:$E$173,0),MATCH('Selection Pane Data'!BW$3,List!$E$2:$CD$2,0)),"")</f>
        <v/>
      </c>
      <c r="BX171" s="13" t="str">
        <f>IF(BX$4="Yes",INDEX(List!$E$2:$CD$173,MATCH('Selection Pane Data'!$B171,List!$E$2:$E$173,0),MATCH('Selection Pane Data'!BX$3,List!$E$2:$CD$2,0)),"")</f>
        <v/>
      </c>
      <c r="BY171" s="13" t="str">
        <f>IF(BY$4="Yes",INDEX(List!$E$2:$CD$173,MATCH('Selection Pane Data'!$B171,List!$E$2:$E$173,0),MATCH('Selection Pane Data'!BY$3,List!$E$2:$CD$2,0)),"")</f>
        <v/>
      </c>
      <c r="BZ171" s="13" t="str">
        <f>IF(BZ$4="Yes",INDEX(List!$E$2:$CD$173,MATCH('Selection Pane Data'!$B171,List!$E$2:$E$173,0),MATCH('Selection Pane Data'!BZ$3,List!$E$2:$CD$2,0)),"")</f>
        <v/>
      </c>
      <c r="CA171" s="13" t="str">
        <f>IF(CA$4="Yes",INDEX(List!$E$2:$CD$173,MATCH('Selection Pane Data'!$B171,List!$E$2:$E$173,0),MATCH('Selection Pane Data'!CA$3,List!$E$2:$CD$2,0)),"")</f>
        <v/>
      </c>
      <c r="CB171" s="13" t="str">
        <f>IF(CB$4="Yes",INDEX(List!$E$2:$CD$173,MATCH('Selection Pane Data'!$B171,List!$E$2:$E$173,0),MATCH('Selection Pane Data'!CB$3,List!$E$2:$CD$2,0)),"")</f>
        <v/>
      </c>
      <c r="CC171" s="13" t="str">
        <f>IF(CC$4="Yes",INDEX(List!$E$2:$CD$173,MATCH('Selection Pane Data'!$B171,List!$E$2:$E$173,0),MATCH('Selection Pane Data'!CC$3,List!$E$2:$CD$2,0)),"")</f>
        <v/>
      </c>
      <c r="CD171" s="13" t="str">
        <f>IF(CD$4="Yes",INDEX(List!$E$2:$CD$173,MATCH('Selection Pane Data'!$B171,List!$E$2:$E$173,0),MATCH('Selection Pane Data'!CD$3,List!$E$2:$CD$2,0)),"")</f>
        <v/>
      </c>
      <c r="CE171" s="13" t="str">
        <f>IF(CE$4="Yes",INDEX(List!$E$2:$CD$173,MATCH('Selection Pane Data'!$B171,List!$E$2:$E$173,0),MATCH('Selection Pane Data'!CE$3,List!$E$2:$CD$2,0)),"")</f>
        <v/>
      </c>
    </row>
    <row r="172" spans="2:83" x14ac:dyDescent="0.35">
      <c r="B172" s="21" t="s">
        <v>459</v>
      </c>
      <c r="C172" s="126" t="str">
        <f>VLOOKUP(B172,List!$E$2:$G$173,2,FALSE)</f>
        <v>N/A</v>
      </c>
      <c r="D172" s="31" t="str">
        <f>List!G170</f>
        <v>Shared Coverage</v>
      </c>
      <c r="E172" s="31" t="str">
        <f>IF(Placemat!$F$4="All Practices","All Practices",IF(VLOOKUP(B172,Table7[#All],6,FALSE)="No Mapping","New CMMC Practices","Practices with NIST 800-171 Mappings"))</f>
        <v>Practices with NIST 800-171 Mappings</v>
      </c>
      <c r="F172" t="str">
        <f>INDEX('CMMC Levels'!$A$1:$F$172,MATCH('Selection Pane Data'!$C172,'CMMC Levels'!$A$1:$A$172,0),MATCH(Placemat!$F$4,'CMMC Levels'!$A$1:$F$1,0))</f>
        <v>N/A</v>
      </c>
      <c r="G172" s="77" t="str">
        <f>IF((COUNTIF(List!H170:CE170,"P")+COUNTIF(List!H170:CE170,"S"))=0,"N",IF(COUNTIF(H172:CE172,"P"),"P",IF(COUNTIF(H172:CE172,"S"),"S","U")))</f>
        <v>N</v>
      </c>
      <c r="H172" s="13" t="str">
        <f>IF(H$4="Yes",INDEX(List!$E$2:$CD$173,MATCH('Selection Pane Data'!$B172,List!$E$2:$E$173,0),MATCH('Selection Pane Data'!H$3,List!$E$2:$CD$2,0)),"")</f>
        <v/>
      </c>
      <c r="I172" s="13" t="str">
        <f>IF(I$4="Yes",INDEX(List!$E$2:$CD$173,MATCH('Selection Pane Data'!$B172,List!$E$2:$E$173,0),MATCH('Selection Pane Data'!I$3,List!$E$2:$CD$2,0)),"")</f>
        <v/>
      </c>
      <c r="J172" s="13" t="e">
        <f>IF(J$4="Yes",INDEX(List!$E$2:$CD$173,MATCH('Selection Pane Data'!$B172,List!$E$2:$E$173,0),MATCH('Selection Pane Data'!J$3,List!$E$2:$CD$2,0)),"")</f>
        <v>#N/A</v>
      </c>
      <c r="K172" s="13" t="str">
        <f>IF(K$4="Yes",INDEX(List!$E$2:$CD$173,MATCH('Selection Pane Data'!$B172,List!$E$2:$E$173,0),MATCH('Selection Pane Data'!K$3,List!$E$2:$CD$2,0)),"")</f>
        <v/>
      </c>
      <c r="L172" s="13" t="str">
        <f>IF(L$4="Yes",INDEX(List!$E$2:$CD$173,MATCH('Selection Pane Data'!$B172,List!$E$2:$E$173,0),MATCH('Selection Pane Data'!L$3,List!$E$2:$CD$2,0)),"")</f>
        <v/>
      </c>
      <c r="M172" s="13" t="str">
        <f>IF(M$4="Yes",INDEX(List!$E$2:$CD$173,MATCH('Selection Pane Data'!$B172,List!$E$2:$E$173,0),MATCH('Selection Pane Data'!M$3,List!$E$2:$CD$2,0)),"")</f>
        <v/>
      </c>
      <c r="N172" s="13" t="str">
        <f>IF(N$4="Yes",INDEX(List!$E$2:$CD$173,MATCH('Selection Pane Data'!$B172,List!$E$2:$E$173,0),MATCH('Selection Pane Data'!N$3,List!$E$2:$CD$2,0)),"")</f>
        <v/>
      </c>
      <c r="O172" s="13" t="str">
        <f>IF(O$4="Yes",INDEX(List!$E$2:$CD$173,MATCH('Selection Pane Data'!$B172,List!$E$2:$E$173,0),MATCH('Selection Pane Data'!O$3,List!$E$2:$CD$2,0)),"")</f>
        <v/>
      </c>
      <c r="P172" s="13" t="str">
        <f>IF(P$4="Yes",INDEX(List!$E$2:$CD$173,MATCH('Selection Pane Data'!$B172,List!$E$2:$E$173,0),MATCH('Selection Pane Data'!P$3,List!$E$2:$CD$2,0)),"")</f>
        <v/>
      </c>
      <c r="Q172" s="13" t="str">
        <f>IF(Q$4="Yes",INDEX(List!$E$2:$CD$173,MATCH('Selection Pane Data'!$B172,List!$E$2:$E$173,0),MATCH('Selection Pane Data'!Q$3,List!$E$2:$CD$2,0)),"")</f>
        <v/>
      </c>
      <c r="R172" s="13" t="str">
        <f>IF(R$4="Yes",INDEX(List!$E$2:$CD$173,MATCH('Selection Pane Data'!$B172,List!$E$2:$E$173,0),MATCH('Selection Pane Data'!R$3,List!$E$2:$CD$2,0)),"")</f>
        <v/>
      </c>
      <c r="S172" s="13" t="str">
        <f>IF(S$4="Yes",INDEX(List!$E$2:$CD$173,MATCH('Selection Pane Data'!$B172,List!$E$2:$E$173,0),MATCH('Selection Pane Data'!S$3,List!$E$2:$CD$2,0)),"")</f>
        <v/>
      </c>
      <c r="T172" s="13" t="str">
        <f>IF(T$4="Yes",INDEX(List!$E$2:$CD$173,MATCH('Selection Pane Data'!$B172,List!$E$2:$E$173,0),MATCH('Selection Pane Data'!T$3,List!$E$2:$CD$2,0)),"")</f>
        <v/>
      </c>
      <c r="U172" s="13" t="str">
        <f>IF(U$4="Yes",INDEX(List!$E$2:$CD$173,MATCH('Selection Pane Data'!$B172,List!$E$2:$E$173,0),MATCH('Selection Pane Data'!U$3,List!$E$2:$CD$2,0)),"")</f>
        <v/>
      </c>
      <c r="V172" s="13" t="str">
        <f>IF(V$4="Yes",INDEX(List!$E$2:$CD$173,MATCH('Selection Pane Data'!$B172,List!$E$2:$E$173,0),MATCH('Selection Pane Data'!V$3,List!$E$2:$CD$2,0)),"")</f>
        <v/>
      </c>
      <c r="W172" s="13" t="str">
        <f>IF(W$4="Yes",INDEX(List!$E$2:$CD$173,MATCH('Selection Pane Data'!$B172,List!$E$2:$E$173,0),MATCH('Selection Pane Data'!W$3,List!$E$2:$CD$2,0)),"")</f>
        <v/>
      </c>
      <c r="X172" s="13" t="str">
        <f>IF(X$4="Yes",INDEX(List!$E$2:$CD$173,MATCH('Selection Pane Data'!$B172,List!$E$2:$E$173,0),MATCH('Selection Pane Data'!X$3,List!$E$2:$CD$2,0)),"")</f>
        <v/>
      </c>
      <c r="Y172" s="13" t="str">
        <f>IF(Y$4="Yes",INDEX(List!$E$2:$CD$173,MATCH('Selection Pane Data'!$B172,List!$E$2:$E$173,0),MATCH('Selection Pane Data'!Y$3,List!$E$2:$CD$2,0)),"")</f>
        <v/>
      </c>
      <c r="Z172" s="13" t="str">
        <f>IF(Z$4="Yes",INDEX(List!$E$2:$CD$173,MATCH('Selection Pane Data'!$B172,List!$E$2:$E$173,0),MATCH('Selection Pane Data'!Z$3,List!$E$2:$CD$2,0)),"")</f>
        <v/>
      </c>
      <c r="AA172" s="13" t="e">
        <f>IF(AA$4="Yes",INDEX(List!$E$2:$CD$173,MATCH('Selection Pane Data'!$B172,List!$E$2:$E$173,0),MATCH('Selection Pane Data'!AA$3,List!$E$2:$CD$2,0)),"")</f>
        <v>#N/A</v>
      </c>
      <c r="AB172" s="13" t="str">
        <f>IF(AB$4="Yes",INDEX(List!$E$2:$CD$173,MATCH('Selection Pane Data'!$B172,List!$E$2:$E$173,0),MATCH('Selection Pane Data'!AB$3,List!$E$2:$CD$2,0)),"")</f>
        <v/>
      </c>
      <c r="AC172" s="13" t="str">
        <f>IF(AC$4="Yes",INDEX(List!$E$2:$CD$173,MATCH('Selection Pane Data'!$B172,List!$E$2:$E$173,0),MATCH('Selection Pane Data'!AC$3,List!$E$2:$CD$2,0)),"")</f>
        <v/>
      </c>
      <c r="AD172" s="13" t="str">
        <f>IF(AD$4="Yes",INDEX(List!$E$2:$CD$173,MATCH('Selection Pane Data'!$B172,List!$E$2:$E$173,0),MATCH('Selection Pane Data'!AD$3,List!$E$2:$CD$2,0)),"")</f>
        <v/>
      </c>
      <c r="AE172" s="13" t="str">
        <f>IF(AE$4="Yes",INDEX(List!$E$2:$CD$173,MATCH('Selection Pane Data'!$B172,List!$E$2:$E$173,0),MATCH('Selection Pane Data'!AE$3,List!$E$2:$CD$2,0)),"")</f>
        <v/>
      </c>
      <c r="AF172" s="13" t="str">
        <f>IF(AF$4="Yes",INDEX(List!$E$2:$CD$173,MATCH('Selection Pane Data'!$B172,List!$E$2:$E$173,0),MATCH('Selection Pane Data'!AF$3,List!$E$2:$CD$2,0)),"")</f>
        <v/>
      </c>
      <c r="AG172" s="13" t="str">
        <f>IF(AG$4="Yes",INDEX(List!$E$2:$CD$173,MATCH('Selection Pane Data'!$B172,List!$E$2:$E$173,0),MATCH('Selection Pane Data'!AG$3,List!$E$2:$CD$2,0)),"")</f>
        <v/>
      </c>
      <c r="AH172" s="13" t="str">
        <f>IF(AH$4="Yes",INDEX(List!$E$2:$CD$173,MATCH('Selection Pane Data'!$B172,List!$E$2:$E$173,0),MATCH('Selection Pane Data'!AH$3,List!$E$2:$CD$2,0)),"")</f>
        <v/>
      </c>
      <c r="AI172" s="13" t="str">
        <f>IF(AI$4="Yes",INDEX(List!$E$2:$CD$173,MATCH('Selection Pane Data'!$B172,List!$E$2:$E$173,0),MATCH('Selection Pane Data'!AI$3,List!$E$2:$CD$2,0)),"")</f>
        <v/>
      </c>
      <c r="AJ172" s="13" t="str">
        <f>IF(AJ$4="Yes",INDEX(List!$E$2:$CD$173,MATCH('Selection Pane Data'!$B172,List!$E$2:$E$173,0),MATCH('Selection Pane Data'!AJ$3,List!$E$2:$CD$2,0)),"")</f>
        <v/>
      </c>
      <c r="AK172" s="13" t="str">
        <f>IF(AK$4="Yes",INDEX(List!$E$2:$CD$173,MATCH('Selection Pane Data'!$B172,List!$E$2:$E$173,0),MATCH('Selection Pane Data'!AK$3,List!$E$2:$CD$2,0)),"")</f>
        <v/>
      </c>
      <c r="AL172" s="13" t="str">
        <f>IF(AL$4="Yes",INDEX(List!$E$2:$CD$173,MATCH('Selection Pane Data'!$B172,List!$E$2:$E$173,0),MATCH('Selection Pane Data'!AL$3,List!$E$2:$CD$2,0)),"")</f>
        <v/>
      </c>
      <c r="AM172" s="13" t="str">
        <f>IF(AM$4="Yes",INDEX(List!$E$2:$CD$173,MATCH('Selection Pane Data'!$B172,List!$E$2:$E$173,0),MATCH('Selection Pane Data'!AM$3,List!$E$2:$CD$2,0)),"")</f>
        <v/>
      </c>
      <c r="AN172" s="13" t="str">
        <f>IF(AN$4="Yes",INDEX(List!$E$2:$CD$173,MATCH('Selection Pane Data'!$B172,List!$E$2:$E$173,0),MATCH('Selection Pane Data'!AN$3,List!$E$2:$CD$2,0)),"")</f>
        <v/>
      </c>
      <c r="AO172" s="13" t="str">
        <f>IF(AO$4="Yes",INDEX(List!$E$2:$CD$173,MATCH('Selection Pane Data'!$B172,List!$E$2:$E$173,0),MATCH('Selection Pane Data'!AO$3,List!$E$2:$CD$2,0)),"")</f>
        <v/>
      </c>
      <c r="AP172" s="13" t="str">
        <f>IF(AP$4="Yes",INDEX(List!$E$2:$CD$173,MATCH('Selection Pane Data'!$B172,List!$E$2:$E$173,0),MATCH('Selection Pane Data'!AP$3,List!$E$2:$CD$2,0)),"")</f>
        <v/>
      </c>
      <c r="AQ172" s="13" t="str">
        <f>IF(AQ$4="Yes",INDEX(List!$E$2:$CD$173,MATCH('Selection Pane Data'!$B172,List!$E$2:$E$173,0),MATCH('Selection Pane Data'!AQ$3,List!$E$2:$CD$2,0)),"")</f>
        <v/>
      </c>
      <c r="AR172" s="13" t="str">
        <f>IF(AR$4="Yes",INDEX(List!$E$2:$CD$173,MATCH('Selection Pane Data'!$B172,List!$E$2:$E$173,0),MATCH('Selection Pane Data'!AR$3,List!$E$2:$CD$2,0)),"")</f>
        <v/>
      </c>
      <c r="AS172" s="13" t="str">
        <f>IF(AS$4="Yes",INDEX(List!$E$2:$CD$173,MATCH('Selection Pane Data'!$B172,List!$E$2:$E$173,0),MATCH('Selection Pane Data'!AS$3,List!$E$2:$CD$2,0)),"")</f>
        <v/>
      </c>
      <c r="AT172" s="13" t="str">
        <f>IF(AT$4="Yes",INDEX(List!$E$2:$CD$173,MATCH('Selection Pane Data'!$B172,List!$E$2:$E$173,0),MATCH('Selection Pane Data'!AT$3,List!$E$2:$CD$2,0)),"")</f>
        <v/>
      </c>
      <c r="AU172" s="13" t="str">
        <f>IF(AU$4="Yes",INDEX(List!$E$2:$CD$173,MATCH('Selection Pane Data'!$B172,List!$E$2:$E$173,0),MATCH('Selection Pane Data'!AU$3,List!$E$2:$CD$2,0)),"")</f>
        <v/>
      </c>
      <c r="AV172" s="13" t="str">
        <f>IF(AV$4="Yes",INDEX(List!$E$2:$CD$173,MATCH('Selection Pane Data'!$B172,List!$E$2:$E$173,0),MATCH('Selection Pane Data'!AV$3,List!$E$2:$CD$2,0)),"")</f>
        <v/>
      </c>
      <c r="AW172" s="13" t="str">
        <f>IF(AW$4="Yes",INDEX(List!$E$2:$CD$173,MATCH('Selection Pane Data'!$B172,List!$E$2:$E$173,0),MATCH('Selection Pane Data'!AW$3,List!$E$2:$CD$2,0)),"")</f>
        <v/>
      </c>
      <c r="AX172" s="13" t="str">
        <f>IF(AX$4="Yes",INDEX(List!$E$2:$CD$173,MATCH('Selection Pane Data'!$B172,List!$E$2:$E$173,0),MATCH('Selection Pane Data'!AX$3,List!$E$2:$CD$2,0)),"")</f>
        <v/>
      </c>
      <c r="AY172" s="13" t="str">
        <f>IF(AY$4="Yes",INDEX(List!$E$2:$CD$173,MATCH('Selection Pane Data'!$B172,List!$E$2:$E$173,0),MATCH('Selection Pane Data'!AY$3,List!$E$2:$CD$2,0)),"")</f>
        <v/>
      </c>
      <c r="AZ172" s="13" t="str">
        <f>IF(AZ$4="Yes",INDEX(List!$E$2:$CD$173,MATCH('Selection Pane Data'!$B172,List!$E$2:$E$173,0),MATCH('Selection Pane Data'!AZ$3,List!$E$2:$CD$2,0)),"")</f>
        <v/>
      </c>
      <c r="BA172" s="13" t="str">
        <f>IF(BA$4="Yes",INDEX(List!$E$2:$CD$173,MATCH('Selection Pane Data'!$B172,List!$E$2:$E$173,0),MATCH('Selection Pane Data'!BA$3,List!$E$2:$CD$2,0)),"")</f>
        <v/>
      </c>
      <c r="BB172" s="13" t="str">
        <f>IF(BB$4="Yes",INDEX(List!$E$2:$CD$173,MATCH('Selection Pane Data'!$B172,List!$E$2:$E$173,0),MATCH('Selection Pane Data'!BB$3,List!$E$2:$CD$2,0)),"")</f>
        <v/>
      </c>
      <c r="BC172" s="13" t="str">
        <f>IF(BC$4="Yes",INDEX(List!$E$2:$CD$173,MATCH('Selection Pane Data'!$B172,List!$E$2:$E$173,0),MATCH('Selection Pane Data'!BC$3,List!$E$2:$CD$2,0)),"")</f>
        <v/>
      </c>
      <c r="BD172" s="13" t="str">
        <f>IF(BD$4="Yes",INDEX(List!$E$2:$CD$173,MATCH('Selection Pane Data'!$B172,List!$E$2:$E$173,0),MATCH('Selection Pane Data'!BD$3,List!$E$2:$CD$2,0)),"")</f>
        <v/>
      </c>
      <c r="BE172" s="13" t="str">
        <f>IF(BE$4="Yes",INDEX(List!$E$2:$CD$173,MATCH('Selection Pane Data'!$B172,List!$E$2:$E$173,0),MATCH('Selection Pane Data'!BE$3,List!$E$2:$CD$2,0)),"")</f>
        <v/>
      </c>
      <c r="BF172" s="13" t="str">
        <f>IF(BF$4="Yes",INDEX(List!$E$2:$CD$173,MATCH('Selection Pane Data'!$B172,List!$E$2:$E$173,0),MATCH('Selection Pane Data'!BF$3,List!$E$2:$CD$2,0)),"")</f>
        <v/>
      </c>
      <c r="BG172" s="13" t="str">
        <f>IF(BG$4="Yes",INDEX(List!$E$2:$CD$173,MATCH('Selection Pane Data'!$B172,List!$E$2:$E$173,0),MATCH('Selection Pane Data'!BG$3,List!$E$2:$CD$2,0)),"")</f>
        <v/>
      </c>
      <c r="BH172" s="13" t="str">
        <f>IF(BH$4="Yes",INDEX(List!$E$2:$CD$173,MATCH('Selection Pane Data'!$B172,List!$E$2:$E$173,0),MATCH('Selection Pane Data'!BH$3,List!$E$2:$CD$2,0)),"")</f>
        <v/>
      </c>
      <c r="BI172" s="13" t="str">
        <f>IF(BI$4="Yes",INDEX(List!$E$2:$CD$173,MATCH('Selection Pane Data'!$B172,List!$E$2:$E$173,0),MATCH('Selection Pane Data'!BI$3,List!$E$2:$CD$2,0)),"")</f>
        <v/>
      </c>
      <c r="BJ172" s="13" t="str">
        <f>IF(BJ$4="Yes",INDEX(List!$E$2:$CD$173,MATCH('Selection Pane Data'!$B172,List!$E$2:$E$173,0),MATCH('Selection Pane Data'!BJ$3,List!$E$2:$CD$2,0)),"")</f>
        <v/>
      </c>
      <c r="BK172" s="13" t="str">
        <f>IF(BK$4="Yes",INDEX(List!$E$2:$CD$173,MATCH('Selection Pane Data'!$B172,List!$E$2:$E$173,0),MATCH('Selection Pane Data'!BK$3,List!$E$2:$CD$2,0)),"")</f>
        <v/>
      </c>
      <c r="BL172" s="13" t="str">
        <f>IF(BL$4="Yes",INDEX(List!$E$2:$CD$173,MATCH('Selection Pane Data'!$B172,List!$E$2:$E$173,0),MATCH('Selection Pane Data'!BL$3,List!$E$2:$CD$2,0)),"")</f>
        <v/>
      </c>
      <c r="BM172" s="13" t="str">
        <f>IF(BM$4="Yes",INDEX(List!$E$2:$CD$173,MATCH('Selection Pane Data'!$B172,List!$E$2:$E$173,0),MATCH('Selection Pane Data'!BM$3,List!$E$2:$CD$2,0)),"")</f>
        <v/>
      </c>
      <c r="BN172" s="13" t="str">
        <f>IF(BN$4="Yes",INDEX(List!$E$2:$CD$173,MATCH('Selection Pane Data'!$B172,List!$E$2:$E$173,0),MATCH('Selection Pane Data'!BN$3,List!$E$2:$CD$2,0)),"")</f>
        <v/>
      </c>
      <c r="BO172" s="13" t="str">
        <f>IF(BO$4="Yes",INDEX(List!$E$2:$CD$173,MATCH('Selection Pane Data'!$B172,List!$E$2:$E$173,0),MATCH('Selection Pane Data'!BO$3,List!$E$2:$CD$2,0)),"")</f>
        <v/>
      </c>
      <c r="BP172" s="13" t="str">
        <f>IF(BP$4="Yes",INDEX(List!$E$2:$CD$173,MATCH('Selection Pane Data'!$B172,List!$E$2:$E$173,0),MATCH('Selection Pane Data'!BP$3,List!$E$2:$CD$2,0)),"")</f>
        <v/>
      </c>
      <c r="BQ172" s="13" t="str">
        <f>IF(BQ$4="Yes",INDEX(List!$E$2:$CD$173,MATCH('Selection Pane Data'!$B172,List!$E$2:$E$173,0),MATCH('Selection Pane Data'!BQ$3,List!$E$2:$CD$2,0)),"")</f>
        <v/>
      </c>
      <c r="BR172" s="13" t="str">
        <f>IF(BR$4="Yes",INDEX(List!$E$2:$CD$173,MATCH('Selection Pane Data'!$B172,List!$E$2:$E$173,0),MATCH('Selection Pane Data'!BR$3,List!$E$2:$CD$2,0)),"")</f>
        <v/>
      </c>
      <c r="BS172" s="13" t="str">
        <f>IF(BS$4="Yes",INDEX(List!$E$2:$CD$173,MATCH('Selection Pane Data'!$B172,List!$E$2:$E$173,0),MATCH('Selection Pane Data'!BS$3,List!$E$2:$CD$2,0)),"")</f>
        <v/>
      </c>
      <c r="BT172" s="13" t="str">
        <f>IF(BT$4="Yes",INDEX(List!$E$2:$CD$173,MATCH('Selection Pane Data'!$B172,List!$E$2:$E$173,0),MATCH('Selection Pane Data'!BT$3,List!$E$2:$CD$2,0)),"")</f>
        <v/>
      </c>
      <c r="BU172" s="13" t="str">
        <f>IF(BU$4="Yes",INDEX(List!$E$2:$CD$173,MATCH('Selection Pane Data'!$B172,List!$E$2:$E$173,0),MATCH('Selection Pane Data'!BU$3,List!$E$2:$CD$2,0)),"")</f>
        <v/>
      </c>
      <c r="BV172" s="13" t="str">
        <f>IF(BV$4="Yes",INDEX(List!$E$2:$CD$173,MATCH('Selection Pane Data'!$B172,List!$E$2:$E$173,0),MATCH('Selection Pane Data'!BV$3,List!$E$2:$CD$2,0)),"")</f>
        <v/>
      </c>
      <c r="BW172" s="13" t="str">
        <f>IF(BW$4="Yes",INDEX(List!$E$2:$CD$173,MATCH('Selection Pane Data'!$B172,List!$E$2:$E$173,0),MATCH('Selection Pane Data'!BW$3,List!$E$2:$CD$2,0)),"")</f>
        <v/>
      </c>
      <c r="BX172" s="13" t="str">
        <f>IF(BX$4="Yes",INDEX(List!$E$2:$CD$173,MATCH('Selection Pane Data'!$B172,List!$E$2:$E$173,0),MATCH('Selection Pane Data'!BX$3,List!$E$2:$CD$2,0)),"")</f>
        <v/>
      </c>
      <c r="BY172" s="13" t="str">
        <f>IF(BY$4="Yes",INDEX(List!$E$2:$CD$173,MATCH('Selection Pane Data'!$B172,List!$E$2:$E$173,0),MATCH('Selection Pane Data'!BY$3,List!$E$2:$CD$2,0)),"")</f>
        <v/>
      </c>
      <c r="BZ172" s="13" t="str">
        <f>IF(BZ$4="Yes",INDEX(List!$E$2:$CD$173,MATCH('Selection Pane Data'!$B172,List!$E$2:$E$173,0),MATCH('Selection Pane Data'!BZ$3,List!$E$2:$CD$2,0)),"")</f>
        <v/>
      </c>
      <c r="CA172" s="13" t="str">
        <f>IF(CA$4="Yes",INDEX(List!$E$2:$CD$173,MATCH('Selection Pane Data'!$B172,List!$E$2:$E$173,0),MATCH('Selection Pane Data'!CA$3,List!$E$2:$CD$2,0)),"")</f>
        <v/>
      </c>
      <c r="CB172" s="13" t="str">
        <f>IF(CB$4="Yes",INDEX(List!$E$2:$CD$173,MATCH('Selection Pane Data'!$B172,List!$E$2:$E$173,0),MATCH('Selection Pane Data'!CB$3,List!$E$2:$CD$2,0)),"")</f>
        <v/>
      </c>
      <c r="CC172" s="13" t="str">
        <f>IF(CC$4="Yes",INDEX(List!$E$2:$CD$173,MATCH('Selection Pane Data'!$B172,List!$E$2:$E$173,0),MATCH('Selection Pane Data'!CC$3,List!$E$2:$CD$2,0)),"")</f>
        <v/>
      </c>
      <c r="CD172" s="13" t="str">
        <f>IF(CD$4="Yes",INDEX(List!$E$2:$CD$173,MATCH('Selection Pane Data'!$B172,List!$E$2:$E$173,0),MATCH('Selection Pane Data'!CD$3,List!$E$2:$CD$2,0)),"")</f>
        <v/>
      </c>
      <c r="CE172" s="13" t="str">
        <f>IF(CE$4="Yes",INDEX(List!$E$2:$CD$173,MATCH('Selection Pane Data'!$B172,List!$E$2:$E$173,0),MATCH('Selection Pane Data'!CE$3,List!$E$2:$CD$2,0)),"")</f>
        <v/>
      </c>
    </row>
    <row r="173" spans="2:83" x14ac:dyDescent="0.35">
      <c r="B173" s="21" t="s">
        <v>460</v>
      </c>
      <c r="C173" s="126" t="str">
        <f>VLOOKUP(B173,List!$E$2:$G$173,2,FALSE)</f>
        <v>SI.L3-13</v>
      </c>
      <c r="D173" s="31" t="str">
        <f>List!G171</f>
        <v>Not Applicable</v>
      </c>
      <c r="E173" s="31" t="str">
        <f>IF(Placemat!$F$4="All Practices","All Practices",IF(VLOOKUP(B173,Table7[#All],6,FALSE)="No Mapping","New CMMC Practices","Practices with NIST 800-171 Mappings"))</f>
        <v>Practices with NIST 800-171 Mappings</v>
      </c>
      <c r="F173" t="str">
        <f>INDEX('CMMC Levels'!$A$1:$F$172,MATCH('Selection Pane Data'!$C173,'CMMC Levels'!$A$1:$A$172,0),MATCH(Placemat!$F$4,'CMMC Levels'!$A$1:$F$1,0))</f>
        <v>N/A</v>
      </c>
      <c r="G173" s="77" t="str">
        <f>IF((COUNTIF(List!H171:CE171,"P")+COUNTIF(List!H171:CE171,"S"))=0,"N",IF(COUNTIF(H173:CE173,"P"),"P",IF(COUNTIF(H173:CE173,"S"),"S","U")))</f>
        <v>N</v>
      </c>
      <c r="H173" s="13" t="str">
        <f>IF(H$4="Yes",INDEX(List!$E$2:$CD$173,MATCH('Selection Pane Data'!$B173,List!$E$2:$E$173,0),MATCH('Selection Pane Data'!H$3,List!$E$2:$CD$2,0)),"")</f>
        <v/>
      </c>
      <c r="I173" s="13" t="str">
        <f>IF(I$4="Yes",INDEX(List!$E$2:$CD$173,MATCH('Selection Pane Data'!$B173,List!$E$2:$E$173,0),MATCH('Selection Pane Data'!I$3,List!$E$2:$CD$2,0)),"")</f>
        <v/>
      </c>
      <c r="J173" s="13" t="str">
        <f>IF(J$4="Yes",INDEX(List!$E$2:$CD$173,MATCH('Selection Pane Data'!$B173,List!$E$2:$E$173,0),MATCH('Selection Pane Data'!J$3,List!$E$2:$CD$2,0)),"")</f>
        <v>N</v>
      </c>
      <c r="K173" s="13" t="str">
        <f>IF(K$4="Yes",INDEX(List!$E$2:$CD$173,MATCH('Selection Pane Data'!$B173,List!$E$2:$E$173,0),MATCH('Selection Pane Data'!K$3,List!$E$2:$CD$2,0)),"")</f>
        <v/>
      </c>
      <c r="L173" s="13" t="str">
        <f>IF(L$4="Yes",INDEX(List!$E$2:$CD$173,MATCH('Selection Pane Data'!$B173,List!$E$2:$E$173,0),MATCH('Selection Pane Data'!L$3,List!$E$2:$CD$2,0)),"")</f>
        <v/>
      </c>
      <c r="M173" s="13" t="str">
        <f>IF(M$4="Yes",INDEX(List!$E$2:$CD$173,MATCH('Selection Pane Data'!$B173,List!$E$2:$E$173,0),MATCH('Selection Pane Data'!M$3,List!$E$2:$CD$2,0)),"")</f>
        <v/>
      </c>
      <c r="N173" s="13" t="str">
        <f>IF(N$4="Yes",INDEX(List!$E$2:$CD$173,MATCH('Selection Pane Data'!$B173,List!$E$2:$E$173,0),MATCH('Selection Pane Data'!N$3,List!$E$2:$CD$2,0)),"")</f>
        <v/>
      </c>
      <c r="O173" s="13" t="str">
        <f>IF(O$4="Yes",INDEX(List!$E$2:$CD$173,MATCH('Selection Pane Data'!$B173,List!$E$2:$E$173,0),MATCH('Selection Pane Data'!O$3,List!$E$2:$CD$2,0)),"")</f>
        <v/>
      </c>
      <c r="P173" s="13" t="str">
        <f>IF(P$4="Yes",INDEX(List!$E$2:$CD$173,MATCH('Selection Pane Data'!$B173,List!$E$2:$E$173,0),MATCH('Selection Pane Data'!P$3,List!$E$2:$CD$2,0)),"")</f>
        <v/>
      </c>
      <c r="Q173" s="13" t="str">
        <f>IF(Q$4="Yes",INDEX(List!$E$2:$CD$173,MATCH('Selection Pane Data'!$B173,List!$E$2:$E$173,0),MATCH('Selection Pane Data'!Q$3,List!$E$2:$CD$2,0)),"")</f>
        <v/>
      </c>
      <c r="R173" s="13" t="str">
        <f>IF(R$4="Yes",INDEX(List!$E$2:$CD$173,MATCH('Selection Pane Data'!$B173,List!$E$2:$E$173,0),MATCH('Selection Pane Data'!R$3,List!$E$2:$CD$2,0)),"")</f>
        <v/>
      </c>
      <c r="S173" s="13" t="str">
        <f>IF(S$4="Yes",INDEX(List!$E$2:$CD$173,MATCH('Selection Pane Data'!$B173,List!$E$2:$E$173,0),MATCH('Selection Pane Data'!S$3,List!$E$2:$CD$2,0)),"")</f>
        <v/>
      </c>
      <c r="T173" s="13" t="str">
        <f>IF(T$4="Yes",INDEX(List!$E$2:$CD$173,MATCH('Selection Pane Data'!$B173,List!$E$2:$E$173,0),MATCH('Selection Pane Data'!T$3,List!$E$2:$CD$2,0)),"")</f>
        <v/>
      </c>
      <c r="U173" s="13" t="str">
        <f>IF(U$4="Yes",INDEX(List!$E$2:$CD$173,MATCH('Selection Pane Data'!$B173,List!$E$2:$E$173,0),MATCH('Selection Pane Data'!U$3,List!$E$2:$CD$2,0)),"")</f>
        <v/>
      </c>
      <c r="V173" s="13" t="str">
        <f>IF(V$4="Yes",INDEX(List!$E$2:$CD$173,MATCH('Selection Pane Data'!$B173,List!$E$2:$E$173,0),MATCH('Selection Pane Data'!V$3,List!$E$2:$CD$2,0)),"")</f>
        <v/>
      </c>
      <c r="W173" s="13" t="str">
        <f>IF(W$4="Yes",INDEX(List!$E$2:$CD$173,MATCH('Selection Pane Data'!$B173,List!$E$2:$E$173,0),MATCH('Selection Pane Data'!W$3,List!$E$2:$CD$2,0)),"")</f>
        <v/>
      </c>
      <c r="X173" s="13" t="str">
        <f>IF(X$4="Yes",INDEX(List!$E$2:$CD$173,MATCH('Selection Pane Data'!$B173,List!$E$2:$E$173,0),MATCH('Selection Pane Data'!X$3,List!$E$2:$CD$2,0)),"")</f>
        <v/>
      </c>
      <c r="Y173" s="13" t="str">
        <f>IF(Y$4="Yes",INDEX(List!$E$2:$CD$173,MATCH('Selection Pane Data'!$B173,List!$E$2:$E$173,0),MATCH('Selection Pane Data'!Y$3,List!$E$2:$CD$2,0)),"")</f>
        <v/>
      </c>
      <c r="Z173" s="13" t="str">
        <f>IF(Z$4="Yes",INDEX(List!$E$2:$CD$173,MATCH('Selection Pane Data'!$B173,List!$E$2:$E$173,0),MATCH('Selection Pane Data'!Z$3,List!$E$2:$CD$2,0)),"")</f>
        <v/>
      </c>
      <c r="AA173" s="13" t="str">
        <f>IF(AA$4="Yes",INDEX(List!$E$2:$CD$173,MATCH('Selection Pane Data'!$B173,List!$E$2:$E$173,0),MATCH('Selection Pane Data'!AA$3,List!$E$2:$CD$2,0)),"")</f>
        <v>N</v>
      </c>
      <c r="AB173" s="13" t="str">
        <f>IF(AB$4="Yes",INDEX(List!$E$2:$CD$173,MATCH('Selection Pane Data'!$B173,List!$E$2:$E$173,0),MATCH('Selection Pane Data'!AB$3,List!$E$2:$CD$2,0)),"")</f>
        <v/>
      </c>
      <c r="AC173" s="13" t="str">
        <f>IF(AC$4="Yes",INDEX(List!$E$2:$CD$173,MATCH('Selection Pane Data'!$B173,List!$E$2:$E$173,0),MATCH('Selection Pane Data'!AC$3,List!$E$2:$CD$2,0)),"")</f>
        <v/>
      </c>
      <c r="AD173" s="13" t="str">
        <f>IF(AD$4="Yes",INDEX(List!$E$2:$CD$173,MATCH('Selection Pane Data'!$B173,List!$E$2:$E$173,0),MATCH('Selection Pane Data'!AD$3,List!$E$2:$CD$2,0)),"")</f>
        <v/>
      </c>
      <c r="AE173" s="13" t="str">
        <f>IF(AE$4="Yes",INDEX(List!$E$2:$CD$173,MATCH('Selection Pane Data'!$B173,List!$E$2:$E$173,0),MATCH('Selection Pane Data'!AE$3,List!$E$2:$CD$2,0)),"")</f>
        <v/>
      </c>
      <c r="AF173" s="13" t="str">
        <f>IF(AF$4="Yes",INDEX(List!$E$2:$CD$173,MATCH('Selection Pane Data'!$B173,List!$E$2:$E$173,0),MATCH('Selection Pane Data'!AF$3,List!$E$2:$CD$2,0)),"")</f>
        <v/>
      </c>
      <c r="AG173" s="13" t="str">
        <f>IF(AG$4="Yes",INDEX(List!$E$2:$CD$173,MATCH('Selection Pane Data'!$B173,List!$E$2:$E$173,0),MATCH('Selection Pane Data'!AG$3,List!$E$2:$CD$2,0)),"")</f>
        <v/>
      </c>
      <c r="AH173" s="13" t="str">
        <f>IF(AH$4="Yes",INDEX(List!$E$2:$CD$173,MATCH('Selection Pane Data'!$B173,List!$E$2:$E$173,0),MATCH('Selection Pane Data'!AH$3,List!$E$2:$CD$2,0)),"")</f>
        <v/>
      </c>
      <c r="AI173" s="13" t="str">
        <f>IF(AI$4="Yes",INDEX(List!$E$2:$CD$173,MATCH('Selection Pane Data'!$B173,List!$E$2:$E$173,0),MATCH('Selection Pane Data'!AI$3,List!$E$2:$CD$2,0)),"")</f>
        <v/>
      </c>
      <c r="AJ173" s="13" t="str">
        <f>IF(AJ$4="Yes",INDEX(List!$E$2:$CD$173,MATCH('Selection Pane Data'!$B173,List!$E$2:$E$173,0),MATCH('Selection Pane Data'!AJ$3,List!$E$2:$CD$2,0)),"")</f>
        <v/>
      </c>
      <c r="AK173" s="13" t="str">
        <f>IF(AK$4="Yes",INDEX(List!$E$2:$CD$173,MATCH('Selection Pane Data'!$B173,List!$E$2:$E$173,0),MATCH('Selection Pane Data'!AK$3,List!$E$2:$CD$2,0)),"")</f>
        <v/>
      </c>
      <c r="AL173" s="13" t="str">
        <f>IF(AL$4="Yes",INDEX(List!$E$2:$CD$173,MATCH('Selection Pane Data'!$B173,List!$E$2:$E$173,0),MATCH('Selection Pane Data'!AL$3,List!$E$2:$CD$2,0)),"")</f>
        <v/>
      </c>
      <c r="AM173" s="13" t="str">
        <f>IF(AM$4="Yes",INDEX(List!$E$2:$CD$173,MATCH('Selection Pane Data'!$B173,List!$E$2:$E$173,0),MATCH('Selection Pane Data'!AM$3,List!$E$2:$CD$2,0)),"")</f>
        <v/>
      </c>
      <c r="AN173" s="13" t="str">
        <f>IF(AN$4="Yes",INDEX(List!$E$2:$CD$173,MATCH('Selection Pane Data'!$B173,List!$E$2:$E$173,0),MATCH('Selection Pane Data'!AN$3,List!$E$2:$CD$2,0)),"")</f>
        <v/>
      </c>
      <c r="AO173" s="13" t="str">
        <f>IF(AO$4="Yes",INDEX(List!$E$2:$CD$173,MATCH('Selection Pane Data'!$B173,List!$E$2:$E$173,0),MATCH('Selection Pane Data'!AO$3,List!$E$2:$CD$2,0)),"")</f>
        <v/>
      </c>
      <c r="AP173" s="13" t="str">
        <f>IF(AP$4="Yes",INDEX(List!$E$2:$CD$173,MATCH('Selection Pane Data'!$B173,List!$E$2:$E$173,0),MATCH('Selection Pane Data'!AP$3,List!$E$2:$CD$2,0)),"")</f>
        <v/>
      </c>
      <c r="AQ173" s="13" t="str">
        <f>IF(AQ$4="Yes",INDEX(List!$E$2:$CD$173,MATCH('Selection Pane Data'!$B173,List!$E$2:$E$173,0),MATCH('Selection Pane Data'!AQ$3,List!$E$2:$CD$2,0)),"")</f>
        <v/>
      </c>
      <c r="AR173" s="13" t="str">
        <f>IF(AR$4="Yes",INDEX(List!$E$2:$CD$173,MATCH('Selection Pane Data'!$B173,List!$E$2:$E$173,0),MATCH('Selection Pane Data'!AR$3,List!$E$2:$CD$2,0)),"")</f>
        <v/>
      </c>
      <c r="AS173" s="13" t="str">
        <f>IF(AS$4="Yes",INDEX(List!$E$2:$CD$173,MATCH('Selection Pane Data'!$B173,List!$E$2:$E$173,0),MATCH('Selection Pane Data'!AS$3,List!$E$2:$CD$2,0)),"")</f>
        <v/>
      </c>
      <c r="AT173" s="13" t="str">
        <f>IF(AT$4="Yes",INDEX(List!$E$2:$CD$173,MATCH('Selection Pane Data'!$B173,List!$E$2:$E$173,0),MATCH('Selection Pane Data'!AT$3,List!$E$2:$CD$2,0)),"")</f>
        <v/>
      </c>
      <c r="AU173" s="13" t="str">
        <f>IF(AU$4="Yes",INDEX(List!$E$2:$CD$173,MATCH('Selection Pane Data'!$B173,List!$E$2:$E$173,0),MATCH('Selection Pane Data'!AU$3,List!$E$2:$CD$2,0)),"")</f>
        <v/>
      </c>
      <c r="AV173" s="13" t="str">
        <f>IF(AV$4="Yes",INDEX(List!$E$2:$CD$173,MATCH('Selection Pane Data'!$B173,List!$E$2:$E$173,0),MATCH('Selection Pane Data'!AV$3,List!$E$2:$CD$2,0)),"")</f>
        <v/>
      </c>
      <c r="AW173" s="13" t="str">
        <f>IF(AW$4="Yes",INDEX(List!$E$2:$CD$173,MATCH('Selection Pane Data'!$B173,List!$E$2:$E$173,0),MATCH('Selection Pane Data'!AW$3,List!$E$2:$CD$2,0)),"")</f>
        <v/>
      </c>
      <c r="AX173" s="13" t="str">
        <f>IF(AX$4="Yes",INDEX(List!$E$2:$CD$173,MATCH('Selection Pane Data'!$B173,List!$E$2:$E$173,0),MATCH('Selection Pane Data'!AX$3,List!$E$2:$CD$2,0)),"")</f>
        <v/>
      </c>
      <c r="AY173" s="13" t="str">
        <f>IF(AY$4="Yes",INDEX(List!$E$2:$CD$173,MATCH('Selection Pane Data'!$B173,List!$E$2:$E$173,0),MATCH('Selection Pane Data'!AY$3,List!$E$2:$CD$2,0)),"")</f>
        <v/>
      </c>
      <c r="AZ173" s="13" t="str">
        <f>IF(AZ$4="Yes",INDEX(List!$E$2:$CD$173,MATCH('Selection Pane Data'!$B173,List!$E$2:$E$173,0),MATCH('Selection Pane Data'!AZ$3,List!$E$2:$CD$2,0)),"")</f>
        <v/>
      </c>
      <c r="BA173" s="13" t="str">
        <f>IF(BA$4="Yes",INDEX(List!$E$2:$CD$173,MATCH('Selection Pane Data'!$B173,List!$E$2:$E$173,0),MATCH('Selection Pane Data'!BA$3,List!$E$2:$CD$2,0)),"")</f>
        <v/>
      </c>
      <c r="BB173" s="13" t="str">
        <f>IF(BB$4="Yes",INDEX(List!$E$2:$CD$173,MATCH('Selection Pane Data'!$B173,List!$E$2:$E$173,0),MATCH('Selection Pane Data'!BB$3,List!$E$2:$CD$2,0)),"")</f>
        <v/>
      </c>
      <c r="BC173" s="13" t="str">
        <f>IF(BC$4="Yes",INDEX(List!$E$2:$CD$173,MATCH('Selection Pane Data'!$B173,List!$E$2:$E$173,0),MATCH('Selection Pane Data'!BC$3,List!$E$2:$CD$2,0)),"")</f>
        <v/>
      </c>
      <c r="BD173" s="13" t="str">
        <f>IF(BD$4="Yes",INDEX(List!$E$2:$CD$173,MATCH('Selection Pane Data'!$B173,List!$E$2:$E$173,0),MATCH('Selection Pane Data'!BD$3,List!$E$2:$CD$2,0)),"")</f>
        <v/>
      </c>
      <c r="BE173" s="13" t="str">
        <f>IF(BE$4="Yes",INDEX(List!$E$2:$CD$173,MATCH('Selection Pane Data'!$B173,List!$E$2:$E$173,0),MATCH('Selection Pane Data'!BE$3,List!$E$2:$CD$2,0)),"")</f>
        <v/>
      </c>
      <c r="BF173" s="13" t="str">
        <f>IF(BF$4="Yes",INDEX(List!$E$2:$CD$173,MATCH('Selection Pane Data'!$B173,List!$E$2:$E$173,0),MATCH('Selection Pane Data'!BF$3,List!$E$2:$CD$2,0)),"")</f>
        <v/>
      </c>
      <c r="BG173" s="13" t="str">
        <f>IF(BG$4="Yes",INDEX(List!$E$2:$CD$173,MATCH('Selection Pane Data'!$B173,List!$E$2:$E$173,0),MATCH('Selection Pane Data'!BG$3,List!$E$2:$CD$2,0)),"")</f>
        <v/>
      </c>
      <c r="BH173" s="13" t="str">
        <f>IF(BH$4="Yes",INDEX(List!$E$2:$CD$173,MATCH('Selection Pane Data'!$B173,List!$E$2:$E$173,0),MATCH('Selection Pane Data'!BH$3,List!$E$2:$CD$2,0)),"")</f>
        <v/>
      </c>
      <c r="BI173" s="13" t="str">
        <f>IF(BI$4="Yes",INDEX(List!$E$2:$CD$173,MATCH('Selection Pane Data'!$B173,List!$E$2:$E$173,0),MATCH('Selection Pane Data'!BI$3,List!$E$2:$CD$2,0)),"")</f>
        <v/>
      </c>
      <c r="BJ173" s="13" t="str">
        <f>IF(BJ$4="Yes",INDEX(List!$E$2:$CD$173,MATCH('Selection Pane Data'!$B173,List!$E$2:$E$173,0),MATCH('Selection Pane Data'!BJ$3,List!$E$2:$CD$2,0)),"")</f>
        <v/>
      </c>
      <c r="BK173" s="13" t="str">
        <f>IF(BK$4="Yes",INDEX(List!$E$2:$CD$173,MATCH('Selection Pane Data'!$B173,List!$E$2:$E$173,0),MATCH('Selection Pane Data'!BK$3,List!$E$2:$CD$2,0)),"")</f>
        <v/>
      </c>
      <c r="BL173" s="13" t="str">
        <f>IF(BL$4="Yes",INDEX(List!$E$2:$CD$173,MATCH('Selection Pane Data'!$B173,List!$E$2:$E$173,0),MATCH('Selection Pane Data'!BL$3,List!$E$2:$CD$2,0)),"")</f>
        <v/>
      </c>
      <c r="BM173" s="13" t="str">
        <f>IF(BM$4="Yes",INDEX(List!$E$2:$CD$173,MATCH('Selection Pane Data'!$B173,List!$E$2:$E$173,0),MATCH('Selection Pane Data'!BM$3,List!$E$2:$CD$2,0)),"")</f>
        <v/>
      </c>
      <c r="BN173" s="13" t="str">
        <f>IF(BN$4="Yes",INDEX(List!$E$2:$CD$173,MATCH('Selection Pane Data'!$B173,List!$E$2:$E$173,0),MATCH('Selection Pane Data'!BN$3,List!$E$2:$CD$2,0)),"")</f>
        <v/>
      </c>
      <c r="BO173" s="13" t="str">
        <f>IF(BO$4="Yes",INDEX(List!$E$2:$CD$173,MATCH('Selection Pane Data'!$B173,List!$E$2:$E$173,0),MATCH('Selection Pane Data'!BO$3,List!$E$2:$CD$2,0)),"")</f>
        <v/>
      </c>
      <c r="BP173" s="13" t="str">
        <f>IF(BP$4="Yes",INDEX(List!$E$2:$CD$173,MATCH('Selection Pane Data'!$B173,List!$E$2:$E$173,0),MATCH('Selection Pane Data'!BP$3,List!$E$2:$CD$2,0)),"")</f>
        <v/>
      </c>
      <c r="BQ173" s="13" t="str">
        <f>IF(BQ$4="Yes",INDEX(List!$E$2:$CD$173,MATCH('Selection Pane Data'!$B173,List!$E$2:$E$173,0),MATCH('Selection Pane Data'!BQ$3,List!$E$2:$CD$2,0)),"")</f>
        <v/>
      </c>
      <c r="BR173" s="13" t="str">
        <f>IF(BR$4="Yes",INDEX(List!$E$2:$CD$173,MATCH('Selection Pane Data'!$B173,List!$E$2:$E$173,0),MATCH('Selection Pane Data'!BR$3,List!$E$2:$CD$2,0)),"")</f>
        <v/>
      </c>
      <c r="BS173" s="13" t="str">
        <f>IF(BS$4="Yes",INDEX(List!$E$2:$CD$173,MATCH('Selection Pane Data'!$B173,List!$E$2:$E$173,0),MATCH('Selection Pane Data'!BS$3,List!$E$2:$CD$2,0)),"")</f>
        <v/>
      </c>
      <c r="BT173" s="13" t="str">
        <f>IF(BT$4="Yes",INDEX(List!$E$2:$CD$173,MATCH('Selection Pane Data'!$B173,List!$E$2:$E$173,0),MATCH('Selection Pane Data'!BT$3,List!$E$2:$CD$2,0)),"")</f>
        <v/>
      </c>
      <c r="BU173" s="13" t="str">
        <f>IF(BU$4="Yes",INDEX(List!$E$2:$CD$173,MATCH('Selection Pane Data'!$B173,List!$E$2:$E$173,0),MATCH('Selection Pane Data'!BU$3,List!$E$2:$CD$2,0)),"")</f>
        <v/>
      </c>
      <c r="BV173" s="13" t="str">
        <f>IF(BV$4="Yes",INDEX(List!$E$2:$CD$173,MATCH('Selection Pane Data'!$B173,List!$E$2:$E$173,0),MATCH('Selection Pane Data'!BV$3,List!$E$2:$CD$2,0)),"")</f>
        <v/>
      </c>
      <c r="BW173" s="13" t="str">
        <f>IF(BW$4="Yes",INDEX(List!$E$2:$CD$173,MATCH('Selection Pane Data'!$B173,List!$E$2:$E$173,0),MATCH('Selection Pane Data'!BW$3,List!$E$2:$CD$2,0)),"")</f>
        <v/>
      </c>
      <c r="BX173" s="13" t="str">
        <f>IF(BX$4="Yes",INDEX(List!$E$2:$CD$173,MATCH('Selection Pane Data'!$B173,List!$E$2:$E$173,0),MATCH('Selection Pane Data'!BX$3,List!$E$2:$CD$2,0)),"")</f>
        <v/>
      </c>
      <c r="BY173" s="13" t="str">
        <f>IF(BY$4="Yes",INDEX(List!$E$2:$CD$173,MATCH('Selection Pane Data'!$B173,List!$E$2:$E$173,0),MATCH('Selection Pane Data'!BY$3,List!$E$2:$CD$2,0)),"")</f>
        <v/>
      </c>
      <c r="BZ173" s="13" t="str">
        <f>IF(BZ$4="Yes",INDEX(List!$E$2:$CD$173,MATCH('Selection Pane Data'!$B173,List!$E$2:$E$173,0),MATCH('Selection Pane Data'!BZ$3,List!$E$2:$CD$2,0)),"")</f>
        <v/>
      </c>
      <c r="CA173" s="13" t="str">
        <f>IF(CA$4="Yes",INDEX(List!$E$2:$CD$173,MATCH('Selection Pane Data'!$B173,List!$E$2:$E$173,0),MATCH('Selection Pane Data'!CA$3,List!$E$2:$CD$2,0)),"")</f>
        <v/>
      </c>
      <c r="CB173" s="13" t="str">
        <f>IF(CB$4="Yes",INDEX(List!$E$2:$CD$173,MATCH('Selection Pane Data'!$B173,List!$E$2:$E$173,0),MATCH('Selection Pane Data'!CB$3,List!$E$2:$CD$2,0)),"")</f>
        <v/>
      </c>
      <c r="CC173" s="13" t="str">
        <f>IF(CC$4="Yes",INDEX(List!$E$2:$CD$173,MATCH('Selection Pane Data'!$B173,List!$E$2:$E$173,0),MATCH('Selection Pane Data'!CC$3,List!$E$2:$CD$2,0)),"")</f>
        <v/>
      </c>
      <c r="CD173" s="13" t="str">
        <f>IF(CD$4="Yes",INDEX(List!$E$2:$CD$173,MATCH('Selection Pane Data'!$B173,List!$E$2:$E$173,0),MATCH('Selection Pane Data'!CD$3,List!$E$2:$CD$2,0)),"")</f>
        <v/>
      </c>
      <c r="CE173" s="13" t="str">
        <f>IF(CE$4="Yes",INDEX(List!$E$2:$CD$173,MATCH('Selection Pane Data'!$B173,List!$E$2:$E$173,0),MATCH('Selection Pane Data'!CE$3,List!$E$2:$CD$2,0)),"")</f>
        <v/>
      </c>
    </row>
    <row r="174" spans="2:83" ht="15" thickBot="1" x14ac:dyDescent="0.4">
      <c r="B174" s="21" t="s">
        <v>461</v>
      </c>
      <c r="C174" s="126" t="str">
        <f>VLOOKUP(B174,List!$E$2:$G$173,2,FALSE)</f>
        <v>N/A</v>
      </c>
      <c r="D174" s="32" t="str">
        <f>List!G172</f>
        <v>Not Applicable</v>
      </c>
      <c r="E174" s="31" t="str">
        <f>IF(Placemat!$F$4="All Practices","All Practices",IF(VLOOKUP(B174,Table7[#All],6,FALSE)="No Mapping","New CMMC Practices","Practices with NIST 800-171 Mappings"))</f>
        <v>Practices with NIST 800-171 Mappings</v>
      </c>
      <c r="F174" t="str">
        <f>INDEX('CMMC Levels'!$A$1:$F$172,MATCH('Selection Pane Data'!$C174,'CMMC Levels'!$A$1:$A$172,0),MATCH(Placemat!$F$4,'CMMC Levels'!$A$1:$F$1,0))</f>
        <v>N/A</v>
      </c>
      <c r="G174" s="77" t="str">
        <f>IF((COUNTIF(List!H172:CE172,"P")+COUNTIF(List!H172:CE172,"S"))=0,"N",IF(COUNTIF(H174:CE174,"P"),"P",IF(COUNTIF(H174:CE174,"S"),"S","U")))</f>
        <v>N</v>
      </c>
      <c r="H174" s="13" t="str">
        <f>IF(H$4="Yes",INDEX(List!$E$2:$CD$173,MATCH('Selection Pane Data'!$B174,List!$E$2:$E$173,0),MATCH('Selection Pane Data'!H$3,List!$E$2:$CD$2,0)),"")</f>
        <v/>
      </c>
      <c r="I174" s="13" t="str">
        <f>IF(I$4="Yes",INDEX(List!$E$2:$CD$173,MATCH('Selection Pane Data'!$B174,List!$E$2:$E$173,0),MATCH('Selection Pane Data'!I$3,List!$E$2:$CD$2,0)),"")</f>
        <v/>
      </c>
      <c r="J174" s="13" t="e">
        <f>IF(J$4="Yes",INDEX(List!$E$2:$CD$173,MATCH('Selection Pane Data'!$B174,List!$E$2:$E$173,0),MATCH('Selection Pane Data'!J$3,List!$E$2:$CD$2,0)),"")</f>
        <v>#N/A</v>
      </c>
      <c r="K174" s="13" t="str">
        <f>IF(K$4="Yes",INDEX(List!$E$2:$CD$173,MATCH('Selection Pane Data'!$B174,List!$E$2:$E$173,0),MATCH('Selection Pane Data'!K$3,List!$E$2:$CD$2,0)),"")</f>
        <v/>
      </c>
      <c r="L174" s="13" t="str">
        <f>IF(L$4="Yes",INDEX(List!$E$2:$CD$173,MATCH('Selection Pane Data'!$B174,List!$E$2:$E$173,0),MATCH('Selection Pane Data'!L$3,List!$E$2:$CD$2,0)),"")</f>
        <v/>
      </c>
      <c r="M174" s="13" t="str">
        <f>IF(M$4="Yes",INDEX(List!$E$2:$CD$173,MATCH('Selection Pane Data'!$B174,List!$E$2:$E$173,0),MATCH('Selection Pane Data'!M$3,List!$E$2:$CD$2,0)),"")</f>
        <v/>
      </c>
      <c r="N174" s="13" t="str">
        <f>IF(N$4="Yes",INDEX(List!$E$2:$CD$173,MATCH('Selection Pane Data'!$B174,List!$E$2:$E$173,0),MATCH('Selection Pane Data'!N$3,List!$E$2:$CD$2,0)),"")</f>
        <v/>
      </c>
      <c r="O174" s="13" t="str">
        <f>IF(O$4="Yes",INDEX(List!$E$2:$CD$173,MATCH('Selection Pane Data'!$B174,List!$E$2:$E$173,0),MATCH('Selection Pane Data'!O$3,List!$E$2:$CD$2,0)),"")</f>
        <v/>
      </c>
      <c r="P174" s="13" t="str">
        <f>IF(P$4="Yes",INDEX(List!$E$2:$CD$173,MATCH('Selection Pane Data'!$B174,List!$E$2:$E$173,0),MATCH('Selection Pane Data'!P$3,List!$E$2:$CD$2,0)),"")</f>
        <v/>
      </c>
      <c r="Q174" s="13" t="str">
        <f>IF(Q$4="Yes",INDEX(List!$E$2:$CD$173,MATCH('Selection Pane Data'!$B174,List!$E$2:$E$173,0),MATCH('Selection Pane Data'!Q$3,List!$E$2:$CD$2,0)),"")</f>
        <v/>
      </c>
      <c r="R174" s="13" t="str">
        <f>IF(R$4="Yes",INDEX(List!$E$2:$CD$173,MATCH('Selection Pane Data'!$B174,List!$E$2:$E$173,0),MATCH('Selection Pane Data'!R$3,List!$E$2:$CD$2,0)),"")</f>
        <v/>
      </c>
      <c r="S174" s="13" t="str">
        <f>IF(S$4="Yes",INDEX(List!$E$2:$CD$173,MATCH('Selection Pane Data'!$B174,List!$E$2:$E$173,0),MATCH('Selection Pane Data'!S$3,List!$E$2:$CD$2,0)),"")</f>
        <v/>
      </c>
      <c r="T174" s="13" t="str">
        <f>IF(T$4="Yes",INDEX(List!$E$2:$CD$173,MATCH('Selection Pane Data'!$B174,List!$E$2:$E$173,0),MATCH('Selection Pane Data'!T$3,List!$E$2:$CD$2,0)),"")</f>
        <v/>
      </c>
      <c r="U174" s="13" t="str">
        <f>IF(U$4="Yes",INDEX(List!$E$2:$CD$173,MATCH('Selection Pane Data'!$B174,List!$E$2:$E$173,0),MATCH('Selection Pane Data'!U$3,List!$E$2:$CD$2,0)),"")</f>
        <v/>
      </c>
      <c r="V174" s="13" t="str">
        <f>IF(V$4="Yes",INDEX(List!$E$2:$CD$173,MATCH('Selection Pane Data'!$B174,List!$E$2:$E$173,0),MATCH('Selection Pane Data'!V$3,List!$E$2:$CD$2,0)),"")</f>
        <v/>
      </c>
      <c r="W174" s="13" t="str">
        <f>IF(W$4="Yes",INDEX(List!$E$2:$CD$173,MATCH('Selection Pane Data'!$B174,List!$E$2:$E$173,0),MATCH('Selection Pane Data'!W$3,List!$E$2:$CD$2,0)),"")</f>
        <v/>
      </c>
      <c r="X174" s="13" t="str">
        <f>IF(X$4="Yes",INDEX(List!$E$2:$CD$173,MATCH('Selection Pane Data'!$B174,List!$E$2:$E$173,0),MATCH('Selection Pane Data'!X$3,List!$E$2:$CD$2,0)),"")</f>
        <v/>
      </c>
      <c r="Y174" s="13" t="str">
        <f>IF(Y$4="Yes",INDEX(List!$E$2:$CD$173,MATCH('Selection Pane Data'!$B174,List!$E$2:$E$173,0),MATCH('Selection Pane Data'!Y$3,List!$E$2:$CD$2,0)),"")</f>
        <v/>
      </c>
      <c r="Z174" s="13" t="str">
        <f>IF(Z$4="Yes",INDEX(List!$E$2:$CD$173,MATCH('Selection Pane Data'!$B174,List!$E$2:$E$173,0),MATCH('Selection Pane Data'!Z$3,List!$E$2:$CD$2,0)),"")</f>
        <v/>
      </c>
      <c r="AA174" s="13" t="e">
        <f>IF(AA$4="Yes",INDEX(List!$E$2:$CD$173,MATCH('Selection Pane Data'!$B174,List!$E$2:$E$173,0),MATCH('Selection Pane Data'!AA$3,List!$E$2:$CD$2,0)),"")</f>
        <v>#N/A</v>
      </c>
      <c r="AB174" s="13" t="str">
        <f>IF(AB$4="Yes",INDEX(List!$E$2:$CD$173,MATCH('Selection Pane Data'!$B174,List!$E$2:$E$173,0),MATCH('Selection Pane Data'!AB$3,List!$E$2:$CD$2,0)),"")</f>
        <v/>
      </c>
      <c r="AC174" s="13" t="str">
        <f>IF(AC$4="Yes",INDEX(List!$E$2:$CD$173,MATCH('Selection Pane Data'!$B174,List!$E$2:$E$173,0),MATCH('Selection Pane Data'!AC$3,List!$E$2:$CD$2,0)),"")</f>
        <v/>
      </c>
      <c r="AD174" s="13" t="str">
        <f>IF(AD$4="Yes",INDEX(List!$E$2:$CD$173,MATCH('Selection Pane Data'!$B174,List!$E$2:$E$173,0),MATCH('Selection Pane Data'!AD$3,List!$E$2:$CD$2,0)),"")</f>
        <v/>
      </c>
      <c r="AE174" s="13" t="str">
        <f>IF(AE$4="Yes",INDEX(List!$E$2:$CD$173,MATCH('Selection Pane Data'!$B174,List!$E$2:$E$173,0),MATCH('Selection Pane Data'!AE$3,List!$E$2:$CD$2,0)),"")</f>
        <v/>
      </c>
      <c r="AF174" s="13" t="str">
        <f>IF(AF$4="Yes",INDEX(List!$E$2:$CD$173,MATCH('Selection Pane Data'!$B174,List!$E$2:$E$173,0),MATCH('Selection Pane Data'!AF$3,List!$E$2:$CD$2,0)),"")</f>
        <v/>
      </c>
      <c r="AG174" s="13" t="str">
        <f>IF(AG$4="Yes",INDEX(List!$E$2:$CD$173,MATCH('Selection Pane Data'!$B174,List!$E$2:$E$173,0),MATCH('Selection Pane Data'!AG$3,List!$E$2:$CD$2,0)),"")</f>
        <v/>
      </c>
      <c r="AH174" s="13" t="str">
        <f>IF(AH$4="Yes",INDEX(List!$E$2:$CD$173,MATCH('Selection Pane Data'!$B174,List!$E$2:$E$173,0),MATCH('Selection Pane Data'!AH$3,List!$E$2:$CD$2,0)),"")</f>
        <v/>
      </c>
      <c r="AI174" s="13" t="str">
        <f>IF(AI$4="Yes",INDEX(List!$E$2:$CD$173,MATCH('Selection Pane Data'!$B174,List!$E$2:$E$173,0),MATCH('Selection Pane Data'!AI$3,List!$E$2:$CD$2,0)),"")</f>
        <v/>
      </c>
      <c r="AJ174" s="13" t="str">
        <f>IF(AJ$4="Yes",INDEX(List!$E$2:$CD$173,MATCH('Selection Pane Data'!$B174,List!$E$2:$E$173,0),MATCH('Selection Pane Data'!AJ$3,List!$E$2:$CD$2,0)),"")</f>
        <v/>
      </c>
      <c r="AK174" s="13" t="str">
        <f>IF(AK$4="Yes",INDEX(List!$E$2:$CD$173,MATCH('Selection Pane Data'!$B174,List!$E$2:$E$173,0),MATCH('Selection Pane Data'!AK$3,List!$E$2:$CD$2,0)),"")</f>
        <v/>
      </c>
      <c r="AL174" s="13" t="str">
        <f>IF(AL$4="Yes",INDEX(List!$E$2:$CD$173,MATCH('Selection Pane Data'!$B174,List!$E$2:$E$173,0),MATCH('Selection Pane Data'!AL$3,List!$E$2:$CD$2,0)),"")</f>
        <v/>
      </c>
      <c r="AM174" s="13" t="str">
        <f>IF(AM$4="Yes",INDEX(List!$E$2:$CD$173,MATCH('Selection Pane Data'!$B174,List!$E$2:$E$173,0),MATCH('Selection Pane Data'!AM$3,List!$E$2:$CD$2,0)),"")</f>
        <v/>
      </c>
      <c r="AN174" s="13" t="str">
        <f>IF(AN$4="Yes",INDEX(List!$E$2:$CD$173,MATCH('Selection Pane Data'!$B174,List!$E$2:$E$173,0),MATCH('Selection Pane Data'!AN$3,List!$E$2:$CD$2,0)),"")</f>
        <v/>
      </c>
      <c r="AO174" s="13" t="str">
        <f>IF(AO$4="Yes",INDEX(List!$E$2:$CD$173,MATCH('Selection Pane Data'!$B174,List!$E$2:$E$173,0),MATCH('Selection Pane Data'!AO$3,List!$E$2:$CD$2,0)),"")</f>
        <v/>
      </c>
      <c r="AP174" s="13" t="str">
        <f>IF(AP$4="Yes",INDEX(List!$E$2:$CD$173,MATCH('Selection Pane Data'!$B174,List!$E$2:$E$173,0),MATCH('Selection Pane Data'!AP$3,List!$E$2:$CD$2,0)),"")</f>
        <v/>
      </c>
      <c r="AQ174" s="13" t="str">
        <f>IF(AQ$4="Yes",INDEX(List!$E$2:$CD$173,MATCH('Selection Pane Data'!$B174,List!$E$2:$E$173,0),MATCH('Selection Pane Data'!AQ$3,List!$E$2:$CD$2,0)),"")</f>
        <v/>
      </c>
      <c r="AR174" s="13" t="str">
        <f>IF(AR$4="Yes",INDEX(List!$E$2:$CD$173,MATCH('Selection Pane Data'!$B174,List!$E$2:$E$173,0),MATCH('Selection Pane Data'!AR$3,List!$E$2:$CD$2,0)),"")</f>
        <v/>
      </c>
      <c r="AS174" s="13" t="str">
        <f>IF(AS$4="Yes",INDEX(List!$E$2:$CD$173,MATCH('Selection Pane Data'!$B174,List!$E$2:$E$173,0),MATCH('Selection Pane Data'!AS$3,List!$E$2:$CD$2,0)),"")</f>
        <v/>
      </c>
      <c r="AT174" s="13" t="str">
        <f>IF(AT$4="Yes",INDEX(List!$E$2:$CD$173,MATCH('Selection Pane Data'!$B174,List!$E$2:$E$173,0),MATCH('Selection Pane Data'!AT$3,List!$E$2:$CD$2,0)),"")</f>
        <v/>
      </c>
      <c r="AU174" s="13" t="str">
        <f>IF(AU$4="Yes",INDEX(List!$E$2:$CD$173,MATCH('Selection Pane Data'!$B174,List!$E$2:$E$173,0),MATCH('Selection Pane Data'!AU$3,List!$E$2:$CD$2,0)),"")</f>
        <v/>
      </c>
      <c r="AV174" s="13" t="str">
        <f>IF(AV$4="Yes",INDEX(List!$E$2:$CD$173,MATCH('Selection Pane Data'!$B174,List!$E$2:$E$173,0),MATCH('Selection Pane Data'!AV$3,List!$E$2:$CD$2,0)),"")</f>
        <v/>
      </c>
      <c r="AW174" s="13" t="str">
        <f>IF(AW$4="Yes",INDEX(List!$E$2:$CD$173,MATCH('Selection Pane Data'!$B174,List!$E$2:$E$173,0),MATCH('Selection Pane Data'!AW$3,List!$E$2:$CD$2,0)),"")</f>
        <v/>
      </c>
      <c r="AX174" s="13" t="str">
        <f>IF(AX$4="Yes",INDEX(List!$E$2:$CD$173,MATCH('Selection Pane Data'!$B174,List!$E$2:$E$173,0),MATCH('Selection Pane Data'!AX$3,List!$E$2:$CD$2,0)),"")</f>
        <v/>
      </c>
      <c r="AY174" s="13" t="str">
        <f>IF(AY$4="Yes",INDEX(List!$E$2:$CD$173,MATCH('Selection Pane Data'!$B174,List!$E$2:$E$173,0),MATCH('Selection Pane Data'!AY$3,List!$E$2:$CD$2,0)),"")</f>
        <v/>
      </c>
      <c r="AZ174" s="13" t="str">
        <f>IF(AZ$4="Yes",INDEX(List!$E$2:$CD$173,MATCH('Selection Pane Data'!$B174,List!$E$2:$E$173,0),MATCH('Selection Pane Data'!AZ$3,List!$E$2:$CD$2,0)),"")</f>
        <v/>
      </c>
      <c r="BA174" s="13" t="str">
        <f>IF(BA$4="Yes",INDEX(List!$E$2:$CD$173,MATCH('Selection Pane Data'!$B174,List!$E$2:$E$173,0),MATCH('Selection Pane Data'!BA$3,List!$E$2:$CD$2,0)),"")</f>
        <v/>
      </c>
      <c r="BB174" s="13" t="str">
        <f>IF(BB$4="Yes",INDEX(List!$E$2:$CD$173,MATCH('Selection Pane Data'!$B174,List!$E$2:$E$173,0),MATCH('Selection Pane Data'!BB$3,List!$E$2:$CD$2,0)),"")</f>
        <v/>
      </c>
      <c r="BC174" s="13" t="str">
        <f>IF(BC$4="Yes",INDEX(List!$E$2:$CD$173,MATCH('Selection Pane Data'!$B174,List!$E$2:$E$173,0),MATCH('Selection Pane Data'!BC$3,List!$E$2:$CD$2,0)),"")</f>
        <v/>
      </c>
      <c r="BD174" s="13" t="str">
        <f>IF(BD$4="Yes",INDEX(List!$E$2:$CD$173,MATCH('Selection Pane Data'!$B174,List!$E$2:$E$173,0),MATCH('Selection Pane Data'!BD$3,List!$E$2:$CD$2,0)),"")</f>
        <v/>
      </c>
      <c r="BE174" s="13" t="str">
        <f>IF(BE$4="Yes",INDEX(List!$E$2:$CD$173,MATCH('Selection Pane Data'!$B174,List!$E$2:$E$173,0),MATCH('Selection Pane Data'!BE$3,List!$E$2:$CD$2,0)),"")</f>
        <v/>
      </c>
      <c r="BF174" s="13" t="str">
        <f>IF(BF$4="Yes",INDEX(List!$E$2:$CD$173,MATCH('Selection Pane Data'!$B174,List!$E$2:$E$173,0),MATCH('Selection Pane Data'!BF$3,List!$E$2:$CD$2,0)),"")</f>
        <v/>
      </c>
      <c r="BG174" s="13" t="str">
        <f>IF(BG$4="Yes",INDEX(List!$E$2:$CD$173,MATCH('Selection Pane Data'!$B174,List!$E$2:$E$173,0),MATCH('Selection Pane Data'!BG$3,List!$E$2:$CD$2,0)),"")</f>
        <v/>
      </c>
      <c r="BH174" s="13" t="str">
        <f>IF(BH$4="Yes",INDEX(List!$E$2:$CD$173,MATCH('Selection Pane Data'!$B174,List!$E$2:$E$173,0),MATCH('Selection Pane Data'!BH$3,List!$E$2:$CD$2,0)),"")</f>
        <v/>
      </c>
      <c r="BI174" s="13" t="str">
        <f>IF(BI$4="Yes",INDEX(List!$E$2:$CD$173,MATCH('Selection Pane Data'!$B174,List!$E$2:$E$173,0),MATCH('Selection Pane Data'!BI$3,List!$E$2:$CD$2,0)),"")</f>
        <v/>
      </c>
      <c r="BJ174" s="13" t="str">
        <f>IF(BJ$4="Yes",INDEX(List!$E$2:$CD$173,MATCH('Selection Pane Data'!$B174,List!$E$2:$E$173,0),MATCH('Selection Pane Data'!BJ$3,List!$E$2:$CD$2,0)),"")</f>
        <v/>
      </c>
      <c r="BK174" s="13" t="str">
        <f>IF(BK$4="Yes",INDEX(List!$E$2:$CD$173,MATCH('Selection Pane Data'!$B174,List!$E$2:$E$173,0),MATCH('Selection Pane Data'!BK$3,List!$E$2:$CD$2,0)),"")</f>
        <v/>
      </c>
      <c r="BL174" s="13" t="str">
        <f>IF(BL$4="Yes",INDEX(List!$E$2:$CD$173,MATCH('Selection Pane Data'!$B174,List!$E$2:$E$173,0),MATCH('Selection Pane Data'!BL$3,List!$E$2:$CD$2,0)),"")</f>
        <v/>
      </c>
      <c r="BM174" s="13" t="str">
        <f>IF(BM$4="Yes",INDEX(List!$E$2:$CD$173,MATCH('Selection Pane Data'!$B174,List!$E$2:$E$173,0),MATCH('Selection Pane Data'!BM$3,List!$E$2:$CD$2,0)),"")</f>
        <v/>
      </c>
      <c r="BN174" s="13" t="str">
        <f>IF(BN$4="Yes",INDEX(List!$E$2:$CD$173,MATCH('Selection Pane Data'!$B174,List!$E$2:$E$173,0),MATCH('Selection Pane Data'!BN$3,List!$E$2:$CD$2,0)),"")</f>
        <v/>
      </c>
      <c r="BO174" s="13" t="str">
        <f>IF(BO$4="Yes",INDEX(List!$E$2:$CD$173,MATCH('Selection Pane Data'!$B174,List!$E$2:$E$173,0),MATCH('Selection Pane Data'!BO$3,List!$E$2:$CD$2,0)),"")</f>
        <v/>
      </c>
      <c r="BP174" s="13" t="str">
        <f>IF(BP$4="Yes",INDEX(List!$E$2:$CD$173,MATCH('Selection Pane Data'!$B174,List!$E$2:$E$173,0),MATCH('Selection Pane Data'!BP$3,List!$E$2:$CD$2,0)),"")</f>
        <v/>
      </c>
      <c r="BQ174" s="13" t="str">
        <f>IF(BQ$4="Yes",INDEX(List!$E$2:$CD$173,MATCH('Selection Pane Data'!$B174,List!$E$2:$E$173,0),MATCH('Selection Pane Data'!BQ$3,List!$E$2:$CD$2,0)),"")</f>
        <v/>
      </c>
      <c r="BR174" s="13" t="str">
        <f>IF(BR$4="Yes",INDEX(List!$E$2:$CD$173,MATCH('Selection Pane Data'!$B174,List!$E$2:$E$173,0),MATCH('Selection Pane Data'!BR$3,List!$E$2:$CD$2,0)),"")</f>
        <v/>
      </c>
      <c r="BS174" s="13" t="str">
        <f>IF(BS$4="Yes",INDEX(List!$E$2:$CD$173,MATCH('Selection Pane Data'!$B174,List!$E$2:$E$173,0),MATCH('Selection Pane Data'!BS$3,List!$E$2:$CD$2,0)),"")</f>
        <v/>
      </c>
      <c r="BT174" s="13" t="str">
        <f>IF(BT$4="Yes",INDEX(List!$E$2:$CD$173,MATCH('Selection Pane Data'!$B174,List!$E$2:$E$173,0),MATCH('Selection Pane Data'!BT$3,List!$E$2:$CD$2,0)),"")</f>
        <v/>
      </c>
      <c r="BU174" s="13" t="str">
        <f>IF(BU$4="Yes",INDEX(List!$E$2:$CD$173,MATCH('Selection Pane Data'!$B174,List!$E$2:$E$173,0),MATCH('Selection Pane Data'!BU$3,List!$E$2:$CD$2,0)),"")</f>
        <v/>
      </c>
      <c r="BV174" s="13" t="str">
        <f>IF(BV$4="Yes",INDEX(List!$E$2:$CD$173,MATCH('Selection Pane Data'!$B174,List!$E$2:$E$173,0),MATCH('Selection Pane Data'!BV$3,List!$E$2:$CD$2,0)),"")</f>
        <v/>
      </c>
      <c r="BW174" s="13" t="str">
        <f>IF(BW$4="Yes",INDEX(List!$E$2:$CD$173,MATCH('Selection Pane Data'!$B174,List!$E$2:$E$173,0),MATCH('Selection Pane Data'!BW$3,List!$E$2:$CD$2,0)),"")</f>
        <v/>
      </c>
      <c r="BX174" s="13" t="str">
        <f>IF(BX$4="Yes",INDEX(List!$E$2:$CD$173,MATCH('Selection Pane Data'!$B174,List!$E$2:$E$173,0),MATCH('Selection Pane Data'!BX$3,List!$E$2:$CD$2,0)),"")</f>
        <v/>
      </c>
      <c r="BY174" s="13" t="str">
        <f>IF(BY$4="Yes",INDEX(List!$E$2:$CD$173,MATCH('Selection Pane Data'!$B174,List!$E$2:$E$173,0),MATCH('Selection Pane Data'!BY$3,List!$E$2:$CD$2,0)),"")</f>
        <v/>
      </c>
      <c r="BZ174" s="13" t="str">
        <f>IF(BZ$4="Yes",INDEX(List!$E$2:$CD$173,MATCH('Selection Pane Data'!$B174,List!$E$2:$E$173,0),MATCH('Selection Pane Data'!BZ$3,List!$E$2:$CD$2,0)),"")</f>
        <v/>
      </c>
      <c r="CA174" s="13" t="str">
        <f>IF(CA$4="Yes",INDEX(List!$E$2:$CD$173,MATCH('Selection Pane Data'!$B174,List!$E$2:$E$173,0),MATCH('Selection Pane Data'!CA$3,List!$E$2:$CD$2,0)),"")</f>
        <v/>
      </c>
      <c r="CB174" s="13" t="str">
        <f>IF(CB$4="Yes",INDEX(List!$E$2:$CD$173,MATCH('Selection Pane Data'!$B174,List!$E$2:$E$173,0),MATCH('Selection Pane Data'!CB$3,List!$E$2:$CD$2,0)),"")</f>
        <v/>
      </c>
      <c r="CC174" s="13" t="str">
        <f>IF(CC$4="Yes",INDEX(List!$E$2:$CD$173,MATCH('Selection Pane Data'!$B174,List!$E$2:$E$173,0),MATCH('Selection Pane Data'!CC$3,List!$E$2:$CD$2,0)),"")</f>
        <v/>
      </c>
      <c r="CD174" s="13" t="str">
        <f>IF(CD$4="Yes",INDEX(List!$E$2:$CD$173,MATCH('Selection Pane Data'!$B174,List!$E$2:$E$173,0),MATCH('Selection Pane Data'!CD$3,List!$E$2:$CD$2,0)),"")</f>
        <v/>
      </c>
      <c r="CE174" s="13" t="str">
        <f>IF(CE$4="Yes",INDEX(List!$E$2:$CD$173,MATCH('Selection Pane Data'!$B174,List!$E$2:$E$173,0),MATCH('Selection Pane Data'!CE$3,List!$E$2:$CD$2,0)),"")</f>
        <v/>
      </c>
    </row>
    <row r="175" spans="2:83" ht="15" thickBot="1" x14ac:dyDescent="0.4">
      <c r="B175" s="22" t="s">
        <v>462</v>
      </c>
      <c r="C175" s="126" t="str">
        <f>VLOOKUP(B175,List!$E$2:$G$173,2,FALSE)</f>
        <v>SI.L3-14</v>
      </c>
      <c r="D175" s="32" t="str">
        <f>List!G173</f>
        <v>Not Applicable</v>
      </c>
      <c r="E175" s="31" t="str">
        <f>IF(Placemat!$F$4="All Practices","All Practices",IF(VLOOKUP(B175,Table7[#All],6,FALSE)="No Mapping","New CMMC Practices","Practices with NIST 800-171 Mappings"))</f>
        <v>Practices with NIST 800-171 Mappings</v>
      </c>
      <c r="F175" t="str">
        <f>INDEX('CMMC Levels'!$A$1:$F$172,MATCH('Selection Pane Data'!$C175,'CMMC Levels'!$A$1:$A$172,0),MATCH(Placemat!$F$4,'CMMC Levels'!$A$1:$F$1,0))</f>
        <v>N/A</v>
      </c>
      <c r="G175" s="77" t="str">
        <f>IF((COUNTIF(List!H173:CE173,"P")+COUNTIF(List!H173:CE173,"S"))=0,"N",IF(COUNTIF(H175:CE175,"P"),"P",IF(COUNTIF(H175:CE175,"S"),"S","U")))</f>
        <v>N</v>
      </c>
      <c r="H175" s="13" t="str">
        <f>IF(H$4="Yes",INDEX(List!$E$2:$CD$173,MATCH('Selection Pane Data'!$B175,List!$E$2:$E$173,0),MATCH('Selection Pane Data'!H$3,List!$E$2:$CD$2,0)),"")</f>
        <v/>
      </c>
      <c r="I175" s="13" t="str">
        <f>IF(I$4="Yes",INDEX(List!$E$2:$CD$173,MATCH('Selection Pane Data'!$B175,List!$E$2:$E$173,0),MATCH('Selection Pane Data'!I$3,List!$E$2:$CD$2,0)),"")</f>
        <v/>
      </c>
      <c r="J175" s="13" t="str">
        <f>IF(J$4="Yes",INDEX(List!$E$2:$CD$173,MATCH('Selection Pane Data'!$B175,List!$E$2:$E$173,0),MATCH('Selection Pane Data'!J$3,List!$E$2:$CD$2,0)),"")</f>
        <v>N</v>
      </c>
      <c r="K175" s="13" t="str">
        <f>IF(K$4="Yes",INDEX(List!$E$2:$CD$173,MATCH('Selection Pane Data'!$B175,List!$E$2:$E$173,0),MATCH('Selection Pane Data'!K$3,List!$E$2:$CD$2,0)),"")</f>
        <v/>
      </c>
      <c r="L175" s="13" t="str">
        <f>IF(L$4="Yes",INDEX(List!$E$2:$CD$173,MATCH('Selection Pane Data'!$B175,List!$E$2:$E$173,0),MATCH('Selection Pane Data'!L$3,List!$E$2:$CD$2,0)),"")</f>
        <v/>
      </c>
      <c r="M175" s="13" t="str">
        <f>IF(M$4="Yes",INDEX(List!$E$2:$CD$173,MATCH('Selection Pane Data'!$B175,List!$E$2:$E$173,0),MATCH('Selection Pane Data'!M$3,List!$E$2:$CD$2,0)),"")</f>
        <v/>
      </c>
      <c r="N175" s="13" t="str">
        <f>IF(N$4="Yes",INDEX(List!$E$2:$CD$173,MATCH('Selection Pane Data'!$B175,List!$E$2:$E$173,0),MATCH('Selection Pane Data'!N$3,List!$E$2:$CD$2,0)),"")</f>
        <v/>
      </c>
      <c r="O175" s="13" t="str">
        <f>IF(O$4="Yes",INDEX(List!$E$2:$CD$173,MATCH('Selection Pane Data'!$B175,List!$E$2:$E$173,0),MATCH('Selection Pane Data'!O$3,List!$E$2:$CD$2,0)),"")</f>
        <v/>
      </c>
      <c r="P175" s="13" t="str">
        <f>IF(P$4="Yes",INDEX(List!$E$2:$CD$173,MATCH('Selection Pane Data'!$B175,List!$E$2:$E$173,0),MATCH('Selection Pane Data'!P$3,List!$E$2:$CD$2,0)),"")</f>
        <v/>
      </c>
      <c r="Q175" s="13" t="str">
        <f>IF(Q$4="Yes",INDEX(List!$E$2:$CD$173,MATCH('Selection Pane Data'!$B175,List!$E$2:$E$173,0),MATCH('Selection Pane Data'!Q$3,List!$E$2:$CD$2,0)),"")</f>
        <v/>
      </c>
      <c r="R175" s="13" t="str">
        <f>IF(R$4="Yes",INDEX(List!$E$2:$CD$173,MATCH('Selection Pane Data'!$B175,List!$E$2:$E$173,0),MATCH('Selection Pane Data'!R$3,List!$E$2:$CD$2,0)),"")</f>
        <v/>
      </c>
      <c r="S175" s="13" t="str">
        <f>IF(S$4="Yes",INDEX(List!$E$2:$CD$173,MATCH('Selection Pane Data'!$B175,List!$E$2:$E$173,0),MATCH('Selection Pane Data'!S$3,List!$E$2:$CD$2,0)),"")</f>
        <v/>
      </c>
      <c r="T175" s="13" t="str">
        <f>IF(T$4="Yes",INDEX(List!$E$2:$CD$173,MATCH('Selection Pane Data'!$B175,List!$E$2:$E$173,0),MATCH('Selection Pane Data'!T$3,List!$E$2:$CD$2,0)),"")</f>
        <v/>
      </c>
      <c r="U175" s="13" t="str">
        <f>IF(U$4="Yes",INDEX(List!$E$2:$CD$173,MATCH('Selection Pane Data'!$B175,List!$E$2:$E$173,0),MATCH('Selection Pane Data'!U$3,List!$E$2:$CD$2,0)),"")</f>
        <v/>
      </c>
      <c r="V175" s="13" t="str">
        <f>IF(V$4="Yes",INDEX(List!$E$2:$CD$173,MATCH('Selection Pane Data'!$B175,List!$E$2:$E$173,0),MATCH('Selection Pane Data'!V$3,List!$E$2:$CD$2,0)),"")</f>
        <v/>
      </c>
      <c r="W175" s="13" t="str">
        <f>IF(W$4="Yes",INDEX(List!$E$2:$CD$173,MATCH('Selection Pane Data'!$B175,List!$E$2:$E$173,0),MATCH('Selection Pane Data'!W$3,List!$E$2:$CD$2,0)),"")</f>
        <v/>
      </c>
      <c r="X175" s="13" t="str">
        <f>IF(X$4="Yes",INDEX(List!$E$2:$CD$173,MATCH('Selection Pane Data'!$B175,List!$E$2:$E$173,0),MATCH('Selection Pane Data'!X$3,List!$E$2:$CD$2,0)),"")</f>
        <v/>
      </c>
      <c r="Y175" s="13" t="str">
        <f>IF(Y$4="Yes",INDEX(List!$E$2:$CD$173,MATCH('Selection Pane Data'!$B175,List!$E$2:$E$173,0),MATCH('Selection Pane Data'!Y$3,List!$E$2:$CD$2,0)),"")</f>
        <v/>
      </c>
      <c r="Z175" s="13" t="str">
        <f>IF(Z$4="Yes",INDEX(List!$E$2:$CD$173,MATCH('Selection Pane Data'!$B175,List!$E$2:$E$173,0),MATCH('Selection Pane Data'!Z$3,List!$E$2:$CD$2,0)),"")</f>
        <v/>
      </c>
      <c r="AA175" s="13" t="str">
        <f>IF(AA$4="Yes",INDEX(List!$E$2:$CD$173,MATCH('Selection Pane Data'!$B175,List!$E$2:$E$173,0),MATCH('Selection Pane Data'!AA$3,List!$E$2:$CD$2,0)),"")</f>
        <v>N</v>
      </c>
      <c r="AB175" s="13" t="str">
        <f>IF(AB$4="Yes",INDEX(List!$E$2:$CD$173,MATCH('Selection Pane Data'!$B175,List!$E$2:$E$173,0),MATCH('Selection Pane Data'!AB$3,List!$E$2:$CD$2,0)),"")</f>
        <v/>
      </c>
      <c r="AC175" s="13" t="str">
        <f>IF(AC$4="Yes",INDEX(List!$E$2:$CD$173,MATCH('Selection Pane Data'!$B175,List!$E$2:$E$173,0),MATCH('Selection Pane Data'!AC$3,List!$E$2:$CD$2,0)),"")</f>
        <v/>
      </c>
      <c r="AD175" s="13" t="str">
        <f>IF(AD$4="Yes",INDEX(List!$E$2:$CD$173,MATCH('Selection Pane Data'!$B175,List!$E$2:$E$173,0),MATCH('Selection Pane Data'!AD$3,List!$E$2:$CD$2,0)),"")</f>
        <v/>
      </c>
      <c r="AE175" s="13" t="str">
        <f>IF(AE$4="Yes",INDEX(List!$E$2:$CD$173,MATCH('Selection Pane Data'!$B175,List!$E$2:$E$173,0),MATCH('Selection Pane Data'!AE$3,List!$E$2:$CD$2,0)),"")</f>
        <v/>
      </c>
      <c r="AF175" s="13" t="str">
        <f>IF(AF$4="Yes",INDEX(List!$E$2:$CD$173,MATCH('Selection Pane Data'!$B175,List!$E$2:$E$173,0),MATCH('Selection Pane Data'!AF$3,List!$E$2:$CD$2,0)),"")</f>
        <v/>
      </c>
      <c r="AG175" s="13" t="str">
        <f>IF(AG$4="Yes",INDEX(List!$E$2:$CD$173,MATCH('Selection Pane Data'!$B175,List!$E$2:$E$173,0),MATCH('Selection Pane Data'!AG$3,List!$E$2:$CD$2,0)),"")</f>
        <v/>
      </c>
      <c r="AH175" s="13" t="str">
        <f>IF(AH$4="Yes",INDEX(List!$E$2:$CD$173,MATCH('Selection Pane Data'!$B175,List!$E$2:$E$173,0),MATCH('Selection Pane Data'!AH$3,List!$E$2:$CD$2,0)),"")</f>
        <v/>
      </c>
      <c r="AI175" s="13" t="str">
        <f>IF(AI$4="Yes",INDEX(List!$E$2:$CD$173,MATCH('Selection Pane Data'!$B175,List!$E$2:$E$173,0),MATCH('Selection Pane Data'!AI$3,List!$E$2:$CD$2,0)),"")</f>
        <v/>
      </c>
      <c r="AJ175" s="13" t="str">
        <f>IF(AJ$4="Yes",INDEX(List!$E$2:$CD$173,MATCH('Selection Pane Data'!$B175,List!$E$2:$E$173,0),MATCH('Selection Pane Data'!AJ$3,List!$E$2:$CD$2,0)),"")</f>
        <v/>
      </c>
      <c r="AK175" s="13" t="str">
        <f>IF(AK$4="Yes",INDEX(List!$E$2:$CD$173,MATCH('Selection Pane Data'!$B175,List!$E$2:$E$173,0),MATCH('Selection Pane Data'!AK$3,List!$E$2:$CD$2,0)),"")</f>
        <v/>
      </c>
      <c r="AL175" s="13" t="str">
        <f>IF(AL$4="Yes",INDEX(List!$E$2:$CD$173,MATCH('Selection Pane Data'!$B175,List!$E$2:$E$173,0),MATCH('Selection Pane Data'!AL$3,List!$E$2:$CD$2,0)),"")</f>
        <v/>
      </c>
      <c r="AM175" s="13" t="str">
        <f>IF(AM$4="Yes",INDEX(List!$E$2:$CD$173,MATCH('Selection Pane Data'!$B175,List!$E$2:$E$173,0),MATCH('Selection Pane Data'!AM$3,List!$E$2:$CD$2,0)),"")</f>
        <v/>
      </c>
      <c r="AN175" s="13" t="str">
        <f>IF(AN$4="Yes",INDEX(List!$E$2:$CD$173,MATCH('Selection Pane Data'!$B175,List!$E$2:$E$173,0),MATCH('Selection Pane Data'!AN$3,List!$E$2:$CD$2,0)),"")</f>
        <v/>
      </c>
      <c r="AO175" s="13" t="str">
        <f>IF(AO$4="Yes",INDEX(List!$E$2:$CD$173,MATCH('Selection Pane Data'!$B175,List!$E$2:$E$173,0),MATCH('Selection Pane Data'!AO$3,List!$E$2:$CD$2,0)),"")</f>
        <v/>
      </c>
      <c r="AP175" s="13" t="str">
        <f>IF(AP$4="Yes",INDEX(List!$E$2:$CD$173,MATCH('Selection Pane Data'!$B175,List!$E$2:$E$173,0),MATCH('Selection Pane Data'!AP$3,List!$E$2:$CD$2,0)),"")</f>
        <v/>
      </c>
      <c r="AQ175" s="13" t="str">
        <f>IF(AQ$4="Yes",INDEX(List!$E$2:$CD$173,MATCH('Selection Pane Data'!$B175,List!$E$2:$E$173,0),MATCH('Selection Pane Data'!AQ$3,List!$E$2:$CD$2,0)),"")</f>
        <v/>
      </c>
      <c r="AR175" s="13" t="str">
        <f>IF(AR$4="Yes",INDEX(List!$E$2:$CD$173,MATCH('Selection Pane Data'!$B175,List!$E$2:$E$173,0),MATCH('Selection Pane Data'!AR$3,List!$E$2:$CD$2,0)),"")</f>
        <v/>
      </c>
      <c r="AS175" s="13" t="str">
        <f>IF(AS$4="Yes",INDEX(List!$E$2:$CD$173,MATCH('Selection Pane Data'!$B175,List!$E$2:$E$173,0),MATCH('Selection Pane Data'!AS$3,List!$E$2:$CD$2,0)),"")</f>
        <v/>
      </c>
      <c r="AT175" s="13" t="str">
        <f>IF(AT$4="Yes",INDEX(List!$E$2:$CD$173,MATCH('Selection Pane Data'!$B175,List!$E$2:$E$173,0),MATCH('Selection Pane Data'!AT$3,List!$E$2:$CD$2,0)),"")</f>
        <v/>
      </c>
      <c r="AU175" s="13" t="str">
        <f>IF(AU$4="Yes",INDEX(List!$E$2:$CD$173,MATCH('Selection Pane Data'!$B175,List!$E$2:$E$173,0),MATCH('Selection Pane Data'!AU$3,List!$E$2:$CD$2,0)),"")</f>
        <v/>
      </c>
      <c r="AV175" s="13" t="str">
        <f>IF(AV$4="Yes",INDEX(List!$E$2:$CD$173,MATCH('Selection Pane Data'!$B175,List!$E$2:$E$173,0),MATCH('Selection Pane Data'!AV$3,List!$E$2:$CD$2,0)),"")</f>
        <v/>
      </c>
      <c r="AW175" s="13" t="str">
        <f>IF(AW$4="Yes",INDEX(List!$E$2:$CD$173,MATCH('Selection Pane Data'!$B175,List!$E$2:$E$173,0),MATCH('Selection Pane Data'!AW$3,List!$E$2:$CD$2,0)),"")</f>
        <v/>
      </c>
      <c r="AX175" s="13" t="str">
        <f>IF(AX$4="Yes",INDEX(List!$E$2:$CD$173,MATCH('Selection Pane Data'!$B175,List!$E$2:$E$173,0),MATCH('Selection Pane Data'!AX$3,List!$E$2:$CD$2,0)),"")</f>
        <v/>
      </c>
      <c r="AY175" s="13" t="str">
        <f>IF(AY$4="Yes",INDEX(List!$E$2:$CD$173,MATCH('Selection Pane Data'!$B175,List!$E$2:$E$173,0),MATCH('Selection Pane Data'!AY$3,List!$E$2:$CD$2,0)),"")</f>
        <v/>
      </c>
      <c r="AZ175" s="13" t="str">
        <f>IF(AZ$4="Yes",INDEX(List!$E$2:$CD$173,MATCH('Selection Pane Data'!$B175,List!$E$2:$E$173,0),MATCH('Selection Pane Data'!AZ$3,List!$E$2:$CD$2,0)),"")</f>
        <v/>
      </c>
      <c r="BA175" s="13" t="str">
        <f>IF(BA$4="Yes",INDEX(List!$E$2:$CD$173,MATCH('Selection Pane Data'!$B175,List!$E$2:$E$173,0),MATCH('Selection Pane Data'!BA$3,List!$E$2:$CD$2,0)),"")</f>
        <v/>
      </c>
      <c r="BB175" s="13" t="str">
        <f>IF(BB$4="Yes",INDEX(List!$E$2:$CD$173,MATCH('Selection Pane Data'!$B175,List!$E$2:$E$173,0),MATCH('Selection Pane Data'!BB$3,List!$E$2:$CD$2,0)),"")</f>
        <v/>
      </c>
      <c r="BC175" s="13" t="str">
        <f>IF(BC$4="Yes",INDEX(List!$E$2:$CD$173,MATCH('Selection Pane Data'!$B175,List!$E$2:$E$173,0),MATCH('Selection Pane Data'!BC$3,List!$E$2:$CD$2,0)),"")</f>
        <v/>
      </c>
      <c r="BD175" s="13" t="str">
        <f>IF(BD$4="Yes",INDEX(List!$E$2:$CD$173,MATCH('Selection Pane Data'!$B175,List!$E$2:$E$173,0),MATCH('Selection Pane Data'!BD$3,List!$E$2:$CD$2,0)),"")</f>
        <v/>
      </c>
      <c r="BE175" s="13" t="str">
        <f>IF(BE$4="Yes",INDEX(List!$E$2:$CD$173,MATCH('Selection Pane Data'!$B175,List!$E$2:$E$173,0),MATCH('Selection Pane Data'!BE$3,List!$E$2:$CD$2,0)),"")</f>
        <v/>
      </c>
      <c r="BF175" s="13" t="str">
        <f>IF(BF$4="Yes",INDEX(List!$E$2:$CD$173,MATCH('Selection Pane Data'!$B175,List!$E$2:$E$173,0),MATCH('Selection Pane Data'!BF$3,List!$E$2:$CD$2,0)),"")</f>
        <v/>
      </c>
      <c r="BG175" s="13" t="str">
        <f>IF(BG$4="Yes",INDEX(List!$E$2:$CD$173,MATCH('Selection Pane Data'!$B175,List!$E$2:$E$173,0),MATCH('Selection Pane Data'!BG$3,List!$E$2:$CD$2,0)),"")</f>
        <v/>
      </c>
      <c r="BH175" s="13" t="str">
        <f>IF(BH$4="Yes",INDEX(List!$E$2:$CD$173,MATCH('Selection Pane Data'!$B175,List!$E$2:$E$173,0),MATCH('Selection Pane Data'!BH$3,List!$E$2:$CD$2,0)),"")</f>
        <v/>
      </c>
      <c r="BI175" s="13" t="str">
        <f>IF(BI$4="Yes",INDEX(List!$E$2:$CD$173,MATCH('Selection Pane Data'!$B175,List!$E$2:$E$173,0),MATCH('Selection Pane Data'!BI$3,List!$E$2:$CD$2,0)),"")</f>
        <v/>
      </c>
      <c r="BJ175" s="13" t="str">
        <f>IF(BJ$4="Yes",INDEX(List!$E$2:$CD$173,MATCH('Selection Pane Data'!$B175,List!$E$2:$E$173,0),MATCH('Selection Pane Data'!BJ$3,List!$E$2:$CD$2,0)),"")</f>
        <v/>
      </c>
      <c r="BK175" s="13" t="str">
        <f>IF(BK$4="Yes",INDEX(List!$E$2:$CD$173,MATCH('Selection Pane Data'!$B175,List!$E$2:$E$173,0),MATCH('Selection Pane Data'!BK$3,List!$E$2:$CD$2,0)),"")</f>
        <v/>
      </c>
      <c r="BL175" s="13" t="str">
        <f>IF(BL$4="Yes",INDEX(List!$E$2:$CD$173,MATCH('Selection Pane Data'!$B175,List!$E$2:$E$173,0),MATCH('Selection Pane Data'!BL$3,List!$E$2:$CD$2,0)),"")</f>
        <v/>
      </c>
      <c r="BM175" s="13" t="str">
        <f>IF(BM$4="Yes",INDEX(List!$E$2:$CD$173,MATCH('Selection Pane Data'!$B175,List!$E$2:$E$173,0),MATCH('Selection Pane Data'!BM$3,List!$E$2:$CD$2,0)),"")</f>
        <v/>
      </c>
      <c r="BN175" s="13" t="str">
        <f>IF(BN$4="Yes",INDEX(List!$E$2:$CD$173,MATCH('Selection Pane Data'!$B175,List!$E$2:$E$173,0),MATCH('Selection Pane Data'!BN$3,List!$E$2:$CD$2,0)),"")</f>
        <v/>
      </c>
      <c r="BO175" s="13" t="str">
        <f>IF(BO$4="Yes",INDEX(List!$E$2:$CD$173,MATCH('Selection Pane Data'!$B175,List!$E$2:$E$173,0),MATCH('Selection Pane Data'!BO$3,List!$E$2:$CD$2,0)),"")</f>
        <v/>
      </c>
      <c r="BP175" s="13" t="str">
        <f>IF(BP$4="Yes",INDEX(List!$E$2:$CD$173,MATCH('Selection Pane Data'!$B175,List!$E$2:$E$173,0),MATCH('Selection Pane Data'!BP$3,List!$E$2:$CD$2,0)),"")</f>
        <v/>
      </c>
      <c r="BQ175" s="13" t="str">
        <f>IF(BQ$4="Yes",INDEX(List!$E$2:$CD$173,MATCH('Selection Pane Data'!$B175,List!$E$2:$E$173,0),MATCH('Selection Pane Data'!BQ$3,List!$E$2:$CD$2,0)),"")</f>
        <v/>
      </c>
      <c r="BR175" s="13" t="str">
        <f>IF(BR$4="Yes",INDEX(List!$E$2:$CD$173,MATCH('Selection Pane Data'!$B175,List!$E$2:$E$173,0),MATCH('Selection Pane Data'!BR$3,List!$E$2:$CD$2,0)),"")</f>
        <v/>
      </c>
      <c r="BS175" s="13" t="str">
        <f>IF(BS$4="Yes",INDEX(List!$E$2:$CD$173,MATCH('Selection Pane Data'!$B175,List!$E$2:$E$173,0),MATCH('Selection Pane Data'!BS$3,List!$E$2:$CD$2,0)),"")</f>
        <v/>
      </c>
      <c r="BT175" s="13" t="str">
        <f>IF(BT$4="Yes",INDEX(List!$E$2:$CD$173,MATCH('Selection Pane Data'!$B175,List!$E$2:$E$173,0),MATCH('Selection Pane Data'!BT$3,List!$E$2:$CD$2,0)),"")</f>
        <v/>
      </c>
      <c r="BU175" s="13" t="str">
        <f>IF(BU$4="Yes",INDEX(List!$E$2:$CD$173,MATCH('Selection Pane Data'!$B175,List!$E$2:$E$173,0),MATCH('Selection Pane Data'!BU$3,List!$E$2:$CD$2,0)),"")</f>
        <v/>
      </c>
      <c r="BV175" s="13" t="str">
        <f>IF(BV$4="Yes",INDEX(List!$E$2:$CD$173,MATCH('Selection Pane Data'!$B175,List!$E$2:$E$173,0),MATCH('Selection Pane Data'!BV$3,List!$E$2:$CD$2,0)),"")</f>
        <v/>
      </c>
      <c r="BW175" s="13" t="str">
        <f>IF(BW$4="Yes",INDEX(List!$E$2:$CD$173,MATCH('Selection Pane Data'!$B175,List!$E$2:$E$173,0),MATCH('Selection Pane Data'!BW$3,List!$E$2:$CD$2,0)),"")</f>
        <v/>
      </c>
      <c r="BX175" s="13" t="str">
        <f>IF(BX$4="Yes",INDEX(List!$E$2:$CD$173,MATCH('Selection Pane Data'!$B175,List!$E$2:$E$173,0),MATCH('Selection Pane Data'!BX$3,List!$E$2:$CD$2,0)),"")</f>
        <v/>
      </c>
      <c r="BY175" s="13" t="str">
        <f>IF(BY$4="Yes",INDEX(List!$E$2:$CD$173,MATCH('Selection Pane Data'!$B175,List!$E$2:$E$173,0),MATCH('Selection Pane Data'!BY$3,List!$E$2:$CD$2,0)),"")</f>
        <v/>
      </c>
      <c r="BZ175" s="13" t="str">
        <f>IF(BZ$4="Yes",INDEX(List!$E$2:$CD$173,MATCH('Selection Pane Data'!$B175,List!$E$2:$E$173,0),MATCH('Selection Pane Data'!BZ$3,List!$E$2:$CD$2,0)),"")</f>
        <v/>
      </c>
      <c r="CA175" s="13" t="str">
        <f>IF(CA$4="Yes",INDEX(List!$E$2:$CD$173,MATCH('Selection Pane Data'!$B175,List!$E$2:$E$173,0),MATCH('Selection Pane Data'!CA$3,List!$E$2:$CD$2,0)),"")</f>
        <v/>
      </c>
      <c r="CB175" s="13" t="str">
        <f>IF(CB$4="Yes",INDEX(List!$E$2:$CD$173,MATCH('Selection Pane Data'!$B175,List!$E$2:$E$173,0),MATCH('Selection Pane Data'!CB$3,List!$E$2:$CD$2,0)),"")</f>
        <v/>
      </c>
      <c r="CC175" s="13" t="str">
        <f>IF(CC$4="Yes",INDEX(List!$E$2:$CD$173,MATCH('Selection Pane Data'!$B175,List!$E$2:$E$173,0),MATCH('Selection Pane Data'!CC$3,List!$E$2:$CD$2,0)),"")</f>
        <v/>
      </c>
      <c r="CD175" s="13" t="str">
        <f>IF(CD$4="Yes",INDEX(List!$E$2:$CD$173,MATCH('Selection Pane Data'!$B175,List!$E$2:$E$173,0),MATCH('Selection Pane Data'!CD$3,List!$E$2:$CD$2,0)),"")</f>
        <v/>
      </c>
      <c r="CE175" s="13" t="str">
        <f>IF(CE$4="Yes",INDEX(List!$E$2:$CD$173,MATCH('Selection Pane Data'!$B175,List!$E$2:$E$173,0),MATCH('Selection Pane Data'!CE$3,List!$E$2:$CD$2,0)),"")</f>
        <v/>
      </c>
    </row>
    <row r="176" spans="2:83" x14ac:dyDescent="0.35">
      <c r="E176" t="str">
        <f>IF(COUNTIF(H$5:H$175,"P")&gt;0,"P",IF(COUNTIF(H$5:H$175,"S")&gt;0,"S",""))</f>
        <v/>
      </c>
      <c r="G176" s="146" t="s">
        <v>463</v>
      </c>
      <c r="H176" t="str">
        <f t="shared" ref="H176:AM176" si="0">IF(COUNTIF(H$5:H$175,"P")&gt;0,"P",IF(COUNTIF(H$5:H$175,"S")&gt;0,"S",""))</f>
        <v/>
      </c>
      <c r="I176" t="str">
        <f t="shared" si="0"/>
        <v/>
      </c>
      <c r="J176" t="str">
        <f t="shared" si="0"/>
        <v>P</v>
      </c>
      <c r="K176" t="str">
        <f t="shared" si="0"/>
        <v/>
      </c>
      <c r="L176" t="str">
        <f t="shared" si="0"/>
        <v/>
      </c>
      <c r="M176" t="str">
        <f t="shared" si="0"/>
        <v/>
      </c>
      <c r="N176" t="str">
        <f t="shared" si="0"/>
        <v/>
      </c>
      <c r="O176" t="str">
        <f t="shared" si="0"/>
        <v/>
      </c>
      <c r="P176" t="str">
        <f t="shared" si="0"/>
        <v/>
      </c>
      <c r="Q176" t="str">
        <f t="shared" si="0"/>
        <v/>
      </c>
      <c r="R176" t="str">
        <f t="shared" si="0"/>
        <v/>
      </c>
      <c r="S176" t="str">
        <f t="shared" si="0"/>
        <v/>
      </c>
      <c r="T176" t="str">
        <f t="shared" si="0"/>
        <v/>
      </c>
      <c r="U176" t="str">
        <f t="shared" si="0"/>
        <v/>
      </c>
      <c r="V176" t="str">
        <f t="shared" si="0"/>
        <v/>
      </c>
      <c r="W176" t="str">
        <f t="shared" si="0"/>
        <v/>
      </c>
      <c r="X176" t="str">
        <f t="shared" si="0"/>
        <v/>
      </c>
      <c r="Y176" t="str">
        <f t="shared" si="0"/>
        <v/>
      </c>
      <c r="Z176" t="str">
        <f t="shared" si="0"/>
        <v/>
      </c>
      <c r="AA176" t="str">
        <f t="shared" si="0"/>
        <v>P</v>
      </c>
      <c r="AB176" t="str">
        <f t="shared" si="0"/>
        <v/>
      </c>
      <c r="AC176" t="str">
        <f t="shared" si="0"/>
        <v/>
      </c>
      <c r="AD176" t="str">
        <f t="shared" si="0"/>
        <v/>
      </c>
      <c r="AE176" t="str">
        <f t="shared" si="0"/>
        <v/>
      </c>
      <c r="AF176" t="str">
        <f t="shared" si="0"/>
        <v/>
      </c>
      <c r="AG176" t="str">
        <f t="shared" si="0"/>
        <v/>
      </c>
      <c r="AH176" t="str">
        <f t="shared" si="0"/>
        <v/>
      </c>
      <c r="AI176" t="str">
        <f t="shared" si="0"/>
        <v/>
      </c>
      <c r="AJ176" t="str">
        <f t="shared" si="0"/>
        <v/>
      </c>
      <c r="AK176" t="str">
        <f t="shared" si="0"/>
        <v/>
      </c>
      <c r="AL176" t="str">
        <f t="shared" si="0"/>
        <v/>
      </c>
      <c r="AM176" t="str">
        <f t="shared" si="0"/>
        <v/>
      </c>
      <c r="AN176" t="str">
        <f t="shared" ref="AN176:BS176" si="1">IF(COUNTIF(AN$5:AN$175,"P")&gt;0,"P",IF(COUNTIF(AN$5:AN$175,"S")&gt;0,"S",""))</f>
        <v/>
      </c>
      <c r="AO176" t="str">
        <f t="shared" si="1"/>
        <v/>
      </c>
      <c r="AP176" t="str">
        <f t="shared" si="1"/>
        <v/>
      </c>
      <c r="AQ176" t="str">
        <f t="shared" si="1"/>
        <v/>
      </c>
      <c r="AR176" t="str">
        <f t="shared" si="1"/>
        <v/>
      </c>
      <c r="AS176" t="str">
        <f t="shared" si="1"/>
        <v/>
      </c>
      <c r="AT176" t="str">
        <f t="shared" si="1"/>
        <v/>
      </c>
      <c r="AU176" t="str">
        <f t="shared" si="1"/>
        <v/>
      </c>
      <c r="AV176" t="str">
        <f t="shared" si="1"/>
        <v/>
      </c>
      <c r="AW176" t="str">
        <f t="shared" si="1"/>
        <v/>
      </c>
      <c r="AX176" t="str">
        <f t="shared" si="1"/>
        <v/>
      </c>
      <c r="AY176" t="str">
        <f t="shared" si="1"/>
        <v/>
      </c>
      <c r="AZ176" t="str">
        <f t="shared" si="1"/>
        <v/>
      </c>
      <c r="BA176" t="str">
        <f t="shared" si="1"/>
        <v/>
      </c>
      <c r="BB176" t="str">
        <f t="shared" si="1"/>
        <v/>
      </c>
      <c r="BC176" t="str">
        <f t="shared" si="1"/>
        <v/>
      </c>
      <c r="BD176" t="str">
        <f t="shared" si="1"/>
        <v/>
      </c>
      <c r="BE176" t="str">
        <f t="shared" si="1"/>
        <v/>
      </c>
      <c r="BF176" t="str">
        <f t="shared" si="1"/>
        <v/>
      </c>
      <c r="BG176" t="str">
        <f t="shared" si="1"/>
        <v/>
      </c>
      <c r="BH176" t="str">
        <f t="shared" si="1"/>
        <v/>
      </c>
      <c r="BI176" t="str">
        <f t="shared" si="1"/>
        <v/>
      </c>
      <c r="BJ176" t="str">
        <f t="shared" si="1"/>
        <v/>
      </c>
      <c r="BK176" t="str">
        <f t="shared" si="1"/>
        <v/>
      </c>
      <c r="BL176" t="str">
        <f t="shared" si="1"/>
        <v/>
      </c>
      <c r="BM176" t="str">
        <f t="shared" si="1"/>
        <v/>
      </c>
      <c r="BN176" t="str">
        <f t="shared" si="1"/>
        <v/>
      </c>
      <c r="BO176" t="str">
        <f t="shared" si="1"/>
        <v/>
      </c>
      <c r="BP176" t="str">
        <f t="shared" si="1"/>
        <v/>
      </c>
      <c r="BQ176" t="str">
        <f t="shared" si="1"/>
        <v/>
      </c>
      <c r="BR176" t="str">
        <f t="shared" si="1"/>
        <v/>
      </c>
      <c r="BS176" t="str">
        <f t="shared" si="1"/>
        <v/>
      </c>
      <c r="BT176" t="str">
        <f t="shared" ref="BT176:CD176" si="2">IF(COUNTIF(BT$5:BT$175,"P")&gt;0,"P",IF(COUNTIF(BT$5:BT$175,"S")&gt;0,"S",""))</f>
        <v/>
      </c>
      <c r="BU176" t="str">
        <f t="shared" si="2"/>
        <v/>
      </c>
      <c r="BV176" t="str">
        <f t="shared" si="2"/>
        <v/>
      </c>
      <c r="BW176" t="str">
        <f t="shared" si="2"/>
        <v/>
      </c>
      <c r="BX176" t="str">
        <f t="shared" si="2"/>
        <v/>
      </c>
      <c r="BY176" t="str">
        <f t="shared" si="2"/>
        <v/>
      </c>
      <c r="BZ176" t="str">
        <f t="shared" si="2"/>
        <v/>
      </c>
      <c r="CA176" t="str">
        <f t="shared" si="2"/>
        <v/>
      </c>
      <c r="CB176" t="str">
        <f t="shared" si="2"/>
        <v/>
      </c>
      <c r="CC176" t="str">
        <f t="shared" si="2"/>
        <v/>
      </c>
      <c r="CD176" t="str">
        <f t="shared" si="2"/>
        <v/>
      </c>
    </row>
    <row r="177" spans="2:40" x14ac:dyDescent="0.35">
      <c r="AN177" t="s">
        <v>464</v>
      </c>
    </row>
    <row r="178" spans="2:40" x14ac:dyDescent="0.35">
      <c r="B178" s="14" t="s">
        <v>281</v>
      </c>
      <c r="C178" s="14">
        <f>COUNTIF($C$5:$C$175,B178)</f>
        <v>45</v>
      </c>
      <c r="AN178" t="s">
        <v>273</v>
      </c>
    </row>
    <row r="179" spans="2:40" ht="15" thickBot="1" x14ac:dyDescent="0.4">
      <c r="B179" s="14" t="s">
        <v>465</v>
      </c>
      <c r="C179" s="14">
        <f>COUNTA($C$5:$C$175)</f>
        <v>171</v>
      </c>
      <c r="AN179" t="s">
        <v>274</v>
      </c>
    </row>
    <row r="180" spans="2:40" ht="19" thickBot="1" x14ac:dyDescent="0.4">
      <c r="B180" s="53" t="s">
        <v>466</v>
      </c>
      <c r="C180" s="54"/>
      <c r="D180" s="54"/>
      <c r="E180" s="54"/>
      <c r="F180" s="55" t="s">
        <v>467</v>
      </c>
      <c r="G180" s="78"/>
      <c r="H180" s="51" t="s">
        <v>468</v>
      </c>
      <c r="J180" t="s">
        <v>469</v>
      </c>
      <c r="K180">
        <f>COUNTIFS($C$5:$C$175,"&lt;&gt;N/A",$C$5:$C$175,"*AC*")</f>
        <v>23</v>
      </c>
      <c r="AN180" t="s">
        <v>275</v>
      </c>
    </row>
    <row r="181" spans="2:40" ht="19" thickBot="1" x14ac:dyDescent="0.4">
      <c r="B181" s="290" t="s">
        <v>204</v>
      </c>
      <c r="C181" s="291"/>
      <c r="D181" s="292"/>
      <c r="E181" s="52" t="s">
        <v>206</v>
      </c>
      <c r="F181" s="5">
        <f>COUNTIF($G$5:$G$175,E181)</f>
        <v>9</v>
      </c>
      <c r="G181" s="51"/>
      <c r="J181" t="s">
        <v>470</v>
      </c>
      <c r="K181">
        <f>COUNTIFS($C$5:$C$175,"&lt;&gt;N/A",$C$5:$C$175,"*AU*")</f>
        <v>9</v>
      </c>
    </row>
    <row r="182" spans="2:40" ht="19" thickBot="1" x14ac:dyDescent="0.4">
      <c r="B182" s="280" t="s">
        <v>208</v>
      </c>
      <c r="C182" s="281"/>
      <c r="D182" s="282"/>
      <c r="E182" s="52" t="s">
        <v>209</v>
      </c>
      <c r="F182" s="5">
        <f>COUNTIF($G$5:$G$175,E182)</f>
        <v>11</v>
      </c>
      <c r="G182" s="51"/>
      <c r="J182" t="s">
        <v>471</v>
      </c>
      <c r="K182">
        <f>COUNTIFS($C$5:$C$175,"&lt;&gt;N/A",$C$5:$C$175,"*AT*")</f>
        <v>5</v>
      </c>
    </row>
    <row r="183" spans="2:40" ht="19" thickBot="1" x14ac:dyDescent="0.4">
      <c r="B183" s="280" t="s">
        <v>211</v>
      </c>
      <c r="C183" s="281"/>
      <c r="D183" s="282"/>
      <c r="E183" s="52" t="s">
        <v>215</v>
      </c>
      <c r="F183" s="5">
        <f>COUNTIF($G$5:$G$175,E183)</f>
        <v>62</v>
      </c>
      <c r="G183" s="51"/>
      <c r="J183" t="s">
        <v>472</v>
      </c>
      <c r="K183">
        <f>COUNTIFS($C$5:$C$175,"&lt;&gt;N/A",$C$5:$C$175,"*CA*")</f>
        <v>5</v>
      </c>
    </row>
    <row r="184" spans="2:40" ht="19" thickBot="1" x14ac:dyDescent="0.4">
      <c r="B184" s="280" t="s">
        <v>214</v>
      </c>
      <c r="C184" s="281"/>
      <c r="D184" s="282"/>
      <c r="E184" s="52" t="s">
        <v>212</v>
      </c>
      <c r="F184" s="5">
        <f>COUNTIF($G$5:$G$175,E184)</f>
        <v>89</v>
      </c>
      <c r="G184" s="51"/>
      <c r="J184" t="s">
        <v>473</v>
      </c>
      <c r="K184">
        <f>COUNTIFS($C$5:$C$175,"&lt;&gt;N/A",$C$5:$C$175,"*CM*")</f>
        <v>11</v>
      </c>
    </row>
    <row r="185" spans="2:40" ht="19" thickBot="1" x14ac:dyDescent="0.4">
      <c r="B185" s="283" t="s">
        <v>474</v>
      </c>
      <c r="C185" s="284"/>
      <c r="D185" s="285"/>
      <c r="E185" s="52" t="s">
        <v>218</v>
      </c>
      <c r="F185" s="5">
        <f>COUNTIF($G$5:$G$175,E185)</f>
        <v>0</v>
      </c>
      <c r="G185" s="51"/>
      <c r="J185" t="s">
        <v>475</v>
      </c>
      <c r="K185">
        <f>COUNTIFS($C$5:$C$175,"&lt;&gt;N/A",$C$5:$C$175,"*IA*")</f>
        <v>11</v>
      </c>
    </row>
    <row r="186" spans="2:40" ht="18.5" x14ac:dyDescent="0.35">
      <c r="F186" s="56">
        <f>SUM(F181:F185)</f>
        <v>171</v>
      </c>
      <c r="G186" s="51"/>
      <c r="J186" t="s">
        <v>476</v>
      </c>
      <c r="K186">
        <f>COUNTIFS($C$5:$C$175,"&lt;&gt;N/A",$C$5:$C$175,"*IR*")</f>
        <v>6</v>
      </c>
    </row>
    <row r="187" spans="2:40" x14ac:dyDescent="0.35">
      <c r="J187" t="s">
        <v>477</v>
      </c>
      <c r="K187">
        <f>COUNTIFS($C$5:$C$175,"&lt;&gt;N/A",$C$5:$C$175,"*MA*")</f>
        <v>6</v>
      </c>
    </row>
    <row r="188" spans="2:40" x14ac:dyDescent="0.35">
      <c r="J188" t="s">
        <v>478</v>
      </c>
      <c r="K188">
        <f>COUNTIFS($C$5:$C$175,"&lt;&gt;N/A",$C$5:$C$175,"*MP*")</f>
        <v>9</v>
      </c>
    </row>
    <row r="189" spans="2:40" x14ac:dyDescent="0.35">
      <c r="J189" t="s">
        <v>479</v>
      </c>
      <c r="K189">
        <f>COUNTIFS($C$5:$C$175,"&lt;&gt;N/A",$C$5:$C$175,"*PE*")</f>
        <v>6</v>
      </c>
    </row>
    <row r="190" spans="2:40" x14ac:dyDescent="0.35">
      <c r="M190" t="s">
        <v>480</v>
      </c>
      <c r="N190">
        <f>COUNTIFS($C$5:$C$175,"&lt;&gt;N/A",$C$5:$C$175,"*PS*")</f>
        <v>2</v>
      </c>
    </row>
    <row r="191" spans="2:40" x14ac:dyDescent="0.35">
      <c r="M191" t="s">
        <v>481</v>
      </c>
      <c r="N191">
        <f>COUNTIFS($C$5:$C$175,"&lt;&gt;N/A",$C$5:$C$175,"*RA*")</f>
        <v>6</v>
      </c>
    </row>
    <row r="192" spans="2:40" x14ac:dyDescent="0.35">
      <c r="M192" t="s">
        <v>482</v>
      </c>
      <c r="N192">
        <f>COUNTIFS($C$5:$C$175,"&lt;&gt;N/A",$C$5:$C$175,"*SC*")</f>
        <v>18</v>
      </c>
    </row>
    <row r="193" spans="13:14" x14ac:dyDescent="0.35">
      <c r="M193" t="s">
        <v>483</v>
      </c>
      <c r="N193">
        <f>COUNTIFS($C$5:$C$175,"&lt;&gt;N/A",$C$5:$C$175,"*SI*")</f>
        <v>9</v>
      </c>
    </row>
    <row r="194" spans="13:14" x14ac:dyDescent="0.35">
      <c r="N194">
        <f>SUM(N180:N193)</f>
        <v>35</v>
      </c>
    </row>
    <row r="195" spans="13:14" x14ac:dyDescent="0.35">
      <c r="M195">
        <f>COUNTA(M180:M193)</f>
        <v>4</v>
      </c>
    </row>
  </sheetData>
  <mergeCells count="11">
    <mergeCell ref="CA2:CD2"/>
    <mergeCell ref="B183:D183"/>
    <mergeCell ref="B184:D184"/>
    <mergeCell ref="B185:D185"/>
    <mergeCell ref="BK2:BW2"/>
    <mergeCell ref="BX2:BZ2"/>
    <mergeCell ref="H2:AD2"/>
    <mergeCell ref="AE2:BD2"/>
    <mergeCell ref="BE2:BJ2"/>
    <mergeCell ref="B181:D181"/>
    <mergeCell ref="B182:D182"/>
  </mergeCells>
  <conditionalFormatting sqref="H180">
    <cfRule type="expression" dxfId="22" priority="2">
      <formula>VLOOKUP(H180,$B$4:$G$175,2,FALSE)=$Q$25</formula>
    </cfRule>
    <cfRule type="expression" dxfId="21" priority="3">
      <formula>VLOOKUP(H180,$B$4:$G$175,2,FALSE)=$Q$24</formula>
    </cfRule>
    <cfRule type="expression" dxfId="20" priority="4">
      <formula>VLOOKUP(H180,$B$4:$G$175,2,FALSE)=$Q$23</formula>
    </cfRule>
    <cfRule type="expression" dxfId="19" priority="5">
      <formula>VLOOKUP(H180,$B$4:$G$175,2,FALSE)=$Q$22</formula>
    </cfRule>
  </conditionalFormatting>
  <pageMargins left="0.7" right="0.7" top="0.75" bottom="0.75" header="0.3" footer="0.3"/>
  <legacyDrawing r:id="rId1"/>
  <extLst>
    <ext xmlns:x14="http://schemas.microsoft.com/office/spreadsheetml/2009/9/main" uri="{78C0D931-6437-407d-A8EE-F0AAD7539E65}">
      <x14:conditionalFormattings>
        <x14:conditionalFormatting xmlns:xm="http://schemas.microsoft.com/office/excel/2006/main">
          <x14:cfRule type="expression" priority="274" id="{87F2392A-66C0-48E7-9406-A041E3A8E41D}">
            <xm:f>IF($K$3="Practices with NIST 800-171 Mappings", VLOOKUP(H180,'Control Information'!$B$2:$H$173,6,FALSE),"")="No Mapping"</xm:f>
            <x14:dxf>
              <font>
                <color theme="0"/>
              </font>
              <fill>
                <patternFill>
                  <bgColor theme="0"/>
                </patternFill>
              </fill>
            </x14:dxf>
          </x14:cfRule>
          <xm:sqref>H180</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F1E3C2-71FB-40E6-8CF0-3308EE4ABEA9}">
  <sheetPr codeName="Sheet6"/>
  <dimension ref="A1:J175"/>
  <sheetViews>
    <sheetView topLeftCell="A97" workbookViewId="0">
      <selection activeCell="C98" sqref="C98"/>
    </sheetView>
  </sheetViews>
  <sheetFormatPr defaultColWidth="8.6328125" defaultRowHeight="14.5" x14ac:dyDescent="0.35"/>
  <cols>
    <col min="2" max="2" width="12.36328125" bestFit="1" customWidth="1"/>
    <col min="3" max="3" width="106.453125" bestFit="1" customWidth="1"/>
    <col min="4" max="4" width="13.08984375" bestFit="1" customWidth="1"/>
  </cols>
  <sheetData>
    <row r="1" spans="1:4" x14ac:dyDescent="0.35">
      <c r="A1" s="33" t="s">
        <v>484</v>
      </c>
      <c r="B1" s="33" t="s">
        <v>485</v>
      </c>
      <c r="C1" s="33" t="s">
        <v>486</v>
      </c>
      <c r="D1" s="117" t="s">
        <v>487</v>
      </c>
    </row>
    <row r="2" spans="1:4" ht="174" x14ac:dyDescent="0.35">
      <c r="A2" s="34" t="s">
        <v>292</v>
      </c>
      <c r="B2" s="126" t="str">
        <f>VLOOKUP(Table1[[#This Row],[Control]],List!$E$3:$F$173,2,FALSE)</f>
        <v>AC.L1-3.1.1</v>
      </c>
      <c r="C2" s="35" t="s">
        <v>488</v>
      </c>
      <c r="D2" s="34">
        <f>LEN(Table1[[#This Row],[Implementation Statement]])</f>
        <v>1058</v>
      </c>
    </row>
    <row r="3" spans="1:4" ht="87" x14ac:dyDescent="0.35">
      <c r="A3" s="34" t="s">
        <v>296</v>
      </c>
      <c r="B3" s="126" t="str">
        <f>VLOOKUP(Table1[[#This Row],[Control]],List!$E$3:$F$173,2,FALSE)</f>
        <v>AC.L2-3.1.9</v>
      </c>
      <c r="C3" s="35" t="s">
        <v>489</v>
      </c>
      <c r="D3" s="34">
        <f>LEN(Table1[[#This Row],[Implementation Statement]])</f>
        <v>271</v>
      </c>
    </row>
    <row r="4" spans="1:4" ht="188.5" x14ac:dyDescent="0.35">
      <c r="A4" s="34" t="s">
        <v>297</v>
      </c>
      <c r="B4" s="126" t="str">
        <f>VLOOKUP(Table1[[#This Row],[Control]],List!$E$3:$F$173,2,FALSE)</f>
        <v>AC.L2-3.1.21</v>
      </c>
      <c r="C4" s="35" t="s">
        <v>490</v>
      </c>
      <c r="D4" s="34">
        <f>LEN(Table1[[#This Row],[Implementation Statement]])</f>
        <v>1119</v>
      </c>
    </row>
    <row r="5" spans="1:4" ht="188.5" x14ac:dyDescent="0.35">
      <c r="A5" s="34" t="s">
        <v>293</v>
      </c>
      <c r="B5" s="126" t="str">
        <f>VLOOKUP(Table1[[#This Row],[Control]],List!$E$3:$F$173,2,FALSE)</f>
        <v>AC.L1-3.1.2</v>
      </c>
      <c r="C5" s="35" t="s">
        <v>491</v>
      </c>
      <c r="D5" s="34">
        <f>LEN(Table1[[#This Row],[Implementation Statement]])</f>
        <v>1070</v>
      </c>
    </row>
    <row r="6" spans="1:4" ht="174" x14ac:dyDescent="0.35">
      <c r="A6" s="34" t="s">
        <v>298</v>
      </c>
      <c r="B6" s="126" t="str">
        <f>VLOOKUP(Table1[[#This Row],[Control]],List!$E$3:$F$173,2,FALSE)</f>
        <v>AC.L2-3.1.5</v>
      </c>
      <c r="C6" s="35" t="s">
        <v>492</v>
      </c>
      <c r="D6" s="34">
        <f>LEN(Table1[[#This Row],[Implementation Statement]])</f>
        <v>854</v>
      </c>
    </row>
    <row r="7" spans="1:4" ht="203" x14ac:dyDescent="0.35">
      <c r="A7" s="34" t="s">
        <v>299</v>
      </c>
      <c r="B7" s="126" t="str">
        <f>VLOOKUP(Table1[[#This Row],[Control]],List!$E$3:$F$173,2,FALSE)</f>
        <v>AC.L2-3.1.6</v>
      </c>
      <c r="C7" s="35" t="s">
        <v>493</v>
      </c>
      <c r="D7" s="34">
        <f>LEN(Table1[[#This Row],[Implementation Statement]])</f>
        <v>914</v>
      </c>
    </row>
    <row r="8" spans="1:4" ht="130.5" x14ac:dyDescent="0.35">
      <c r="A8" s="34" t="s">
        <v>300</v>
      </c>
      <c r="B8" s="126" t="str">
        <f>VLOOKUP(Table1[[#This Row],[Control]],List!$E$3:$F$173,2,FALSE)</f>
        <v>AC.L2-3.1.8</v>
      </c>
      <c r="C8" s="35" t="s">
        <v>494</v>
      </c>
      <c r="D8" s="34">
        <f>LEN(Table1[[#This Row],[Implementation Statement]])</f>
        <v>682</v>
      </c>
    </row>
    <row r="9" spans="1:4" ht="188.5" x14ac:dyDescent="0.35">
      <c r="A9" s="34" t="s">
        <v>301</v>
      </c>
      <c r="B9" s="126" t="str">
        <f>VLOOKUP(Table1[[#This Row],[Control]],List!$E$3:$F$173,2,FALSE)</f>
        <v>AC.L2-3.1.10</v>
      </c>
      <c r="C9" s="35" t="s">
        <v>495</v>
      </c>
      <c r="D9" s="34">
        <f>LEN(Table1[[#This Row],[Implementation Statement]])</f>
        <v>811</v>
      </c>
    </row>
    <row r="10" spans="1:4" ht="101.5" x14ac:dyDescent="0.35">
      <c r="A10" s="34" t="s">
        <v>302</v>
      </c>
      <c r="B10" s="126" t="str">
        <f>VLOOKUP(Table1[[#This Row],[Control]],List!$E$3:$F$173,2,FALSE)</f>
        <v>AC.L2-3.1.16</v>
      </c>
      <c r="C10" s="35" t="s">
        <v>496</v>
      </c>
      <c r="D10" s="34">
        <f>LEN(Table1[[#This Row],[Implementation Statement]])</f>
        <v>538</v>
      </c>
    </row>
    <row r="11" spans="1:4" ht="188.5" x14ac:dyDescent="0.35">
      <c r="A11" s="34" t="s">
        <v>306</v>
      </c>
      <c r="B11" s="126" t="str">
        <f>VLOOKUP(Table1[[#This Row],[Control]],List!$E$3:$F$173,2,FALSE)</f>
        <v>AC.L2-3.1.17</v>
      </c>
      <c r="C11" s="35" t="s">
        <v>497</v>
      </c>
      <c r="D11" s="34">
        <f>LEN(Table1[[#This Row],[Implementation Statement]])</f>
        <v>951</v>
      </c>
    </row>
    <row r="12" spans="1:4" ht="159.5" x14ac:dyDescent="0.35">
      <c r="A12" s="34" t="s">
        <v>308</v>
      </c>
      <c r="B12" s="126" t="str">
        <f>VLOOKUP(Table1[[#This Row],[Control]],List!$E$3:$F$173,2,FALSE)</f>
        <v>AC.L2-3.1.4</v>
      </c>
      <c r="C12" s="35" t="s">
        <v>498</v>
      </c>
      <c r="D12" s="34">
        <f>LEN(Table1[[#This Row],[Implementation Statement]])</f>
        <v>799</v>
      </c>
    </row>
    <row r="13" spans="1:4" ht="188.5" x14ac:dyDescent="0.35">
      <c r="A13" s="34" t="s">
        <v>309</v>
      </c>
      <c r="B13" s="126" t="str">
        <f>VLOOKUP(Table1[[#This Row],[Control]],List!$E$3:$F$173,2,FALSE)</f>
        <v>AC.L2-3.1.7</v>
      </c>
      <c r="C13" s="35" t="s">
        <v>499</v>
      </c>
      <c r="D13" s="34">
        <f>LEN(Table1[[#This Row],[Implementation Statement]])</f>
        <v>979</v>
      </c>
    </row>
    <row r="14" spans="1:4" ht="217.5" x14ac:dyDescent="0.35">
      <c r="A14" s="34" t="s">
        <v>310</v>
      </c>
      <c r="B14" s="126" t="str">
        <f>VLOOKUP(Table1[[#This Row],[Control]],List!$E$3:$F$173,2,FALSE)</f>
        <v>AC.L2-3.1.11</v>
      </c>
      <c r="C14" s="35" t="s">
        <v>500</v>
      </c>
      <c r="D14" s="34">
        <f>LEN(Table1[[#This Row],[Implementation Statement]])</f>
        <v>936</v>
      </c>
    </row>
    <row r="15" spans="1:4" ht="101.5" x14ac:dyDescent="0.35">
      <c r="A15" s="34" t="s">
        <v>311</v>
      </c>
      <c r="B15" s="126" t="str">
        <f>VLOOKUP(Table1[[#This Row],[Control]],List!$E$3:$F$173,2,FALSE)</f>
        <v>AC.L2-3.1.18</v>
      </c>
      <c r="C15" s="35" t="s">
        <v>496</v>
      </c>
      <c r="D15" s="34">
        <f>LEN(Table1[[#This Row],[Implementation Statement]])</f>
        <v>538</v>
      </c>
    </row>
    <row r="16" spans="1:4" x14ac:dyDescent="0.35">
      <c r="A16" s="34" t="s">
        <v>314</v>
      </c>
      <c r="B16" s="126" t="str">
        <f>VLOOKUP(Table1[[#This Row],[Control]],List!$E$3:$F$173,2,FALSE)</f>
        <v>AC.L3-1</v>
      </c>
      <c r="C16" s="35" t="s">
        <v>501</v>
      </c>
      <c r="D16" s="34">
        <f>LEN(Table1[[#This Row],[Implementation Statement]])</f>
        <v>13</v>
      </c>
    </row>
    <row r="17" spans="1:4" x14ac:dyDescent="0.35">
      <c r="A17" s="34" t="s">
        <v>315</v>
      </c>
      <c r="B17" s="126" t="str">
        <f>VLOOKUP(Table1[[#This Row],[Control]],List!$E$3:$F$173,2,FALSE)</f>
        <v>N/A</v>
      </c>
      <c r="C17" s="35" t="s">
        <v>501</v>
      </c>
      <c r="D17" s="34">
        <f>LEN(Table1[[#This Row],[Implementation Statement]])</f>
        <v>13</v>
      </c>
    </row>
    <row r="18" spans="1:4" x14ac:dyDescent="0.35">
      <c r="A18" s="34" t="s">
        <v>317</v>
      </c>
      <c r="B18" s="126" t="str">
        <f>VLOOKUP(Table1[[#This Row],[Control]],List!$E$3:$F$173,2,FALSE)</f>
        <v>N/A</v>
      </c>
      <c r="C18" s="35" t="s">
        <v>501</v>
      </c>
      <c r="D18" s="34">
        <f>LEN(Table1[[#This Row],[Implementation Statement]])</f>
        <v>13</v>
      </c>
    </row>
    <row r="19" spans="1:4" ht="232" x14ac:dyDescent="0.35">
      <c r="A19" s="34" t="s">
        <v>303</v>
      </c>
      <c r="B19" s="126" t="str">
        <f>VLOOKUP(Table1[[#This Row],[Control]],List!$E$3:$F$173,2,FALSE)</f>
        <v>AC.L2-3.1.12</v>
      </c>
      <c r="C19" s="35" t="s">
        <v>502</v>
      </c>
      <c r="D19" s="34">
        <f>LEN(Table1[[#This Row],[Implementation Statement]])</f>
        <v>1138</v>
      </c>
    </row>
    <row r="20" spans="1:4" ht="188.5" x14ac:dyDescent="0.35">
      <c r="A20" s="34" t="s">
        <v>307</v>
      </c>
      <c r="B20" s="126" t="str">
        <f>VLOOKUP(Table1[[#This Row],[Control]],List!$E$3:$F$173,2,FALSE)</f>
        <v>AC.L2-3.1.13</v>
      </c>
      <c r="C20" s="35" t="s">
        <v>503</v>
      </c>
      <c r="D20" s="34">
        <f>LEN(Table1[[#This Row],[Implementation Statement]])</f>
        <v>971</v>
      </c>
    </row>
    <row r="21" spans="1:4" ht="246.5" x14ac:dyDescent="0.35">
      <c r="A21" s="34" t="s">
        <v>304</v>
      </c>
      <c r="B21" s="126" t="str">
        <f>VLOOKUP(Table1[[#This Row],[Control]],List!$E$3:$F$173,2,FALSE)</f>
        <v>AC.L2-3.1.14</v>
      </c>
      <c r="C21" s="35" t="s">
        <v>504</v>
      </c>
      <c r="D21" s="34">
        <f>LEN(Table1[[#This Row],[Implementation Statement]])</f>
        <v>1167</v>
      </c>
    </row>
    <row r="22" spans="1:4" ht="174" x14ac:dyDescent="0.35">
      <c r="A22" s="34" t="s">
        <v>312</v>
      </c>
      <c r="B22" s="126" t="str">
        <f>VLOOKUP(Table1[[#This Row],[Control]],List!$E$3:$F$173,2,FALSE)</f>
        <v>AC.L2-3.1.15</v>
      </c>
      <c r="C22" s="35" t="s">
        <v>505</v>
      </c>
      <c r="D22" s="34">
        <f>LEN(Table1[[#This Row],[Implementation Statement]])</f>
        <v>877</v>
      </c>
    </row>
    <row r="23" spans="1:4" x14ac:dyDescent="0.35">
      <c r="A23" s="34" t="s">
        <v>316</v>
      </c>
      <c r="B23" s="126" t="str">
        <f>VLOOKUP(Table1[[#This Row],[Control]],List!$E$3:$F$173,2,FALSE)</f>
        <v>N/A</v>
      </c>
      <c r="C23" s="35" t="s">
        <v>501</v>
      </c>
      <c r="D23" s="34">
        <f>LEN(Table1[[#This Row],[Implementation Statement]])</f>
        <v>13</v>
      </c>
    </row>
    <row r="24" spans="1:4" ht="87" x14ac:dyDescent="0.35">
      <c r="A24" s="34" t="s">
        <v>294</v>
      </c>
      <c r="B24" s="126" t="str">
        <f>VLOOKUP(Table1[[#This Row],[Control]],List!$E$3:$F$173,2,FALSE)</f>
        <v>AC.L1-3.1.20</v>
      </c>
      <c r="C24" s="35" t="s">
        <v>506</v>
      </c>
      <c r="D24" s="34">
        <f>LEN(Table1[[#This Row],[Implementation Statement]])</f>
        <v>320</v>
      </c>
    </row>
    <row r="25" spans="1:4" ht="232" x14ac:dyDescent="0.35">
      <c r="A25" s="34" t="s">
        <v>295</v>
      </c>
      <c r="B25" s="126" t="str">
        <f>VLOOKUP(Table1[[#This Row],[Control]],List!$E$3:$F$173,2,FALSE)</f>
        <v>AC.L1-3.1.22</v>
      </c>
      <c r="C25" s="35" t="s">
        <v>507</v>
      </c>
      <c r="D25" s="34">
        <f>LEN(Table1[[#This Row],[Implementation Statement]])</f>
        <v>1319</v>
      </c>
    </row>
    <row r="26" spans="1:4" ht="130.5" x14ac:dyDescent="0.35">
      <c r="A26" s="34" t="s">
        <v>305</v>
      </c>
      <c r="B26" s="126" t="str">
        <f>VLOOKUP(Table1[[#This Row],[Control]],List!$E$3:$F$173,2,FALSE)</f>
        <v>AC.L2-3.1.3</v>
      </c>
      <c r="C26" s="35" t="s">
        <v>508</v>
      </c>
      <c r="D26" s="34">
        <f>LEN(Table1[[#This Row],[Implementation Statement]])</f>
        <v>579</v>
      </c>
    </row>
    <row r="27" spans="1:4" ht="101.5" x14ac:dyDescent="0.35">
      <c r="A27" s="34" t="s">
        <v>313</v>
      </c>
      <c r="B27" s="126" t="str">
        <f>VLOOKUP(Table1[[#This Row],[Control]],List!$E$3:$F$173,2,FALSE)</f>
        <v>AC.L2-3.1.19</v>
      </c>
      <c r="C27" s="35" t="s">
        <v>509</v>
      </c>
      <c r="D27" s="34">
        <f>LEN(Table1[[#This Row],[Implementation Statement]])</f>
        <v>474</v>
      </c>
    </row>
    <row r="28" spans="1:4" ht="225.5" customHeight="1" x14ac:dyDescent="0.35">
      <c r="A28" s="34" t="s">
        <v>318</v>
      </c>
      <c r="B28" s="126" t="str">
        <f>VLOOKUP(Table1[[#This Row],[Control]],List!$E$3:$F$173,2,FALSE)</f>
        <v>N/A</v>
      </c>
      <c r="C28" s="35" t="s">
        <v>510</v>
      </c>
      <c r="D28" s="34">
        <f>LEN(Table1[[#This Row],[Implementation Statement]])</f>
        <v>0</v>
      </c>
    </row>
    <row r="29" spans="1:4" x14ac:dyDescent="0.35">
      <c r="A29" s="34" t="s">
        <v>319</v>
      </c>
      <c r="B29" s="126" t="str">
        <f>VLOOKUP(Table1[[#This Row],[Control]],List!$E$3:$F$173,2,FALSE)</f>
        <v>N/A</v>
      </c>
      <c r="C29" s="35" t="s">
        <v>501</v>
      </c>
      <c r="D29" s="34">
        <f>LEN(Table1[[#This Row],[Implementation Statement]])</f>
        <v>13</v>
      </c>
    </row>
    <row r="30" spans="1:4" ht="213.5" customHeight="1" x14ac:dyDescent="0.35">
      <c r="A30" s="34" t="s">
        <v>325</v>
      </c>
      <c r="B30" s="126" t="str">
        <f>VLOOKUP(Table1[[#This Row],[Control]],List!$E$3:$F$173,2,FALSE)</f>
        <v>AU.L2-3.3.2</v>
      </c>
      <c r="C30" s="35" t="s">
        <v>511</v>
      </c>
      <c r="D30" s="34">
        <f>LEN(Table1[[#This Row],[Implementation Statement]])</f>
        <v>765</v>
      </c>
    </row>
    <row r="31" spans="1:4" ht="380.5" customHeight="1" x14ac:dyDescent="0.35">
      <c r="A31" s="34" t="s">
        <v>329</v>
      </c>
      <c r="B31" s="126" t="str">
        <f>VLOOKUP(Table1[[#This Row],[Control]],List!$E$3:$F$173,2,FALSE)</f>
        <v>AU.L2-3.3.3</v>
      </c>
      <c r="C31" s="35" t="s">
        <v>512</v>
      </c>
      <c r="D31" s="34">
        <f>LEN(Table1[[#This Row],[Implementation Statement]])</f>
        <v>834</v>
      </c>
    </row>
    <row r="32" spans="1:4" ht="101.5" x14ac:dyDescent="0.35">
      <c r="A32" s="34" t="s">
        <v>330</v>
      </c>
      <c r="B32" s="126" t="str">
        <f>VLOOKUP(Table1[[#This Row],[Control]],List!$E$3:$F$173,2,FALSE)</f>
        <v>AU.L2-3.3.4</v>
      </c>
      <c r="C32" s="35" t="s">
        <v>513</v>
      </c>
      <c r="D32" s="34">
        <f>LEN(Table1[[#This Row],[Implementation Statement]])</f>
        <v>340</v>
      </c>
    </row>
    <row r="33" spans="1:4" ht="159.5" x14ac:dyDescent="0.35">
      <c r="A33" s="34" t="s">
        <v>326</v>
      </c>
      <c r="B33" s="126" t="str">
        <f>VLOOKUP(Table1[[#This Row],[Control]],List!$E$3:$F$173,2,FALSE)</f>
        <v>AU.L2-3.3.1</v>
      </c>
      <c r="C33" s="35" t="s">
        <v>514</v>
      </c>
      <c r="D33" s="34">
        <f>LEN(Table1[[#This Row],[Implementation Statement]])</f>
        <v>803</v>
      </c>
    </row>
    <row r="34" spans="1:4" ht="116" x14ac:dyDescent="0.35">
      <c r="A34" s="34" t="s">
        <v>327</v>
      </c>
      <c r="B34" s="126" t="str">
        <f>VLOOKUP(Table1[[#This Row],[Control]],List!$E$3:$F$173,2,FALSE)</f>
        <v>AU.L2-3.3.7</v>
      </c>
      <c r="C34" s="35" t="s">
        <v>515</v>
      </c>
      <c r="D34" s="34">
        <f>LEN(Table1[[#This Row],[Implementation Statement]])</f>
        <v>631</v>
      </c>
    </row>
    <row r="35" spans="1:4" ht="145" x14ac:dyDescent="0.35">
      <c r="A35" s="34" t="s">
        <v>331</v>
      </c>
      <c r="B35" s="126" t="str">
        <f>VLOOKUP(Table1[[#This Row],[Control]],List!$E$3:$F$173,2,FALSE)</f>
        <v>N/A</v>
      </c>
      <c r="C35" s="35" t="s">
        <v>516</v>
      </c>
      <c r="D35" s="34">
        <f>LEN(Table1[[#This Row],[Implementation Statement]])</f>
        <v>614</v>
      </c>
    </row>
    <row r="36" spans="1:4" x14ac:dyDescent="0.35">
      <c r="A36" s="34" t="s">
        <v>338</v>
      </c>
      <c r="B36" s="126" t="str">
        <f>VLOOKUP(Table1[[#This Row],[Control]],List!$E$3:$F$173,2,FALSE)</f>
        <v>N/A</v>
      </c>
      <c r="C36" s="35" t="s">
        <v>501</v>
      </c>
      <c r="D36" s="34">
        <f>LEN(Table1[[#This Row],[Implementation Statement]])</f>
        <v>13</v>
      </c>
    </row>
    <row r="37" spans="1:4" ht="101.5" x14ac:dyDescent="0.35">
      <c r="A37" s="34" t="s">
        <v>332</v>
      </c>
      <c r="B37" s="126" t="str">
        <f>VLOOKUP(Table1[[#This Row],[Control]],List!$E$3:$F$173,2,FALSE)</f>
        <v>AU.L2-3.3.8</v>
      </c>
      <c r="C37" s="35" t="s">
        <v>517</v>
      </c>
      <c r="D37" s="34">
        <f>LEN(Table1[[#This Row],[Implementation Statement]])</f>
        <v>350</v>
      </c>
    </row>
    <row r="38" spans="1:4" ht="87" x14ac:dyDescent="0.35">
      <c r="A38" s="34" t="s">
        <v>333</v>
      </c>
      <c r="B38" s="126" t="str">
        <f>VLOOKUP(Table1[[#This Row],[Control]],List!$E$3:$F$173,2,FALSE)</f>
        <v>AU.L2-3.3.9</v>
      </c>
      <c r="C38" s="35" t="s">
        <v>518</v>
      </c>
      <c r="D38" s="34">
        <f>LEN(Table1[[#This Row],[Implementation Statement]])</f>
        <v>321</v>
      </c>
    </row>
    <row r="39" spans="1:4" ht="145" x14ac:dyDescent="0.35">
      <c r="A39" s="34" t="s">
        <v>328</v>
      </c>
      <c r="B39" s="126" t="str">
        <f>VLOOKUP(Table1[[#This Row],[Control]],List!$E$3:$F$173,2,FALSE)</f>
        <v>N/A</v>
      </c>
      <c r="C39" s="35" t="s">
        <v>519</v>
      </c>
      <c r="D39" s="34">
        <f>LEN(Table1[[#This Row],[Implementation Statement]])</f>
        <v>556</v>
      </c>
    </row>
    <row r="40" spans="1:4" ht="145" x14ac:dyDescent="0.35">
      <c r="A40" s="34" t="s">
        <v>334</v>
      </c>
      <c r="B40" s="126" t="str">
        <f>VLOOKUP(Table1[[#This Row],[Control]],List!$E$3:$F$173,2,FALSE)</f>
        <v>AU.L2-3.3.5</v>
      </c>
      <c r="C40" s="35" t="s">
        <v>520</v>
      </c>
      <c r="D40" s="34">
        <f>LEN(Table1[[#This Row],[Implementation Statement]])</f>
        <v>776</v>
      </c>
    </row>
    <row r="41" spans="1:4" ht="174" x14ac:dyDescent="0.35">
      <c r="A41" s="34" t="s">
        <v>335</v>
      </c>
      <c r="B41" s="126" t="str">
        <f>VLOOKUP(Table1[[#This Row],[Control]],List!$E$3:$F$173,2,FALSE)</f>
        <v>AU.L2-3.3.6</v>
      </c>
      <c r="C41" s="35" t="s">
        <v>521</v>
      </c>
      <c r="D41" s="34">
        <f>LEN(Table1[[#This Row],[Implementation Statement]])</f>
        <v>809</v>
      </c>
    </row>
    <row r="42" spans="1:4" x14ac:dyDescent="0.35">
      <c r="A42" s="34" t="s">
        <v>336</v>
      </c>
      <c r="B42" s="126" t="str">
        <f>VLOOKUP(Table1[[#This Row],[Control]],List!$E$3:$F$173,2,FALSE)</f>
        <v>N/A</v>
      </c>
      <c r="C42" s="35" t="s">
        <v>501</v>
      </c>
      <c r="D42" s="34">
        <f>LEN(Table1[[#This Row],[Implementation Statement]])</f>
        <v>13</v>
      </c>
    </row>
    <row r="43" spans="1:4" x14ac:dyDescent="0.35">
      <c r="A43" s="34" t="s">
        <v>337</v>
      </c>
      <c r="B43" s="126" t="str">
        <f>VLOOKUP(Table1[[#This Row],[Control]],List!$E$3:$F$173,2,FALSE)</f>
        <v>N/A</v>
      </c>
      <c r="C43" s="35" t="s">
        <v>501</v>
      </c>
      <c r="D43" s="34">
        <f>LEN(Table1[[#This Row],[Implementation Statement]])</f>
        <v>13</v>
      </c>
    </row>
    <row r="44" spans="1:4" ht="273.5" customHeight="1" x14ac:dyDescent="0.35">
      <c r="A44" s="34" t="s">
        <v>320</v>
      </c>
      <c r="B44" s="126" t="str">
        <f>VLOOKUP(Table1[[#This Row],[Control]],List!$E$3:$F$173,2,FALSE)</f>
        <v>AT.L2-3.2.1</v>
      </c>
      <c r="C44" s="35" t="s">
        <v>522</v>
      </c>
      <c r="D44" s="34">
        <f>LEN(Table1[[#This Row],[Implementation Statement]])</f>
        <v>393</v>
      </c>
    </row>
    <row r="45" spans="1:4" ht="273.5" customHeight="1" x14ac:dyDescent="0.35">
      <c r="A45" s="34" t="s">
        <v>322</v>
      </c>
      <c r="B45" s="126" t="str">
        <f>VLOOKUP(Table1[[#This Row],[Control]],List!$E$3:$F$173,2,FALSE)</f>
        <v>AT.L2-3.2.3</v>
      </c>
      <c r="C45" s="35" t="s">
        <v>523</v>
      </c>
      <c r="D45" s="34">
        <f>LEN(Table1[[#This Row],[Implementation Statement]])</f>
        <v>89</v>
      </c>
    </row>
    <row r="46" spans="1:4" x14ac:dyDescent="0.35">
      <c r="A46" s="34" t="s">
        <v>323</v>
      </c>
      <c r="B46" s="126" t="str">
        <f>VLOOKUP(Table1[[#This Row],[Control]],List!$E$3:$F$173,2,FALSE)</f>
        <v>AT.L3-2</v>
      </c>
      <c r="C46" s="35" t="s">
        <v>501</v>
      </c>
      <c r="D46" s="34">
        <f>LEN(Table1[[#This Row],[Implementation Statement]])</f>
        <v>13</v>
      </c>
    </row>
    <row r="47" spans="1:4" x14ac:dyDescent="0.35">
      <c r="A47" s="34" t="s">
        <v>324</v>
      </c>
      <c r="B47" s="126" t="str">
        <f>VLOOKUP(Table1[[#This Row],[Control]],List!$E$3:$F$173,2,FALSE)</f>
        <v>AT.L3-3</v>
      </c>
      <c r="C47" s="35" t="s">
        <v>501</v>
      </c>
      <c r="D47" s="34">
        <f>LEN(Table1[[#This Row],[Implementation Statement]])</f>
        <v>13</v>
      </c>
    </row>
    <row r="48" spans="1:4" ht="116" x14ac:dyDescent="0.35">
      <c r="A48" s="34" t="s">
        <v>321</v>
      </c>
      <c r="B48" s="126" t="str">
        <f>VLOOKUP(Table1[[#This Row],[Control]],List!$E$3:$F$173,2,FALSE)</f>
        <v>AT.L2-3.2.2</v>
      </c>
      <c r="C48" s="35" t="s">
        <v>522</v>
      </c>
      <c r="D48" s="34">
        <f>LEN(Table1[[#This Row],[Implementation Statement]])</f>
        <v>393</v>
      </c>
    </row>
    <row r="49" spans="1:4" ht="217.5" x14ac:dyDescent="0.35">
      <c r="A49" s="34" t="s">
        <v>347</v>
      </c>
      <c r="B49" s="126" t="str">
        <f>VLOOKUP(Table1[[#This Row],[Control]],List!$E$3:$F$173,2,FALSE)</f>
        <v>CM.L2-3.4.1</v>
      </c>
      <c r="C49" s="35" t="s">
        <v>524</v>
      </c>
      <c r="D49" s="34">
        <f>LEN(Table1[[#This Row],[Implementation Statement]])</f>
        <v>1171</v>
      </c>
    </row>
    <row r="50" spans="1:4" ht="145" x14ac:dyDescent="0.35">
      <c r="A50" s="34" t="s">
        <v>348</v>
      </c>
      <c r="B50" s="126" t="str">
        <f>VLOOKUP(Table1[[#This Row],[Control]],List!$E$3:$F$173,2,FALSE)</f>
        <v>CM.L2-3.4.6</v>
      </c>
      <c r="C50" s="35" t="s">
        <v>525</v>
      </c>
      <c r="D50" s="34">
        <f>LEN(Table1[[#This Row],[Implementation Statement]])</f>
        <v>731</v>
      </c>
    </row>
    <row r="51" spans="1:4" ht="130.5" x14ac:dyDescent="0.35">
      <c r="A51" s="34" t="s">
        <v>349</v>
      </c>
      <c r="B51" s="126" t="str">
        <f>VLOOKUP(Table1[[#This Row],[Control]],List!$E$3:$F$173,2,FALSE)</f>
        <v>CM.L2-3.4.9</v>
      </c>
      <c r="C51" s="35" t="s">
        <v>526</v>
      </c>
      <c r="D51" s="34">
        <f>LEN(Table1[[#This Row],[Implementation Statement]])</f>
        <v>636</v>
      </c>
    </row>
    <row r="52" spans="1:4" ht="101.5" x14ac:dyDescent="0.35">
      <c r="A52" s="34" t="s">
        <v>350</v>
      </c>
      <c r="B52" s="126" t="str">
        <f>VLOOKUP(Table1[[#This Row],[Control]],List!$E$3:$F$173,2,FALSE)</f>
        <v>CM.L2-3.4.2</v>
      </c>
      <c r="C52" s="35" t="s">
        <v>527</v>
      </c>
      <c r="D52" s="34">
        <f>LEN(Table1[[#This Row],[Implementation Statement]])</f>
        <v>499</v>
      </c>
    </row>
    <row r="53" spans="1:4" ht="116" x14ac:dyDescent="0.35">
      <c r="A53" s="34" t="s">
        <v>351</v>
      </c>
      <c r="B53" s="126" t="str">
        <f>VLOOKUP(Table1[[#This Row],[Control]],List!$E$3:$F$173,2,FALSE)</f>
        <v>CM.L2-3.4.3</v>
      </c>
      <c r="C53" s="35" t="s">
        <v>528</v>
      </c>
      <c r="D53" s="34">
        <f>LEN(Table1[[#This Row],[Implementation Statement]])</f>
        <v>574</v>
      </c>
    </row>
    <row r="54" spans="1:4" ht="130.5" x14ac:dyDescent="0.35">
      <c r="A54" s="34" t="s">
        <v>352</v>
      </c>
      <c r="B54" s="126" t="str">
        <f>VLOOKUP(Table1[[#This Row],[Control]],List!$E$3:$F$173,2,FALSE)</f>
        <v>CM.L2-3.4.4</v>
      </c>
      <c r="C54" s="35" t="s">
        <v>529</v>
      </c>
      <c r="D54" s="34">
        <f>LEN(Table1[[#This Row],[Implementation Statement]])</f>
        <v>685</v>
      </c>
    </row>
    <row r="55" spans="1:4" ht="116" x14ac:dyDescent="0.35">
      <c r="A55" s="34" t="s">
        <v>353</v>
      </c>
      <c r="B55" s="126" t="str">
        <f>VLOOKUP(Table1[[#This Row],[Control]],List!$E$3:$F$173,2,FALSE)</f>
        <v>CM.L2-3.4.5</v>
      </c>
      <c r="C55" s="35" t="s">
        <v>530</v>
      </c>
      <c r="D55" s="34">
        <f>LEN(Table1[[#This Row],[Implementation Statement]])</f>
        <v>631</v>
      </c>
    </row>
    <row r="56" spans="1:4" ht="290" x14ac:dyDescent="0.35">
      <c r="A56" s="34" t="s">
        <v>354</v>
      </c>
      <c r="B56" s="126" t="str">
        <f>VLOOKUP(Table1[[#This Row],[Control]],List!$E$3:$F$173,2,FALSE)</f>
        <v>CM.L2-3.4.7</v>
      </c>
      <c r="C56" s="35" t="s">
        <v>531</v>
      </c>
      <c r="D56" s="34">
        <f>LEN(Table1[[#This Row],[Implementation Statement]])</f>
        <v>1672</v>
      </c>
    </row>
    <row r="57" spans="1:4" ht="145" x14ac:dyDescent="0.35">
      <c r="A57" s="34" t="s">
        <v>355</v>
      </c>
      <c r="B57" s="126" t="str">
        <f>VLOOKUP(Table1[[#This Row],[Control]],List!$E$3:$F$173,2,FALSE)</f>
        <v>CM.L2-3.4.8</v>
      </c>
      <c r="C57" s="35" t="s">
        <v>532</v>
      </c>
      <c r="D57" s="34">
        <f>LEN(Table1[[#This Row],[Implementation Statement]])</f>
        <v>752</v>
      </c>
    </row>
    <row r="58" spans="1:4" x14ac:dyDescent="0.35">
      <c r="A58" s="34" t="s">
        <v>356</v>
      </c>
      <c r="B58" s="126" t="str">
        <f>VLOOKUP(Table1[[#This Row],[Control]],List!$E$3:$F$173,2,FALSE)</f>
        <v>CM.L3-3.4.8</v>
      </c>
      <c r="C58" s="35" t="s">
        <v>501</v>
      </c>
      <c r="D58" s="34">
        <f>LEN(Table1[[#This Row],[Implementation Statement]])</f>
        <v>13</v>
      </c>
    </row>
    <row r="59" spans="1:4" x14ac:dyDescent="0.35">
      <c r="A59" s="34" t="s">
        <v>357</v>
      </c>
      <c r="B59" s="126" t="str">
        <f>VLOOKUP(Table1[[#This Row],[Control]],List!$E$3:$F$173,2,FALSE)</f>
        <v>CM.L3-5</v>
      </c>
      <c r="C59" s="35" t="s">
        <v>501</v>
      </c>
      <c r="D59" s="34">
        <f>LEN(Table1[[#This Row],[Implementation Statement]])</f>
        <v>13</v>
      </c>
    </row>
    <row r="60" spans="1:4" ht="130.5" x14ac:dyDescent="0.35">
      <c r="A60" s="34" t="s">
        <v>358</v>
      </c>
      <c r="B60" s="126" t="str">
        <f>VLOOKUP(Table1[[#This Row],[Control]],List!$E$3:$F$173,2,FALSE)</f>
        <v>IA.L1-3.5.1</v>
      </c>
      <c r="C60" s="35" t="s">
        <v>533</v>
      </c>
      <c r="D60" s="34">
        <f>LEN(Table1[[#This Row],[Implementation Statement]])</f>
        <v>564</v>
      </c>
    </row>
    <row r="61" spans="1:4" ht="159.5" x14ac:dyDescent="0.35">
      <c r="A61" s="34" t="s">
        <v>359</v>
      </c>
      <c r="B61" s="126" t="str">
        <f>VLOOKUP(Table1[[#This Row],[Control]],List!$E$3:$F$173,2,FALSE)</f>
        <v>IA.L1-3.5.2</v>
      </c>
      <c r="C61" s="35" t="s">
        <v>534</v>
      </c>
      <c r="D61" s="34">
        <f>LEN(Table1[[#This Row],[Implementation Statement]])</f>
        <v>788</v>
      </c>
    </row>
    <row r="62" spans="1:4" ht="116" x14ac:dyDescent="0.35">
      <c r="A62" s="34" t="s">
        <v>360</v>
      </c>
      <c r="B62" s="126" t="str">
        <f>VLOOKUP(Table1[[#This Row],[Control]],List!$E$3:$F$173,2,FALSE)</f>
        <v>IA.L2-3.5.7</v>
      </c>
      <c r="C62" s="35" t="s">
        <v>535</v>
      </c>
      <c r="D62" s="34">
        <f>LEN(Table1[[#This Row],[Implementation Statement]])</f>
        <v>589</v>
      </c>
    </row>
    <row r="63" spans="1:4" ht="145" x14ac:dyDescent="0.35">
      <c r="A63" s="34" t="s">
        <v>361</v>
      </c>
      <c r="B63" s="126" t="str">
        <f>VLOOKUP(Table1[[#This Row],[Control]],List!$E$3:$F$173,2,FALSE)</f>
        <v>IA.L2-3.5.8</v>
      </c>
      <c r="C63" s="35" t="s">
        <v>536</v>
      </c>
      <c r="D63" s="34">
        <f>LEN(Table1[[#This Row],[Implementation Statement]])</f>
        <v>853</v>
      </c>
    </row>
    <row r="64" spans="1:4" ht="174" x14ac:dyDescent="0.35">
      <c r="A64" s="34" t="s">
        <v>362</v>
      </c>
      <c r="B64" s="126" t="str">
        <f>VLOOKUP(Table1[[#This Row],[Control]],List!$E$3:$F$173,2,FALSE)</f>
        <v>IA.L2-3.5.9</v>
      </c>
      <c r="C64" s="35" t="s">
        <v>537</v>
      </c>
      <c r="D64" s="34">
        <f>LEN(Table1[[#This Row],[Implementation Statement]])</f>
        <v>895</v>
      </c>
    </row>
    <row r="65" spans="1:10" ht="116" x14ac:dyDescent="0.35">
      <c r="A65" s="34" t="s">
        <v>363</v>
      </c>
      <c r="B65" s="126" t="str">
        <f>VLOOKUP(Table1[[#This Row],[Control]],List!$E$3:$F$173,2,FALSE)</f>
        <v>IA.L2-3.5.10</v>
      </c>
      <c r="C65" s="35" t="s">
        <v>538</v>
      </c>
      <c r="D65" s="34">
        <f>LEN(Table1[[#This Row],[Implementation Statement]])</f>
        <v>525</v>
      </c>
    </row>
    <row r="66" spans="1:10" ht="145" x14ac:dyDescent="0.35">
      <c r="A66" s="34" t="s">
        <v>364</v>
      </c>
      <c r="B66" s="126" t="str">
        <f>VLOOKUP(Table1[[#This Row],[Control]],List!$E$3:$F$173,2,FALSE)</f>
        <v>IA.L2-3.5.11</v>
      </c>
      <c r="C66" s="35" t="s">
        <v>539</v>
      </c>
      <c r="D66" s="34">
        <f>LEN(Table1[[#This Row],[Implementation Statement]])</f>
        <v>565</v>
      </c>
    </row>
    <row r="67" spans="1:10" ht="130.5" x14ac:dyDescent="0.35">
      <c r="A67" s="34" t="s">
        <v>365</v>
      </c>
      <c r="B67" s="126" t="str">
        <f>VLOOKUP(Table1[[#This Row],[Control]],List!$E$3:$F$173,2,FALSE)</f>
        <v>IA.L2-3.5.3</v>
      </c>
      <c r="C67" s="35" t="s">
        <v>540</v>
      </c>
      <c r="D67" s="34">
        <f>LEN(Table1[[#This Row],[Implementation Statement]])</f>
        <v>626</v>
      </c>
    </row>
    <row r="68" spans="1:10" ht="145" x14ac:dyDescent="0.35">
      <c r="A68" s="34" t="s">
        <v>366</v>
      </c>
      <c r="B68" s="126" t="str">
        <f>VLOOKUP(Table1[[#This Row],[Control]],List!$E$3:$F$173,2,FALSE)</f>
        <v>IA.L2-3.5.4</v>
      </c>
      <c r="C68" s="35" t="s">
        <v>541</v>
      </c>
      <c r="D68" s="34">
        <f>LEN(Table1[[#This Row],[Implementation Statement]])</f>
        <v>802</v>
      </c>
    </row>
    <row r="69" spans="1:10" ht="145" x14ac:dyDescent="0.35">
      <c r="A69" s="34" t="s">
        <v>367</v>
      </c>
      <c r="B69" s="126" t="str">
        <f>VLOOKUP(Table1[[#This Row],[Control]],List!$E$3:$F$173,2,FALSE)</f>
        <v>IA.L2-3.5.5</v>
      </c>
      <c r="C69" s="35" t="s">
        <v>542</v>
      </c>
      <c r="D69" s="34">
        <f>LEN(Table1[[#This Row],[Implementation Statement]])</f>
        <v>666</v>
      </c>
    </row>
    <row r="70" spans="1:10" ht="192.5" customHeight="1" x14ac:dyDescent="0.35">
      <c r="A70" s="34" t="s">
        <v>368</v>
      </c>
      <c r="B70" s="126" t="str">
        <f>VLOOKUP(Table1[[#This Row],[Control]],List!$E$3:$F$173,2,FALSE)</f>
        <v>IA.L2-3.5.6</v>
      </c>
      <c r="C70" s="35" t="s">
        <v>543</v>
      </c>
      <c r="D70" s="34">
        <f>LEN(Table1[[#This Row],[Implementation Statement]])</f>
        <v>991</v>
      </c>
    </row>
    <row r="71" spans="1:10" ht="409.5" x14ac:dyDescent="0.35">
      <c r="A71" s="34" t="s">
        <v>369</v>
      </c>
      <c r="B71" s="126" t="str">
        <f>VLOOKUP(Table1[[#This Row],[Control]],List!$E$3:$F$173,2,FALSE)</f>
        <v>IR.L2-3.6.1</v>
      </c>
      <c r="C71" s="35" t="s">
        <v>544</v>
      </c>
      <c r="D71" s="34">
        <f>LEN(Table1[[#This Row],[Implementation Statement]])</f>
        <v>3182</v>
      </c>
    </row>
    <row r="72" spans="1:10" x14ac:dyDescent="0.35">
      <c r="A72" s="34" t="s">
        <v>376</v>
      </c>
      <c r="B72" s="126" t="str">
        <f>VLOOKUP(Table1[[#This Row],[Control]],List!$E$3:$F$173,2,FALSE)</f>
        <v>N/A</v>
      </c>
      <c r="C72" s="35" t="s">
        <v>501</v>
      </c>
      <c r="D72" s="34">
        <f>LEN(Table1[[#This Row],[Implementation Statement]])</f>
        <v>13</v>
      </c>
    </row>
    <row r="73" spans="1:10" x14ac:dyDescent="0.35">
      <c r="A73" s="34" t="s">
        <v>379</v>
      </c>
      <c r="B73" s="126" t="str">
        <f>VLOOKUP(Table1[[#This Row],[Control]],List!$E$3:$F$173,2,FALSE)</f>
        <v>N/A</v>
      </c>
      <c r="C73" s="35" t="s">
        <v>501</v>
      </c>
      <c r="D73" s="34">
        <f>LEN(Table1[[#This Row],[Implementation Statement]])</f>
        <v>13</v>
      </c>
    </row>
    <row r="74" spans="1:10" ht="275.5" x14ac:dyDescent="0.35">
      <c r="A74" s="34" t="s">
        <v>370</v>
      </c>
      <c r="B74" s="126" t="str">
        <f>VLOOKUP(Table1[[#This Row],[Control]],List!$E$3:$F$173,2,FALSE)</f>
        <v>N/A</v>
      </c>
      <c r="C74" s="35" t="s">
        <v>545</v>
      </c>
      <c r="D74" s="34">
        <f>LEN(Table1[[#This Row],[Implementation Statement]])</f>
        <v>1727</v>
      </c>
    </row>
    <row r="75" spans="1:10" ht="409.5" x14ac:dyDescent="0.35">
      <c r="A75" s="34" t="s">
        <v>371</v>
      </c>
      <c r="B75" s="126" t="str">
        <f>VLOOKUP(Table1[[#This Row],[Control]],List!$E$3:$F$173,2,FALSE)</f>
        <v>N/A</v>
      </c>
      <c r="C75" s="35" t="s">
        <v>546</v>
      </c>
      <c r="D75" s="34">
        <f>LEN(Table1[[#This Row],[Implementation Statement]])</f>
        <v>2754</v>
      </c>
      <c r="F75" s="29"/>
      <c r="G75" s="29"/>
      <c r="H75" s="29"/>
      <c r="I75" s="29"/>
      <c r="J75" s="29"/>
    </row>
    <row r="76" spans="1:10" ht="409.5" x14ac:dyDescent="0.35">
      <c r="A76" s="34" t="s">
        <v>372</v>
      </c>
      <c r="B76" s="126" t="str">
        <f>VLOOKUP(Table1[[#This Row],[Control]],List!$E$3:$F$173,2,FALSE)</f>
        <v>N/A</v>
      </c>
      <c r="C76" s="35" t="s">
        <v>547</v>
      </c>
      <c r="D76" s="34">
        <f>LEN(Table1[[#This Row],[Implementation Statement]])</f>
        <v>2885</v>
      </c>
      <c r="F76" s="29"/>
      <c r="G76" s="29"/>
      <c r="H76" s="29"/>
      <c r="I76" s="29"/>
      <c r="J76" s="29"/>
    </row>
    <row r="77" spans="1:10" ht="409.5" x14ac:dyDescent="0.35">
      <c r="A77" s="34" t="s">
        <v>374</v>
      </c>
      <c r="B77" s="126" t="str">
        <f>VLOOKUP(Table1[[#This Row],[Control]],List!$E$3:$F$173,2,FALSE)</f>
        <v>IR.L2-3.6.2</v>
      </c>
      <c r="C77" s="35" t="s">
        <v>548</v>
      </c>
      <c r="D77" s="34">
        <f>LEN(Table1[[#This Row],[Implementation Statement]])</f>
        <v>4457</v>
      </c>
      <c r="F77" s="29"/>
      <c r="G77" s="29"/>
      <c r="H77" s="29"/>
      <c r="I77" s="29"/>
      <c r="J77" s="29"/>
    </row>
    <row r="78" spans="1:10" x14ac:dyDescent="0.35">
      <c r="A78" s="34" t="s">
        <v>377</v>
      </c>
      <c r="B78" s="126" t="str">
        <f>VLOOKUP(Table1[[#This Row],[Control]],List!$E$3:$F$173,2,FALSE)</f>
        <v>IR.L3-6</v>
      </c>
      <c r="C78" s="35" t="s">
        <v>501</v>
      </c>
      <c r="D78" s="34">
        <f>LEN(Table1[[#This Row],[Implementation Statement]])</f>
        <v>13</v>
      </c>
      <c r="F78" s="29"/>
      <c r="G78" s="29"/>
      <c r="H78" s="29"/>
      <c r="I78" s="29"/>
      <c r="J78" s="29"/>
    </row>
    <row r="79" spans="1:10" x14ac:dyDescent="0.35">
      <c r="A79" s="34" t="s">
        <v>378</v>
      </c>
      <c r="B79" s="126" t="str">
        <f>VLOOKUP(Table1[[#This Row],[Control]],List!$E$3:$F$173,2,FALSE)</f>
        <v>N/A</v>
      </c>
      <c r="C79" s="35" t="s">
        <v>501</v>
      </c>
      <c r="D79" s="34">
        <f>LEN(Table1[[#This Row],[Implementation Statement]])</f>
        <v>13</v>
      </c>
      <c r="F79" s="29"/>
      <c r="G79" s="29"/>
      <c r="H79" s="29"/>
      <c r="I79" s="29"/>
      <c r="J79" s="29"/>
    </row>
    <row r="80" spans="1:10" x14ac:dyDescent="0.35">
      <c r="A80" s="34" t="s">
        <v>380</v>
      </c>
      <c r="B80" s="126" t="str">
        <f>VLOOKUP(Table1[[#This Row],[Control]],List!$E$3:$F$173,2,FALSE)</f>
        <v>IR.L3-7</v>
      </c>
      <c r="C80" s="35" t="s">
        <v>501</v>
      </c>
      <c r="D80" s="34">
        <f>LEN(Table1[[#This Row],[Implementation Statement]])</f>
        <v>13</v>
      </c>
      <c r="F80" s="29"/>
      <c r="G80" s="29"/>
      <c r="H80" s="29"/>
      <c r="I80" s="29"/>
      <c r="J80" s="29"/>
    </row>
    <row r="81" spans="1:10" ht="319" x14ac:dyDescent="0.35">
      <c r="A81" s="34" t="s">
        <v>373</v>
      </c>
      <c r="B81" s="126" t="str">
        <f>VLOOKUP(Table1[[#This Row],[Control]],List!$E$3:$F$173,2,FALSE)</f>
        <v>N/A</v>
      </c>
      <c r="C81" s="35" t="s">
        <v>549</v>
      </c>
      <c r="D81" s="34">
        <f>LEN(Table1[[#This Row],[Implementation Statement]])</f>
        <v>1764</v>
      </c>
      <c r="F81" s="29"/>
      <c r="G81" s="29"/>
      <c r="H81" s="29"/>
      <c r="I81" s="29"/>
      <c r="J81" s="29"/>
    </row>
    <row r="82" spans="1:10" ht="290" x14ac:dyDescent="0.35">
      <c r="A82" s="34" t="s">
        <v>375</v>
      </c>
      <c r="B82" s="126" t="str">
        <f>VLOOKUP(Table1[[#This Row],[Control]],List!$E$3:$F$173,2,FALSE)</f>
        <v>IR.L2-3.6.3</v>
      </c>
      <c r="C82" s="35" t="s">
        <v>550</v>
      </c>
      <c r="D82" s="34">
        <f>LEN(Table1[[#This Row],[Implementation Statement]])</f>
        <v>1701</v>
      </c>
      <c r="F82" s="29"/>
      <c r="G82" s="29"/>
      <c r="H82" s="29"/>
      <c r="I82" s="29"/>
      <c r="J82" s="29"/>
    </row>
    <row r="83" spans="1:10" x14ac:dyDescent="0.35">
      <c r="A83" s="34" t="s">
        <v>381</v>
      </c>
      <c r="B83" s="126" t="str">
        <f>VLOOKUP(Table1[[#This Row],[Control]],List!$E$3:$F$173,2,FALSE)</f>
        <v>IR.L3-8</v>
      </c>
      <c r="C83" s="35" t="s">
        <v>501</v>
      </c>
      <c r="D83" s="34">
        <f>LEN(Table1[[#This Row],[Implementation Statement]])</f>
        <v>13</v>
      </c>
      <c r="F83" s="29"/>
      <c r="G83" s="29"/>
      <c r="H83" s="29">
        <f>IF($F$3="Practices with NIST 800-171 Mappings",SUM(COUNTIFS('Selection Pane Data'!$D$5:$D$175,Placemat!G126,'Selection Pane Data'!$G$5:$G$175,"P",'Selection Pane Data'!$E$5:$E$175,"Yes"),COUNTIFS('Selection Pane Data'!$D$5:$D$175,Placemat!G126,'Selection Pane Data'!$G$5:$G$175,"S",'Selection Pane Data'!$E$5:$E$175,"Yes")),SUM(COUNTIFS('Selection Pane Data'!$D$5:$D$175,Placemat!G126,'Selection Pane Data'!$G$5:$G$175,"P"),COUNTIFS('Selection Pane Data'!$D$5:$D$175,Placemat!G126,'Selection Pane Data'!$G$5:$G$175,"S")))</f>
        <v>6</v>
      </c>
      <c r="I83" s="29"/>
      <c r="J83" s="29"/>
    </row>
    <row r="84" spans="1:10" ht="304.5" x14ac:dyDescent="0.35">
      <c r="A84" s="34" t="s">
        <v>382</v>
      </c>
      <c r="B84" s="126" t="str">
        <f>VLOOKUP(Table1[[#This Row],[Control]],List!$E$3:$F$173,2,FALSE)</f>
        <v>MA.L2-3.7.1</v>
      </c>
      <c r="C84" s="35" t="s">
        <v>551</v>
      </c>
      <c r="D84" s="34">
        <f>LEN(Table1[[#This Row],[Implementation Statement]])</f>
        <v>1737</v>
      </c>
      <c r="F84" s="29"/>
      <c r="G84" s="29"/>
      <c r="H84" s="29">
        <f>IF($F$3="Practices with NIST 800-171 Mappings",SUM(COUNTIFS('Selection Pane Data'!$D$5:$D$175,Placemat!G127,'Selection Pane Data'!$G$5:$G$175,"P",'Selection Pane Data'!$E$5:$E$175,"Yes"),COUNTIFS('Selection Pane Data'!$D$5:$D$175,Placemat!G127,'Selection Pane Data'!$G$5:$G$175,"S",'Selection Pane Data'!$E$5:$E$175,"Yes")),SUM(COUNTIFS('Selection Pane Data'!$D$5:$D$175,Placemat!G127,'Selection Pane Data'!$G$5:$G$175,"P"),COUNTIFS('Selection Pane Data'!$D$5:$D$175,Placemat!G127,'Selection Pane Data'!$G$5:$G$175,"S")))</f>
        <v>14</v>
      </c>
      <c r="I84" s="29"/>
      <c r="J84" s="29"/>
    </row>
    <row r="85" spans="1:10" ht="232" x14ac:dyDescent="0.35">
      <c r="A85" s="34" t="s">
        <v>383</v>
      </c>
      <c r="B85" s="126" t="str">
        <f>VLOOKUP(Table1[[#This Row],[Control]],List!$E$3:$F$173,2,FALSE)</f>
        <v>MA.L2-3.7.2</v>
      </c>
      <c r="C85" s="35" t="s">
        <v>552</v>
      </c>
      <c r="D85" s="34">
        <f>LEN(Table1[[#This Row],[Implementation Statement]])</f>
        <v>1239</v>
      </c>
      <c r="F85" s="29"/>
      <c r="G85" s="29"/>
      <c r="H85" s="29"/>
      <c r="I85" s="29"/>
      <c r="J85" s="29"/>
    </row>
    <row r="86" spans="1:10" ht="72.5" x14ac:dyDescent="0.35">
      <c r="A86" s="34" t="s">
        <v>384</v>
      </c>
      <c r="B86" s="126" t="str">
        <f>VLOOKUP(Table1[[#This Row],[Control]],List!$E$3:$F$173,2,FALSE)</f>
        <v>MA.L2-3.7.5</v>
      </c>
      <c r="C86" s="35" t="s">
        <v>553</v>
      </c>
      <c r="D86" s="34">
        <f>LEN(Table1[[#This Row],[Implementation Statement]])</f>
        <v>313</v>
      </c>
      <c r="F86" s="29"/>
      <c r="G86" s="29"/>
      <c r="H86" s="29"/>
      <c r="I86" s="29"/>
      <c r="J86" s="29"/>
    </row>
    <row r="87" spans="1:10" ht="362.5" x14ac:dyDescent="0.35">
      <c r="A87" s="34" t="s">
        <v>385</v>
      </c>
      <c r="B87" s="126" t="str">
        <f>VLOOKUP(Table1[[#This Row],[Control]],List!$E$3:$F$173,2,FALSE)</f>
        <v>MA.L2-3.7.6</v>
      </c>
      <c r="C87" s="35" t="s">
        <v>554</v>
      </c>
      <c r="D87" s="34">
        <f>LEN(Table1[[#This Row],[Implementation Statement]])</f>
        <v>2035</v>
      </c>
      <c r="F87" s="29"/>
      <c r="G87" s="29"/>
      <c r="H87" s="29"/>
      <c r="I87" s="29"/>
      <c r="J87" s="29"/>
    </row>
    <row r="88" spans="1:10" ht="246.5" x14ac:dyDescent="0.35">
      <c r="A88" s="34" t="s">
        <v>386</v>
      </c>
      <c r="B88" s="126" t="str">
        <f>VLOOKUP(Table1[[#This Row],[Control]],List!$E$3:$F$173,2,FALSE)</f>
        <v>MA.L2-3.7.3</v>
      </c>
      <c r="C88" s="35" t="s">
        <v>555</v>
      </c>
      <c r="D88" s="34">
        <f>LEN(Table1[[#This Row],[Implementation Statement]])</f>
        <v>1385</v>
      </c>
      <c r="F88" s="29"/>
      <c r="G88" s="29"/>
      <c r="H88" s="29"/>
      <c r="I88" s="29"/>
      <c r="J88" s="29"/>
    </row>
    <row r="89" spans="1:10" ht="188.5" x14ac:dyDescent="0.35">
      <c r="A89" s="34" t="s">
        <v>387</v>
      </c>
      <c r="B89" s="126" t="str">
        <f>VLOOKUP(Table1[[#This Row],[Control]],List!$E$3:$F$173,2,FALSE)</f>
        <v>MA.L2-3.7.4</v>
      </c>
      <c r="C89" s="35" t="s">
        <v>556</v>
      </c>
      <c r="D89" s="34">
        <f>LEN(Table1[[#This Row],[Implementation Statement]])</f>
        <v>1271</v>
      </c>
      <c r="F89" s="29"/>
      <c r="G89" s="29"/>
      <c r="H89" s="29"/>
      <c r="I89" s="29"/>
      <c r="J89" s="29"/>
    </row>
    <row r="90" spans="1:10" ht="130.5" x14ac:dyDescent="0.35">
      <c r="A90" s="34" t="s">
        <v>392</v>
      </c>
      <c r="B90" s="126" t="str">
        <f>VLOOKUP(Table1[[#This Row],[Control]],List!$E$3:$F$173,2,FALSE)</f>
        <v>MP.L2-3.8.4</v>
      </c>
      <c r="C90" s="35" t="s">
        <v>557</v>
      </c>
      <c r="D90" s="34">
        <f>LEN(Table1[[#This Row],[Implementation Statement]])</f>
        <v>635</v>
      </c>
      <c r="F90" s="29"/>
      <c r="G90" s="29"/>
      <c r="H90" s="29"/>
      <c r="I90" s="29"/>
      <c r="J90" s="29"/>
    </row>
    <row r="91" spans="1:10" ht="409.5" x14ac:dyDescent="0.35">
      <c r="A91" s="34" t="s">
        <v>389</v>
      </c>
      <c r="B91" s="126" t="str">
        <f>VLOOKUP(Table1[[#This Row],[Control]],List!$E$3:$F$173,2,FALSE)</f>
        <v>MP.L2-3.8.1</v>
      </c>
      <c r="C91" s="35" t="s">
        <v>558</v>
      </c>
      <c r="D91" s="34">
        <f>LEN(Table1[[#This Row],[Implementation Statement]])</f>
        <v>2536</v>
      </c>
    </row>
    <row r="92" spans="1:10" ht="362.5" x14ac:dyDescent="0.35">
      <c r="A92" s="34" t="s">
        <v>390</v>
      </c>
      <c r="B92" s="126" t="str">
        <f>VLOOKUP(Table1[[#This Row],[Control]],List!$E$3:$F$173,2,FALSE)</f>
        <v>MP.L2-3.8.2</v>
      </c>
      <c r="C92" s="35" t="s">
        <v>559</v>
      </c>
      <c r="D92" s="34">
        <f>LEN(Table1[[#This Row],[Implementation Statement]])</f>
        <v>1906</v>
      </c>
    </row>
    <row r="93" spans="1:10" ht="304.5" x14ac:dyDescent="0.35">
      <c r="A93" s="34" t="s">
        <v>391</v>
      </c>
      <c r="B93" s="126" t="str">
        <f>VLOOKUP(Table1[[#This Row],[Control]],List!$E$3:$F$173,2,FALSE)</f>
        <v>MP.L2-3.8.7</v>
      </c>
      <c r="C93" s="35" t="s">
        <v>560</v>
      </c>
      <c r="D93" s="34">
        <f>LEN(Table1[[#This Row],[Implementation Statement]])</f>
        <v>1947</v>
      </c>
    </row>
    <row r="94" spans="1:10" ht="232" x14ac:dyDescent="0.35">
      <c r="A94" s="34" t="s">
        <v>393</v>
      </c>
      <c r="B94" s="126" t="str">
        <f>VLOOKUP(Table1[[#This Row],[Control]],List!$E$3:$F$173,2,FALSE)</f>
        <v>MP.L2-3.8.8</v>
      </c>
      <c r="C94" s="35" t="s">
        <v>561</v>
      </c>
      <c r="D94" s="34">
        <f>LEN(Table1[[#This Row],[Implementation Statement]])</f>
        <v>1390</v>
      </c>
    </row>
    <row r="95" spans="1:10" ht="130.5" x14ac:dyDescent="0.35">
      <c r="A95" s="34" t="s">
        <v>388</v>
      </c>
      <c r="B95" s="126" t="str">
        <f>VLOOKUP(Table1[[#This Row],[Control]],List!$E$3:$F$173,2,FALSE)</f>
        <v>MP.L1-3.8.3</v>
      </c>
      <c r="C95" s="35" t="s">
        <v>562</v>
      </c>
      <c r="D95" s="34">
        <f>LEN(Table1[[#This Row],[Implementation Statement]])</f>
        <v>659</v>
      </c>
    </row>
    <row r="96" spans="1:10" ht="409.5" x14ac:dyDescent="0.35">
      <c r="A96" s="34" t="s">
        <v>394</v>
      </c>
      <c r="B96" s="126" t="str">
        <f>VLOOKUP(Table1[[#This Row],[Control]],List!$E$3:$F$173,2,FALSE)</f>
        <v>MP.L2-3.8.5</v>
      </c>
      <c r="C96" s="35" t="s">
        <v>563</v>
      </c>
      <c r="D96" s="34">
        <f>LEN(Table1[[#This Row],[Implementation Statement]])</f>
        <v>3829</v>
      </c>
    </row>
    <row r="97" spans="1:4" ht="29" x14ac:dyDescent="0.35">
      <c r="A97" s="34" t="s">
        <v>395</v>
      </c>
      <c r="B97" s="126" t="str">
        <f>VLOOKUP(Table1[[#This Row],[Control]],List!$E$3:$F$173,2,FALSE)</f>
        <v>MP.L2-3.8.6</v>
      </c>
      <c r="C97" s="35" t="s">
        <v>1090</v>
      </c>
      <c r="D97" s="34">
        <f>LEN(Table1[[#This Row],[Implementation Statement]])</f>
        <v>203</v>
      </c>
    </row>
    <row r="98" spans="1:4" ht="186.5" customHeight="1" x14ac:dyDescent="0.35">
      <c r="A98" s="34" t="s">
        <v>402</v>
      </c>
      <c r="B98" s="126" t="str">
        <f>VLOOKUP(Table1[[#This Row],[Control]],List!$E$3:$F$173,2,FALSE)</f>
        <v>PS.L2-3.9.1</v>
      </c>
      <c r="C98" s="35" t="s">
        <v>564</v>
      </c>
      <c r="D98" s="34">
        <f>LEN(Table1[[#This Row],[Implementation Statement]])</f>
        <v>1041</v>
      </c>
    </row>
    <row r="99" spans="1:4" ht="261" x14ac:dyDescent="0.35">
      <c r="A99" s="34" t="s">
        <v>403</v>
      </c>
      <c r="B99" s="126" t="str">
        <f>VLOOKUP(Table1[[#This Row],[Control]],List!$E$3:$F$173,2,FALSE)</f>
        <v>PS.L2-3.9.2</v>
      </c>
      <c r="C99" s="35" t="s">
        <v>565</v>
      </c>
      <c r="D99" s="34">
        <f>LEN(Table1[[#This Row],[Implementation Statement]])</f>
        <v>1529</v>
      </c>
    </row>
    <row r="100" spans="1:4" x14ac:dyDescent="0.35">
      <c r="A100" s="34" t="s">
        <v>396</v>
      </c>
      <c r="B100" s="126" t="str">
        <f>VLOOKUP(Table1[[#This Row],[Control]],List!$E$3:$F$173,2,FALSE)</f>
        <v>PE.L1-3.10.1</v>
      </c>
      <c r="C100" s="35" t="s">
        <v>566</v>
      </c>
      <c r="D100" s="34">
        <f>LEN(Table1[[#This Row],[Implementation Statement]])</f>
        <v>44</v>
      </c>
    </row>
    <row r="101" spans="1:4" x14ac:dyDescent="0.35">
      <c r="A101" s="34" t="s">
        <v>397</v>
      </c>
      <c r="B101" s="126" t="str">
        <f>VLOOKUP(Table1[[#This Row],[Control]],List!$E$3:$F$173,2,FALSE)</f>
        <v>PE.L1-3.10.3</v>
      </c>
      <c r="C101" s="35" t="s">
        <v>566</v>
      </c>
      <c r="D101" s="34">
        <f>LEN(Table1[[#This Row],[Implementation Statement]])</f>
        <v>44</v>
      </c>
    </row>
    <row r="102" spans="1:4" x14ac:dyDescent="0.35">
      <c r="A102" s="34" t="s">
        <v>398</v>
      </c>
      <c r="B102" s="126" t="str">
        <f>VLOOKUP(Table1[[#This Row],[Control]],List!$E$3:$F$173,2,FALSE)</f>
        <v>PE.L1-3.10.4</v>
      </c>
      <c r="C102" s="35" t="s">
        <v>566</v>
      </c>
      <c r="D102" s="34">
        <f>LEN(Table1[[#This Row],[Implementation Statement]])</f>
        <v>44</v>
      </c>
    </row>
    <row r="103" spans="1:4" x14ac:dyDescent="0.35">
      <c r="A103" s="34" t="s">
        <v>399</v>
      </c>
      <c r="B103" s="126" t="str">
        <f>VLOOKUP(Table1[[#This Row],[Control]],List!$E$3:$F$173,2,FALSE)</f>
        <v>PE.L1-3.10.5</v>
      </c>
      <c r="C103" s="35" t="s">
        <v>566</v>
      </c>
      <c r="D103" s="34">
        <f>LEN(Table1[[#This Row],[Implementation Statement]])</f>
        <v>44</v>
      </c>
    </row>
    <row r="104" spans="1:4" x14ac:dyDescent="0.35">
      <c r="A104" s="34" t="s">
        <v>400</v>
      </c>
      <c r="B104" s="126" t="str">
        <f>VLOOKUP(Table1[[#This Row],[Control]],List!$E$3:$F$173,2,FALSE)</f>
        <v>PE.L2-3.10.2</v>
      </c>
      <c r="C104" s="35" t="s">
        <v>566</v>
      </c>
      <c r="D104" s="34">
        <f>LEN(Table1[[#This Row],[Implementation Statement]])</f>
        <v>44</v>
      </c>
    </row>
    <row r="105" spans="1:4" ht="333.5" x14ac:dyDescent="0.35">
      <c r="A105" s="34" t="s">
        <v>401</v>
      </c>
      <c r="B105" s="126" t="str">
        <f>VLOOKUP(Table1[[#This Row],[Control]],List!$E$3:$F$173,2,FALSE)</f>
        <v>PE.L2-3.10.6</v>
      </c>
      <c r="C105" s="35" t="s">
        <v>567</v>
      </c>
      <c r="D105" s="34">
        <f>LEN(Table1[[#This Row],[Implementation Statement]])</f>
        <v>1405</v>
      </c>
    </row>
    <row r="106" spans="1:4" ht="409.5" x14ac:dyDescent="0.35">
      <c r="A106" s="34" t="s">
        <v>404</v>
      </c>
      <c r="B106" s="126" t="str">
        <f>VLOOKUP(Table1[[#This Row],[Control]],List!$E$3:$F$173,2,FALSE)</f>
        <v>N/A</v>
      </c>
      <c r="C106" s="35" t="s">
        <v>568</v>
      </c>
      <c r="D106" s="34">
        <f>LEN(Table1[[#This Row],[Implementation Statement]])</f>
        <v>3604</v>
      </c>
    </row>
    <row r="107" spans="1:4" ht="409.5" x14ac:dyDescent="0.35">
      <c r="A107" s="34" t="s">
        <v>405</v>
      </c>
      <c r="B107" s="126" t="str">
        <f>VLOOKUP(Table1[[#This Row],[Control]],List!$E$3:$F$173,2,FALSE)</f>
        <v>MP.L2-3.8.9</v>
      </c>
      <c r="C107" s="35" t="s">
        <v>569</v>
      </c>
      <c r="D107" s="34">
        <f>LEN(Table1[[#This Row],[Implementation Statement]])</f>
        <v>3602</v>
      </c>
    </row>
    <row r="108" spans="1:4" ht="409.5" x14ac:dyDescent="0.35">
      <c r="A108" s="34" t="s">
        <v>406</v>
      </c>
      <c r="B108" s="126" t="str">
        <f>VLOOKUP(Table1[[#This Row],[Control]],List!$E$3:$F$173,2,FALSE)</f>
        <v>N/A</v>
      </c>
      <c r="C108" s="35" t="s">
        <v>570</v>
      </c>
      <c r="D108" s="34">
        <f>LEN(Table1[[#This Row],[Implementation Statement]])</f>
        <v>3355</v>
      </c>
    </row>
    <row r="109" spans="1:4" x14ac:dyDescent="0.35">
      <c r="A109" s="34" t="s">
        <v>407</v>
      </c>
      <c r="B109" s="126" t="str">
        <f>VLOOKUP(Table1[[#This Row],[Control]],List!$E$3:$F$173,2,FALSE)</f>
        <v>N/A</v>
      </c>
      <c r="C109" s="35" t="s">
        <v>501</v>
      </c>
      <c r="D109" s="34">
        <f>LEN(Table1[[#This Row],[Implementation Statement]])</f>
        <v>13</v>
      </c>
    </row>
    <row r="110" spans="1:4" ht="409.5" x14ac:dyDescent="0.35">
      <c r="A110" s="34" t="s">
        <v>408</v>
      </c>
      <c r="B110" s="126" t="str">
        <f>VLOOKUP(Table1[[#This Row],[Control]],List!$E$3:$F$173,2,FALSE)</f>
        <v>RA.L2-3.11.1</v>
      </c>
      <c r="C110" s="35" t="s">
        <v>571</v>
      </c>
      <c r="D110" s="34">
        <f>LEN(Table1[[#This Row],[Implementation Statement]])</f>
        <v>2785</v>
      </c>
    </row>
    <row r="111" spans="1:4" ht="409.5" x14ac:dyDescent="0.35">
      <c r="A111" s="34" t="s">
        <v>409</v>
      </c>
      <c r="B111" s="126" t="str">
        <f>VLOOKUP(Table1[[#This Row],[Control]],List!$E$3:$F$173,2,FALSE)</f>
        <v>RA.L2-3.11.2</v>
      </c>
      <c r="C111" s="35" t="s">
        <v>572</v>
      </c>
      <c r="D111" s="34">
        <f>LEN(Table1[[#This Row],[Implementation Statement]])</f>
        <v>3177</v>
      </c>
    </row>
    <row r="112" spans="1:4" ht="409.5" x14ac:dyDescent="0.35">
      <c r="A112" s="34" t="s">
        <v>411</v>
      </c>
      <c r="B112" s="126" t="str">
        <f>VLOOKUP(Table1[[#This Row],[Control]],List!$E$3:$F$173,2,FALSE)</f>
        <v>N/A</v>
      </c>
      <c r="C112" s="35" t="s">
        <v>573</v>
      </c>
      <c r="D112" s="34">
        <f>LEN(Table1[[#This Row],[Implementation Statement]])</f>
        <v>3270</v>
      </c>
    </row>
    <row r="113" spans="1:4" x14ac:dyDescent="0.35">
      <c r="A113" s="34" t="s">
        <v>415</v>
      </c>
      <c r="B113" s="126" t="str">
        <f>VLOOKUP(Table1[[#This Row],[Control]],List!$E$3:$F$173,2,FALSE)</f>
        <v>N/A</v>
      </c>
      <c r="C113" s="35" t="s">
        <v>501</v>
      </c>
      <c r="D113" s="34">
        <f>LEN(Table1[[#This Row],[Implementation Statement]])</f>
        <v>13</v>
      </c>
    </row>
    <row r="114" spans="1:4" x14ac:dyDescent="0.35">
      <c r="A114" s="34" t="s">
        <v>416</v>
      </c>
      <c r="B114" s="126" t="str">
        <f>VLOOKUP(Table1[[#This Row],[Control]],List!$E$3:$F$173,2,FALSE)</f>
        <v>RA.L3-10</v>
      </c>
      <c r="C114" s="35" t="s">
        <v>501</v>
      </c>
      <c r="D114" s="34">
        <f>LEN(Table1[[#This Row],[Implementation Statement]])</f>
        <v>13</v>
      </c>
    </row>
    <row r="115" spans="1:4" x14ac:dyDescent="0.35">
      <c r="A115" s="34" t="s">
        <v>417</v>
      </c>
      <c r="B115" s="126" t="str">
        <f>VLOOKUP(Table1[[#This Row],[Control]],List!$E$3:$F$173,2,FALSE)</f>
        <v>N/A</v>
      </c>
      <c r="C115" s="35" t="s">
        <v>501</v>
      </c>
      <c r="D115" s="34">
        <f>LEN(Table1[[#This Row],[Implementation Statement]])</f>
        <v>13</v>
      </c>
    </row>
    <row r="116" spans="1:4" ht="409.5" x14ac:dyDescent="0.35">
      <c r="A116" s="34" t="s">
        <v>410</v>
      </c>
      <c r="B116" s="126" t="str">
        <f>VLOOKUP(Table1[[#This Row],[Control]],List!$E$3:$F$173,2,FALSE)</f>
        <v>RA.L2-3.11.3</v>
      </c>
      <c r="C116" s="35" t="s">
        <v>574</v>
      </c>
      <c r="D116" s="34">
        <f>LEN(Table1[[#This Row],[Implementation Statement]])</f>
        <v>4367</v>
      </c>
    </row>
    <row r="117" spans="1:4" ht="304.5" x14ac:dyDescent="0.35">
      <c r="A117" s="34" t="s">
        <v>412</v>
      </c>
      <c r="B117" s="126" t="str">
        <f>VLOOKUP(Table1[[#This Row],[Control]],List!$E$3:$F$173,2,FALSE)</f>
        <v>N/A</v>
      </c>
      <c r="C117" s="35" t="s">
        <v>575</v>
      </c>
      <c r="D117" s="34">
        <f>LEN(Table1[[#This Row],[Implementation Statement]])</f>
        <v>1896</v>
      </c>
    </row>
    <row r="118" spans="1:4" ht="409.5" x14ac:dyDescent="0.35">
      <c r="A118" s="34" t="s">
        <v>413</v>
      </c>
      <c r="B118" s="126" t="str">
        <f>VLOOKUP(Table1[[#This Row],[Control]],List!$E$3:$F$173,2,FALSE)</f>
        <v>N/A</v>
      </c>
      <c r="C118" s="35" t="s">
        <v>576</v>
      </c>
      <c r="D118" s="34">
        <f>LEN(Table1[[#This Row],[Implementation Statement]])</f>
        <v>2837</v>
      </c>
    </row>
    <row r="119" spans="1:4" x14ac:dyDescent="0.35">
      <c r="A119" s="34" t="s">
        <v>418</v>
      </c>
      <c r="B119" s="126" t="str">
        <f>VLOOKUP(Table1[[#This Row],[Control]],List!$E$3:$F$173,2,FALSE)</f>
        <v>N/A</v>
      </c>
      <c r="C119" s="35" t="s">
        <v>501</v>
      </c>
      <c r="D119" s="34">
        <f>LEN(Table1[[#This Row],[Implementation Statement]])</f>
        <v>13</v>
      </c>
    </row>
    <row r="120" spans="1:4" x14ac:dyDescent="0.35">
      <c r="A120" s="34" t="s">
        <v>419</v>
      </c>
      <c r="B120" s="126" t="str">
        <f>VLOOKUP(Table1[[#This Row],[Control]],List!$E$3:$F$173,2,FALSE)</f>
        <v>RA.L3-11</v>
      </c>
      <c r="C120" s="35" t="s">
        <v>501</v>
      </c>
      <c r="D120" s="34">
        <f>LEN(Table1[[#This Row],[Implementation Statement]])</f>
        <v>13</v>
      </c>
    </row>
    <row r="121" spans="1:4" x14ac:dyDescent="0.35">
      <c r="A121" s="34" t="s">
        <v>414</v>
      </c>
      <c r="B121" s="126" t="str">
        <f>VLOOKUP(Table1[[#This Row],[Control]],List!$E$3:$F$173,2,FALSE)</f>
        <v>RA.L3-9</v>
      </c>
      <c r="C121" s="35" t="s">
        <v>501</v>
      </c>
      <c r="D121" s="34">
        <f>LEN(Table1[[#This Row],[Implementation Statement]])</f>
        <v>13</v>
      </c>
    </row>
    <row r="122" spans="1:4" ht="116" x14ac:dyDescent="0.35">
      <c r="A122" s="34" t="s">
        <v>339</v>
      </c>
      <c r="B122" s="126" t="str">
        <f>VLOOKUP(Table1[[#This Row],[Control]],List!$E$3:$F$173,2,FALSE)</f>
        <v>CA.L2-3.12.4</v>
      </c>
      <c r="C122" s="35" t="s">
        <v>577</v>
      </c>
      <c r="D122" s="34">
        <f>LEN(Table1[[#This Row],[Implementation Statement]])</f>
        <v>500</v>
      </c>
    </row>
    <row r="123" spans="1:4" x14ac:dyDescent="0.35">
      <c r="A123" s="34" t="s">
        <v>344</v>
      </c>
      <c r="B123" s="126" t="str">
        <f>VLOOKUP(Table1[[#This Row],[Control]],List!$E$3:$F$173,2,FALSE)</f>
        <v>N/A</v>
      </c>
      <c r="C123" s="35" t="s">
        <v>501</v>
      </c>
      <c r="D123" s="34">
        <f>LEN(Table1[[#This Row],[Implementation Statement]])</f>
        <v>13</v>
      </c>
    </row>
    <row r="124" spans="1:4" ht="261" x14ac:dyDescent="0.35">
      <c r="A124" s="34" t="s">
        <v>340</v>
      </c>
      <c r="B124" s="126" t="str">
        <f>VLOOKUP(Table1[[#This Row],[Control]],List!$E$3:$F$173,2,FALSE)</f>
        <v>CA.L2-3.12.1</v>
      </c>
      <c r="C124" s="35" t="s">
        <v>578</v>
      </c>
      <c r="D124" s="34">
        <f>LEN(Table1[[#This Row],[Implementation Statement]])</f>
        <v>1054</v>
      </c>
    </row>
    <row r="125" spans="1:4" ht="203" x14ac:dyDescent="0.35">
      <c r="A125" s="34" t="s">
        <v>341</v>
      </c>
      <c r="B125" s="126" t="str">
        <f>VLOOKUP(Table1[[#This Row],[Control]],List!$E$3:$F$173,2,FALSE)</f>
        <v>CA.L2-3.12.2</v>
      </c>
      <c r="C125" s="35" t="s">
        <v>579</v>
      </c>
      <c r="D125" s="34">
        <f>LEN(Table1[[#This Row],[Implementation Statement]])</f>
        <v>1138</v>
      </c>
    </row>
    <row r="126" spans="1:4" ht="409.5" x14ac:dyDescent="0.35">
      <c r="A126" s="34" t="s">
        <v>342</v>
      </c>
      <c r="B126" s="126" t="str">
        <f>VLOOKUP(Table1[[#This Row],[Control]],List!$E$3:$F$173,2,FALSE)</f>
        <v>CA.L2-3.12.3</v>
      </c>
      <c r="C126" s="35" t="s">
        <v>580</v>
      </c>
      <c r="D126" s="34">
        <f>LEN(Table1[[#This Row],[Implementation Statement]])</f>
        <v>3659</v>
      </c>
    </row>
    <row r="127" spans="1:4" x14ac:dyDescent="0.35">
      <c r="A127" s="34" t="s">
        <v>345</v>
      </c>
      <c r="B127" s="126" t="str">
        <f>VLOOKUP(Table1[[#This Row],[Control]],List!$E$3:$F$173,2,FALSE)</f>
        <v>CA.L3-4</v>
      </c>
      <c r="C127" s="35" t="s">
        <v>501</v>
      </c>
      <c r="D127" s="34">
        <f>LEN(Table1[[#This Row],[Implementation Statement]])</f>
        <v>13</v>
      </c>
    </row>
    <row r="128" spans="1:4" x14ac:dyDescent="0.35">
      <c r="A128" s="34" t="s">
        <v>346</v>
      </c>
      <c r="B128" s="126" t="str">
        <f>VLOOKUP(Table1[[#This Row],[Control]],List!$E$3:$F$173,2,FALSE)</f>
        <v>N/A</v>
      </c>
      <c r="C128" s="35" t="s">
        <v>501</v>
      </c>
      <c r="D128" s="34">
        <f>LEN(Table1[[#This Row],[Implementation Statement]])</f>
        <v>13</v>
      </c>
    </row>
    <row r="129" spans="1:4" ht="145" x14ac:dyDescent="0.35">
      <c r="A129" s="34" t="s">
        <v>343</v>
      </c>
      <c r="B129" s="126" t="str">
        <f>VLOOKUP(Table1[[#This Row],[Control]],List!$E$3:$F$173,2,FALSE)</f>
        <v>N/A</v>
      </c>
      <c r="C129" s="35" t="s">
        <v>581</v>
      </c>
      <c r="D129" s="34">
        <f>LEN(Table1[[#This Row],[Implementation Statement]])</f>
        <v>637</v>
      </c>
    </row>
    <row r="130" spans="1:4" ht="319" x14ac:dyDescent="0.35">
      <c r="A130" s="34" t="s">
        <v>420</v>
      </c>
      <c r="B130" s="126" t="str">
        <f>VLOOKUP(Table1[[#This Row],[Control]],List!$E$3:$F$173,2,FALSE)</f>
        <v>N/A</v>
      </c>
      <c r="C130" s="35" t="s">
        <v>582</v>
      </c>
      <c r="D130" s="34">
        <f>LEN(Table1[[#This Row],[Implementation Statement]])</f>
        <v>1950</v>
      </c>
    </row>
    <row r="131" spans="1:4" x14ac:dyDescent="0.35">
      <c r="A131" s="34" t="s">
        <v>421</v>
      </c>
      <c r="B131" s="126" t="str">
        <f>VLOOKUP(Table1[[#This Row],[Control]],List!$E$3:$F$173,2,FALSE)</f>
        <v>N/A</v>
      </c>
      <c r="C131" s="35" t="s">
        <v>501</v>
      </c>
      <c r="D131" s="34">
        <f>LEN(Table1[[#This Row],[Implementation Statement]])</f>
        <v>13</v>
      </c>
    </row>
    <row r="132" spans="1:4" x14ac:dyDescent="0.35">
      <c r="A132" s="34" t="s">
        <v>422</v>
      </c>
      <c r="B132" s="126" t="str">
        <f>VLOOKUP(Table1[[#This Row],[Control]],List!$E$3:$F$173,2,FALSE)</f>
        <v>N/A</v>
      </c>
      <c r="C132" s="35" t="s">
        <v>501</v>
      </c>
      <c r="D132" s="34">
        <f>LEN(Table1[[#This Row],[Implementation Statement]])</f>
        <v>13</v>
      </c>
    </row>
    <row r="133" spans="1:4" ht="145" x14ac:dyDescent="0.35">
      <c r="A133" s="34" t="s">
        <v>425</v>
      </c>
      <c r="B133" s="126" t="str">
        <f>VLOOKUP(Table1[[#This Row],[Control]],List!$E$3:$F$173,2,FALSE)</f>
        <v>SC.L2-3.13.12</v>
      </c>
      <c r="C133" s="35" t="s">
        <v>583</v>
      </c>
      <c r="D133" s="34">
        <f>LEN(Table1[[#This Row],[Implementation Statement]])</f>
        <v>911</v>
      </c>
    </row>
    <row r="134" spans="1:4" ht="333.5" x14ac:dyDescent="0.35">
      <c r="A134" s="34" t="s">
        <v>426</v>
      </c>
      <c r="B134" s="126" t="str">
        <f>VLOOKUP(Table1[[#This Row],[Control]],List!$E$3:$F$173,2,FALSE)</f>
        <v>N/A</v>
      </c>
      <c r="C134" s="35" t="s">
        <v>584</v>
      </c>
      <c r="D134" s="34">
        <f>LEN(Table1[[#This Row],[Implementation Statement]])</f>
        <v>1934</v>
      </c>
    </row>
    <row r="135" spans="1:4" ht="333.5" x14ac:dyDescent="0.35">
      <c r="A135" s="34" t="s">
        <v>427</v>
      </c>
      <c r="B135" s="126" t="str">
        <f>VLOOKUP(Table1[[#This Row],[Control]],List!$E$3:$F$173,2,FALSE)</f>
        <v>SC.L2-3.13.11</v>
      </c>
      <c r="C135" s="35" t="s">
        <v>585</v>
      </c>
      <c r="D135" s="34">
        <f>LEN(Table1[[#This Row],[Implementation Statement]])</f>
        <v>1863</v>
      </c>
    </row>
    <row r="136" spans="1:4" ht="275.5" x14ac:dyDescent="0.35">
      <c r="A136" s="34" t="s">
        <v>428</v>
      </c>
      <c r="B136" s="126" t="str">
        <f>VLOOKUP(Table1[[#This Row],[Control]],List!$E$3:$F$173,2,FALSE)</f>
        <v>SC.L2-3.13.2</v>
      </c>
      <c r="C136" s="35" t="s">
        <v>586</v>
      </c>
      <c r="D136" s="34">
        <f>LEN(Table1[[#This Row],[Implementation Statement]])</f>
        <v>1647</v>
      </c>
    </row>
    <row r="137" spans="1:4" ht="203" x14ac:dyDescent="0.35">
      <c r="A137" s="34" t="s">
        <v>429</v>
      </c>
      <c r="B137" s="126" t="str">
        <f>VLOOKUP(Table1[[#This Row],[Control]],List!$E$3:$F$173,2,FALSE)</f>
        <v>SC.L2-3.13.3</v>
      </c>
      <c r="C137" s="35" t="s">
        <v>587</v>
      </c>
      <c r="D137" s="34">
        <f>LEN(Table1[[#This Row],[Implementation Statement]])</f>
        <v>954</v>
      </c>
    </row>
    <row r="138" spans="1:4" ht="261" x14ac:dyDescent="0.35">
      <c r="A138" s="34" t="s">
        <v>430</v>
      </c>
      <c r="B138" s="126" t="str">
        <f>VLOOKUP(Table1[[#This Row],[Control]],List!$E$3:$F$173,2,FALSE)</f>
        <v>SC.L2-3.13.4</v>
      </c>
      <c r="C138" s="35" t="s">
        <v>588</v>
      </c>
      <c r="D138" s="34">
        <f>LEN(Table1[[#This Row],[Implementation Statement]])</f>
        <v>1264</v>
      </c>
    </row>
    <row r="139" spans="1:4" ht="290" x14ac:dyDescent="0.35">
      <c r="A139" s="34" t="s">
        <v>431</v>
      </c>
      <c r="B139" s="126" t="str">
        <f>VLOOKUP(Table1[[#This Row],[Control]],List!$E$3:$F$173,2,FALSE)</f>
        <v>SC.L2-3.13.6</v>
      </c>
      <c r="C139" s="35" t="s">
        <v>589</v>
      </c>
      <c r="D139" s="34">
        <f>LEN(Table1[[#This Row],[Implementation Statement]])</f>
        <v>1559</v>
      </c>
    </row>
    <row r="140" spans="1:4" ht="246.5" x14ac:dyDescent="0.35">
      <c r="A140" s="34" t="s">
        <v>432</v>
      </c>
      <c r="B140" s="126" t="str">
        <f>VLOOKUP(Table1[[#This Row],[Control]],List!$E$3:$F$173,2,FALSE)</f>
        <v>SC.L2-3.13.7</v>
      </c>
      <c r="C140" s="35" t="s">
        <v>590</v>
      </c>
      <c r="D140" s="34">
        <f>LEN(Table1[[#This Row],[Implementation Statement]])</f>
        <v>1476</v>
      </c>
    </row>
    <row r="141" spans="1:4" ht="348" x14ac:dyDescent="0.35">
      <c r="A141" s="34" t="s">
        <v>433</v>
      </c>
      <c r="B141" s="126" t="str">
        <f>VLOOKUP(Table1[[#This Row],[Control]],List!$E$3:$F$173,2,FALSE)</f>
        <v>SC.L2-3.13.8</v>
      </c>
      <c r="C141" s="35" t="s">
        <v>591</v>
      </c>
      <c r="D141" s="34">
        <f>LEN(Table1[[#This Row],[Implementation Statement]])</f>
        <v>1842</v>
      </c>
    </row>
    <row r="142" spans="1:4" ht="217.5" x14ac:dyDescent="0.35">
      <c r="A142" s="34" t="s">
        <v>434</v>
      </c>
      <c r="B142" s="126" t="str">
        <f>VLOOKUP(Table1[[#This Row],[Control]],List!$E$3:$F$173,2,FALSE)</f>
        <v>SC.L2-3.13.9</v>
      </c>
      <c r="C142" s="35" t="s">
        <v>592</v>
      </c>
      <c r="D142" s="34">
        <f>LEN(Table1[[#This Row],[Implementation Statement]])</f>
        <v>961</v>
      </c>
    </row>
    <row r="143" spans="1:4" ht="261" x14ac:dyDescent="0.35">
      <c r="A143" s="34" t="s">
        <v>435</v>
      </c>
      <c r="B143" s="126" t="str">
        <f>VLOOKUP(Table1[[#This Row],[Control]],List!$E$3:$F$173,2,FALSE)</f>
        <v>SC.L2-3.13.10</v>
      </c>
      <c r="C143" s="35" t="s">
        <v>593</v>
      </c>
      <c r="D143" s="34">
        <f>LEN(Table1[[#This Row],[Implementation Statement]])</f>
        <v>1505</v>
      </c>
    </row>
    <row r="144" spans="1:4" ht="409.5" x14ac:dyDescent="0.35">
      <c r="A144" s="34" t="s">
        <v>436</v>
      </c>
      <c r="B144" s="126" t="str">
        <f>VLOOKUP(Table1[[#This Row],[Control]],List!$E$3:$F$173,2,FALSE)</f>
        <v>SC.L2-3.13.13</v>
      </c>
      <c r="C144" s="35" t="s">
        <v>594</v>
      </c>
      <c r="D144" s="34">
        <f>LEN(Table1[[#This Row],[Implementation Statement]])</f>
        <v>2465</v>
      </c>
    </row>
    <row r="145" spans="1:4" ht="101.5" x14ac:dyDescent="0.35">
      <c r="A145" s="34" t="s">
        <v>437</v>
      </c>
      <c r="B145" s="126" t="str">
        <f>VLOOKUP(Table1[[#This Row],[Control]],List!$E$3:$F$173,2,FALSE)</f>
        <v>SC.L2-3.13.14</v>
      </c>
      <c r="C145" s="35" t="s">
        <v>595</v>
      </c>
      <c r="D145" s="34">
        <f>LEN(Table1[[#This Row],[Implementation Statement]])</f>
        <v>446</v>
      </c>
    </row>
    <row r="146" spans="1:4" ht="391.5" x14ac:dyDescent="0.35">
      <c r="A146" s="34" t="s">
        <v>438</v>
      </c>
      <c r="B146" s="126" t="str">
        <f>VLOOKUP(Table1[[#This Row],[Control]],List!$E$3:$F$173,2,FALSE)</f>
        <v>SC.L2-3.13.15</v>
      </c>
      <c r="C146" s="35" t="s">
        <v>596</v>
      </c>
      <c r="D146" s="34">
        <f>LEN(Table1[[#This Row],[Implementation Statement]])</f>
        <v>2154</v>
      </c>
    </row>
    <row r="147" spans="1:4" ht="304.5" x14ac:dyDescent="0.35">
      <c r="A147" s="34" t="s">
        <v>439</v>
      </c>
      <c r="B147" s="126" t="str">
        <f>VLOOKUP(Table1[[#This Row],[Control]],List!$E$3:$F$173,2,FALSE)</f>
        <v>SC.L2-3.13.16</v>
      </c>
      <c r="C147" s="35" t="s">
        <v>597</v>
      </c>
      <c r="D147" s="34">
        <f>LEN(Table1[[#This Row],[Implementation Statement]])</f>
        <v>1643</v>
      </c>
    </row>
    <row r="148" spans="1:4" x14ac:dyDescent="0.35">
      <c r="A148" s="34" t="s">
        <v>442</v>
      </c>
      <c r="B148" s="126" t="str">
        <f>VLOOKUP(Table1[[#This Row],[Control]],List!$E$3:$F$173,2,FALSE)</f>
        <v>SC.L3-12</v>
      </c>
      <c r="C148" s="35" t="s">
        <v>501</v>
      </c>
      <c r="D148" s="34">
        <f>LEN(Table1[[#This Row],[Implementation Statement]])</f>
        <v>13</v>
      </c>
    </row>
    <row r="149" spans="1:4" x14ac:dyDescent="0.35">
      <c r="A149" s="34" t="s">
        <v>447</v>
      </c>
      <c r="B149" s="126" t="str">
        <f>VLOOKUP(Table1[[#This Row],[Control]],List!$E$3:$F$173,2,FALSE)</f>
        <v>N/A</v>
      </c>
      <c r="C149" s="35" t="s">
        <v>501</v>
      </c>
      <c r="D149" s="34">
        <f>LEN(Table1[[#This Row],[Implementation Statement]])</f>
        <v>13</v>
      </c>
    </row>
    <row r="150" spans="1:4" x14ac:dyDescent="0.35">
      <c r="A150" s="34" t="s">
        <v>445</v>
      </c>
      <c r="B150" s="126" t="str">
        <f>VLOOKUP(Table1[[#This Row],[Control]],List!$E$3:$F$173,2,FALSE)</f>
        <v>SC.L3-3.13.2</v>
      </c>
      <c r="C150" s="35" t="s">
        <v>501</v>
      </c>
      <c r="D150" s="34">
        <f>LEN(Table1[[#This Row],[Implementation Statement]])</f>
        <v>13</v>
      </c>
    </row>
    <row r="151" spans="1:4" x14ac:dyDescent="0.35">
      <c r="A151" s="34" t="s">
        <v>449</v>
      </c>
      <c r="B151" s="126" t="str">
        <f>VLOOKUP(Table1[[#This Row],[Control]],List!$E$3:$F$173,2,FALSE)</f>
        <v>N/A</v>
      </c>
      <c r="C151" s="35" t="s">
        <v>501</v>
      </c>
      <c r="D151" s="34">
        <f>LEN(Table1[[#This Row],[Implementation Statement]])</f>
        <v>13</v>
      </c>
    </row>
    <row r="152" spans="1:4" ht="409.5" x14ac:dyDescent="0.35">
      <c r="A152" s="34" t="s">
        <v>423</v>
      </c>
      <c r="B152" s="126" t="str">
        <f>VLOOKUP(Table1[[#This Row],[Control]],List!$E$3:$F$173,2,FALSE)</f>
        <v>SC.L1-3.13.1</v>
      </c>
      <c r="C152" s="35" t="s">
        <v>598</v>
      </c>
      <c r="D152" s="34">
        <f>LEN(Table1[[#This Row],[Implementation Statement]])</f>
        <v>2488</v>
      </c>
    </row>
    <row r="153" spans="1:4" ht="409.5" x14ac:dyDescent="0.35">
      <c r="A153" s="34" t="s">
        <v>424</v>
      </c>
      <c r="B153" s="126" t="str">
        <f>VLOOKUP(Table1[[#This Row],[Control]],List!$E$3:$F$173,2,FALSE)</f>
        <v>SC.L1-3.13.5</v>
      </c>
      <c r="C153" s="35" t="s">
        <v>599</v>
      </c>
      <c r="D153" s="34">
        <f>LEN(Table1[[#This Row],[Implementation Statement]])</f>
        <v>2940</v>
      </c>
    </row>
    <row r="154" spans="1:4" ht="217.5" x14ac:dyDescent="0.35">
      <c r="A154" s="34" t="s">
        <v>440</v>
      </c>
      <c r="B154" s="126" t="str">
        <f>VLOOKUP(Table1[[#This Row],[Control]],List!$E$3:$F$173,2,FALSE)</f>
        <v>N/A</v>
      </c>
      <c r="C154" s="35" t="s">
        <v>600</v>
      </c>
      <c r="D154" s="34">
        <f>LEN(Table1[[#This Row],[Implementation Statement]])</f>
        <v>1159</v>
      </c>
    </row>
    <row r="155" spans="1:4" ht="377" x14ac:dyDescent="0.35">
      <c r="A155" s="34" t="s">
        <v>441</v>
      </c>
      <c r="B155" s="126" t="str">
        <f>VLOOKUP(Table1[[#This Row],[Control]],List!$E$3:$F$173,2,FALSE)</f>
        <v>N/A</v>
      </c>
      <c r="C155" s="35" t="s">
        <v>601</v>
      </c>
      <c r="D155" s="34">
        <f>LEN(Table1[[#This Row],[Implementation Statement]])</f>
        <v>1963</v>
      </c>
    </row>
    <row r="156" spans="1:4" x14ac:dyDescent="0.35">
      <c r="A156" s="34" t="s">
        <v>443</v>
      </c>
      <c r="B156" s="126" t="str">
        <f>VLOOKUP(Table1[[#This Row],[Control]],List!$E$3:$F$173,2,FALSE)</f>
        <v>N/A</v>
      </c>
      <c r="C156" s="35" t="s">
        <v>501</v>
      </c>
      <c r="D156" s="34">
        <f>LEN(Table1[[#This Row],[Implementation Statement]])</f>
        <v>13</v>
      </c>
    </row>
    <row r="157" spans="1:4" x14ac:dyDescent="0.35">
      <c r="A157" s="34" t="s">
        <v>444</v>
      </c>
      <c r="B157" s="126" t="str">
        <f>VLOOKUP(Table1[[#This Row],[Control]],List!$E$3:$F$173,2,FALSE)</f>
        <v>N/A</v>
      </c>
      <c r="C157" s="35" t="s">
        <v>501</v>
      </c>
      <c r="D157" s="34">
        <f>LEN(Table1[[#This Row],[Implementation Statement]])</f>
        <v>13</v>
      </c>
    </row>
    <row r="158" spans="1:4" x14ac:dyDescent="0.35">
      <c r="A158" s="34" t="s">
        <v>448</v>
      </c>
      <c r="B158" s="126" t="str">
        <f>VLOOKUP(Table1[[#This Row],[Control]],List!$E$3:$F$173,2,FALSE)</f>
        <v>N/A</v>
      </c>
      <c r="C158" s="35" t="s">
        <v>501</v>
      </c>
      <c r="D158" s="34">
        <f>LEN(Table1[[#This Row],[Implementation Statement]])</f>
        <v>13</v>
      </c>
    </row>
    <row r="159" spans="1:4" x14ac:dyDescent="0.35">
      <c r="A159" s="34" t="s">
        <v>446</v>
      </c>
      <c r="B159" s="126" t="str">
        <f>VLOOKUP(Table1[[#This Row],[Control]],List!$E$3:$F$173,2,FALSE)</f>
        <v>N/A</v>
      </c>
      <c r="C159" s="35" t="s">
        <v>501</v>
      </c>
      <c r="D159" s="34">
        <f>LEN(Table1[[#This Row],[Implementation Statement]])</f>
        <v>13</v>
      </c>
    </row>
    <row r="160" spans="1:4" ht="217.5" x14ac:dyDescent="0.35">
      <c r="A160" s="34" t="s">
        <v>450</v>
      </c>
      <c r="B160" s="126" t="str">
        <f>VLOOKUP(Table1[[#This Row],[Control]],List!$E$3:$F$173,2,FALSE)</f>
        <v>SI.L1-3.14.1</v>
      </c>
      <c r="C160" s="35" t="s">
        <v>602</v>
      </c>
      <c r="D160" s="34">
        <f>LEN(Table1[[#This Row],[Implementation Statement]])</f>
        <v>1278</v>
      </c>
    </row>
    <row r="161" spans="1:4" ht="72.5" x14ac:dyDescent="0.35">
      <c r="A161" s="34" t="s">
        <v>454</v>
      </c>
      <c r="B161" s="126" t="str">
        <f>VLOOKUP(Table1[[#This Row],[Control]],List!$E$3:$F$173,2,FALSE)</f>
        <v>SI.L2-3.14.3</v>
      </c>
      <c r="C161" s="35" t="s">
        <v>603</v>
      </c>
      <c r="D161" s="34">
        <f>LEN(Table1[[#This Row],[Implementation Statement]])</f>
        <v>169</v>
      </c>
    </row>
    <row r="162" spans="1:4" x14ac:dyDescent="0.35">
      <c r="A162" s="34" t="s">
        <v>460</v>
      </c>
      <c r="B162" s="126" t="str">
        <f>VLOOKUP(Table1[[#This Row],[Control]],List!$E$3:$F$173,2,FALSE)</f>
        <v>SI.L3-13</v>
      </c>
      <c r="C162" s="35" t="s">
        <v>501</v>
      </c>
      <c r="D162" s="34">
        <f>LEN(Table1[[#This Row],[Implementation Statement]])</f>
        <v>13</v>
      </c>
    </row>
    <row r="163" spans="1:4" ht="290" x14ac:dyDescent="0.35">
      <c r="A163" s="34" t="s">
        <v>451</v>
      </c>
      <c r="B163" s="126" t="str">
        <f>VLOOKUP(Table1[[#This Row],[Control]],List!$E$3:$F$173,2,FALSE)</f>
        <v>SI.L1-3.14.2</v>
      </c>
      <c r="C163" s="35" t="s">
        <v>604</v>
      </c>
      <c r="D163" s="34">
        <f>LEN(Table1[[#This Row],[Implementation Statement]])</f>
        <v>1689</v>
      </c>
    </row>
    <row r="164" spans="1:4" ht="145" x14ac:dyDescent="0.35">
      <c r="A164" s="34" t="s">
        <v>452</v>
      </c>
      <c r="B164" s="126" t="str">
        <f>VLOOKUP(Table1[[#This Row],[Control]],List!$E$3:$F$173,2,FALSE)</f>
        <v>SI.L1-3.14.4</v>
      </c>
      <c r="C164" s="35" t="s">
        <v>605</v>
      </c>
      <c r="D164" s="34">
        <f>LEN(Table1[[#This Row],[Implementation Statement]])</f>
        <v>737</v>
      </c>
    </row>
    <row r="165" spans="1:4" ht="304.5" x14ac:dyDescent="0.35">
      <c r="A165" s="34" t="s">
        <v>453</v>
      </c>
      <c r="B165" s="126" t="str">
        <f>VLOOKUP(Table1[[#This Row],[Control]],List!$E$3:$F$173,2,FALSE)</f>
        <v>SI.L1-3.14.5</v>
      </c>
      <c r="C165" s="35" t="s">
        <v>606</v>
      </c>
      <c r="D165" s="34">
        <f>LEN(Table1[[#This Row],[Implementation Statement]])</f>
        <v>1606</v>
      </c>
    </row>
    <row r="166" spans="1:4" x14ac:dyDescent="0.35">
      <c r="A166" s="34" t="s">
        <v>461</v>
      </c>
      <c r="B166" s="126" t="str">
        <f>VLOOKUP(Table1[[#This Row],[Control]],List!$E$3:$F$173,2,FALSE)</f>
        <v>N/A</v>
      </c>
      <c r="C166" s="35" t="s">
        <v>501</v>
      </c>
      <c r="D166" s="34">
        <f>LEN(Table1[[#This Row],[Implementation Statement]])</f>
        <v>13</v>
      </c>
    </row>
    <row r="167" spans="1:4" ht="203" x14ac:dyDescent="0.35">
      <c r="A167" s="34" t="s">
        <v>455</v>
      </c>
      <c r="B167" s="126" t="str">
        <f>VLOOKUP(Table1[[#This Row],[Control]],List!$E$3:$F$173,2,FALSE)</f>
        <v>SI.L2-3.14.6</v>
      </c>
      <c r="C167" s="35" t="s">
        <v>607</v>
      </c>
      <c r="D167" s="34">
        <f>LEN(Table1[[#This Row],[Implementation Statement]])</f>
        <v>1064</v>
      </c>
    </row>
    <row r="168" spans="1:4" ht="145" x14ac:dyDescent="0.35">
      <c r="A168" s="34" t="s">
        <v>456</v>
      </c>
      <c r="B168" s="126" t="str">
        <f>VLOOKUP(Table1[[#This Row],[Control]],List!$E$3:$F$173,2,FALSE)</f>
        <v>SI.L2-3.14.7</v>
      </c>
      <c r="C168" s="35" t="s">
        <v>608</v>
      </c>
      <c r="D168" s="34">
        <f>LEN(Table1[[#This Row],[Implementation Statement]])</f>
        <v>771</v>
      </c>
    </row>
    <row r="169" spans="1:4" ht="159.5" x14ac:dyDescent="0.35">
      <c r="A169" s="34" t="s">
        <v>457</v>
      </c>
      <c r="B169" s="126" t="str">
        <f>VLOOKUP(Table1[[#This Row],[Control]],List!$E$3:$F$173,2,FALSE)</f>
        <v>N/A</v>
      </c>
      <c r="C169" s="35" t="s">
        <v>609</v>
      </c>
      <c r="D169" s="34">
        <f>LEN(Table1[[#This Row],[Implementation Statement]])</f>
        <v>872</v>
      </c>
    </row>
    <row r="170" spans="1:4" x14ac:dyDescent="0.35">
      <c r="A170" s="34" t="s">
        <v>462</v>
      </c>
      <c r="B170" s="126" t="str">
        <f>VLOOKUP(Table1[[#This Row],[Control]],List!$E$3:$F$173,2,FALSE)</f>
        <v>SI.L3-14</v>
      </c>
      <c r="C170" s="35" t="s">
        <v>501</v>
      </c>
      <c r="D170" s="34">
        <f>LEN(Table1[[#This Row],[Implementation Statement]])</f>
        <v>13</v>
      </c>
    </row>
    <row r="171" spans="1:4" ht="145" x14ac:dyDescent="0.35">
      <c r="A171" s="34" t="s">
        <v>458</v>
      </c>
      <c r="B171" s="126" t="str">
        <f>VLOOKUP(Table1[[#This Row],[Control]],List!$E$3:$F$173,2,FALSE)</f>
        <v>N/A</v>
      </c>
      <c r="C171" s="35" t="s">
        <v>610</v>
      </c>
      <c r="D171" s="34">
        <f>LEN(Table1[[#This Row],[Implementation Statement]])</f>
        <v>760</v>
      </c>
    </row>
    <row r="172" spans="1:4" ht="145" x14ac:dyDescent="0.35">
      <c r="A172" s="34" t="s">
        <v>459</v>
      </c>
      <c r="B172" s="126" t="str">
        <f>VLOOKUP(Table1[[#This Row],[Control]],List!$E$3:$F$173,2,FALSE)</f>
        <v>N/A</v>
      </c>
      <c r="C172" s="35" t="s">
        <v>611</v>
      </c>
      <c r="D172" s="34">
        <f>LEN(Table1[[#This Row],[Implementation Statement]])</f>
        <v>734</v>
      </c>
    </row>
    <row r="175" spans="1:4" x14ac:dyDescent="0.35">
      <c r="A175">
        <f>SUBTOTAL(103,A2:A173)</f>
        <v>171</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61ADF5-E11D-42A0-BD4A-FA9B73C8B852}">
  <sheetPr codeName="Sheet7" filterMode="1"/>
  <dimension ref="B1:U76"/>
  <sheetViews>
    <sheetView topLeftCell="A2" zoomScale="110" zoomScaleNormal="110" workbookViewId="0">
      <pane ySplit="1" topLeftCell="A3" activePane="bottomLeft" state="frozen"/>
      <selection activeCell="A2" sqref="A2"/>
      <selection pane="bottomLeft" activeCell="F47" sqref="F47"/>
    </sheetView>
  </sheetViews>
  <sheetFormatPr defaultColWidth="8.6328125" defaultRowHeight="14.5" x14ac:dyDescent="0.35"/>
  <cols>
    <col min="2" max="2" width="39.36328125" bestFit="1" customWidth="1"/>
    <col min="5" max="5" width="32.36328125" bestFit="1" customWidth="1"/>
    <col min="6" max="21" width="12.6328125" customWidth="1"/>
  </cols>
  <sheetData>
    <row r="1" spans="2:21" x14ac:dyDescent="0.35">
      <c r="E1" s="293" t="s">
        <v>612</v>
      </c>
      <c r="F1" s="293"/>
      <c r="G1" s="293"/>
      <c r="H1" s="293"/>
      <c r="I1" s="293"/>
    </row>
    <row r="2" spans="2:21" ht="43.5" x14ac:dyDescent="0.35">
      <c r="B2" t="s">
        <v>31</v>
      </c>
      <c r="C2" t="s">
        <v>32</v>
      </c>
      <c r="E2" t="s">
        <v>31</v>
      </c>
      <c r="F2" s="14" t="s">
        <v>28</v>
      </c>
      <c r="G2" s="14" t="s">
        <v>613</v>
      </c>
      <c r="H2" s="14" t="s">
        <v>614</v>
      </c>
      <c r="I2" s="14" t="s">
        <v>615</v>
      </c>
      <c r="J2" s="26" t="s">
        <v>616</v>
      </c>
      <c r="K2" s="26" t="s">
        <v>617</v>
      </c>
      <c r="L2" s="26" t="s">
        <v>618</v>
      </c>
      <c r="M2" s="26" t="s">
        <v>619</v>
      </c>
      <c r="N2" s="26" t="s">
        <v>620</v>
      </c>
      <c r="O2" s="26" t="s">
        <v>621</v>
      </c>
      <c r="P2" s="26" t="s">
        <v>622</v>
      </c>
      <c r="Q2" s="26" t="s">
        <v>623</v>
      </c>
      <c r="R2" s="26" t="s">
        <v>624</v>
      </c>
      <c r="S2" s="26" t="s">
        <v>625</v>
      </c>
      <c r="T2" s="26" t="s">
        <v>626</v>
      </c>
      <c r="U2" s="26" t="s">
        <v>627</v>
      </c>
    </row>
    <row r="3" spans="2:21" hidden="1" x14ac:dyDescent="0.35">
      <c r="B3" s="86" t="s">
        <v>48</v>
      </c>
      <c r="C3" t="str">
        <f>INDEX($E$2:$R$77,MATCH(B3,$E$2:$E$77,0),MATCH(Placemat!$C$4,'Selection Pane Filters'!$E$2:$R$2,0))</f>
        <v>No</v>
      </c>
      <c r="E3" t="s">
        <v>199</v>
      </c>
      <c r="F3" s="14" t="s">
        <v>134</v>
      </c>
      <c r="G3" s="14" t="s">
        <v>134</v>
      </c>
      <c r="H3" s="14" t="s">
        <v>134</v>
      </c>
      <c r="I3" s="14" t="s">
        <v>134</v>
      </c>
      <c r="J3" s="14" t="s">
        <v>134</v>
      </c>
      <c r="K3" s="14" t="s">
        <v>134</v>
      </c>
      <c r="L3" s="14" t="s">
        <v>134</v>
      </c>
      <c r="M3" s="14" t="s">
        <v>134</v>
      </c>
      <c r="N3" s="14" t="s">
        <v>134</v>
      </c>
      <c r="O3" s="14" t="s">
        <v>134</v>
      </c>
      <c r="P3" s="14" t="s">
        <v>134</v>
      </c>
      <c r="Q3" s="14" t="s">
        <v>134</v>
      </c>
      <c r="R3" s="14" t="s">
        <v>134</v>
      </c>
      <c r="S3" s="14" t="s">
        <v>49</v>
      </c>
      <c r="T3" s="14" t="s">
        <v>49</v>
      </c>
      <c r="U3" s="14" t="s">
        <v>49</v>
      </c>
    </row>
    <row r="4" spans="2:21" hidden="1" x14ac:dyDescent="0.35">
      <c r="B4" s="87" t="s">
        <v>64</v>
      </c>
      <c r="C4" t="str">
        <f>INDEX($E$2:$R$77,MATCH(B4,$E$2:$E$77,0),MATCH(Placemat!$C$4,'Selection Pane Filters'!$E$2:$R$2,0))</f>
        <v>No</v>
      </c>
      <c r="E4" t="s">
        <v>133</v>
      </c>
      <c r="F4" s="14" t="s">
        <v>134</v>
      </c>
      <c r="G4" s="14" t="s">
        <v>134</v>
      </c>
      <c r="H4" s="14" t="s">
        <v>134</v>
      </c>
      <c r="I4" s="14" t="s">
        <v>134</v>
      </c>
      <c r="J4" s="14" t="s">
        <v>134</v>
      </c>
      <c r="K4" s="14" t="s">
        <v>134</v>
      </c>
      <c r="L4" s="14" t="s">
        <v>134</v>
      </c>
      <c r="M4" s="14" t="s">
        <v>134</v>
      </c>
      <c r="N4" s="14" t="s">
        <v>134</v>
      </c>
      <c r="O4" s="14" t="s">
        <v>134</v>
      </c>
      <c r="P4" s="14" t="s">
        <v>134</v>
      </c>
      <c r="Q4" s="14" t="s">
        <v>134</v>
      </c>
      <c r="R4" s="14" t="s">
        <v>134</v>
      </c>
      <c r="S4" s="14" t="s">
        <v>49</v>
      </c>
      <c r="T4" s="14" t="s">
        <v>49</v>
      </c>
      <c r="U4" s="14" t="s">
        <v>49</v>
      </c>
    </row>
    <row r="5" spans="2:21" hidden="1" x14ac:dyDescent="0.35">
      <c r="B5" s="87" t="s">
        <v>79</v>
      </c>
      <c r="C5" t="str">
        <f>INDEX($E$2:$R$77,MATCH(B5,$E$2:$E$77,0),MATCH(Placemat!$C$4,'Selection Pane Filters'!$E$2:$R$2,0))</f>
        <v>No</v>
      </c>
      <c r="E5" t="s">
        <v>189</v>
      </c>
      <c r="F5" s="14" t="s">
        <v>49</v>
      </c>
      <c r="G5" s="14" t="s">
        <v>134</v>
      </c>
      <c r="H5" s="14" t="s">
        <v>49</v>
      </c>
      <c r="I5" s="14" t="s">
        <v>49</v>
      </c>
      <c r="J5" s="14" t="s">
        <v>49</v>
      </c>
      <c r="K5" s="14" t="s">
        <v>49</v>
      </c>
      <c r="L5" s="14" t="s">
        <v>49</v>
      </c>
      <c r="M5" s="14" t="s">
        <v>49</v>
      </c>
      <c r="N5" s="14" t="s">
        <v>49</v>
      </c>
      <c r="O5" s="14" t="s">
        <v>49</v>
      </c>
      <c r="P5" s="14" t="s">
        <v>49</v>
      </c>
      <c r="Q5" s="14" t="s">
        <v>49</v>
      </c>
      <c r="R5" s="14" t="s">
        <v>49</v>
      </c>
      <c r="S5" s="14" t="s">
        <v>49</v>
      </c>
      <c r="T5" s="14" t="s">
        <v>49</v>
      </c>
      <c r="U5" s="14" t="s">
        <v>49</v>
      </c>
    </row>
    <row r="6" spans="2:21" hidden="1" x14ac:dyDescent="0.35">
      <c r="B6" s="87" t="s">
        <v>93</v>
      </c>
      <c r="C6" t="str">
        <f>INDEX($E$2:$R$77,MATCH(B6,$E$2:$E$77,0),MATCH(Placemat!$C$4,'Selection Pane Filters'!$E$2:$R$2,0))</f>
        <v>No</v>
      </c>
      <c r="E6" t="s">
        <v>213</v>
      </c>
      <c r="F6" s="14" t="s">
        <v>49</v>
      </c>
      <c r="G6" s="14" t="s">
        <v>134</v>
      </c>
      <c r="H6" s="14" t="s">
        <v>49</v>
      </c>
      <c r="I6" s="14" t="s">
        <v>49</v>
      </c>
      <c r="J6" s="14" t="s">
        <v>49</v>
      </c>
      <c r="K6" s="14" t="s">
        <v>49</v>
      </c>
      <c r="L6" s="14" t="s">
        <v>49</v>
      </c>
      <c r="M6" s="14" t="s">
        <v>49</v>
      </c>
      <c r="N6" s="14" t="s">
        <v>49</v>
      </c>
      <c r="O6" s="14" t="s">
        <v>49</v>
      </c>
      <c r="P6" s="14" t="s">
        <v>49</v>
      </c>
      <c r="Q6" s="14" t="s">
        <v>49</v>
      </c>
      <c r="R6" s="14" t="s">
        <v>49</v>
      </c>
      <c r="S6" s="14" t="s">
        <v>49</v>
      </c>
      <c r="T6" s="14" t="s">
        <v>49</v>
      </c>
      <c r="U6" s="14" t="s">
        <v>49</v>
      </c>
    </row>
    <row r="7" spans="2:21" hidden="1" x14ac:dyDescent="0.35">
      <c r="B7" s="87" t="s">
        <v>107</v>
      </c>
      <c r="C7" t="str">
        <f>INDEX($E$2:$R$77,MATCH(B7,$E$2:$E$77,0),MATCH(Placemat!$C$4,'Selection Pane Filters'!$E$2:$R$2,0))</f>
        <v>No</v>
      </c>
      <c r="E7" t="s">
        <v>121</v>
      </c>
      <c r="F7" s="14" t="s">
        <v>49</v>
      </c>
      <c r="G7" s="14" t="s">
        <v>134</v>
      </c>
      <c r="H7" s="14" t="s">
        <v>49</v>
      </c>
      <c r="I7" s="14" t="s">
        <v>49</v>
      </c>
      <c r="J7" s="14" t="s">
        <v>49</v>
      </c>
      <c r="K7" s="14" t="s">
        <v>49</v>
      </c>
      <c r="L7" s="14" t="s">
        <v>49</v>
      </c>
      <c r="M7" s="14" t="s">
        <v>49</v>
      </c>
      <c r="N7" s="14" t="s">
        <v>49</v>
      </c>
      <c r="O7" s="14" t="s">
        <v>49</v>
      </c>
      <c r="P7" s="14" t="s">
        <v>49</v>
      </c>
      <c r="Q7" s="14" t="s">
        <v>49</v>
      </c>
      <c r="R7" s="14" t="s">
        <v>49</v>
      </c>
      <c r="S7" s="14" t="s">
        <v>49</v>
      </c>
      <c r="T7" s="14" t="s">
        <v>49</v>
      </c>
      <c r="U7" s="14" t="s">
        <v>49</v>
      </c>
    </row>
    <row r="8" spans="2:21" hidden="1" x14ac:dyDescent="0.35">
      <c r="B8" s="87" t="s">
        <v>121</v>
      </c>
      <c r="C8" t="str">
        <f>INDEX($E$2:$R$77,MATCH(B8,$E$2:$E$77,0),MATCH(Placemat!$C$4,'Selection Pane Filters'!$E$2:$R$2,0))</f>
        <v>No</v>
      </c>
      <c r="E8" t="s">
        <v>195</v>
      </c>
      <c r="F8" s="14" t="s">
        <v>49</v>
      </c>
      <c r="G8" s="14" t="s">
        <v>134</v>
      </c>
      <c r="H8" s="14" t="s">
        <v>49</v>
      </c>
      <c r="I8" s="14" t="s">
        <v>49</v>
      </c>
      <c r="J8" s="14" t="s">
        <v>49</v>
      </c>
      <c r="K8" s="14" t="s">
        <v>49</v>
      </c>
      <c r="L8" s="14" t="s">
        <v>49</v>
      </c>
      <c r="M8" s="14" t="s">
        <v>49</v>
      </c>
      <c r="N8" s="14" t="s">
        <v>49</v>
      </c>
      <c r="O8" s="14" t="s">
        <v>49</v>
      </c>
      <c r="P8" s="14" t="s">
        <v>49</v>
      </c>
      <c r="Q8" s="14" t="s">
        <v>49</v>
      </c>
      <c r="R8" s="14" t="s">
        <v>49</v>
      </c>
      <c r="S8" s="14" t="s">
        <v>49</v>
      </c>
      <c r="T8" s="14" t="s">
        <v>49</v>
      </c>
      <c r="U8" s="14" t="s">
        <v>49</v>
      </c>
    </row>
    <row r="9" spans="2:21" hidden="1" x14ac:dyDescent="0.35">
      <c r="B9" s="87" t="s">
        <v>133</v>
      </c>
      <c r="C9" t="str">
        <f>INDEX($E$2:$R$77,MATCH(B9,$E$2:$E$77,0),MATCH(Placemat!$C$4,'Selection Pane Filters'!$E$2:$R$2,0))</f>
        <v>Yes</v>
      </c>
      <c r="E9" t="s">
        <v>191</v>
      </c>
      <c r="F9" s="14" t="s">
        <v>49</v>
      </c>
      <c r="G9" s="14" t="s">
        <v>134</v>
      </c>
      <c r="H9" s="14" t="s">
        <v>49</v>
      </c>
      <c r="I9" s="14" t="s">
        <v>49</v>
      </c>
      <c r="J9" s="14" t="s">
        <v>49</v>
      </c>
      <c r="K9" s="14" t="s">
        <v>49</v>
      </c>
      <c r="L9" s="14" t="s">
        <v>49</v>
      </c>
      <c r="M9" s="14" t="s">
        <v>49</v>
      </c>
      <c r="N9" s="14" t="s">
        <v>49</v>
      </c>
      <c r="O9" s="14" t="s">
        <v>49</v>
      </c>
      <c r="P9" s="14" t="s">
        <v>49</v>
      </c>
      <c r="Q9" s="14" t="s">
        <v>49</v>
      </c>
      <c r="R9" s="14" t="s">
        <v>49</v>
      </c>
      <c r="S9" s="14" t="s">
        <v>49</v>
      </c>
      <c r="T9" s="14" t="s">
        <v>49</v>
      </c>
      <c r="U9" s="14" t="s">
        <v>49</v>
      </c>
    </row>
    <row r="10" spans="2:21" hidden="1" x14ac:dyDescent="0.35">
      <c r="B10" s="87" t="s">
        <v>142</v>
      </c>
      <c r="C10" t="str">
        <f>INDEX($E$2:$R$77,MATCH(B10,$E$2:$E$77,0),MATCH(Placemat!$C$4,'Selection Pane Filters'!$E$2:$R$2,0))</f>
        <v>No</v>
      </c>
      <c r="E10" t="s">
        <v>150</v>
      </c>
      <c r="F10" s="14" t="s">
        <v>49</v>
      </c>
      <c r="G10" s="14" t="s">
        <v>134</v>
      </c>
      <c r="H10" s="14" t="s">
        <v>49</v>
      </c>
      <c r="I10" s="14" t="s">
        <v>49</v>
      </c>
      <c r="J10" s="14" t="s">
        <v>49</v>
      </c>
      <c r="K10" s="14" t="s">
        <v>49</v>
      </c>
      <c r="L10" s="14" t="s">
        <v>49</v>
      </c>
      <c r="M10" s="14" t="s">
        <v>49</v>
      </c>
      <c r="N10" s="14" t="s">
        <v>49</v>
      </c>
      <c r="O10" s="14" t="s">
        <v>49</v>
      </c>
      <c r="P10" s="14" t="s">
        <v>49</v>
      </c>
      <c r="Q10" s="14" t="s">
        <v>49</v>
      </c>
      <c r="R10" s="14" t="s">
        <v>49</v>
      </c>
      <c r="S10" s="14" t="s">
        <v>49</v>
      </c>
      <c r="T10" s="14" t="s">
        <v>49</v>
      </c>
      <c r="U10" s="14" t="s">
        <v>49</v>
      </c>
    </row>
    <row r="11" spans="2:21" hidden="1" x14ac:dyDescent="0.35">
      <c r="B11" s="87" t="s">
        <v>150</v>
      </c>
      <c r="C11" t="str">
        <f>INDEX($E$2:$R$77,MATCH(B11,$E$2:$E$77,0),MATCH(Placemat!$C$4,'Selection Pane Filters'!$E$2:$R$2,0))</f>
        <v>No</v>
      </c>
      <c r="E11" t="s">
        <v>158</v>
      </c>
      <c r="F11" s="14" t="s">
        <v>49</v>
      </c>
      <c r="G11" s="14" t="s">
        <v>134</v>
      </c>
      <c r="H11" s="14" t="s">
        <v>49</v>
      </c>
      <c r="I11" s="14" t="s">
        <v>49</v>
      </c>
      <c r="J11" s="14" t="s">
        <v>49</v>
      </c>
      <c r="K11" s="14" t="s">
        <v>49</v>
      </c>
      <c r="L11" s="14" t="s">
        <v>49</v>
      </c>
      <c r="M11" s="14" t="s">
        <v>49</v>
      </c>
      <c r="N11" s="14" t="s">
        <v>49</v>
      </c>
      <c r="O11" s="14" t="s">
        <v>49</v>
      </c>
      <c r="P11" s="14" t="s">
        <v>49</v>
      </c>
      <c r="Q11" s="14" t="s">
        <v>49</v>
      </c>
      <c r="R11" s="14" t="s">
        <v>49</v>
      </c>
      <c r="S11" s="14" t="s">
        <v>49</v>
      </c>
      <c r="T11" s="14" t="s">
        <v>49</v>
      </c>
      <c r="U11" s="14" t="s">
        <v>49</v>
      </c>
    </row>
    <row r="12" spans="2:21" hidden="1" x14ac:dyDescent="0.35">
      <c r="B12" s="87" t="s">
        <v>158</v>
      </c>
      <c r="C12" t="str">
        <f>INDEX($E$2:$R$77,MATCH(B12,$E$2:$E$77,0),MATCH(Placemat!$C$4,'Selection Pane Filters'!$E$2:$R$2,0))</f>
        <v>No</v>
      </c>
      <c r="E12" t="s">
        <v>197</v>
      </c>
      <c r="F12" s="14" t="s">
        <v>49</v>
      </c>
      <c r="G12" s="14" t="s">
        <v>134</v>
      </c>
      <c r="H12" s="14" t="s">
        <v>49</v>
      </c>
      <c r="I12" s="14" t="s">
        <v>49</v>
      </c>
      <c r="J12" s="14" t="s">
        <v>49</v>
      </c>
      <c r="K12" s="14" t="s">
        <v>49</v>
      </c>
      <c r="L12" s="14" t="s">
        <v>49</v>
      </c>
      <c r="M12" s="14" t="s">
        <v>49</v>
      </c>
      <c r="N12" s="14" t="s">
        <v>49</v>
      </c>
      <c r="O12" s="14" t="s">
        <v>49</v>
      </c>
      <c r="P12" s="14" t="s">
        <v>49</v>
      </c>
      <c r="Q12" s="14" t="s">
        <v>49</v>
      </c>
      <c r="R12" s="14" t="s">
        <v>49</v>
      </c>
      <c r="S12" s="14" t="s">
        <v>49</v>
      </c>
      <c r="T12" s="14" t="s">
        <v>49</v>
      </c>
      <c r="U12" s="14" t="s">
        <v>49</v>
      </c>
    </row>
    <row r="13" spans="2:21" hidden="1" x14ac:dyDescent="0.35">
      <c r="B13" s="87" t="s">
        <v>163</v>
      </c>
      <c r="C13" t="str">
        <f>INDEX($E$2:$R$77,MATCH(B13,$E$2:$E$77,0),MATCH(Placemat!$C$4,'Selection Pane Filters'!$E$2:$R$2,0))</f>
        <v>No</v>
      </c>
      <c r="E13" t="s">
        <v>221</v>
      </c>
      <c r="F13" s="14" t="s">
        <v>49</v>
      </c>
      <c r="G13" s="14" t="s">
        <v>134</v>
      </c>
      <c r="H13" s="14" t="s">
        <v>49</v>
      </c>
      <c r="I13" s="14" t="s">
        <v>49</v>
      </c>
      <c r="J13" s="14" t="s">
        <v>49</v>
      </c>
      <c r="K13" s="14" t="s">
        <v>49</v>
      </c>
      <c r="L13" s="14" t="s">
        <v>49</v>
      </c>
      <c r="M13" s="14" t="s">
        <v>49</v>
      </c>
      <c r="N13" s="14" t="s">
        <v>49</v>
      </c>
      <c r="O13" s="14" t="s">
        <v>49</v>
      </c>
      <c r="P13" s="14" t="s">
        <v>49</v>
      </c>
      <c r="Q13" s="14" t="s">
        <v>49</v>
      </c>
      <c r="R13" s="14" t="s">
        <v>49</v>
      </c>
      <c r="S13" s="14" t="s">
        <v>49</v>
      </c>
      <c r="T13" s="14" t="s">
        <v>49</v>
      </c>
      <c r="U13" s="14" t="s">
        <v>49</v>
      </c>
    </row>
    <row r="14" spans="2:21" hidden="1" x14ac:dyDescent="0.35">
      <c r="B14" s="87" t="s">
        <v>168</v>
      </c>
      <c r="C14" t="str">
        <f>INDEX($E$2:$R$77,MATCH(B14,$E$2:$E$77,0),MATCH(Placemat!$C$4,'Selection Pane Filters'!$E$2:$R$2,0))</f>
        <v>No</v>
      </c>
      <c r="E14" t="s">
        <v>220</v>
      </c>
      <c r="F14" s="14" t="s">
        <v>49</v>
      </c>
      <c r="G14" s="14" t="s">
        <v>134</v>
      </c>
      <c r="H14" s="14" t="s">
        <v>49</v>
      </c>
      <c r="I14" s="14" t="s">
        <v>49</v>
      </c>
      <c r="J14" s="14" t="s">
        <v>49</v>
      </c>
      <c r="K14" s="14" t="s">
        <v>49</v>
      </c>
      <c r="L14" s="14" t="s">
        <v>49</v>
      </c>
      <c r="M14" s="14" t="s">
        <v>49</v>
      </c>
      <c r="N14" s="14" t="s">
        <v>49</v>
      </c>
      <c r="O14" s="14" t="s">
        <v>49</v>
      </c>
      <c r="P14" s="14" t="s">
        <v>49</v>
      </c>
      <c r="Q14" s="14" t="s">
        <v>49</v>
      </c>
      <c r="R14" s="14" t="s">
        <v>49</v>
      </c>
      <c r="S14" s="14" t="s">
        <v>49</v>
      </c>
      <c r="T14" s="14" t="s">
        <v>49</v>
      </c>
      <c r="U14" s="14" t="s">
        <v>49</v>
      </c>
    </row>
    <row r="15" spans="2:21" hidden="1" x14ac:dyDescent="0.35">
      <c r="B15" s="87" t="s">
        <v>171</v>
      </c>
      <c r="C15" t="str">
        <f>INDEX($E$2:$R$77,MATCH(B15,$E$2:$E$77,0),MATCH(Placemat!$C$4,'Selection Pane Filters'!$E$2:$R$2,0))</f>
        <v>No</v>
      </c>
      <c r="E15" t="s">
        <v>171</v>
      </c>
      <c r="F15" s="14" t="s">
        <v>49</v>
      </c>
      <c r="G15" s="14" t="s">
        <v>134</v>
      </c>
      <c r="H15" s="14" t="s">
        <v>49</v>
      </c>
      <c r="I15" s="14" t="s">
        <v>49</v>
      </c>
      <c r="J15" s="14" t="s">
        <v>49</v>
      </c>
      <c r="K15" s="14" t="s">
        <v>49</v>
      </c>
      <c r="L15" s="14" t="s">
        <v>49</v>
      </c>
      <c r="M15" s="14" t="s">
        <v>49</v>
      </c>
      <c r="N15" s="14" t="s">
        <v>49</v>
      </c>
      <c r="O15" s="14" t="s">
        <v>49</v>
      </c>
      <c r="P15" s="14" t="s">
        <v>49</v>
      </c>
      <c r="Q15" s="14" t="s">
        <v>49</v>
      </c>
      <c r="R15" s="14" t="s">
        <v>49</v>
      </c>
      <c r="S15" s="14" t="s">
        <v>49</v>
      </c>
      <c r="T15" s="14" t="s">
        <v>49</v>
      </c>
      <c r="U15" s="14" t="s">
        <v>49</v>
      </c>
    </row>
    <row r="16" spans="2:21" hidden="1" x14ac:dyDescent="0.35">
      <c r="B16" s="87" t="s">
        <v>174</v>
      </c>
      <c r="C16" t="str">
        <f>INDEX($E$2:$R$77,MATCH(B16,$E$2:$E$77,0),MATCH(Placemat!$C$4,'Selection Pane Filters'!$E$2:$R$2,0))</f>
        <v>No</v>
      </c>
      <c r="E16" t="s">
        <v>207</v>
      </c>
      <c r="F16" s="14" t="s">
        <v>49</v>
      </c>
      <c r="G16" s="14" t="s">
        <v>134</v>
      </c>
      <c r="H16" s="14" t="s">
        <v>134</v>
      </c>
      <c r="I16" s="14" t="s">
        <v>134</v>
      </c>
      <c r="J16" s="14" t="s">
        <v>49</v>
      </c>
      <c r="K16" s="14" t="s">
        <v>49</v>
      </c>
      <c r="L16" s="14" t="s">
        <v>49</v>
      </c>
      <c r="M16" s="14" t="s">
        <v>49</v>
      </c>
      <c r="N16" s="14" t="s">
        <v>49</v>
      </c>
      <c r="O16" s="14" t="s">
        <v>49</v>
      </c>
      <c r="P16" s="14" t="s">
        <v>49</v>
      </c>
      <c r="Q16" s="14" t="s">
        <v>49</v>
      </c>
      <c r="R16" s="14" t="s">
        <v>49</v>
      </c>
      <c r="S16" s="14" t="s">
        <v>49</v>
      </c>
      <c r="T16" s="14" t="s">
        <v>49</v>
      </c>
      <c r="U16" s="14" t="s">
        <v>49</v>
      </c>
    </row>
    <row r="17" spans="2:21" hidden="1" x14ac:dyDescent="0.35">
      <c r="B17" s="87" t="s">
        <v>177</v>
      </c>
      <c r="C17" t="str">
        <f>INDEX($E$2:$R$77,MATCH(B17,$E$2:$E$77,0),MATCH(Placemat!$C$4,'Selection Pane Filters'!$E$2:$R$2,0))</f>
        <v>No</v>
      </c>
      <c r="E17" t="s">
        <v>168</v>
      </c>
      <c r="F17" s="14" t="s">
        <v>49</v>
      </c>
      <c r="G17" s="14" t="s">
        <v>134</v>
      </c>
      <c r="H17" s="14" t="s">
        <v>49</v>
      </c>
      <c r="I17" s="14" t="s">
        <v>49</v>
      </c>
      <c r="J17" s="14" t="s">
        <v>49</v>
      </c>
      <c r="K17" s="14" t="s">
        <v>49</v>
      </c>
      <c r="L17" s="14" t="s">
        <v>49</v>
      </c>
      <c r="M17" s="14" t="s">
        <v>49</v>
      </c>
      <c r="N17" s="14" t="s">
        <v>49</v>
      </c>
      <c r="O17" s="14" t="s">
        <v>49</v>
      </c>
      <c r="P17" s="14" t="s">
        <v>49</v>
      </c>
      <c r="Q17" s="14" t="s">
        <v>49</v>
      </c>
      <c r="R17" s="14" t="s">
        <v>49</v>
      </c>
      <c r="S17" s="14" t="s">
        <v>49</v>
      </c>
      <c r="T17" s="14" t="s">
        <v>49</v>
      </c>
      <c r="U17" s="14" t="s">
        <v>49</v>
      </c>
    </row>
    <row r="18" spans="2:21" hidden="1" x14ac:dyDescent="0.35">
      <c r="B18" s="87" t="s">
        <v>180</v>
      </c>
      <c r="C18" t="str">
        <f>INDEX($E$2:$R$77,MATCH(B18,$E$2:$E$77,0),MATCH(Placemat!$C$4,'Selection Pane Filters'!$E$2:$R$2,0))</f>
        <v>No</v>
      </c>
      <c r="E18" t="s">
        <v>163</v>
      </c>
      <c r="F18" s="14" t="s">
        <v>49</v>
      </c>
      <c r="G18" s="14" t="s">
        <v>134</v>
      </c>
      <c r="H18" s="14" t="s">
        <v>49</v>
      </c>
      <c r="I18" s="14" t="s">
        <v>49</v>
      </c>
      <c r="J18" s="14" t="s">
        <v>49</v>
      </c>
      <c r="K18" s="14" t="s">
        <v>49</v>
      </c>
      <c r="L18" s="14" t="s">
        <v>49</v>
      </c>
      <c r="M18" s="14" t="s">
        <v>49</v>
      </c>
      <c r="N18" s="14" t="s">
        <v>49</v>
      </c>
      <c r="O18" s="14" t="s">
        <v>49</v>
      </c>
      <c r="P18" s="14" t="s">
        <v>49</v>
      </c>
      <c r="Q18" s="14" t="s">
        <v>49</v>
      </c>
      <c r="R18" s="14" t="s">
        <v>49</v>
      </c>
      <c r="S18" s="14" t="s">
        <v>49</v>
      </c>
      <c r="T18" s="14" t="s">
        <v>49</v>
      </c>
      <c r="U18" s="14" t="s">
        <v>49</v>
      </c>
    </row>
    <row r="19" spans="2:21" hidden="1" x14ac:dyDescent="0.35">
      <c r="B19" s="87" t="s">
        <v>183</v>
      </c>
      <c r="C19" t="str">
        <f>INDEX($E$2:$R$77,MATCH(B19,$E$2:$E$77,0),MATCH(Placemat!$C$4,'Selection Pane Filters'!$E$2:$R$2,0))</f>
        <v>No</v>
      </c>
      <c r="E19" t="s">
        <v>48</v>
      </c>
      <c r="F19" s="14" t="s">
        <v>49</v>
      </c>
      <c r="G19" s="14" t="s">
        <v>134</v>
      </c>
      <c r="H19" s="14" t="s">
        <v>134</v>
      </c>
      <c r="I19" s="14" t="s">
        <v>134</v>
      </c>
      <c r="J19" s="14" t="s">
        <v>134</v>
      </c>
      <c r="K19" s="14" t="s">
        <v>49</v>
      </c>
      <c r="L19" s="14" t="s">
        <v>134</v>
      </c>
      <c r="M19" s="14" t="s">
        <v>134</v>
      </c>
      <c r="N19" s="14" t="s">
        <v>134</v>
      </c>
      <c r="O19" s="14" t="s">
        <v>134</v>
      </c>
      <c r="P19" s="14" t="s">
        <v>134</v>
      </c>
      <c r="Q19" s="14" t="s">
        <v>49</v>
      </c>
      <c r="R19" s="14" t="s">
        <v>134</v>
      </c>
      <c r="S19" s="14" t="s">
        <v>49</v>
      </c>
      <c r="T19" s="14" t="s">
        <v>49</v>
      </c>
      <c r="U19" s="14" t="s">
        <v>49</v>
      </c>
    </row>
    <row r="20" spans="2:21" hidden="1" x14ac:dyDescent="0.35">
      <c r="B20" s="87" t="s">
        <v>186</v>
      </c>
      <c r="C20" t="str">
        <f>INDEX($E$2:$R$77,MATCH(B20,$E$2:$E$77,0),MATCH(Placemat!$C$4,'Selection Pane Filters'!$E$2:$R$2,0))</f>
        <v>No</v>
      </c>
      <c r="E20" t="s">
        <v>64</v>
      </c>
      <c r="F20" s="14" t="s">
        <v>49</v>
      </c>
      <c r="G20" s="14" t="s">
        <v>134</v>
      </c>
      <c r="H20" s="14" t="s">
        <v>134</v>
      </c>
      <c r="I20" s="14" t="s">
        <v>134</v>
      </c>
      <c r="J20" s="14" t="s">
        <v>134</v>
      </c>
      <c r="K20" s="14" t="s">
        <v>49</v>
      </c>
      <c r="L20" s="14" t="s">
        <v>134</v>
      </c>
      <c r="M20" s="14" t="s">
        <v>134</v>
      </c>
      <c r="N20" s="14" t="s">
        <v>134</v>
      </c>
      <c r="O20" s="14" t="s">
        <v>134</v>
      </c>
      <c r="P20" s="14" t="s">
        <v>134</v>
      </c>
      <c r="Q20" s="14" t="s">
        <v>49</v>
      </c>
      <c r="R20" s="14" t="s">
        <v>134</v>
      </c>
      <c r="S20" s="14" t="s">
        <v>49</v>
      </c>
      <c r="T20" s="14" t="s">
        <v>49</v>
      </c>
      <c r="U20" s="14" t="s">
        <v>134</v>
      </c>
    </row>
    <row r="21" spans="2:21" hidden="1" x14ac:dyDescent="0.35">
      <c r="B21" s="87" t="s">
        <v>189</v>
      </c>
      <c r="C21" t="str">
        <f>INDEX($E$2:$R$77,MATCH(B21,$E$2:$E$77,0),MATCH(Placemat!$C$4,'Selection Pane Filters'!$E$2:$R$2,0))</f>
        <v>No</v>
      </c>
      <c r="E21" t="s">
        <v>201</v>
      </c>
      <c r="F21" s="14" t="s">
        <v>49</v>
      </c>
      <c r="G21" s="14" t="s">
        <v>134</v>
      </c>
      <c r="H21" s="14" t="s">
        <v>49</v>
      </c>
      <c r="I21" s="14" t="s">
        <v>134</v>
      </c>
      <c r="J21" s="14" t="s">
        <v>134</v>
      </c>
      <c r="K21" s="14" t="s">
        <v>49</v>
      </c>
      <c r="L21" s="14" t="s">
        <v>49</v>
      </c>
      <c r="M21" s="14" t="s">
        <v>134</v>
      </c>
      <c r="N21" s="14" t="s">
        <v>49</v>
      </c>
      <c r="O21" s="14" t="s">
        <v>49</v>
      </c>
      <c r="P21" s="14" t="s">
        <v>134</v>
      </c>
      <c r="Q21" s="14" t="s">
        <v>49</v>
      </c>
      <c r="R21" s="14" t="s">
        <v>134</v>
      </c>
      <c r="S21" s="14" t="s">
        <v>49</v>
      </c>
      <c r="T21" s="14" t="s">
        <v>134</v>
      </c>
      <c r="U21" s="14" t="s">
        <v>49</v>
      </c>
    </row>
    <row r="22" spans="2:21" hidden="1" x14ac:dyDescent="0.35">
      <c r="B22" s="87" t="s">
        <v>191</v>
      </c>
      <c r="C22" t="str">
        <f>INDEX($E$2:$R$77,MATCH(B22,$E$2:$E$77,0),MATCH(Placemat!$C$4,'Selection Pane Filters'!$E$2:$R$2,0))</f>
        <v>No</v>
      </c>
      <c r="E22" t="s">
        <v>216</v>
      </c>
      <c r="F22" s="14" t="s">
        <v>49</v>
      </c>
      <c r="G22" s="14" t="s">
        <v>134</v>
      </c>
      <c r="H22" s="14" t="s">
        <v>49</v>
      </c>
      <c r="I22" s="14" t="s">
        <v>134</v>
      </c>
      <c r="J22" s="14" t="s">
        <v>134</v>
      </c>
      <c r="K22" s="14" t="s">
        <v>49</v>
      </c>
      <c r="L22" s="14" t="s">
        <v>49</v>
      </c>
      <c r="M22" s="14" t="s">
        <v>134</v>
      </c>
      <c r="N22" s="14" t="s">
        <v>49</v>
      </c>
      <c r="O22" s="14" t="s">
        <v>49</v>
      </c>
      <c r="P22" s="14" t="s">
        <v>134</v>
      </c>
      <c r="Q22" s="14" t="s">
        <v>49</v>
      </c>
      <c r="R22" s="14" t="s">
        <v>134</v>
      </c>
      <c r="S22" s="14" t="s">
        <v>49</v>
      </c>
      <c r="T22" s="14" t="s">
        <v>49</v>
      </c>
      <c r="U22" s="14" t="s">
        <v>49</v>
      </c>
    </row>
    <row r="23" spans="2:21" hidden="1" x14ac:dyDescent="0.35">
      <c r="B23" s="87" t="s">
        <v>193</v>
      </c>
      <c r="C23" t="str">
        <f>INDEX($E$2:$R$77,MATCH(B23,$E$2:$E$77,0),MATCH(Placemat!$C$4,'Selection Pane Filters'!$E$2:$R$2,0))</f>
        <v>No</v>
      </c>
      <c r="E23" t="s">
        <v>268</v>
      </c>
      <c r="F23" s="14" t="s">
        <v>49</v>
      </c>
      <c r="G23" s="14" t="s">
        <v>134</v>
      </c>
      <c r="H23" s="14" t="s">
        <v>49</v>
      </c>
      <c r="I23" s="14" t="s">
        <v>134</v>
      </c>
      <c r="J23" s="14" t="s">
        <v>134</v>
      </c>
      <c r="K23" s="14" t="s">
        <v>49</v>
      </c>
      <c r="L23" s="14" t="s">
        <v>49</v>
      </c>
      <c r="M23" s="14" t="s">
        <v>49</v>
      </c>
      <c r="N23" s="14" t="s">
        <v>49</v>
      </c>
      <c r="O23" s="14" t="s">
        <v>49</v>
      </c>
      <c r="P23" s="14" t="s">
        <v>134</v>
      </c>
      <c r="Q23" s="14" t="s">
        <v>49</v>
      </c>
      <c r="R23" s="14" t="s">
        <v>134</v>
      </c>
      <c r="S23" s="14" t="s">
        <v>49</v>
      </c>
      <c r="T23" s="14" t="s">
        <v>134</v>
      </c>
      <c r="U23" s="14" t="s">
        <v>49</v>
      </c>
    </row>
    <row r="24" spans="2:21" hidden="1" x14ac:dyDescent="0.35">
      <c r="B24" s="87" t="s">
        <v>195</v>
      </c>
      <c r="C24" t="str">
        <f>INDEX($E$2:$R$77,MATCH(B24,$E$2:$E$77,0),MATCH(Placemat!$C$4,'Selection Pane Filters'!$E$2:$R$2,0))</f>
        <v>No</v>
      </c>
      <c r="E24" t="s">
        <v>266</v>
      </c>
      <c r="F24" s="14" t="s">
        <v>49</v>
      </c>
      <c r="G24" s="14" t="s">
        <v>134</v>
      </c>
      <c r="H24" s="14" t="s">
        <v>134</v>
      </c>
      <c r="I24" s="14" t="s">
        <v>134</v>
      </c>
      <c r="J24" s="14" t="s">
        <v>49</v>
      </c>
      <c r="K24" s="14" t="s">
        <v>49</v>
      </c>
      <c r="L24" s="14" t="s">
        <v>134</v>
      </c>
      <c r="M24" s="14" t="s">
        <v>134</v>
      </c>
      <c r="N24" s="14" t="s">
        <v>134</v>
      </c>
      <c r="O24" s="14" t="s">
        <v>134</v>
      </c>
      <c r="P24" s="14" t="s">
        <v>49</v>
      </c>
      <c r="Q24" s="14" t="s">
        <v>49</v>
      </c>
      <c r="R24" s="14" t="s">
        <v>49</v>
      </c>
      <c r="S24" s="14" t="s">
        <v>49</v>
      </c>
      <c r="T24" s="14" t="s">
        <v>49</v>
      </c>
      <c r="U24" s="14" t="s">
        <v>49</v>
      </c>
    </row>
    <row r="25" spans="2:21" ht="15" hidden="1" thickBot="1" x14ac:dyDescent="0.4">
      <c r="B25" s="89" t="s">
        <v>197</v>
      </c>
      <c r="C25" t="str">
        <f>INDEX($E$2:$R$77,MATCH(B25,$E$2:$E$77,0),MATCH(Placemat!$C$4,'Selection Pane Filters'!$E$2:$R$2,0))</f>
        <v>No</v>
      </c>
      <c r="E25" s="167" t="s">
        <v>79</v>
      </c>
      <c r="F25" s="14" t="s">
        <v>49</v>
      </c>
      <c r="G25" s="14" t="s">
        <v>134</v>
      </c>
      <c r="H25" s="14" t="s">
        <v>134</v>
      </c>
      <c r="I25" s="14" t="s">
        <v>134</v>
      </c>
      <c r="J25" s="14" t="s">
        <v>134</v>
      </c>
      <c r="K25" s="14" t="s">
        <v>49</v>
      </c>
      <c r="L25" s="14" t="s">
        <v>134</v>
      </c>
      <c r="M25" s="14" t="s">
        <v>134</v>
      </c>
      <c r="N25" s="14" t="s">
        <v>134</v>
      </c>
      <c r="O25" s="14" t="s">
        <v>134</v>
      </c>
      <c r="P25" s="14" t="s">
        <v>134</v>
      </c>
      <c r="Q25" s="14" t="s">
        <v>49</v>
      </c>
      <c r="R25" s="14" t="s">
        <v>134</v>
      </c>
      <c r="S25" s="14" t="s">
        <v>49</v>
      </c>
      <c r="T25" s="14" t="s">
        <v>49</v>
      </c>
      <c r="U25" s="14" t="s">
        <v>49</v>
      </c>
    </row>
    <row r="26" spans="2:21" hidden="1" x14ac:dyDescent="0.35">
      <c r="B26" s="88" t="s">
        <v>199</v>
      </c>
      <c r="C26" t="str">
        <f>INDEX($E$2:$R$77,MATCH(B26,$E$2:$E$77,0),MATCH(Placemat!$C$4,'Selection Pane Filters'!$E$2:$R$2,0))</f>
        <v>Yes</v>
      </c>
      <c r="E26" t="s">
        <v>239</v>
      </c>
      <c r="F26" s="14" t="s">
        <v>49</v>
      </c>
      <c r="G26" s="14" t="s">
        <v>134</v>
      </c>
      <c r="H26" s="14" t="s">
        <v>49</v>
      </c>
      <c r="I26" s="14" t="s">
        <v>134</v>
      </c>
      <c r="J26" s="14" t="s">
        <v>134</v>
      </c>
      <c r="K26" s="14" t="s">
        <v>134</v>
      </c>
      <c r="L26" s="14" t="s">
        <v>49</v>
      </c>
      <c r="M26" s="14" t="s">
        <v>134</v>
      </c>
      <c r="N26" s="169" t="s">
        <v>49</v>
      </c>
      <c r="O26" s="169" t="s">
        <v>49</v>
      </c>
      <c r="P26" s="14" t="s">
        <v>134</v>
      </c>
      <c r="Q26" s="14" t="s">
        <v>134</v>
      </c>
      <c r="R26" s="14" t="s">
        <v>134</v>
      </c>
      <c r="S26" s="14" t="s">
        <v>49</v>
      </c>
      <c r="T26" s="14" t="s">
        <v>49</v>
      </c>
      <c r="U26" s="14" t="s">
        <v>49</v>
      </c>
    </row>
    <row r="27" spans="2:21" hidden="1" x14ac:dyDescent="0.35">
      <c r="B27" s="87" t="s">
        <v>200</v>
      </c>
      <c r="C27" t="str">
        <f>INDEX($E$2:$R$77,MATCH(B27,$E$2:$E$77,0),MATCH(Placemat!$C$4,'Selection Pane Filters'!$E$2:$R$2,0))</f>
        <v>No</v>
      </c>
      <c r="E27" t="s">
        <v>255</v>
      </c>
      <c r="F27" s="14" t="s">
        <v>49</v>
      </c>
      <c r="G27" s="14" t="s">
        <v>134</v>
      </c>
      <c r="H27" s="14" t="s">
        <v>49</v>
      </c>
      <c r="I27" s="14" t="s">
        <v>134</v>
      </c>
      <c r="J27" s="14" t="s">
        <v>49</v>
      </c>
      <c r="K27" s="14" t="s">
        <v>134</v>
      </c>
      <c r="L27" s="14" t="s">
        <v>49</v>
      </c>
      <c r="M27" s="14" t="s">
        <v>49</v>
      </c>
      <c r="N27" s="14" t="s">
        <v>49</v>
      </c>
      <c r="O27" s="14" t="s">
        <v>49</v>
      </c>
      <c r="P27" s="14" t="s">
        <v>49</v>
      </c>
      <c r="Q27" s="14" t="s">
        <v>134</v>
      </c>
      <c r="R27" s="14" t="s">
        <v>134</v>
      </c>
      <c r="S27" s="14" t="s">
        <v>49</v>
      </c>
      <c r="T27" s="14" t="s">
        <v>49</v>
      </c>
      <c r="U27" s="14" t="s">
        <v>49</v>
      </c>
    </row>
    <row r="28" spans="2:21" hidden="1" x14ac:dyDescent="0.35">
      <c r="B28" s="158" t="s">
        <v>201</v>
      </c>
      <c r="C28" t="str">
        <f>INDEX($E$2:$R$77,MATCH(B28,$E$2:$E$77,0),MATCH(Placemat!$C$4,'Selection Pane Filters'!$E$2:$R$2,0))</f>
        <v>No</v>
      </c>
      <c r="E28" t="s">
        <v>240</v>
      </c>
      <c r="F28" s="14" t="s">
        <v>49</v>
      </c>
      <c r="G28" s="14" t="s">
        <v>134</v>
      </c>
      <c r="H28" s="14" t="s">
        <v>49</v>
      </c>
      <c r="I28" s="14" t="s">
        <v>134</v>
      </c>
      <c r="J28" s="14" t="s">
        <v>134</v>
      </c>
      <c r="K28" s="14" t="s">
        <v>49</v>
      </c>
      <c r="L28" s="14" t="s">
        <v>49</v>
      </c>
      <c r="M28" s="14" t="s">
        <v>49</v>
      </c>
      <c r="N28" s="14" t="s">
        <v>49</v>
      </c>
      <c r="O28" s="14" t="s">
        <v>49</v>
      </c>
      <c r="P28" s="14" t="s">
        <v>134</v>
      </c>
      <c r="Q28" s="14" t="s">
        <v>49</v>
      </c>
      <c r="R28" s="14" t="s">
        <v>134</v>
      </c>
      <c r="S28" s="14" t="s">
        <v>49</v>
      </c>
      <c r="T28" s="14" t="s">
        <v>134</v>
      </c>
      <c r="U28" s="14" t="s">
        <v>49</v>
      </c>
    </row>
    <row r="29" spans="2:21" hidden="1" x14ac:dyDescent="0.35">
      <c r="B29" s="87" t="s">
        <v>203</v>
      </c>
      <c r="C29" t="str">
        <f>INDEX($E$2:$R$77,MATCH(B29,$E$2:$E$77,0),MATCH(Placemat!$C$4,'Selection Pane Filters'!$E$2:$R$2,0))</f>
        <v>No</v>
      </c>
      <c r="E29" s="167" t="s">
        <v>231</v>
      </c>
      <c r="F29" s="14" t="s">
        <v>49</v>
      </c>
      <c r="G29" s="14" t="s">
        <v>134</v>
      </c>
      <c r="H29" s="14" t="s">
        <v>49</v>
      </c>
      <c r="I29" s="14" t="s">
        <v>134</v>
      </c>
      <c r="J29" s="14" t="s">
        <v>49</v>
      </c>
      <c r="K29" s="14" t="s">
        <v>134</v>
      </c>
      <c r="L29" s="14" t="s">
        <v>49</v>
      </c>
      <c r="M29" s="14" t="s">
        <v>49</v>
      </c>
      <c r="N29" s="14" t="s">
        <v>49</v>
      </c>
      <c r="O29" s="14" t="s">
        <v>134</v>
      </c>
      <c r="P29" s="14" t="s">
        <v>49</v>
      </c>
      <c r="Q29" s="14" t="s">
        <v>49</v>
      </c>
      <c r="R29" s="14" t="s">
        <v>49</v>
      </c>
      <c r="S29" s="14" t="s">
        <v>49</v>
      </c>
      <c r="T29" s="14" t="s">
        <v>49</v>
      </c>
      <c r="U29" s="14" t="s">
        <v>49</v>
      </c>
    </row>
    <row r="30" spans="2:21" hidden="1" x14ac:dyDescent="0.35">
      <c r="B30" s="87" t="s">
        <v>207</v>
      </c>
      <c r="C30" t="str">
        <f>INDEX($E$2:$R$77,MATCH(B30,$E$2:$E$77,0),MATCH(Placemat!$C$4,'Selection Pane Filters'!$E$2:$R$2,0))</f>
        <v>No</v>
      </c>
      <c r="E30" s="167" t="s">
        <v>237</v>
      </c>
      <c r="F30" s="14" t="s">
        <v>49</v>
      </c>
      <c r="G30" s="14" t="s">
        <v>134</v>
      </c>
      <c r="H30" s="14" t="s">
        <v>49</v>
      </c>
      <c r="I30" s="14" t="s">
        <v>134</v>
      </c>
      <c r="J30" s="14" t="s">
        <v>134</v>
      </c>
      <c r="K30" s="14" t="s">
        <v>49</v>
      </c>
      <c r="L30" s="14" t="s">
        <v>49</v>
      </c>
      <c r="M30" s="14" t="s">
        <v>49</v>
      </c>
      <c r="N30" s="14" t="s">
        <v>49</v>
      </c>
      <c r="O30" s="14" t="s">
        <v>134</v>
      </c>
      <c r="P30" s="14" t="s">
        <v>49</v>
      </c>
      <c r="Q30" s="14" t="s">
        <v>49</v>
      </c>
      <c r="R30" s="14" t="s">
        <v>49</v>
      </c>
      <c r="S30" s="14" t="s">
        <v>49</v>
      </c>
      <c r="T30" s="14" t="s">
        <v>49</v>
      </c>
      <c r="U30" s="14" t="s">
        <v>49</v>
      </c>
    </row>
    <row r="31" spans="2:21" hidden="1" x14ac:dyDescent="0.35">
      <c r="B31" s="87" t="s">
        <v>210</v>
      </c>
      <c r="C31" t="str">
        <f>INDEX($E$2:$R$77,MATCH(B31,$E$2:$E$77,0),MATCH(Placemat!$C$4,'Selection Pane Filters'!$E$2:$R$2,0))</f>
        <v>No</v>
      </c>
      <c r="E31" t="s">
        <v>242</v>
      </c>
      <c r="F31" s="14" t="s">
        <v>49</v>
      </c>
      <c r="G31" s="14" t="s">
        <v>134</v>
      </c>
      <c r="H31" s="14" t="s">
        <v>134</v>
      </c>
      <c r="I31" s="14" t="s">
        <v>134</v>
      </c>
      <c r="J31" s="14" t="s">
        <v>49</v>
      </c>
      <c r="K31" s="14" t="s">
        <v>134</v>
      </c>
      <c r="L31" s="14" t="s">
        <v>134</v>
      </c>
      <c r="M31" s="14" t="s">
        <v>134</v>
      </c>
      <c r="N31" s="14" t="s">
        <v>134</v>
      </c>
      <c r="O31" s="14" t="s">
        <v>134</v>
      </c>
      <c r="P31" s="14" t="s">
        <v>49</v>
      </c>
      <c r="Q31" s="14" t="s">
        <v>134</v>
      </c>
      <c r="R31" s="14" t="s">
        <v>134</v>
      </c>
      <c r="S31" s="14" t="s">
        <v>134</v>
      </c>
      <c r="T31" s="14" t="s">
        <v>49</v>
      </c>
      <c r="U31" s="14" t="s">
        <v>49</v>
      </c>
    </row>
    <row r="32" spans="2:21" hidden="1" x14ac:dyDescent="0.35">
      <c r="B32" s="87" t="s">
        <v>213</v>
      </c>
      <c r="C32" t="str">
        <f>INDEX($E$2:$R$77,MATCH(B32,$E$2:$E$77,0),MATCH(Placemat!$C$4,'Selection Pane Filters'!$E$2:$R$2,0))</f>
        <v>No</v>
      </c>
      <c r="E32" t="s">
        <v>243</v>
      </c>
      <c r="F32" s="14" t="s">
        <v>49</v>
      </c>
      <c r="G32" s="14" t="s">
        <v>134</v>
      </c>
      <c r="H32" s="14" t="s">
        <v>134</v>
      </c>
      <c r="I32" s="14" t="s">
        <v>134</v>
      </c>
      <c r="J32" s="14" t="s">
        <v>49</v>
      </c>
      <c r="K32" s="14" t="s">
        <v>49</v>
      </c>
      <c r="L32" s="14" t="s">
        <v>134</v>
      </c>
      <c r="M32" s="14" t="s">
        <v>134</v>
      </c>
      <c r="N32" s="14" t="s">
        <v>134</v>
      </c>
      <c r="O32" s="14" t="s">
        <v>134</v>
      </c>
      <c r="P32" s="14" t="s">
        <v>49</v>
      </c>
      <c r="Q32" s="14" t="s">
        <v>49</v>
      </c>
      <c r="R32" s="14" t="s">
        <v>49</v>
      </c>
      <c r="S32" s="14" t="s">
        <v>134</v>
      </c>
      <c r="T32" s="14" t="s">
        <v>49</v>
      </c>
      <c r="U32" s="14" t="s">
        <v>49</v>
      </c>
    </row>
    <row r="33" spans="2:21" hidden="1" x14ac:dyDescent="0.35">
      <c r="B33" s="87" t="s">
        <v>216</v>
      </c>
      <c r="C33" t="str">
        <f>INDEX($E$2:$R$77,MATCH(B33,$E$2:$E$77,0),MATCH(Placemat!$C$4,'Selection Pane Filters'!$E$2:$R$2,0))</f>
        <v>No</v>
      </c>
      <c r="E33" t="s">
        <v>252</v>
      </c>
      <c r="F33" s="14" t="s">
        <v>49</v>
      </c>
      <c r="G33" s="14" t="s">
        <v>134</v>
      </c>
      <c r="H33" s="14" t="s">
        <v>49</v>
      </c>
      <c r="I33" s="14" t="s">
        <v>49</v>
      </c>
      <c r="J33" s="14" t="s">
        <v>49</v>
      </c>
      <c r="K33" s="14" t="s">
        <v>49</v>
      </c>
      <c r="L33" s="14" t="s">
        <v>49</v>
      </c>
      <c r="M33" s="14" t="s">
        <v>49</v>
      </c>
      <c r="N33" s="14" t="s">
        <v>49</v>
      </c>
      <c r="O33" s="14" t="s">
        <v>49</v>
      </c>
      <c r="P33" s="14" t="s">
        <v>49</v>
      </c>
      <c r="Q33" s="14" t="s">
        <v>49</v>
      </c>
      <c r="R33" s="14" t="s">
        <v>49</v>
      </c>
      <c r="S33" s="14" t="s">
        <v>49</v>
      </c>
      <c r="T33" s="14" t="s">
        <v>49</v>
      </c>
      <c r="U33" s="14" t="s">
        <v>49</v>
      </c>
    </row>
    <row r="34" spans="2:21" hidden="1" x14ac:dyDescent="0.35">
      <c r="B34" s="87" t="s">
        <v>219</v>
      </c>
      <c r="C34" t="str">
        <f>INDEX($E$2:$R$77,MATCH(B34,$E$2:$E$77,0),MATCH(Placemat!$C$4,'Selection Pane Filters'!$E$2:$R$2,0))</f>
        <v>No</v>
      </c>
      <c r="E34" t="s">
        <v>203</v>
      </c>
      <c r="F34" s="14" t="s">
        <v>49</v>
      </c>
      <c r="G34" s="14" t="s">
        <v>134</v>
      </c>
      <c r="H34" s="14" t="s">
        <v>49</v>
      </c>
      <c r="I34" s="14" t="s">
        <v>49</v>
      </c>
      <c r="J34" s="14" t="s">
        <v>49</v>
      </c>
      <c r="K34" s="14" t="s">
        <v>49</v>
      </c>
      <c r="L34" s="14" t="s">
        <v>49</v>
      </c>
      <c r="M34" s="14" t="s">
        <v>49</v>
      </c>
      <c r="N34" s="14" t="s">
        <v>49</v>
      </c>
      <c r="O34" s="14" t="s">
        <v>49</v>
      </c>
      <c r="P34" s="14" t="s">
        <v>49</v>
      </c>
      <c r="Q34" s="14" t="s">
        <v>49</v>
      </c>
      <c r="R34" s="14" t="s">
        <v>49</v>
      </c>
      <c r="S34" s="14" t="s">
        <v>49</v>
      </c>
      <c r="T34" s="14" t="s">
        <v>134</v>
      </c>
      <c r="U34" s="14" t="s">
        <v>49</v>
      </c>
    </row>
    <row r="35" spans="2:21" hidden="1" x14ac:dyDescent="0.35">
      <c r="B35" s="87" t="s">
        <v>220</v>
      </c>
      <c r="C35" t="str">
        <f>INDEX($E$2:$R$77,MATCH(B35,$E$2:$E$77,0),MATCH(Placemat!$C$4,'Selection Pane Filters'!$E$2:$R$2,0))</f>
        <v>No</v>
      </c>
      <c r="E35" t="s">
        <v>251</v>
      </c>
      <c r="F35" s="14" t="s">
        <v>49</v>
      </c>
      <c r="G35" s="14" t="s">
        <v>134</v>
      </c>
      <c r="H35" s="14" t="s">
        <v>49</v>
      </c>
      <c r="I35" s="14" t="s">
        <v>49</v>
      </c>
      <c r="J35" s="14" t="s">
        <v>49</v>
      </c>
      <c r="K35" s="14" t="s">
        <v>49</v>
      </c>
      <c r="L35" s="14" t="s">
        <v>49</v>
      </c>
      <c r="M35" s="14" t="s">
        <v>49</v>
      </c>
      <c r="N35" s="14" t="s">
        <v>49</v>
      </c>
      <c r="O35" s="14" t="s">
        <v>49</v>
      </c>
      <c r="P35" s="14" t="s">
        <v>49</v>
      </c>
      <c r="Q35" s="14" t="s">
        <v>49</v>
      </c>
      <c r="R35" s="14" t="s">
        <v>49</v>
      </c>
      <c r="S35" s="14" t="s">
        <v>49</v>
      </c>
      <c r="T35" s="14" t="s">
        <v>49</v>
      </c>
      <c r="U35" s="14" t="s">
        <v>49</v>
      </c>
    </row>
    <row r="36" spans="2:21" hidden="1" x14ac:dyDescent="0.35">
      <c r="B36" s="87" t="s">
        <v>221</v>
      </c>
      <c r="C36" t="str">
        <f>INDEX($E$2:$R$77,MATCH(B36,$E$2:$E$77,0),MATCH(Placemat!$C$4,'Selection Pane Filters'!$E$2:$R$2,0))</f>
        <v>No</v>
      </c>
      <c r="E36" t="s">
        <v>250</v>
      </c>
      <c r="F36" s="14" t="s">
        <v>49</v>
      </c>
      <c r="G36" s="14" t="s">
        <v>134</v>
      </c>
      <c r="H36" s="14" t="s">
        <v>49</v>
      </c>
      <c r="I36" s="14" t="s">
        <v>49</v>
      </c>
      <c r="J36" s="14" t="s">
        <v>49</v>
      </c>
      <c r="K36" s="14" t="s">
        <v>49</v>
      </c>
      <c r="L36" s="14" t="s">
        <v>49</v>
      </c>
      <c r="M36" s="14" t="s">
        <v>49</v>
      </c>
      <c r="N36" s="14" t="s">
        <v>49</v>
      </c>
      <c r="O36" s="14" t="s">
        <v>49</v>
      </c>
      <c r="P36" s="14" t="s">
        <v>49</v>
      </c>
      <c r="Q36" s="14" t="s">
        <v>49</v>
      </c>
      <c r="R36" s="14" t="s">
        <v>49</v>
      </c>
      <c r="S36" s="14" t="s">
        <v>49</v>
      </c>
      <c r="T36" s="14" t="s">
        <v>49</v>
      </c>
      <c r="U36" s="14" t="s">
        <v>49</v>
      </c>
    </row>
    <row r="37" spans="2:21" hidden="1" x14ac:dyDescent="0.35">
      <c r="B37" s="87" t="s">
        <v>224</v>
      </c>
      <c r="C37" t="str">
        <f>INDEX($E$2:$R$77,MATCH(B37,$E$2:$E$77,0),MATCH(Placemat!$C$4,'Selection Pane Filters'!$E$2:$R$2,0))</f>
        <v>No</v>
      </c>
      <c r="E37" s="167" t="s">
        <v>107</v>
      </c>
      <c r="F37" s="14" t="s">
        <v>49</v>
      </c>
      <c r="G37" s="14" t="s">
        <v>134</v>
      </c>
      <c r="H37" s="14" t="s">
        <v>49</v>
      </c>
      <c r="I37" s="14" t="s">
        <v>49</v>
      </c>
      <c r="J37" s="14" t="s">
        <v>49</v>
      </c>
      <c r="K37" s="14" t="s">
        <v>49</v>
      </c>
      <c r="L37" s="14" t="s">
        <v>49</v>
      </c>
      <c r="M37" s="14" t="s">
        <v>49</v>
      </c>
      <c r="N37" s="14" t="s">
        <v>49</v>
      </c>
      <c r="O37" s="14" t="s">
        <v>49</v>
      </c>
      <c r="P37" s="14" t="s">
        <v>49</v>
      </c>
      <c r="Q37" s="14" t="s">
        <v>49</v>
      </c>
      <c r="R37" s="14" t="s">
        <v>49</v>
      </c>
      <c r="S37" s="14" t="s">
        <v>49</v>
      </c>
      <c r="T37" s="14" t="s">
        <v>49</v>
      </c>
      <c r="U37" s="14" t="s">
        <v>49</v>
      </c>
    </row>
    <row r="38" spans="2:21" hidden="1" x14ac:dyDescent="0.35">
      <c r="B38" s="87" t="s">
        <v>255</v>
      </c>
      <c r="C38" t="str">
        <f>INDEX($E$2:$R$77,MATCH(B38,$E$2:$E$77,0),MATCH(Placemat!$C$4,'Selection Pane Filters'!$E$2:$R$2,0))</f>
        <v>No</v>
      </c>
      <c r="E38" s="167" t="s">
        <v>142</v>
      </c>
      <c r="F38" s="14" t="s">
        <v>49</v>
      </c>
      <c r="G38" s="14" t="s">
        <v>134</v>
      </c>
      <c r="H38" s="14" t="s">
        <v>49</v>
      </c>
      <c r="I38" s="14" t="s">
        <v>49</v>
      </c>
      <c r="J38" s="14" t="s">
        <v>49</v>
      </c>
      <c r="K38" s="14" t="s">
        <v>49</v>
      </c>
      <c r="L38" s="14" t="s">
        <v>49</v>
      </c>
      <c r="M38" s="14" t="s">
        <v>49</v>
      </c>
      <c r="N38" s="14" t="s">
        <v>49</v>
      </c>
      <c r="O38" s="14" t="s">
        <v>49</v>
      </c>
      <c r="P38" s="14" t="s">
        <v>49</v>
      </c>
      <c r="Q38" s="14" t="s">
        <v>49</v>
      </c>
      <c r="R38" s="14" t="s">
        <v>49</v>
      </c>
      <c r="S38" s="14" t="s">
        <v>49</v>
      </c>
      <c r="T38" s="14" t="s">
        <v>49</v>
      </c>
      <c r="U38" s="14" t="s">
        <v>49</v>
      </c>
    </row>
    <row r="39" spans="2:21" hidden="1" x14ac:dyDescent="0.35">
      <c r="B39" s="87" t="s">
        <v>226</v>
      </c>
      <c r="C39" t="str">
        <f>INDEX($E$2:$R$77,MATCH(B39,$E$2:$E$77,0),MATCH(Placemat!$C$4,'Selection Pane Filters'!$E$2:$R$2,0))</f>
        <v>No</v>
      </c>
      <c r="E39" s="167" t="s">
        <v>174</v>
      </c>
      <c r="F39" s="14" t="s">
        <v>49</v>
      </c>
      <c r="G39" s="14" t="s">
        <v>134</v>
      </c>
      <c r="H39" s="14" t="s">
        <v>49</v>
      </c>
      <c r="I39" s="14" t="s">
        <v>49</v>
      </c>
      <c r="J39" s="14" t="s">
        <v>49</v>
      </c>
      <c r="K39" s="14" t="s">
        <v>49</v>
      </c>
      <c r="L39" s="14" t="s">
        <v>49</v>
      </c>
      <c r="M39" s="14" t="s">
        <v>49</v>
      </c>
      <c r="N39" s="14" t="s">
        <v>49</v>
      </c>
      <c r="O39" s="14" t="s">
        <v>49</v>
      </c>
      <c r="P39" s="14" t="s">
        <v>49</v>
      </c>
      <c r="Q39" s="14" t="s">
        <v>49</v>
      </c>
      <c r="R39" s="14" t="s">
        <v>49</v>
      </c>
      <c r="S39" s="14" t="s">
        <v>49</v>
      </c>
      <c r="T39" s="14" t="s">
        <v>49</v>
      </c>
      <c r="U39" s="14" t="s">
        <v>49</v>
      </c>
    </row>
    <row r="40" spans="2:21" hidden="1" x14ac:dyDescent="0.35">
      <c r="B40" s="87" t="s">
        <v>228</v>
      </c>
      <c r="C40" t="str">
        <f>INDEX($E$2:$R$77,MATCH(B40,$E$2:$E$77,0),MATCH(Placemat!$C$4,'Selection Pane Filters'!$E$2:$R$2,0))</f>
        <v>No</v>
      </c>
      <c r="E40" s="167" t="s">
        <v>177</v>
      </c>
      <c r="F40" s="14" t="s">
        <v>49</v>
      </c>
      <c r="G40" s="14" t="s">
        <v>134</v>
      </c>
      <c r="H40" s="14" t="s">
        <v>49</v>
      </c>
      <c r="I40" s="14" t="s">
        <v>49</v>
      </c>
      <c r="J40" s="14" t="s">
        <v>49</v>
      </c>
      <c r="K40" s="14" t="s">
        <v>49</v>
      </c>
      <c r="L40" s="14" t="s">
        <v>49</v>
      </c>
      <c r="M40" s="14" t="s">
        <v>49</v>
      </c>
      <c r="N40" s="14" t="s">
        <v>49</v>
      </c>
      <c r="O40" s="14" t="s">
        <v>49</v>
      </c>
      <c r="P40" s="14" t="s">
        <v>49</v>
      </c>
      <c r="Q40" s="14" t="s">
        <v>49</v>
      </c>
      <c r="R40" s="14" t="s">
        <v>49</v>
      </c>
      <c r="S40" s="14" t="s">
        <v>49</v>
      </c>
      <c r="T40" s="14" t="s">
        <v>49</v>
      </c>
      <c r="U40" s="14" t="s">
        <v>49</v>
      </c>
    </row>
    <row r="41" spans="2:21" hidden="1" x14ac:dyDescent="0.35">
      <c r="B41" s="87" t="s">
        <v>229</v>
      </c>
      <c r="C41" t="str">
        <f>INDEX($E$2:$R$77,MATCH(B41,$E$2:$E$77,0),MATCH(Placemat!$C$4,'Selection Pane Filters'!$E$2:$R$2,0))</f>
        <v>No</v>
      </c>
      <c r="E41" t="s">
        <v>180</v>
      </c>
      <c r="F41" s="14" t="s">
        <v>49</v>
      </c>
      <c r="G41" s="14" t="s">
        <v>134</v>
      </c>
      <c r="H41" s="14" t="s">
        <v>134</v>
      </c>
      <c r="I41" s="14" t="s">
        <v>134</v>
      </c>
      <c r="J41" s="14" t="s">
        <v>134</v>
      </c>
      <c r="K41" s="14" t="s">
        <v>49</v>
      </c>
      <c r="L41" s="14" t="s">
        <v>134</v>
      </c>
      <c r="M41" s="14" t="s">
        <v>134</v>
      </c>
      <c r="N41" s="14" t="s">
        <v>134</v>
      </c>
      <c r="O41" s="14" t="s">
        <v>134</v>
      </c>
      <c r="P41" s="14" t="s">
        <v>134</v>
      </c>
      <c r="Q41" s="14" t="s">
        <v>49</v>
      </c>
      <c r="R41" s="14" t="s">
        <v>134</v>
      </c>
      <c r="S41" s="14" t="s">
        <v>49</v>
      </c>
      <c r="T41" s="14" t="s">
        <v>49</v>
      </c>
      <c r="U41" s="14" t="s">
        <v>49</v>
      </c>
    </row>
    <row r="42" spans="2:21" hidden="1" x14ac:dyDescent="0.35">
      <c r="B42" s="87" t="s">
        <v>230</v>
      </c>
      <c r="C42" t="str">
        <f>INDEX($E$2:$R$77,MATCH(B42,$E$2:$E$77,0),MATCH(Placemat!$C$4,'Selection Pane Filters'!$E$2:$R$2,0))</f>
        <v>No</v>
      </c>
      <c r="E42" s="167" t="s">
        <v>183</v>
      </c>
      <c r="F42" s="14" t="s">
        <v>49</v>
      </c>
      <c r="G42" s="14" t="s">
        <v>134</v>
      </c>
      <c r="H42" s="14" t="s">
        <v>49</v>
      </c>
      <c r="I42" s="14" t="s">
        <v>49</v>
      </c>
      <c r="J42" s="14" t="s">
        <v>49</v>
      </c>
      <c r="K42" s="14" t="s">
        <v>49</v>
      </c>
      <c r="L42" s="14" t="s">
        <v>49</v>
      </c>
      <c r="M42" s="14" t="s">
        <v>49</v>
      </c>
      <c r="N42" s="14" t="s">
        <v>49</v>
      </c>
      <c r="O42" s="14" t="s">
        <v>49</v>
      </c>
      <c r="P42" s="14" t="s">
        <v>49</v>
      </c>
      <c r="Q42" s="14" t="s">
        <v>49</v>
      </c>
      <c r="R42" s="14" t="s">
        <v>49</v>
      </c>
      <c r="S42" s="14" t="s">
        <v>49</v>
      </c>
      <c r="T42" s="14" t="s">
        <v>49</v>
      </c>
      <c r="U42" s="14" t="s">
        <v>49</v>
      </c>
    </row>
    <row r="43" spans="2:21" hidden="1" x14ac:dyDescent="0.35">
      <c r="B43" s="87" t="s">
        <v>231</v>
      </c>
      <c r="C43" t="str">
        <f>INDEX($E$2:$R$77,MATCH(B43,$E$2:$E$77,0),MATCH(Placemat!$C$4,'Selection Pane Filters'!$E$2:$R$2,0))</f>
        <v>No</v>
      </c>
      <c r="E43" s="167" t="s">
        <v>254</v>
      </c>
      <c r="F43" s="14" t="s">
        <v>49</v>
      </c>
      <c r="G43" s="14" t="s">
        <v>134</v>
      </c>
      <c r="H43" s="14" t="s">
        <v>49</v>
      </c>
      <c r="I43" s="14" t="s">
        <v>49</v>
      </c>
      <c r="J43" s="14" t="s">
        <v>49</v>
      </c>
      <c r="K43" s="14" t="s">
        <v>49</v>
      </c>
      <c r="L43" s="14" t="s">
        <v>49</v>
      </c>
      <c r="M43" s="14" t="s">
        <v>49</v>
      </c>
      <c r="N43" s="14" t="s">
        <v>49</v>
      </c>
      <c r="O43" s="14" t="s">
        <v>49</v>
      </c>
      <c r="P43" s="14" t="s">
        <v>49</v>
      </c>
      <c r="Q43" s="14" t="s">
        <v>49</v>
      </c>
      <c r="R43" s="14" t="s">
        <v>49</v>
      </c>
      <c r="S43" s="14" t="s">
        <v>49</v>
      </c>
      <c r="T43" s="14" t="s">
        <v>49</v>
      </c>
      <c r="U43" s="14" t="s">
        <v>49</v>
      </c>
    </row>
    <row r="44" spans="2:21" hidden="1" x14ac:dyDescent="0.35">
      <c r="B44" s="87" t="s">
        <v>232</v>
      </c>
      <c r="C44" t="str">
        <f>INDEX($E$2:$R$77,MATCH(B44,$E$2:$E$77,0),MATCH(Placemat!$C$4,'Selection Pane Filters'!$E$2:$R$2,0))</f>
        <v>No</v>
      </c>
      <c r="E44" t="s">
        <v>93</v>
      </c>
      <c r="F44" s="14" t="s">
        <v>49</v>
      </c>
      <c r="G44" s="14" t="s">
        <v>134</v>
      </c>
      <c r="H44" s="14" t="s">
        <v>134</v>
      </c>
      <c r="I44" s="14" t="s">
        <v>134</v>
      </c>
      <c r="J44" s="14" t="s">
        <v>134</v>
      </c>
      <c r="K44" s="14" t="s">
        <v>49</v>
      </c>
      <c r="L44" s="14" t="s">
        <v>134</v>
      </c>
      <c r="M44" s="14" t="s">
        <v>134</v>
      </c>
      <c r="N44" s="14" t="s">
        <v>134</v>
      </c>
      <c r="O44" s="14" t="s">
        <v>134</v>
      </c>
      <c r="P44" s="14" t="s">
        <v>134</v>
      </c>
      <c r="Q44" s="14" t="s">
        <v>49</v>
      </c>
      <c r="R44" s="14" t="s">
        <v>134</v>
      </c>
      <c r="S44" s="14" t="s">
        <v>49</v>
      </c>
      <c r="T44" s="14" t="s">
        <v>49</v>
      </c>
      <c r="U44" s="14" t="s">
        <v>49</v>
      </c>
    </row>
    <row r="45" spans="2:21" hidden="1" x14ac:dyDescent="0.35">
      <c r="B45" s="87" t="s">
        <v>233</v>
      </c>
      <c r="C45" t="str">
        <f>INDEX($E$2:$R$77,MATCH(B45,$E$2:$E$77,0),MATCH(Placemat!$C$4,'Selection Pane Filters'!$E$2:$R$2,0))</f>
        <v>No</v>
      </c>
      <c r="E45" t="s">
        <v>265</v>
      </c>
      <c r="F45" s="14" t="s">
        <v>49</v>
      </c>
      <c r="G45" s="14" t="s">
        <v>134</v>
      </c>
      <c r="H45" s="14" t="s">
        <v>134</v>
      </c>
      <c r="I45" s="14" t="s">
        <v>134</v>
      </c>
      <c r="J45" s="14" t="s">
        <v>49</v>
      </c>
      <c r="K45" s="14" t="s">
        <v>49</v>
      </c>
      <c r="L45" s="14" t="s">
        <v>49</v>
      </c>
      <c r="M45" s="14" t="s">
        <v>49</v>
      </c>
      <c r="N45" s="14" t="s">
        <v>49</v>
      </c>
      <c r="O45" s="14" t="s">
        <v>134</v>
      </c>
      <c r="P45" s="14" t="s">
        <v>49</v>
      </c>
      <c r="Q45" s="14" t="s">
        <v>49</v>
      </c>
      <c r="R45" s="14" t="s">
        <v>49</v>
      </c>
      <c r="S45" s="14" t="s">
        <v>49</v>
      </c>
      <c r="T45" s="14" t="s">
        <v>134</v>
      </c>
      <c r="U45" s="14" t="s">
        <v>49</v>
      </c>
    </row>
    <row r="46" spans="2:21" hidden="1" x14ac:dyDescent="0.35">
      <c r="B46" s="87" t="s">
        <v>234</v>
      </c>
      <c r="C46" t="str">
        <f>INDEX($E$2:$R$77,MATCH(B46,$E$2:$E$77,0),MATCH(Placemat!$C$4,'Selection Pane Filters'!$E$2:$R$2,0))</f>
        <v>No</v>
      </c>
      <c r="E46" s="167" t="s">
        <v>257</v>
      </c>
      <c r="F46" s="14" t="s">
        <v>49</v>
      </c>
      <c r="G46" s="14" t="s">
        <v>134</v>
      </c>
      <c r="H46" s="14" t="s">
        <v>134</v>
      </c>
      <c r="I46" s="14" t="s">
        <v>134</v>
      </c>
      <c r="J46" s="14" t="s">
        <v>49</v>
      </c>
      <c r="K46" s="14" t="s">
        <v>49</v>
      </c>
      <c r="L46" s="14" t="s">
        <v>49</v>
      </c>
      <c r="M46" s="14" t="s">
        <v>49</v>
      </c>
      <c r="N46" s="14" t="s">
        <v>49</v>
      </c>
      <c r="O46" s="14" t="s">
        <v>134</v>
      </c>
      <c r="P46" s="14" t="s">
        <v>49</v>
      </c>
      <c r="Q46" s="14" t="s">
        <v>49</v>
      </c>
      <c r="R46" s="14" t="s">
        <v>49</v>
      </c>
      <c r="S46" s="14" t="s">
        <v>49</v>
      </c>
      <c r="T46" s="14" t="s">
        <v>134</v>
      </c>
      <c r="U46" s="14" t="s">
        <v>49</v>
      </c>
    </row>
    <row r="47" spans="2:21" x14ac:dyDescent="0.35">
      <c r="B47" s="87" t="s">
        <v>236</v>
      </c>
      <c r="C47" t="str">
        <f>INDEX($E$2:$R$77,MATCH(B47,$E$2:$E$77,0),MATCH(Placemat!$C$4,'Selection Pane Filters'!$E$2:$R$2,0))</f>
        <v>No</v>
      </c>
      <c r="E47" s="167" t="s">
        <v>228</v>
      </c>
      <c r="F47" s="14" t="s">
        <v>49</v>
      </c>
      <c r="G47" s="14" t="s">
        <v>134</v>
      </c>
      <c r="H47" s="14" t="s">
        <v>134</v>
      </c>
      <c r="I47" s="14" t="s">
        <v>134</v>
      </c>
      <c r="J47" s="14" t="s">
        <v>49</v>
      </c>
      <c r="K47" s="14" t="s">
        <v>49</v>
      </c>
      <c r="L47" s="14" t="s">
        <v>49</v>
      </c>
      <c r="M47" s="14" t="s">
        <v>49</v>
      </c>
      <c r="N47" s="14" t="s">
        <v>49</v>
      </c>
      <c r="O47" s="14" t="s">
        <v>49</v>
      </c>
      <c r="P47" s="14" t="s">
        <v>49</v>
      </c>
      <c r="Q47" s="14" t="s">
        <v>49</v>
      </c>
      <c r="R47" s="14" t="s">
        <v>49</v>
      </c>
      <c r="S47" s="14" t="s">
        <v>49</v>
      </c>
      <c r="T47" s="14" t="s">
        <v>49</v>
      </c>
      <c r="U47" s="14" t="s">
        <v>49</v>
      </c>
    </row>
    <row r="48" spans="2:21" x14ac:dyDescent="0.35">
      <c r="B48" s="87" t="s">
        <v>237</v>
      </c>
      <c r="C48" t="str">
        <f>INDEX($E$2:$R$77,MATCH(B48,$E$2:$E$77,0),MATCH(Placemat!$C$4,'Selection Pane Filters'!$E$2:$R$2,0))</f>
        <v>No</v>
      </c>
      <c r="E48" s="167" t="s">
        <v>230</v>
      </c>
      <c r="F48" s="14" t="s">
        <v>49</v>
      </c>
      <c r="G48" s="14" t="s">
        <v>134</v>
      </c>
      <c r="H48" s="14" t="s">
        <v>134</v>
      </c>
      <c r="I48" s="14" t="s">
        <v>134</v>
      </c>
      <c r="J48" s="14" t="s">
        <v>134</v>
      </c>
      <c r="K48" s="14" t="s">
        <v>134</v>
      </c>
      <c r="L48" s="14" t="s">
        <v>134</v>
      </c>
      <c r="M48" s="14" t="s">
        <v>134</v>
      </c>
      <c r="N48" s="14" t="s">
        <v>134</v>
      </c>
      <c r="O48" s="14" t="s">
        <v>134</v>
      </c>
      <c r="P48" s="14" t="s">
        <v>134</v>
      </c>
      <c r="Q48" s="14" t="s">
        <v>134</v>
      </c>
      <c r="R48" s="14" t="s">
        <v>134</v>
      </c>
      <c r="S48" s="14" t="s">
        <v>49</v>
      </c>
      <c r="T48" s="14" t="s">
        <v>49</v>
      </c>
      <c r="U48" s="14" t="s">
        <v>49</v>
      </c>
    </row>
    <row r="49" spans="2:21" hidden="1" x14ac:dyDescent="0.35">
      <c r="B49" s="87" t="s">
        <v>238</v>
      </c>
      <c r="C49" t="str">
        <f>INDEX($E$2:$R$77,MATCH(B49,$E$2:$E$77,0),MATCH(Placemat!$C$4,'Selection Pane Filters'!$E$2:$R$2,0))</f>
        <v>No</v>
      </c>
      <c r="E49" s="167" t="s">
        <v>267</v>
      </c>
      <c r="F49" s="14" t="s">
        <v>49</v>
      </c>
      <c r="G49" s="14" t="s">
        <v>134</v>
      </c>
      <c r="H49" s="14" t="s">
        <v>49</v>
      </c>
      <c r="I49" s="14" t="s">
        <v>134</v>
      </c>
      <c r="J49" s="14" t="s">
        <v>134</v>
      </c>
      <c r="K49" s="14" t="s">
        <v>49</v>
      </c>
      <c r="L49" s="14" t="s">
        <v>49</v>
      </c>
      <c r="M49" s="14" t="s">
        <v>134</v>
      </c>
      <c r="N49" s="14" t="s">
        <v>49</v>
      </c>
      <c r="O49" s="14" t="s">
        <v>49</v>
      </c>
      <c r="P49" s="14" t="s">
        <v>49</v>
      </c>
      <c r="Q49" s="14" t="s">
        <v>49</v>
      </c>
      <c r="R49" s="14" t="s">
        <v>49</v>
      </c>
      <c r="S49" s="14" t="s">
        <v>49</v>
      </c>
      <c r="T49" s="14" t="s">
        <v>134</v>
      </c>
      <c r="U49" s="14" t="s">
        <v>49</v>
      </c>
    </row>
    <row r="50" spans="2:21" ht="29" hidden="1" x14ac:dyDescent="0.35">
      <c r="B50" s="87" t="s">
        <v>259</v>
      </c>
      <c r="C50" t="str">
        <f>INDEX($E$2:$R$77,MATCH(B50,$E$2:$E$77,0),MATCH(Placemat!$C$4,'Selection Pane Filters'!$E$2:$R$2,0))</f>
        <v>No</v>
      </c>
      <c r="E50" s="167" t="s">
        <v>233</v>
      </c>
      <c r="F50" s="14" t="s">
        <v>49</v>
      </c>
      <c r="G50" s="14" t="s">
        <v>134</v>
      </c>
      <c r="H50" s="14" t="s">
        <v>49</v>
      </c>
      <c r="I50" s="14" t="s">
        <v>134</v>
      </c>
      <c r="J50" s="14" t="s">
        <v>49</v>
      </c>
      <c r="K50" s="14" t="s">
        <v>49</v>
      </c>
      <c r="L50" s="14" t="s">
        <v>49</v>
      </c>
      <c r="M50" s="14" t="s">
        <v>49</v>
      </c>
      <c r="N50" s="14" t="s">
        <v>49</v>
      </c>
      <c r="O50" s="14" t="s">
        <v>49</v>
      </c>
      <c r="P50" s="14" t="s">
        <v>49</v>
      </c>
      <c r="Q50" s="14" t="s">
        <v>49</v>
      </c>
      <c r="R50" s="14" t="s">
        <v>49</v>
      </c>
      <c r="S50" s="14" t="s">
        <v>49</v>
      </c>
      <c r="T50" s="14" t="s">
        <v>49</v>
      </c>
      <c r="U50" s="14" t="s">
        <v>49</v>
      </c>
    </row>
    <row r="51" spans="2:21" hidden="1" x14ac:dyDescent="0.35">
      <c r="B51" s="87" t="s">
        <v>239</v>
      </c>
      <c r="C51" t="str">
        <f>INDEX($E$2:$R$77,MATCH(B51,$E$2:$E$77,0),MATCH(Placemat!$C$4,'Selection Pane Filters'!$E$2:$R$2,0))</f>
        <v>No</v>
      </c>
      <c r="E51" s="168" t="s">
        <v>259</v>
      </c>
      <c r="F51" s="14" t="s">
        <v>49</v>
      </c>
      <c r="G51" s="14" t="s">
        <v>134</v>
      </c>
      <c r="H51" s="14" t="s">
        <v>49</v>
      </c>
      <c r="I51" s="14" t="s">
        <v>134</v>
      </c>
      <c r="J51" s="14" t="s">
        <v>134</v>
      </c>
      <c r="K51" s="14" t="s">
        <v>49</v>
      </c>
      <c r="L51" s="14" t="s">
        <v>49</v>
      </c>
      <c r="M51" s="14" t="s">
        <v>49</v>
      </c>
      <c r="N51" s="14" t="s">
        <v>49</v>
      </c>
      <c r="O51" s="14" t="s">
        <v>49</v>
      </c>
      <c r="P51" s="14" t="s">
        <v>134</v>
      </c>
      <c r="Q51" s="14" t="s">
        <v>49</v>
      </c>
      <c r="R51" s="14" t="s">
        <v>134</v>
      </c>
      <c r="S51" s="14" t="s">
        <v>49</v>
      </c>
      <c r="T51" s="14" t="s">
        <v>134</v>
      </c>
      <c r="U51" s="14" t="s">
        <v>49</v>
      </c>
    </row>
    <row r="52" spans="2:21" ht="15" hidden="1" thickBot="1" x14ac:dyDescent="0.4">
      <c r="B52" s="89" t="s">
        <v>240</v>
      </c>
      <c r="C52" t="str">
        <f>INDEX($E$2:$R$77,MATCH(B52,$E$2:$E$77,0),MATCH(Placemat!$C$4,'Selection Pane Filters'!$E$2:$R$2,0))</f>
        <v>No</v>
      </c>
      <c r="E52" s="167" t="s">
        <v>260</v>
      </c>
      <c r="F52" s="14" t="s">
        <v>49</v>
      </c>
      <c r="G52" s="14" t="s">
        <v>134</v>
      </c>
      <c r="H52" s="14" t="s">
        <v>49</v>
      </c>
      <c r="I52" s="14" t="s">
        <v>49</v>
      </c>
      <c r="J52" s="14" t="s">
        <v>49</v>
      </c>
      <c r="K52" s="14" t="s">
        <v>49</v>
      </c>
      <c r="L52" s="14" t="s">
        <v>49</v>
      </c>
      <c r="M52" s="14" t="s">
        <v>49</v>
      </c>
      <c r="N52" s="14" t="s">
        <v>49</v>
      </c>
      <c r="O52" s="14" t="s">
        <v>49</v>
      </c>
      <c r="P52" s="14" t="s">
        <v>49</v>
      </c>
      <c r="Q52" s="14" t="s">
        <v>49</v>
      </c>
      <c r="R52" s="14" t="s">
        <v>49</v>
      </c>
      <c r="S52" s="14" t="s">
        <v>49</v>
      </c>
      <c r="T52" s="14" t="s">
        <v>49</v>
      </c>
      <c r="U52" s="14" t="s">
        <v>49</v>
      </c>
    </row>
    <row r="53" spans="2:21" hidden="1" x14ac:dyDescent="0.35">
      <c r="B53" s="88" t="s">
        <v>260</v>
      </c>
      <c r="C53" t="str">
        <f>INDEX($E$2:$R$77,MATCH(B53,$E$2:$E$77,0),MATCH(Placemat!$C$4,'Selection Pane Filters'!$E$2:$R$2,0))</f>
        <v>No</v>
      </c>
      <c r="E53" s="167" t="s">
        <v>262</v>
      </c>
      <c r="F53" s="14" t="s">
        <v>49</v>
      </c>
      <c r="G53" s="14" t="s">
        <v>134</v>
      </c>
      <c r="H53" s="14" t="s">
        <v>49</v>
      </c>
      <c r="I53" s="14" t="s">
        <v>49</v>
      </c>
      <c r="J53" s="14" t="s">
        <v>49</v>
      </c>
      <c r="K53" s="14" t="s">
        <v>49</v>
      </c>
      <c r="L53" s="14" t="s">
        <v>49</v>
      </c>
      <c r="M53" s="14" t="s">
        <v>49</v>
      </c>
      <c r="N53" s="14" t="s">
        <v>49</v>
      </c>
      <c r="O53" s="14" t="s">
        <v>49</v>
      </c>
      <c r="P53" s="14" t="s">
        <v>49</v>
      </c>
      <c r="Q53" s="14" t="s">
        <v>49</v>
      </c>
      <c r="R53" s="14" t="s">
        <v>49</v>
      </c>
      <c r="S53" s="14" t="s">
        <v>49</v>
      </c>
      <c r="T53" s="14" t="s">
        <v>49</v>
      </c>
      <c r="U53" s="14" t="s">
        <v>49</v>
      </c>
    </row>
    <row r="54" spans="2:21" hidden="1" x14ac:dyDescent="0.35">
      <c r="B54" s="87" t="s">
        <v>263</v>
      </c>
      <c r="C54" t="str">
        <f>INDEX($E$2:$R$77,MATCH(B54,$E$2:$E$77,0),MATCH(Placemat!$C$4,'Selection Pane Filters'!$E$2:$R$2,0))</f>
        <v>No</v>
      </c>
      <c r="E54" s="167" t="s">
        <v>210</v>
      </c>
      <c r="F54" s="14" t="s">
        <v>49</v>
      </c>
      <c r="G54" s="14" t="s">
        <v>134</v>
      </c>
      <c r="H54" s="14" t="s">
        <v>134</v>
      </c>
      <c r="I54" s="14" t="s">
        <v>134</v>
      </c>
      <c r="J54" s="14" t="s">
        <v>134</v>
      </c>
      <c r="K54" s="14" t="s">
        <v>49</v>
      </c>
      <c r="L54" s="14" t="s">
        <v>134</v>
      </c>
      <c r="M54" s="14" t="s">
        <v>134</v>
      </c>
      <c r="N54" s="14" t="s">
        <v>134</v>
      </c>
      <c r="O54" s="14" t="s">
        <v>134</v>
      </c>
      <c r="P54" s="14" t="s">
        <v>134</v>
      </c>
      <c r="Q54" s="14" t="s">
        <v>49</v>
      </c>
      <c r="R54" s="14" t="s">
        <v>134</v>
      </c>
      <c r="S54" s="14" t="s">
        <v>49</v>
      </c>
      <c r="T54" s="14" t="s">
        <v>49</v>
      </c>
      <c r="U54" s="14" t="s">
        <v>134</v>
      </c>
    </row>
    <row r="55" spans="2:21" hidden="1" x14ac:dyDescent="0.35">
      <c r="B55" s="87" t="s">
        <v>265</v>
      </c>
      <c r="C55" t="str">
        <f>INDEX($E$2:$R$77,MATCH(B55,$E$2:$E$77,0),MATCH(Placemat!$C$4,'Selection Pane Filters'!$E$2:$R$2,0))</f>
        <v>No</v>
      </c>
      <c r="E55" s="168" t="s">
        <v>219</v>
      </c>
      <c r="F55" s="14" t="s">
        <v>49</v>
      </c>
      <c r="G55" s="14" t="s">
        <v>134</v>
      </c>
      <c r="H55" s="14" t="s">
        <v>49</v>
      </c>
      <c r="I55" s="14" t="s">
        <v>49</v>
      </c>
      <c r="J55" s="14" t="s">
        <v>49</v>
      </c>
      <c r="K55" s="14" t="s">
        <v>49</v>
      </c>
      <c r="L55" s="14" t="s">
        <v>49</v>
      </c>
      <c r="M55" s="14" t="s">
        <v>49</v>
      </c>
      <c r="N55" s="14" t="s">
        <v>49</v>
      </c>
      <c r="O55" s="14" t="s">
        <v>49</v>
      </c>
      <c r="P55" s="14" t="s">
        <v>49</v>
      </c>
      <c r="Q55" s="14" t="s">
        <v>49</v>
      </c>
      <c r="R55" s="14" t="s">
        <v>49</v>
      </c>
      <c r="S55" s="14" t="s">
        <v>49</v>
      </c>
      <c r="T55" s="14" t="s">
        <v>49</v>
      </c>
      <c r="U55" s="14" t="s">
        <v>49</v>
      </c>
    </row>
    <row r="56" spans="2:21" hidden="1" x14ac:dyDescent="0.35">
      <c r="B56" s="87" t="s">
        <v>266</v>
      </c>
      <c r="C56" t="str">
        <f>INDEX($E$2:$R$77,MATCH(B56,$E$2:$E$77,0),MATCH(Placemat!$C$4,'Selection Pane Filters'!$E$2:$R$2,0))</f>
        <v>No</v>
      </c>
      <c r="E56" s="167" t="s">
        <v>248</v>
      </c>
      <c r="F56" s="14" t="s">
        <v>49</v>
      </c>
      <c r="G56" s="14" t="s">
        <v>134</v>
      </c>
      <c r="H56" s="14" t="s">
        <v>49</v>
      </c>
      <c r="I56" s="14" t="s">
        <v>134</v>
      </c>
      <c r="J56" s="14" t="s">
        <v>134</v>
      </c>
      <c r="K56" s="14" t="s">
        <v>49</v>
      </c>
      <c r="L56" s="14" t="s">
        <v>49</v>
      </c>
      <c r="M56" s="14" t="s">
        <v>49</v>
      </c>
      <c r="N56" s="14" t="s">
        <v>49</v>
      </c>
      <c r="O56" s="14" t="s">
        <v>49</v>
      </c>
      <c r="P56" s="14" t="s">
        <v>134</v>
      </c>
      <c r="Q56" s="14" t="s">
        <v>49</v>
      </c>
      <c r="R56" s="14" t="s">
        <v>134</v>
      </c>
      <c r="S56" s="14" t="s">
        <v>49</v>
      </c>
      <c r="T56" s="14" t="s">
        <v>134</v>
      </c>
      <c r="U56" s="14" t="s">
        <v>49</v>
      </c>
    </row>
    <row r="57" spans="2:21" hidden="1" x14ac:dyDescent="0.35">
      <c r="B57" s="87" t="s">
        <v>267</v>
      </c>
      <c r="C57" t="str">
        <f>INDEX($E$2:$R$77,MATCH(B57,$E$2:$E$77,0),MATCH(Placemat!$C$4,'Selection Pane Filters'!$E$2:$R$2,0))</f>
        <v>No</v>
      </c>
      <c r="E57" t="s">
        <v>263</v>
      </c>
      <c r="F57" s="14" t="s">
        <v>49</v>
      </c>
      <c r="G57" s="14" t="s">
        <v>134</v>
      </c>
      <c r="H57" s="14" t="s">
        <v>134</v>
      </c>
      <c r="I57" s="14" t="s">
        <v>134</v>
      </c>
      <c r="J57" s="14" t="s">
        <v>49</v>
      </c>
      <c r="K57" s="14" t="s">
        <v>49</v>
      </c>
      <c r="L57" s="14" t="s">
        <v>49</v>
      </c>
      <c r="M57" s="14" t="s">
        <v>49</v>
      </c>
      <c r="N57" s="14" t="s">
        <v>49</v>
      </c>
      <c r="O57" s="14" t="s">
        <v>134</v>
      </c>
      <c r="P57" s="14" t="s">
        <v>49</v>
      </c>
      <c r="Q57" s="14" t="s">
        <v>49</v>
      </c>
      <c r="R57" s="14" t="s">
        <v>49</v>
      </c>
      <c r="S57" s="14" t="s">
        <v>49</v>
      </c>
      <c r="T57" s="14" t="s">
        <v>49</v>
      </c>
      <c r="U57" s="14" t="s">
        <v>134</v>
      </c>
    </row>
    <row r="58" spans="2:21" hidden="1" x14ac:dyDescent="0.35">
      <c r="B58" s="87" t="s">
        <v>268</v>
      </c>
      <c r="C58" t="str">
        <f>INDEX($E$2:$R$77,MATCH(B58,$E$2:$E$77,0),MATCH(Placemat!$C$4,'Selection Pane Filters'!$E$2:$R$2,0))</f>
        <v>No</v>
      </c>
      <c r="E58" t="s">
        <v>232</v>
      </c>
      <c r="F58" s="14" t="s">
        <v>49</v>
      </c>
      <c r="G58" s="14" t="s">
        <v>134</v>
      </c>
      <c r="H58" s="14" t="s">
        <v>134</v>
      </c>
      <c r="I58" s="14" t="s">
        <v>134</v>
      </c>
      <c r="J58" s="14" t="s">
        <v>49</v>
      </c>
      <c r="K58" s="14" t="s">
        <v>49</v>
      </c>
      <c r="L58" s="14" t="s">
        <v>49</v>
      </c>
      <c r="M58" s="14" t="s">
        <v>49</v>
      </c>
      <c r="N58" s="14" t="s">
        <v>49</v>
      </c>
      <c r="O58" s="14" t="s">
        <v>49</v>
      </c>
      <c r="P58" s="14" t="s">
        <v>49</v>
      </c>
      <c r="Q58" s="14" t="s">
        <v>134</v>
      </c>
      <c r="R58" s="14" t="s">
        <v>134</v>
      </c>
      <c r="S58" s="14" t="s">
        <v>134</v>
      </c>
      <c r="T58" s="14" t="s">
        <v>49</v>
      </c>
      <c r="U58" s="14" t="s">
        <v>49</v>
      </c>
    </row>
    <row r="59" spans="2:21" hidden="1" x14ac:dyDescent="0.35">
      <c r="B59" s="87" t="s">
        <v>241</v>
      </c>
      <c r="C59" t="str">
        <f>INDEX($E$2:$R$77,MATCH(B59,$E$2:$E$77,0),MATCH(Placemat!$C$4,'Selection Pane Filters'!$E$2:$R$2,0))</f>
        <v>No</v>
      </c>
      <c r="E59" t="s">
        <v>247</v>
      </c>
      <c r="F59" s="14" t="s">
        <v>49</v>
      </c>
      <c r="G59" s="14" t="s">
        <v>134</v>
      </c>
      <c r="H59" s="14" t="s">
        <v>134</v>
      </c>
      <c r="I59" s="14" t="s">
        <v>134</v>
      </c>
      <c r="J59" s="14" t="s">
        <v>49</v>
      </c>
      <c r="K59" s="14" t="s">
        <v>49</v>
      </c>
      <c r="L59" s="14" t="s">
        <v>49</v>
      </c>
      <c r="M59" s="14" t="s">
        <v>49</v>
      </c>
      <c r="N59" s="14" t="s">
        <v>134</v>
      </c>
      <c r="O59" s="14" t="s">
        <v>134</v>
      </c>
      <c r="P59" s="14" t="s">
        <v>49</v>
      </c>
      <c r="Q59" s="14" t="s">
        <v>49</v>
      </c>
      <c r="R59" s="14" t="s">
        <v>49</v>
      </c>
      <c r="S59" s="14" t="s">
        <v>49</v>
      </c>
      <c r="T59" s="14" t="s">
        <v>49</v>
      </c>
      <c r="U59" s="14" t="s">
        <v>49</v>
      </c>
    </row>
    <row r="60" spans="2:21" hidden="1" x14ac:dyDescent="0.35">
      <c r="B60" s="87" t="s">
        <v>242</v>
      </c>
      <c r="C60" t="str">
        <f>INDEX($E$2:$R$77,MATCH(B60,$E$2:$E$77,0),MATCH(Placemat!$C$4,'Selection Pane Filters'!$E$2:$R$2,0))</f>
        <v>No</v>
      </c>
      <c r="E60" t="s">
        <v>241</v>
      </c>
      <c r="F60" s="14" t="s">
        <v>49</v>
      </c>
      <c r="G60" s="14" t="s">
        <v>134</v>
      </c>
      <c r="H60" s="14" t="s">
        <v>134</v>
      </c>
      <c r="I60" s="14" t="s">
        <v>134</v>
      </c>
      <c r="J60" s="14" t="s">
        <v>49</v>
      </c>
      <c r="K60" s="14" t="s">
        <v>49</v>
      </c>
      <c r="L60" s="14" t="s">
        <v>49</v>
      </c>
      <c r="M60" s="14" t="s">
        <v>49</v>
      </c>
      <c r="N60" s="14" t="s">
        <v>134</v>
      </c>
      <c r="O60" s="14" t="s">
        <v>134</v>
      </c>
      <c r="P60" s="14" t="s">
        <v>49</v>
      </c>
      <c r="Q60" s="14" t="s">
        <v>49</v>
      </c>
      <c r="R60" s="14" t="s">
        <v>49</v>
      </c>
      <c r="S60" s="14" t="s">
        <v>49</v>
      </c>
      <c r="T60" s="14" t="s">
        <v>49</v>
      </c>
      <c r="U60" s="14" t="s">
        <v>49</v>
      </c>
    </row>
    <row r="61" spans="2:21" ht="15" hidden="1" thickBot="1" x14ac:dyDescent="0.4">
      <c r="B61" s="89" t="s">
        <v>243</v>
      </c>
      <c r="C61" t="str">
        <f>INDEX($E$2:$R$77,MATCH(B61,$E$2:$E$77,0),MATCH(Placemat!$C$4,'Selection Pane Filters'!$E$2:$R$2,0))</f>
        <v>No</v>
      </c>
      <c r="E61" t="s">
        <v>246</v>
      </c>
      <c r="F61" s="14" t="s">
        <v>49</v>
      </c>
      <c r="G61" s="14" t="s">
        <v>134</v>
      </c>
      <c r="H61" s="14" t="s">
        <v>134</v>
      </c>
      <c r="I61" s="14" t="s">
        <v>134</v>
      </c>
      <c r="J61" s="14" t="s">
        <v>49</v>
      </c>
      <c r="K61" s="14" t="s">
        <v>49</v>
      </c>
      <c r="L61" s="14" t="s">
        <v>49</v>
      </c>
      <c r="M61" s="14" t="s">
        <v>49</v>
      </c>
      <c r="N61" s="14" t="s">
        <v>134</v>
      </c>
      <c r="O61" s="14" t="s">
        <v>134</v>
      </c>
      <c r="P61" s="14" t="s">
        <v>49</v>
      </c>
      <c r="Q61" s="14" t="s">
        <v>49</v>
      </c>
      <c r="R61" s="14" t="s">
        <v>49</v>
      </c>
      <c r="S61" s="14" t="s">
        <v>49</v>
      </c>
      <c r="T61" s="14" t="s">
        <v>49</v>
      </c>
      <c r="U61" s="14" t="s">
        <v>49</v>
      </c>
    </row>
    <row r="62" spans="2:21" hidden="1" x14ac:dyDescent="0.35">
      <c r="B62" s="87" t="s">
        <v>244</v>
      </c>
      <c r="C62" t="str">
        <f>INDEX($E$2:$R$77,MATCH(B62,$E$2:$E$77,0),MATCH(Placemat!$C$4,'Selection Pane Filters'!$E$2:$R$2,0))</f>
        <v>No</v>
      </c>
      <c r="E62" t="s">
        <v>244</v>
      </c>
      <c r="F62" s="14" t="s">
        <v>49</v>
      </c>
      <c r="G62" s="14" t="s">
        <v>134</v>
      </c>
      <c r="H62" s="14" t="s">
        <v>134</v>
      </c>
      <c r="I62" s="14" t="s">
        <v>134</v>
      </c>
      <c r="J62" s="14" t="s">
        <v>49</v>
      </c>
      <c r="K62" s="14" t="s">
        <v>49</v>
      </c>
      <c r="L62" s="14" t="s">
        <v>49</v>
      </c>
      <c r="M62" s="14" t="s">
        <v>49</v>
      </c>
      <c r="N62" s="14" t="s">
        <v>49</v>
      </c>
      <c r="O62" s="14" t="s">
        <v>134</v>
      </c>
      <c r="P62" s="14" t="s">
        <v>49</v>
      </c>
      <c r="Q62" s="14" t="s">
        <v>49</v>
      </c>
      <c r="R62" s="14" t="s">
        <v>49</v>
      </c>
      <c r="S62" s="14" t="s">
        <v>49</v>
      </c>
      <c r="T62" s="14" t="s">
        <v>49</v>
      </c>
      <c r="U62" s="14" t="s">
        <v>49</v>
      </c>
    </row>
    <row r="63" spans="2:21" hidden="1" x14ac:dyDescent="0.35">
      <c r="B63" s="87" t="s">
        <v>245</v>
      </c>
      <c r="C63" t="str">
        <f>INDEX($E$2:$R$77,MATCH(B63,$E$2:$E$77,0),MATCH(Placemat!$C$4,'Selection Pane Filters'!$E$2:$R$2,0))</f>
        <v>No</v>
      </c>
      <c r="E63" s="167" t="s">
        <v>226</v>
      </c>
      <c r="F63" s="14" t="s">
        <v>49</v>
      </c>
      <c r="G63" s="14" t="s">
        <v>134</v>
      </c>
      <c r="H63" s="14" t="s">
        <v>49</v>
      </c>
      <c r="I63" s="14" t="s">
        <v>134</v>
      </c>
      <c r="J63" s="14" t="s">
        <v>49</v>
      </c>
      <c r="K63" s="14" t="s">
        <v>49</v>
      </c>
      <c r="L63" s="14" t="s">
        <v>49</v>
      </c>
      <c r="M63" s="14" t="s">
        <v>134</v>
      </c>
      <c r="N63" s="14" t="s">
        <v>49</v>
      </c>
      <c r="O63" s="14" t="s">
        <v>49</v>
      </c>
      <c r="P63" s="14" t="s">
        <v>49</v>
      </c>
      <c r="Q63" s="14" t="s">
        <v>49</v>
      </c>
      <c r="R63" s="14" t="s">
        <v>49</v>
      </c>
      <c r="S63" s="14" t="s">
        <v>49</v>
      </c>
      <c r="T63" s="14" t="s">
        <v>49</v>
      </c>
      <c r="U63" s="14" t="s">
        <v>134</v>
      </c>
    </row>
    <row r="64" spans="2:21" hidden="1" x14ac:dyDescent="0.35">
      <c r="B64" s="87" t="s">
        <v>246</v>
      </c>
      <c r="C64" t="str">
        <f>INDEX($E$2:$R$77,MATCH(B64,$E$2:$E$77,0),MATCH(Placemat!$C$4,'Selection Pane Filters'!$E$2:$R$2,0))</f>
        <v>No</v>
      </c>
      <c r="E64" t="s">
        <v>234</v>
      </c>
      <c r="F64" s="14" t="s">
        <v>49</v>
      </c>
      <c r="G64" s="14" t="s">
        <v>134</v>
      </c>
      <c r="H64" s="14" t="s">
        <v>134</v>
      </c>
      <c r="I64" s="14" t="s">
        <v>134</v>
      </c>
      <c r="J64" s="14" t="s">
        <v>49</v>
      </c>
      <c r="K64" s="14" t="s">
        <v>49</v>
      </c>
      <c r="L64" s="14" t="s">
        <v>49</v>
      </c>
      <c r="M64" s="14" t="s">
        <v>49</v>
      </c>
      <c r="N64" s="14" t="s">
        <v>49</v>
      </c>
      <c r="O64" s="14" t="s">
        <v>134</v>
      </c>
      <c r="P64" s="14" t="s">
        <v>49</v>
      </c>
      <c r="Q64" s="14" t="s">
        <v>49</v>
      </c>
      <c r="R64" s="14" t="s">
        <v>49</v>
      </c>
      <c r="S64" s="14" t="s">
        <v>49</v>
      </c>
      <c r="T64" s="14" t="s">
        <v>49</v>
      </c>
      <c r="U64" s="14" t="s">
        <v>134</v>
      </c>
    </row>
    <row r="65" spans="2:21" hidden="1" x14ac:dyDescent="0.35">
      <c r="B65" s="87" t="s">
        <v>247</v>
      </c>
      <c r="C65" t="str">
        <f>INDEX($E$2:$R$77,MATCH(B65,$E$2:$E$77,0),MATCH(Placemat!$C$4,'Selection Pane Filters'!$E$2:$R$2,0))</f>
        <v>No</v>
      </c>
      <c r="E65" t="s">
        <v>256</v>
      </c>
      <c r="F65" s="14" t="s">
        <v>49</v>
      </c>
      <c r="G65" s="14" t="s">
        <v>134</v>
      </c>
      <c r="H65" s="14" t="s">
        <v>134</v>
      </c>
      <c r="I65" s="14" t="s">
        <v>134</v>
      </c>
      <c r="J65" s="14" t="s">
        <v>49</v>
      </c>
      <c r="K65" s="14" t="s">
        <v>49</v>
      </c>
      <c r="L65" s="14" t="s">
        <v>49</v>
      </c>
      <c r="M65" s="14" t="s">
        <v>49</v>
      </c>
      <c r="N65" s="14" t="s">
        <v>49</v>
      </c>
      <c r="O65" s="14" t="s">
        <v>134</v>
      </c>
      <c r="P65" s="14" t="s">
        <v>49</v>
      </c>
      <c r="Q65" s="14" t="s">
        <v>49</v>
      </c>
      <c r="R65" s="14" t="s">
        <v>49</v>
      </c>
      <c r="S65" s="14" t="s">
        <v>49</v>
      </c>
      <c r="T65" s="14" t="s">
        <v>49</v>
      </c>
      <c r="U65" s="14" t="s">
        <v>134</v>
      </c>
    </row>
    <row r="66" spans="2:21" hidden="1" x14ac:dyDescent="0.35">
      <c r="B66" s="87" t="s">
        <v>248</v>
      </c>
      <c r="C66" t="str">
        <f>INDEX($E$2:$R$77,MATCH(B66,$E$2:$E$77,0),MATCH(Placemat!$C$4,'Selection Pane Filters'!$E$2:$R$2,0))</f>
        <v>No</v>
      </c>
      <c r="E66" t="s">
        <v>224</v>
      </c>
      <c r="F66" s="14" t="s">
        <v>49</v>
      </c>
      <c r="G66" s="14" t="s">
        <v>134</v>
      </c>
      <c r="H66" s="14" t="s">
        <v>49</v>
      </c>
      <c r="I66" s="14" t="s">
        <v>134</v>
      </c>
      <c r="J66" s="14" t="s">
        <v>49</v>
      </c>
      <c r="K66" s="14" t="s">
        <v>134</v>
      </c>
      <c r="L66" s="14" t="s">
        <v>49</v>
      </c>
      <c r="M66" s="14" t="s">
        <v>49</v>
      </c>
      <c r="N66" s="14" t="s">
        <v>49</v>
      </c>
      <c r="O66" s="14" t="s">
        <v>49</v>
      </c>
      <c r="P66" s="14" t="s">
        <v>49</v>
      </c>
      <c r="Q66" s="14" t="s">
        <v>134</v>
      </c>
      <c r="R66" s="14" t="s">
        <v>134</v>
      </c>
      <c r="S66" s="14" t="s">
        <v>134</v>
      </c>
      <c r="T66" s="14" t="s">
        <v>49</v>
      </c>
      <c r="U66" s="14" t="s">
        <v>49</v>
      </c>
    </row>
    <row r="67" spans="2:21" hidden="1" x14ac:dyDescent="0.35">
      <c r="B67" s="87" t="s">
        <v>250</v>
      </c>
      <c r="C67" t="str">
        <f>INDEX($E$2:$R$77,MATCH(B67,$E$2:$E$77,0),MATCH(Placemat!$C$4,'Selection Pane Filters'!$E$2:$R$2,0))</f>
        <v>No</v>
      </c>
      <c r="E67" t="s">
        <v>229</v>
      </c>
      <c r="F67" s="14" t="s">
        <v>49</v>
      </c>
      <c r="G67" s="14" t="s">
        <v>134</v>
      </c>
      <c r="H67" s="14" t="s">
        <v>49</v>
      </c>
      <c r="I67" s="14" t="s">
        <v>134</v>
      </c>
      <c r="J67" s="14" t="s">
        <v>49</v>
      </c>
      <c r="K67" s="14" t="s">
        <v>134</v>
      </c>
      <c r="L67" s="14" t="s">
        <v>49</v>
      </c>
      <c r="M67" s="14" t="s">
        <v>49</v>
      </c>
      <c r="N67" s="14" t="s">
        <v>49</v>
      </c>
      <c r="O67" s="14" t="s">
        <v>49</v>
      </c>
      <c r="P67" s="14" t="s">
        <v>49</v>
      </c>
      <c r="Q67" s="14" t="s">
        <v>134</v>
      </c>
      <c r="R67" s="14" t="s">
        <v>134</v>
      </c>
      <c r="S67" s="14" t="s">
        <v>49</v>
      </c>
      <c r="T67" s="14" t="s">
        <v>49</v>
      </c>
      <c r="U67" s="14" t="s">
        <v>49</v>
      </c>
    </row>
    <row r="68" spans="2:21" ht="15" hidden="1" thickBot="1" x14ac:dyDescent="0.4">
      <c r="B68" s="89" t="s">
        <v>251</v>
      </c>
      <c r="C68" t="str">
        <f>INDEX($E$2:$R$77,MATCH(B68,$E$2:$E$77,0),MATCH(Placemat!$C$4,'Selection Pane Filters'!$E$2:$R$2,0))</f>
        <v>No</v>
      </c>
      <c r="E68" t="s">
        <v>245</v>
      </c>
      <c r="F68" s="14" t="s">
        <v>49</v>
      </c>
      <c r="G68" s="14" t="s">
        <v>134</v>
      </c>
      <c r="H68" s="14" t="s">
        <v>49</v>
      </c>
      <c r="I68" s="14" t="s">
        <v>134</v>
      </c>
      <c r="J68" s="14" t="s">
        <v>49</v>
      </c>
      <c r="K68" s="14" t="s">
        <v>134</v>
      </c>
      <c r="L68" s="14" t="s">
        <v>49</v>
      </c>
      <c r="M68" s="14" t="s">
        <v>49</v>
      </c>
      <c r="N68" s="14" t="s">
        <v>49</v>
      </c>
      <c r="O68" s="14" t="s">
        <v>49</v>
      </c>
      <c r="P68" s="14" t="s">
        <v>49</v>
      </c>
      <c r="Q68" s="14" t="s">
        <v>134</v>
      </c>
      <c r="R68" s="14" t="s">
        <v>134</v>
      </c>
      <c r="S68" s="14" t="s">
        <v>49</v>
      </c>
      <c r="T68" s="14" t="s">
        <v>49</v>
      </c>
      <c r="U68" s="14" t="s">
        <v>49</v>
      </c>
    </row>
    <row r="69" spans="2:21" hidden="1" x14ac:dyDescent="0.35">
      <c r="B69" s="88" t="s">
        <v>252</v>
      </c>
      <c r="C69" t="str">
        <f>INDEX($E$2:$R$77,MATCH(B69,$E$2:$E$77,0),MATCH(Placemat!$C$4,'Selection Pane Filters'!$E$2:$R$2,0))</f>
        <v>No</v>
      </c>
      <c r="E69" t="s">
        <v>186</v>
      </c>
      <c r="F69" s="14" t="s">
        <v>49</v>
      </c>
      <c r="G69" s="14" t="s">
        <v>134</v>
      </c>
      <c r="H69" s="14" t="s">
        <v>134</v>
      </c>
      <c r="I69" s="14" t="s">
        <v>134</v>
      </c>
      <c r="J69" s="14" t="s">
        <v>49</v>
      </c>
      <c r="K69" s="14" t="s">
        <v>49</v>
      </c>
      <c r="L69" s="14" t="s">
        <v>49</v>
      </c>
      <c r="M69" s="14" t="s">
        <v>49</v>
      </c>
      <c r="N69" s="14" t="s">
        <v>49</v>
      </c>
      <c r="O69" s="14" t="s">
        <v>134</v>
      </c>
      <c r="P69" s="14" t="s">
        <v>49</v>
      </c>
      <c r="Q69" s="14" t="s">
        <v>49</v>
      </c>
      <c r="R69" s="14" t="s">
        <v>49</v>
      </c>
      <c r="S69" s="14" t="s">
        <v>49</v>
      </c>
      <c r="T69" s="14" t="s">
        <v>49</v>
      </c>
      <c r="U69" s="14" t="s">
        <v>49</v>
      </c>
    </row>
    <row r="70" spans="2:21" hidden="1" x14ac:dyDescent="0.35">
      <c r="B70" s="87" t="s">
        <v>254</v>
      </c>
      <c r="C70" t="str">
        <f>INDEX($E$2:$R$77,MATCH(B70,$E$2:$E$77,0),MATCH(Placemat!$C$4,'Selection Pane Filters'!$E$2:$R$2,0))</f>
        <v>No</v>
      </c>
      <c r="E70" t="s">
        <v>238</v>
      </c>
      <c r="F70" s="14" t="s">
        <v>49</v>
      </c>
      <c r="G70" s="14" t="s">
        <v>134</v>
      </c>
      <c r="H70" s="14" t="s">
        <v>134</v>
      </c>
      <c r="I70" s="14" t="s">
        <v>134</v>
      </c>
      <c r="J70" s="14" t="s">
        <v>49</v>
      </c>
      <c r="K70" s="14" t="s">
        <v>49</v>
      </c>
      <c r="L70" s="14" t="s">
        <v>49</v>
      </c>
      <c r="M70" s="14" t="s">
        <v>49</v>
      </c>
      <c r="N70" s="14" t="s">
        <v>49</v>
      </c>
      <c r="O70" s="14" t="s">
        <v>134</v>
      </c>
      <c r="P70" s="14" t="s">
        <v>49</v>
      </c>
      <c r="Q70" s="14" t="s">
        <v>49</v>
      </c>
      <c r="R70" s="14" t="s">
        <v>49</v>
      </c>
      <c r="S70" s="14" t="s">
        <v>49</v>
      </c>
      <c r="T70" s="14" t="s">
        <v>49</v>
      </c>
      <c r="U70" s="14" t="s">
        <v>49</v>
      </c>
    </row>
    <row r="71" spans="2:21" ht="15" hidden="1" thickBot="1" x14ac:dyDescent="0.4">
      <c r="B71" s="89" t="s">
        <v>256</v>
      </c>
      <c r="C71" t="str">
        <f>INDEX($E$2:$R$77,MATCH(B71,$E$2:$E$77,0),MATCH(Placemat!$C$4,'Selection Pane Filters'!$E$2:$R$2,0))</f>
        <v>No</v>
      </c>
      <c r="E71" s="167" t="s">
        <v>258</v>
      </c>
      <c r="F71" s="14" t="s">
        <v>49</v>
      </c>
      <c r="G71" s="14" t="s">
        <v>134</v>
      </c>
      <c r="H71" s="14" t="s">
        <v>49</v>
      </c>
      <c r="I71" s="14" t="s">
        <v>49</v>
      </c>
      <c r="J71" s="14" t="s">
        <v>49</v>
      </c>
      <c r="K71" s="14" t="s">
        <v>49</v>
      </c>
      <c r="L71" s="14" t="s">
        <v>49</v>
      </c>
      <c r="M71" s="14" t="s">
        <v>49</v>
      </c>
      <c r="N71" s="14" t="s">
        <v>49</v>
      </c>
      <c r="O71" s="14" t="s">
        <v>49</v>
      </c>
      <c r="P71" s="14" t="s">
        <v>49</v>
      </c>
      <c r="Q71" s="14" t="s">
        <v>49</v>
      </c>
      <c r="R71" s="14" t="s">
        <v>49</v>
      </c>
      <c r="S71" s="14" t="s">
        <v>49</v>
      </c>
      <c r="T71" s="14" t="s">
        <v>49</v>
      </c>
      <c r="U71" s="14" t="s">
        <v>49</v>
      </c>
    </row>
    <row r="72" spans="2:21" hidden="1" x14ac:dyDescent="0.35">
      <c r="B72" s="88" t="s">
        <v>257</v>
      </c>
      <c r="C72" t="str">
        <f>INDEX($E$2:$R$77,MATCH(B72,$E$2:$E$77,0),MATCH(Placemat!$C$4,'Selection Pane Filters'!$E$2:$R$2,0))</f>
        <v>No</v>
      </c>
      <c r="E72" s="167" t="s">
        <v>236</v>
      </c>
      <c r="F72" s="14" t="s">
        <v>49</v>
      </c>
      <c r="G72" s="14" t="s">
        <v>134</v>
      </c>
      <c r="H72" s="14" t="s">
        <v>134</v>
      </c>
      <c r="I72" s="14" t="s">
        <v>134</v>
      </c>
      <c r="J72" s="14" t="s">
        <v>49</v>
      </c>
      <c r="K72" s="14" t="s">
        <v>49</v>
      </c>
      <c r="L72" s="14" t="s">
        <v>49</v>
      </c>
      <c r="M72" s="14" t="s">
        <v>49</v>
      </c>
      <c r="N72" s="14" t="s">
        <v>49</v>
      </c>
      <c r="O72" s="14" t="s">
        <v>49</v>
      </c>
      <c r="P72" s="14" t="s">
        <v>49</v>
      </c>
      <c r="Q72" s="14" t="s">
        <v>49</v>
      </c>
      <c r="R72" s="14" t="s">
        <v>49</v>
      </c>
      <c r="S72" s="14" t="s">
        <v>49</v>
      </c>
      <c r="T72" s="14" t="s">
        <v>49</v>
      </c>
      <c r="U72" s="14" t="s">
        <v>49</v>
      </c>
    </row>
    <row r="73" spans="2:21" hidden="1" x14ac:dyDescent="0.35">
      <c r="B73" s="87" t="s">
        <v>258</v>
      </c>
      <c r="C73" t="str">
        <f>INDEX($E$2:$R$77,MATCH(B73,$E$2:$E$77,0),MATCH(Placemat!$C$4,'Selection Pane Filters'!$E$2:$R$2,0))</f>
        <v>No</v>
      </c>
      <c r="E73" t="s">
        <v>261</v>
      </c>
      <c r="F73" s="14" t="s">
        <v>49</v>
      </c>
      <c r="G73" s="14" t="s">
        <v>134</v>
      </c>
      <c r="H73" s="14" t="s">
        <v>134</v>
      </c>
      <c r="I73" s="14" t="s">
        <v>134</v>
      </c>
      <c r="J73" s="14" t="s">
        <v>49</v>
      </c>
      <c r="K73" s="14" t="s">
        <v>49</v>
      </c>
      <c r="L73" s="14" t="s">
        <v>49</v>
      </c>
      <c r="M73" s="14" t="s">
        <v>49</v>
      </c>
      <c r="N73" s="14" t="s">
        <v>49</v>
      </c>
      <c r="O73" s="14" t="s">
        <v>49</v>
      </c>
      <c r="P73" s="14" t="s">
        <v>49</v>
      </c>
      <c r="Q73" s="14" t="s">
        <v>49</v>
      </c>
      <c r="R73" s="14" t="s">
        <v>49</v>
      </c>
      <c r="S73" s="14" t="s">
        <v>49</v>
      </c>
      <c r="T73" s="14" t="s">
        <v>49</v>
      </c>
      <c r="U73" s="14" t="s">
        <v>49</v>
      </c>
    </row>
    <row r="74" spans="2:21" hidden="1" x14ac:dyDescent="0.35">
      <c r="B74" s="87" t="s">
        <v>261</v>
      </c>
      <c r="C74" t="str">
        <f>INDEX($E$2:$R$77,MATCH(B74,$E$2:$E$77,0),MATCH(Placemat!$C$4,'Selection Pane Filters'!$E$2:$R$2,0))</f>
        <v>No</v>
      </c>
      <c r="E74" t="s">
        <v>264</v>
      </c>
      <c r="F74" s="14" t="s">
        <v>49</v>
      </c>
      <c r="G74" s="14" t="s">
        <v>134</v>
      </c>
      <c r="H74" s="14" t="s">
        <v>49</v>
      </c>
      <c r="I74" s="14" t="s">
        <v>49</v>
      </c>
      <c r="J74" s="14" t="s">
        <v>49</v>
      </c>
      <c r="K74" s="14" t="s">
        <v>49</v>
      </c>
      <c r="L74" s="14" t="s">
        <v>49</v>
      </c>
      <c r="M74" s="14" t="s">
        <v>49</v>
      </c>
      <c r="N74" s="14" t="s">
        <v>49</v>
      </c>
      <c r="O74" s="14" t="s">
        <v>49</v>
      </c>
      <c r="P74" s="14" t="s">
        <v>49</v>
      </c>
      <c r="Q74" s="14" t="s">
        <v>49</v>
      </c>
      <c r="R74" s="14" t="s">
        <v>49</v>
      </c>
      <c r="S74" s="14" t="s">
        <v>49</v>
      </c>
      <c r="T74" s="14" t="s">
        <v>49</v>
      </c>
      <c r="U74" s="14" t="s">
        <v>49</v>
      </c>
    </row>
    <row r="75" spans="2:21" ht="15" hidden="1" thickBot="1" x14ac:dyDescent="0.4">
      <c r="B75" s="89" t="s">
        <v>262</v>
      </c>
      <c r="C75" t="str">
        <f>INDEX($E$2:$R$77,MATCH(B75,$E$2:$E$77,0),MATCH(Placemat!$C$4,'Selection Pane Filters'!$E$2:$R$2,0))</f>
        <v>No</v>
      </c>
      <c r="E75" t="s">
        <v>193</v>
      </c>
      <c r="F75" s="14" t="s">
        <v>49</v>
      </c>
      <c r="G75" s="14" t="s">
        <v>134</v>
      </c>
      <c r="H75" s="14" t="s">
        <v>134</v>
      </c>
      <c r="I75" s="14" t="s">
        <v>134</v>
      </c>
      <c r="J75" s="14" t="s">
        <v>134</v>
      </c>
      <c r="K75" s="14" t="s">
        <v>49</v>
      </c>
      <c r="L75" s="14" t="s">
        <v>134</v>
      </c>
      <c r="M75" s="14" t="s">
        <v>134</v>
      </c>
      <c r="N75" s="14" t="s">
        <v>134</v>
      </c>
      <c r="O75" s="14" t="s">
        <v>134</v>
      </c>
      <c r="P75" s="14" t="s">
        <v>134</v>
      </c>
      <c r="Q75" s="14" t="s">
        <v>49</v>
      </c>
      <c r="R75" s="14" t="s">
        <v>134</v>
      </c>
      <c r="S75" s="14" t="s">
        <v>49</v>
      </c>
      <c r="T75" s="14" t="s">
        <v>49</v>
      </c>
      <c r="U75" s="14" t="s">
        <v>134</v>
      </c>
    </row>
    <row r="76" spans="2:21" hidden="1" x14ac:dyDescent="0.35">
      <c r="B76" t="s">
        <v>264</v>
      </c>
      <c r="C76" t="str">
        <f>INDEX($E$2:$R$77,MATCH(B76,$E$2:$E$77,0),MATCH(Placemat!$C$4,'Selection Pane Filters'!$E$2:$R$2,0))</f>
        <v>No</v>
      </c>
      <c r="E76" t="s">
        <v>200</v>
      </c>
      <c r="F76" s="14" t="s">
        <v>49</v>
      </c>
      <c r="G76" s="14" t="s">
        <v>134</v>
      </c>
      <c r="H76" s="14" t="s">
        <v>49</v>
      </c>
      <c r="I76" s="14" t="s">
        <v>49</v>
      </c>
      <c r="J76" s="14" t="s">
        <v>49</v>
      </c>
      <c r="K76" s="14" t="s">
        <v>49</v>
      </c>
      <c r="L76" s="14" t="s">
        <v>49</v>
      </c>
      <c r="M76" s="14" t="s">
        <v>49</v>
      </c>
      <c r="N76" s="14" t="s">
        <v>49</v>
      </c>
      <c r="O76" s="14" t="s">
        <v>49</v>
      </c>
      <c r="P76" s="14" t="s">
        <v>49</v>
      </c>
      <c r="Q76" s="14" t="s">
        <v>49</v>
      </c>
      <c r="R76" s="14" t="s">
        <v>49</v>
      </c>
      <c r="S76" s="14" t="s">
        <v>49</v>
      </c>
      <c r="T76" s="14" t="s">
        <v>49</v>
      </c>
      <c r="U76" s="14" t="s">
        <v>49</v>
      </c>
    </row>
  </sheetData>
  <autoFilter ref="B2:U76" xr:uid="{EC61ADF5-E11D-42A0-BD4A-FA9B73C8B852}">
    <filterColumn colId="3">
      <filters>
        <filter val="Exchange Admin Center"/>
        <filter val="Microsoft 365 Admin Center"/>
      </filters>
    </filterColumn>
  </autoFilter>
  <mergeCells count="1">
    <mergeCell ref="E1:I1"/>
  </mergeCells>
  <conditionalFormatting sqref="B3:B75">
    <cfRule type="expression" dxfId="11" priority="1">
      <formula>D3="S"</formula>
    </cfRule>
    <cfRule type="expression" dxfId="10" priority="2">
      <formula>D3="P"</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32E4C8-8C11-4795-BF0D-6F6CB5C97E88}">
  <sheetPr codeName="Sheet4"/>
  <dimension ref="B2:J188"/>
  <sheetViews>
    <sheetView topLeftCell="A2" workbookViewId="0">
      <selection activeCell="B2" sqref="B2"/>
    </sheetView>
  </sheetViews>
  <sheetFormatPr defaultColWidth="8.6328125" defaultRowHeight="14.5" x14ac:dyDescent="0.35"/>
  <cols>
    <col min="2" max="2" width="12.453125" bestFit="1" customWidth="1"/>
    <col min="3" max="3" width="12.453125" customWidth="1"/>
    <col min="4" max="4" width="77" customWidth="1"/>
    <col min="5" max="6" width="24.6328125" customWidth="1"/>
    <col min="7" max="7" width="31.36328125" bestFit="1" customWidth="1"/>
    <col min="8" max="8" width="25.6328125" customWidth="1"/>
  </cols>
  <sheetData>
    <row r="2" spans="2:10" ht="29" x14ac:dyDescent="0.35">
      <c r="B2" s="26" t="s">
        <v>288</v>
      </c>
      <c r="C2" s="26" t="s">
        <v>276</v>
      </c>
      <c r="D2" s="26" t="s">
        <v>227</v>
      </c>
      <c r="E2" s="14" t="s">
        <v>628</v>
      </c>
      <c r="F2" s="14" t="s">
        <v>629</v>
      </c>
      <c r="G2" s="26" t="s">
        <v>630</v>
      </c>
      <c r="H2" s="26" t="s">
        <v>631</v>
      </c>
    </row>
    <row r="3" spans="2:10" ht="145" x14ac:dyDescent="0.35">
      <c r="B3" s="26" t="s">
        <v>292</v>
      </c>
      <c r="C3" s="26" t="str">
        <f>VLOOKUP(Table7[[#This Row],[Legacy Practices]],List!$E$2:$G$173,2,FALSE)</f>
        <v>AC.L1-3.1.1</v>
      </c>
      <c r="D3" s="27" t="s">
        <v>632</v>
      </c>
      <c r="E3" s="84" t="s">
        <v>633</v>
      </c>
      <c r="F3" s="84" t="s">
        <v>634</v>
      </c>
      <c r="G3" s="26" t="str">
        <f>VLOOKUP(Table7[[#This Row],[Legacy Practices]],List!$E$2:$G$173,3,FALSE)</f>
        <v>Shared Coverage</v>
      </c>
      <c r="H3" s="26" t="s">
        <v>635</v>
      </c>
      <c r="J3" s="4"/>
    </row>
    <row r="4" spans="2:10" ht="174" x14ac:dyDescent="0.35">
      <c r="B4" s="26" t="s">
        <v>293</v>
      </c>
      <c r="C4" s="26" t="str">
        <f>VLOOKUP(Table7[[#This Row],[Legacy Practices]],List!$E$2:$G$173,2,FALSE)</f>
        <v>AC.L1-3.1.2</v>
      </c>
      <c r="D4" s="27" t="s">
        <v>636</v>
      </c>
      <c r="E4" s="84" t="s">
        <v>637</v>
      </c>
      <c r="F4" s="84" t="s">
        <v>638</v>
      </c>
      <c r="G4" s="26" t="str">
        <f>VLOOKUP(Table7[[#This Row],[Legacy Practices]],List!$E$2:$G$173,3,FALSE)</f>
        <v>Shared Coverage</v>
      </c>
      <c r="H4" s="26" t="s">
        <v>639</v>
      </c>
    </row>
    <row r="5" spans="2:10" ht="116" x14ac:dyDescent="0.35">
      <c r="B5" s="26" t="s">
        <v>294</v>
      </c>
      <c r="C5" s="26" t="str">
        <f>VLOOKUP(Table7[[#This Row],[Legacy Practices]],List!$E$2:$G$173,2,FALSE)</f>
        <v>AC.L1-3.1.20</v>
      </c>
      <c r="D5" s="27" t="s">
        <v>640</v>
      </c>
      <c r="E5" s="84" t="s">
        <v>641</v>
      </c>
      <c r="F5" s="84" t="s">
        <v>642</v>
      </c>
      <c r="G5" s="26" t="str">
        <f>VLOOKUP(Table7[[#This Row],[Legacy Practices]],List!$E$2:$G$173,3,FALSE)</f>
        <v>Shared Coverage</v>
      </c>
      <c r="H5" s="26" t="s">
        <v>643</v>
      </c>
    </row>
    <row r="6" spans="2:10" ht="101.5" x14ac:dyDescent="0.35">
      <c r="B6" s="26" t="s">
        <v>295</v>
      </c>
      <c r="C6" s="26" t="str">
        <f>VLOOKUP(Table7[[#This Row],[Legacy Practices]],List!$E$2:$G$173,2,FALSE)</f>
        <v>AC.L1-3.1.22</v>
      </c>
      <c r="D6" s="27" t="s">
        <v>644</v>
      </c>
      <c r="E6" s="84" t="s">
        <v>645</v>
      </c>
      <c r="F6" s="84" t="s">
        <v>646</v>
      </c>
      <c r="G6" s="26" t="str">
        <f>VLOOKUP(Table7[[#This Row],[Legacy Practices]],List!$E$2:$G$173,3,FALSE)</f>
        <v>Shared Coverage</v>
      </c>
      <c r="H6" s="26" t="s">
        <v>647</v>
      </c>
    </row>
    <row r="7" spans="2:10" ht="43.5" x14ac:dyDescent="0.35">
      <c r="B7" s="26" t="s">
        <v>296</v>
      </c>
      <c r="C7" s="26" t="str">
        <f>VLOOKUP(Table7[[#This Row],[Legacy Practices]],List!$E$2:$G$173,2,FALSE)</f>
        <v>AC.L2-3.1.9</v>
      </c>
      <c r="D7" s="27" t="s">
        <v>648</v>
      </c>
      <c r="E7" s="84" t="s">
        <v>649</v>
      </c>
      <c r="F7" s="84" t="s">
        <v>650</v>
      </c>
      <c r="G7" s="26" t="str">
        <f>VLOOKUP(Table7[[#This Row],[Legacy Practices]],List!$E$2:$G$173,3,FALSE)</f>
        <v>Shared Coverage</v>
      </c>
      <c r="H7" s="26" t="s">
        <v>651</v>
      </c>
    </row>
    <row r="8" spans="2:10" ht="58" x14ac:dyDescent="0.35">
      <c r="B8" s="26" t="s">
        <v>297</v>
      </c>
      <c r="C8" s="26" t="str">
        <f>VLOOKUP(Table7[[#This Row],[Legacy Practices]],List!$E$2:$G$173,2,FALSE)</f>
        <v>AC.L2-3.1.21</v>
      </c>
      <c r="D8" s="27" t="s">
        <v>652</v>
      </c>
      <c r="E8" s="84" t="s">
        <v>653</v>
      </c>
      <c r="F8" s="84" t="s">
        <v>654</v>
      </c>
      <c r="G8" s="26" t="str">
        <f>VLOOKUP(Table7[[#This Row],[Legacy Practices]],List!$E$2:$G$173,3,FALSE)</f>
        <v>Customer Responsibility</v>
      </c>
      <c r="H8" s="26" t="s">
        <v>655</v>
      </c>
    </row>
    <row r="9" spans="2:10" ht="72.5" x14ac:dyDescent="0.35">
      <c r="B9" s="26" t="s">
        <v>298</v>
      </c>
      <c r="C9" s="26" t="str">
        <f>VLOOKUP(Table7[[#This Row],[Legacy Practices]],List!$E$2:$G$173,2,FALSE)</f>
        <v>AC.L2-3.1.5</v>
      </c>
      <c r="D9" s="27" t="s">
        <v>656</v>
      </c>
      <c r="E9" s="84" t="s">
        <v>657</v>
      </c>
      <c r="F9" s="84" t="s">
        <v>658</v>
      </c>
      <c r="G9" s="26" t="str">
        <f>VLOOKUP(Table7[[#This Row],[Legacy Practices]],List!$E$2:$G$173,3,FALSE)</f>
        <v>Shared Coverage</v>
      </c>
      <c r="H9" s="26" t="s">
        <v>659</v>
      </c>
    </row>
    <row r="10" spans="2:10" ht="72.5" x14ac:dyDescent="0.35">
      <c r="B10" s="26" t="s">
        <v>299</v>
      </c>
      <c r="C10" s="26" t="str">
        <f>VLOOKUP(Table7[[#This Row],[Legacy Practices]],List!$E$2:$G$173,2,FALSE)</f>
        <v>AC.L2-3.1.6</v>
      </c>
      <c r="D10" s="27" t="s">
        <v>660</v>
      </c>
      <c r="E10" s="84" t="s">
        <v>661</v>
      </c>
      <c r="F10" s="84" t="s">
        <v>662</v>
      </c>
      <c r="G10" s="26" t="str">
        <f>VLOOKUP(Table7[[#This Row],[Legacy Practices]],List!$E$2:$G$173,3,FALSE)</f>
        <v>Shared Coverage</v>
      </c>
      <c r="H10" s="26" t="s">
        <v>663</v>
      </c>
    </row>
    <row r="11" spans="2:10" ht="43.5" x14ac:dyDescent="0.35">
      <c r="B11" s="26" t="s">
        <v>300</v>
      </c>
      <c r="C11" s="26" t="str">
        <f>VLOOKUP(Table7[[#This Row],[Legacy Practices]],List!$E$2:$G$173,2,FALSE)</f>
        <v>AC.L2-3.1.8</v>
      </c>
      <c r="D11" s="27" t="s">
        <v>664</v>
      </c>
      <c r="E11" s="84" t="s">
        <v>665</v>
      </c>
      <c r="F11" s="84" t="s">
        <v>666</v>
      </c>
      <c r="G11" s="26" t="str">
        <f>VLOOKUP(Table7[[#This Row],[Legacy Practices]],List!$E$2:$G$173,3,FALSE)</f>
        <v>Shared Coverage</v>
      </c>
      <c r="H11" s="26" t="s">
        <v>667</v>
      </c>
    </row>
    <row r="12" spans="2:10" ht="72.5" x14ac:dyDescent="0.35">
      <c r="B12" s="26" t="s">
        <v>301</v>
      </c>
      <c r="C12" s="26" t="str">
        <f>VLOOKUP(Table7[[#This Row],[Legacy Practices]],List!$E$2:$G$173,2,FALSE)</f>
        <v>AC.L2-3.1.10</v>
      </c>
      <c r="D12" s="27" t="s">
        <v>668</v>
      </c>
      <c r="E12" s="84" t="s">
        <v>669</v>
      </c>
      <c r="F12" s="84" t="s">
        <v>670</v>
      </c>
      <c r="G12" s="26" t="str">
        <f>VLOOKUP(Table7[[#This Row],[Legacy Practices]],List!$E$2:$G$173,3,FALSE)</f>
        <v>Shared Coverage</v>
      </c>
      <c r="H12" s="26" t="s">
        <v>671</v>
      </c>
    </row>
    <row r="13" spans="2:10" ht="43.5" x14ac:dyDescent="0.35">
      <c r="B13" s="26" t="s">
        <v>302</v>
      </c>
      <c r="C13" s="26" t="str">
        <f>VLOOKUP(Table7[[#This Row],[Legacy Practices]],List!$E$2:$G$173,2,FALSE)</f>
        <v>AC.L2-3.1.16</v>
      </c>
      <c r="D13" s="27" t="s">
        <v>672</v>
      </c>
      <c r="E13" s="84" t="s">
        <v>266</v>
      </c>
      <c r="F13" s="84" t="s">
        <v>673</v>
      </c>
      <c r="G13" s="26" t="str">
        <f>VLOOKUP(Table7[[#This Row],[Legacy Practices]],List!$E$2:$G$173,3,FALSE)</f>
        <v>Customer Responsibility</v>
      </c>
      <c r="H13" s="26" t="s">
        <v>674</v>
      </c>
    </row>
    <row r="14" spans="2:10" ht="130.5" x14ac:dyDescent="0.35">
      <c r="B14" s="26" t="s">
        <v>303</v>
      </c>
      <c r="C14" s="26" t="str">
        <f>VLOOKUP(Table7[[#This Row],[Legacy Practices]],List!$E$2:$G$173,2,FALSE)</f>
        <v>AC.L2-3.1.12</v>
      </c>
      <c r="D14" s="27" t="s">
        <v>675</v>
      </c>
      <c r="E14" s="84" t="s">
        <v>676</v>
      </c>
      <c r="F14" s="84" t="s">
        <v>677</v>
      </c>
      <c r="G14" s="26" t="str">
        <f>VLOOKUP(Table7[[#This Row],[Legacy Practices]],List!$E$2:$G$173,3,FALSE)</f>
        <v>Shared Coverage</v>
      </c>
      <c r="H14" s="26" t="s">
        <v>678</v>
      </c>
    </row>
    <row r="15" spans="2:10" ht="116" x14ac:dyDescent="0.35">
      <c r="B15" s="26" t="s">
        <v>304</v>
      </c>
      <c r="C15" s="26" t="str">
        <f>VLOOKUP(Table7[[#This Row],[Legacy Practices]],List!$E$2:$G$173,2,FALSE)</f>
        <v>AC.L2-3.1.14</v>
      </c>
      <c r="D15" s="27" t="s">
        <v>679</v>
      </c>
      <c r="E15" s="84" t="s">
        <v>680</v>
      </c>
      <c r="F15" s="84" t="s">
        <v>681</v>
      </c>
      <c r="G15" s="26" t="str">
        <f>VLOOKUP(Table7[[#This Row],[Legacy Practices]],List!$E$2:$G$173,3,FALSE)</f>
        <v>Shared Coverage</v>
      </c>
      <c r="H15" s="26" t="s">
        <v>682</v>
      </c>
    </row>
    <row r="16" spans="2:10" ht="159.5" x14ac:dyDescent="0.35">
      <c r="B16" s="26" t="s">
        <v>305</v>
      </c>
      <c r="C16" s="26" t="str">
        <f>VLOOKUP(Table7[[#This Row],[Legacy Practices]],List!$E$2:$G$173,2,FALSE)</f>
        <v>AC.L2-3.1.3</v>
      </c>
      <c r="D16" s="27" t="s">
        <v>683</v>
      </c>
      <c r="E16" s="84" t="s">
        <v>684</v>
      </c>
      <c r="F16" s="84" t="s">
        <v>685</v>
      </c>
      <c r="G16" s="26" t="str">
        <f>VLOOKUP(Table7[[#This Row],[Legacy Practices]],List!$E$2:$G$173,3,FALSE)</f>
        <v>Shared Coverage</v>
      </c>
      <c r="H16" s="26" t="s">
        <v>686</v>
      </c>
    </row>
    <row r="17" spans="2:8" ht="43.5" x14ac:dyDescent="0.35">
      <c r="B17" s="26" t="s">
        <v>306</v>
      </c>
      <c r="C17" s="26" t="str">
        <f>VLOOKUP(Table7[[#This Row],[Legacy Practices]],List!$E$2:$G$173,2,FALSE)</f>
        <v>AC.L2-3.1.17</v>
      </c>
      <c r="D17" s="27" t="s">
        <v>687</v>
      </c>
      <c r="E17" s="84" t="s">
        <v>688</v>
      </c>
      <c r="F17" s="84" t="s">
        <v>689</v>
      </c>
      <c r="G17" s="26" t="str">
        <f>VLOOKUP(Table7[[#This Row],[Legacy Practices]],List!$E$2:$G$173,3,FALSE)</f>
        <v>Customer Responsibility</v>
      </c>
      <c r="H17" s="26" t="s">
        <v>690</v>
      </c>
    </row>
    <row r="18" spans="2:8" ht="159.5" x14ac:dyDescent="0.35">
      <c r="B18" s="26" t="s">
        <v>307</v>
      </c>
      <c r="C18" s="26" t="str">
        <f>VLOOKUP(Table7[[#This Row],[Legacy Practices]],List!$E$2:$G$173,2,FALSE)</f>
        <v>AC.L2-3.1.13</v>
      </c>
      <c r="D18" s="27" t="s">
        <v>691</v>
      </c>
      <c r="E18" s="84" t="s">
        <v>692</v>
      </c>
      <c r="F18" s="84" t="s">
        <v>693</v>
      </c>
      <c r="G18" s="26" t="str">
        <f>VLOOKUP(Table7[[#This Row],[Legacy Practices]],List!$E$2:$G$173,3,FALSE)</f>
        <v>Shared Coverage</v>
      </c>
      <c r="H18" s="26" t="s">
        <v>694</v>
      </c>
    </row>
    <row r="19" spans="2:8" ht="29" x14ac:dyDescent="0.35">
      <c r="B19" s="26" t="s">
        <v>308</v>
      </c>
      <c r="C19" s="26" t="str">
        <f>VLOOKUP(Table7[[#This Row],[Legacy Practices]],List!$E$2:$G$173,2,FALSE)</f>
        <v>AC.L2-3.1.4</v>
      </c>
      <c r="D19" s="27" t="s">
        <v>695</v>
      </c>
      <c r="E19" s="84" t="s">
        <v>696</v>
      </c>
      <c r="F19" s="84" t="s">
        <v>697</v>
      </c>
      <c r="G19" s="26" t="str">
        <f>VLOOKUP(Table7[[#This Row],[Legacy Practices]],List!$E$2:$G$173,3,FALSE)</f>
        <v>Customer Responsibility</v>
      </c>
      <c r="H19" s="26" t="s">
        <v>698</v>
      </c>
    </row>
    <row r="20" spans="2:8" ht="116" x14ac:dyDescent="0.35">
      <c r="B20" s="26" t="s">
        <v>309</v>
      </c>
      <c r="C20" s="26" t="str">
        <f>VLOOKUP(Table7[[#This Row],[Legacy Practices]],List!$E$2:$G$173,2,FALSE)</f>
        <v>AC.L2-3.1.7</v>
      </c>
      <c r="D20" s="27" t="s">
        <v>699</v>
      </c>
      <c r="E20" s="84" t="s">
        <v>700</v>
      </c>
      <c r="F20" s="84" t="s">
        <v>701</v>
      </c>
      <c r="G20" s="26" t="str">
        <f>VLOOKUP(Table7[[#This Row],[Legacy Practices]],List!$E$2:$G$173,3,FALSE)</f>
        <v>Shared Coverage</v>
      </c>
      <c r="H20" s="26" t="s">
        <v>702</v>
      </c>
    </row>
    <row r="21" spans="2:8" ht="159.5" x14ac:dyDescent="0.35">
      <c r="B21" s="26" t="s">
        <v>310</v>
      </c>
      <c r="C21" s="26" t="str">
        <f>VLOOKUP(Table7[[#This Row],[Legacy Practices]],List!$E$2:$G$173,2,FALSE)</f>
        <v>AC.L2-3.1.11</v>
      </c>
      <c r="D21" s="27" t="s">
        <v>703</v>
      </c>
      <c r="E21" s="84" t="s">
        <v>704</v>
      </c>
      <c r="F21" s="84" t="s">
        <v>705</v>
      </c>
      <c r="G21" s="26" t="str">
        <f>VLOOKUP(Table7[[#This Row],[Legacy Practices]],List!$E$2:$G$173,3,FALSE)</f>
        <v>Shared Coverage</v>
      </c>
      <c r="H21" s="26" t="s">
        <v>706</v>
      </c>
    </row>
    <row r="22" spans="2:8" ht="72.5" x14ac:dyDescent="0.35">
      <c r="B22" s="26" t="s">
        <v>311</v>
      </c>
      <c r="C22" s="26" t="str">
        <f>VLOOKUP(Table7[[#This Row],[Legacy Practices]],List!$E$2:$G$173,2,FALSE)</f>
        <v>AC.L2-3.1.18</v>
      </c>
      <c r="D22" s="27" t="s">
        <v>707</v>
      </c>
      <c r="E22" s="84" t="s">
        <v>266</v>
      </c>
      <c r="F22" s="84" t="s">
        <v>708</v>
      </c>
      <c r="G22" s="26" t="str">
        <f>VLOOKUP(Table7[[#This Row],[Legacy Practices]],List!$E$2:$G$173,3,FALSE)</f>
        <v>Shared Coverage</v>
      </c>
      <c r="H22" s="26" t="s">
        <v>709</v>
      </c>
    </row>
    <row r="23" spans="2:8" ht="130.5" x14ac:dyDescent="0.35">
      <c r="B23" s="26" t="s">
        <v>312</v>
      </c>
      <c r="C23" s="26" t="str">
        <f>VLOOKUP(Table7[[#This Row],[Legacy Practices]],List!$E$2:$G$173,2,FALSE)</f>
        <v>AC.L2-3.1.15</v>
      </c>
      <c r="D23" s="27" t="s">
        <v>710</v>
      </c>
      <c r="E23" s="84" t="s">
        <v>711</v>
      </c>
      <c r="F23" s="84" t="s">
        <v>712</v>
      </c>
      <c r="G23" s="26" t="str">
        <f>VLOOKUP(Table7[[#This Row],[Legacy Practices]],List!$E$2:$G$173,3,FALSE)</f>
        <v>Shared Coverage</v>
      </c>
      <c r="H23" s="26" t="s">
        <v>713</v>
      </c>
    </row>
    <row r="24" spans="2:8" ht="58" x14ac:dyDescent="0.35">
      <c r="B24" s="26" t="s">
        <v>313</v>
      </c>
      <c r="C24" s="26" t="str">
        <f>VLOOKUP(Table7[[#This Row],[Legacy Practices]],List!$E$2:$G$173,2,FALSE)</f>
        <v>AC.L2-3.1.19</v>
      </c>
      <c r="D24" s="27" t="s">
        <v>714</v>
      </c>
      <c r="E24" s="84" t="s">
        <v>715</v>
      </c>
      <c r="F24" s="84" t="s">
        <v>716</v>
      </c>
      <c r="G24" s="26" t="str">
        <f>VLOOKUP(Table7[[#This Row],[Legacy Practices]],List!$E$2:$G$173,3,FALSE)</f>
        <v>Shared Coverage</v>
      </c>
      <c r="H24" s="26" t="s">
        <v>717</v>
      </c>
    </row>
    <row r="25" spans="2:8" x14ac:dyDescent="0.35">
      <c r="B25" s="26" t="s">
        <v>314</v>
      </c>
      <c r="C25" s="26" t="str">
        <f>VLOOKUP(Table7[[#This Row],[Legacy Practices]],List!$E$2:$G$173,2,FALSE)</f>
        <v>AC.L3-1</v>
      </c>
      <c r="D25" s="27" t="s">
        <v>718</v>
      </c>
      <c r="E25" s="84" t="e">
        <v>#N/A</v>
      </c>
      <c r="F25" s="84" t="e">
        <v>#N/A</v>
      </c>
      <c r="G25" s="26" t="str">
        <f>VLOOKUP(Table7[[#This Row],[Legacy Practices]],List!$E$2:$G$173,3,FALSE)</f>
        <v>Not Applicable</v>
      </c>
      <c r="H25" s="26" t="s">
        <v>719</v>
      </c>
    </row>
    <row r="26" spans="2:8" x14ac:dyDescent="0.35">
      <c r="B26" s="26" t="s">
        <v>315</v>
      </c>
      <c r="C26" s="26" t="str">
        <f>VLOOKUP(Table7[[#This Row],[Legacy Practices]],List!$E$2:$G$173,2,FALSE)</f>
        <v>N/A</v>
      </c>
      <c r="D26" s="27" t="s">
        <v>720</v>
      </c>
      <c r="E26" s="84" t="e">
        <v>#N/A</v>
      </c>
      <c r="F26" s="84" t="e">
        <v>#N/A</v>
      </c>
      <c r="G26" s="26" t="str">
        <f>VLOOKUP(Table7[[#This Row],[Legacy Practices]],List!$E$2:$G$173,3,FALSE)</f>
        <v>Not Applicable</v>
      </c>
      <c r="H26" s="26" t="s">
        <v>719</v>
      </c>
    </row>
    <row r="27" spans="2:8" ht="39" x14ac:dyDescent="0.35">
      <c r="B27" s="26" t="s">
        <v>316</v>
      </c>
      <c r="C27" s="26" t="str">
        <f>VLOOKUP(Table7[[#This Row],[Legacy Practices]],List!$E$2:$G$173,2,FALSE)</f>
        <v>N/A</v>
      </c>
      <c r="D27" s="27" t="s">
        <v>721</v>
      </c>
      <c r="E27" s="84" t="e">
        <v>#N/A</v>
      </c>
      <c r="F27" s="84" t="e">
        <v>#N/A</v>
      </c>
      <c r="G27" s="26" t="str">
        <f>VLOOKUP(Table7[[#This Row],[Legacy Practices]],List!$E$2:$G$173,3,FALSE)</f>
        <v>Not Applicable</v>
      </c>
      <c r="H27" s="26" t="s">
        <v>719</v>
      </c>
    </row>
    <row r="28" spans="2:8" ht="26" x14ac:dyDescent="0.35">
      <c r="B28" s="26" t="s">
        <v>317</v>
      </c>
      <c r="C28" s="26" t="str">
        <f>VLOOKUP(Table7[[#This Row],[Legacy Practices]],List!$E$2:$G$173,2,FALSE)</f>
        <v>N/A</v>
      </c>
      <c r="D28" s="27" t="s">
        <v>722</v>
      </c>
      <c r="E28" s="84" t="e">
        <v>#N/A</v>
      </c>
      <c r="F28" s="84" t="e">
        <v>#N/A</v>
      </c>
      <c r="G28" s="26" t="str">
        <f>VLOOKUP(Table7[[#This Row],[Legacy Practices]],List!$E$2:$G$173,3,FALSE)</f>
        <v>Not Applicable</v>
      </c>
      <c r="H28" s="26" t="s">
        <v>719</v>
      </c>
    </row>
    <row r="29" spans="2:8" x14ac:dyDescent="0.35">
      <c r="B29" s="26" t="s">
        <v>318</v>
      </c>
      <c r="C29" s="26" t="str">
        <f>VLOOKUP(Table7[[#This Row],[Legacy Practices]],List!$E$2:$G$173,2,FALSE)</f>
        <v>N/A</v>
      </c>
      <c r="D29" s="27" t="s">
        <v>723</v>
      </c>
      <c r="E29" s="84" t="e">
        <v>#N/A</v>
      </c>
      <c r="F29" s="84" t="e">
        <v>#N/A</v>
      </c>
      <c r="G29" s="26" t="str">
        <f>VLOOKUP(Table7[[#This Row],[Legacy Practices]],List!$E$2:$G$173,3,FALSE)</f>
        <v>Customer Responsibility</v>
      </c>
      <c r="H29" s="26" t="s">
        <v>719</v>
      </c>
    </row>
    <row r="30" spans="2:8" ht="26" x14ac:dyDescent="0.35">
      <c r="B30" s="26" t="s">
        <v>319</v>
      </c>
      <c r="C30" s="26" t="str">
        <f>VLOOKUP(Table7[[#This Row],[Legacy Practices]],List!$E$2:$G$173,2,FALSE)</f>
        <v>N/A</v>
      </c>
      <c r="D30" s="27" t="s">
        <v>724</v>
      </c>
      <c r="E30" s="84" t="e">
        <v>#N/A</v>
      </c>
      <c r="F30" s="84" t="e">
        <v>#N/A</v>
      </c>
      <c r="G30" s="26" t="str">
        <f>VLOOKUP(Table7[[#This Row],[Legacy Practices]],List!$E$2:$G$173,3,FALSE)</f>
        <v>Not Applicable</v>
      </c>
      <c r="H30" s="26" t="s">
        <v>719</v>
      </c>
    </row>
    <row r="31" spans="2:8" ht="116" x14ac:dyDescent="0.35">
      <c r="B31" s="26" t="s">
        <v>320</v>
      </c>
      <c r="C31" s="26" t="str">
        <f>VLOOKUP(Table7[[#This Row],[Legacy Practices]],List!$E$2:$G$173,2,FALSE)</f>
        <v>AT.L2-3.2.1</v>
      </c>
      <c r="D31" s="27" t="s">
        <v>725</v>
      </c>
      <c r="E31" s="84" t="s">
        <v>510</v>
      </c>
      <c r="F31" s="84" t="s">
        <v>726</v>
      </c>
      <c r="G31" s="26" t="str">
        <f>VLOOKUP(Table7[[#This Row],[Legacy Practices]],List!$E$2:$G$173,3,FALSE)</f>
        <v>Customer Responsibility</v>
      </c>
      <c r="H31" s="26" t="s">
        <v>727</v>
      </c>
    </row>
    <row r="32" spans="2:8" ht="72.5" x14ac:dyDescent="0.35">
      <c r="B32" s="26" t="s">
        <v>321</v>
      </c>
      <c r="C32" s="26" t="str">
        <f>VLOOKUP(Table7[[#This Row],[Legacy Practices]],List!$E$2:$G$173,2,FALSE)</f>
        <v>AT.L2-3.2.2</v>
      </c>
      <c r="D32" s="27" t="s">
        <v>728</v>
      </c>
      <c r="E32" s="84" t="s">
        <v>510</v>
      </c>
      <c r="F32" s="84" t="s">
        <v>729</v>
      </c>
      <c r="G32" s="26" t="str">
        <f>VLOOKUP(Table7[[#This Row],[Legacy Practices]],List!$E$2:$G$173,3,FALSE)</f>
        <v>Customer Responsibility</v>
      </c>
      <c r="H32" s="26" t="s">
        <v>730</v>
      </c>
    </row>
    <row r="33" spans="2:8" ht="72.5" x14ac:dyDescent="0.35">
      <c r="B33" s="26" t="s">
        <v>322</v>
      </c>
      <c r="C33" s="26" t="str">
        <f>VLOOKUP(Table7[[#This Row],[Legacy Practices]],List!$E$2:$G$173,2,FALSE)</f>
        <v>AT.L2-3.2.3</v>
      </c>
      <c r="D33" s="27" t="s">
        <v>731</v>
      </c>
      <c r="E33" s="84" t="s">
        <v>510</v>
      </c>
      <c r="F33" s="84" t="s">
        <v>729</v>
      </c>
      <c r="G33" s="26" t="str">
        <f>VLOOKUP(Table7[[#This Row],[Legacy Practices]],List!$E$2:$G$173,3,FALSE)</f>
        <v>Customer Responsibility</v>
      </c>
      <c r="H33" s="26" t="s">
        <v>732</v>
      </c>
    </row>
    <row r="34" spans="2:8" ht="39" x14ac:dyDescent="0.35">
      <c r="B34" s="26" t="s">
        <v>323</v>
      </c>
      <c r="C34" s="26" t="str">
        <f>VLOOKUP(Table7[[#This Row],[Legacy Practices]],List!$E$2:$G$173,2,FALSE)</f>
        <v>AT.L3-2</v>
      </c>
      <c r="D34" s="27" t="s">
        <v>733</v>
      </c>
      <c r="E34" s="84" t="e">
        <v>#N/A</v>
      </c>
      <c r="F34" s="84" t="e">
        <v>#N/A</v>
      </c>
      <c r="G34" s="26" t="str">
        <f>VLOOKUP(Table7[[#This Row],[Legacy Practices]],List!$E$2:$G$173,3,FALSE)</f>
        <v>Not Applicable</v>
      </c>
      <c r="H34" s="26" t="s">
        <v>719</v>
      </c>
    </row>
    <row r="35" spans="2:8" ht="26" x14ac:dyDescent="0.35">
      <c r="B35" s="26" t="s">
        <v>324</v>
      </c>
      <c r="C35" s="26" t="str">
        <f>VLOOKUP(Table7[[#This Row],[Legacy Practices]],List!$E$2:$G$173,2,FALSE)</f>
        <v>AT.L3-3</v>
      </c>
      <c r="D35" s="27" t="s">
        <v>734</v>
      </c>
      <c r="E35" s="84" t="e">
        <v>#N/A</v>
      </c>
      <c r="F35" s="84" t="e">
        <v>#N/A</v>
      </c>
      <c r="G35" s="26" t="str">
        <f>VLOOKUP(Table7[[#This Row],[Legacy Practices]],List!$E$2:$G$173,3,FALSE)</f>
        <v>Not Applicable</v>
      </c>
      <c r="H35" s="26" t="s">
        <v>719</v>
      </c>
    </row>
    <row r="36" spans="2:8" ht="58" x14ac:dyDescent="0.35">
      <c r="B36" s="26" t="s">
        <v>325</v>
      </c>
      <c r="C36" s="26" t="str">
        <f>VLOOKUP(Table7[[#This Row],[Legacy Practices]],List!$E$2:$G$173,2,FALSE)</f>
        <v>AU.L2-3.3.2</v>
      </c>
      <c r="D36" s="27" t="s">
        <v>735</v>
      </c>
      <c r="E36" s="84" t="s">
        <v>736</v>
      </c>
      <c r="F36" s="84" t="s">
        <v>688</v>
      </c>
      <c r="G36" s="26" t="str">
        <f>VLOOKUP(Table7[[#This Row],[Legacy Practices]],List!$E$2:$G$173,3,FALSE)</f>
        <v>Shared Coverage</v>
      </c>
      <c r="H36" s="26" t="s">
        <v>737</v>
      </c>
    </row>
    <row r="37" spans="2:8" ht="159.5" x14ac:dyDescent="0.35">
      <c r="B37" s="26" t="s">
        <v>326</v>
      </c>
      <c r="C37" s="26" t="str">
        <f>VLOOKUP(Table7[[#This Row],[Legacy Practices]],List!$E$2:$G$173,2,FALSE)</f>
        <v>AU.L2-3.3.1</v>
      </c>
      <c r="D37" s="27" t="s">
        <v>738</v>
      </c>
      <c r="E37" s="84" t="s">
        <v>739</v>
      </c>
      <c r="F37" s="84" t="s">
        <v>740</v>
      </c>
      <c r="G37" s="26" t="str">
        <f>VLOOKUP(Table7[[#This Row],[Legacy Practices]],List!$E$2:$G$173,3,FALSE)</f>
        <v>Shared Coverage</v>
      </c>
      <c r="H37" s="26" t="s">
        <v>741</v>
      </c>
    </row>
    <row r="38" spans="2:8" ht="26" x14ac:dyDescent="0.35">
      <c r="B38" s="26" t="s">
        <v>327</v>
      </c>
      <c r="C38" s="26" t="str">
        <f>VLOOKUP(Table7[[#This Row],[Legacy Practices]],List!$E$2:$G$173,2,FALSE)</f>
        <v>AU.L2-3.3.7</v>
      </c>
      <c r="D38" s="27" t="s">
        <v>742</v>
      </c>
      <c r="E38" s="84" t="s">
        <v>743</v>
      </c>
      <c r="F38" s="84" t="s">
        <v>510</v>
      </c>
      <c r="G38" s="26" t="str">
        <f>VLOOKUP(Table7[[#This Row],[Legacy Practices]],List!$E$2:$G$173,3,FALSE)</f>
        <v>Shared Coverage</v>
      </c>
      <c r="H38" s="26" t="s">
        <v>744</v>
      </c>
    </row>
    <row r="39" spans="2:8" x14ac:dyDescent="0.35">
      <c r="B39" s="26" t="s">
        <v>328</v>
      </c>
      <c r="C39" s="26" t="str">
        <f>VLOOKUP(Table7[[#This Row],[Legacy Practices]],List!$E$2:$G$173,2,FALSE)</f>
        <v>N/A</v>
      </c>
      <c r="D39" s="27" t="s">
        <v>745</v>
      </c>
      <c r="E39" s="84" t="e">
        <v>#N/A</v>
      </c>
      <c r="F39" s="84" t="e">
        <v>#N/A</v>
      </c>
      <c r="G39" s="26" t="str">
        <f>VLOOKUP(Table7[[#This Row],[Legacy Practices]],List!$E$2:$G$173,3,FALSE)</f>
        <v>Customer Responsibility</v>
      </c>
      <c r="H39" s="26" t="s">
        <v>719</v>
      </c>
    </row>
    <row r="40" spans="2:8" ht="130.5" x14ac:dyDescent="0.35">
      <c r="B40" s="26" t="s">
        <v>329</v>
      </c>
      <c r="C40" s="26" t="str">
        <f>VLOOKUP(Table7[[#This Row],[Legacy Practices]],List!$E$2:$G$173,2,FALSE)</f>
        <v>AU.L2-3.3.3</v>
      </c>
      <c r="D40" s="27" t="s">
        <v>746</v>
      </c>
      <c r="E40" s="84" t="s">
        <v>747</v>
      </c>
      <c r="F40" s="84" t="s">
        <v>748</v>
      </c>
      <c r="G40" s="26" t="str">
        <f>VLOOKUP(Table7[[#This Row],[Legacy Practices]],List!$E$2:$G$173,3,FALSE)</f>
        <v>Customer Responsibility</v>
      </c>
      <c r="H40" s="26" t="s">
        <v>749</v>
      </c>
    </row>
    <row r="41" spans="2:8" ht="72.5" x14ac:dyDescent="0.35">
      <c r="B41" s="26" t="s">
        <v>330</v>
      </c>
      <c r="C41" s="26" t="str">
        <f>VLOOKUP(Table7[[#This Row],[Legacy Practices]],List!$E$2:$G$173,2,FALSE)</f>
        <v>AU.L2-3.3.4</v>
      </c>
      <c r="D41" s="27" t="s">
        <v>750</v>
      </c>
      <c r="E41" s="84" t="s">
        <v>751</v>
      </c>
      <c r="F41" s="84" t="s">
        <v>752</v>
      </c>
      <c r="G41" s="26" t="str">
        <f>VLOOKUP(Table7[[#This Row],[Legacy Practices]],List!$E$2:$G$173,3,FALSE)</f>
        <v>Shared Coverage</v>
      </c>
      <c r="H41" s="26" t="s">
        <v>753</v>
      </c>
    </row>
    <row r="42" spans="2:8" ht="26" x14ac:dyDescent="0.35">
      <c r="B42" s="26" t="s">
        <v>331</v>
      </c>
      <c r="C42" s="26" t="str">
        <f>VLOOKUP(Table7[[#This Row],[Legacy Practices]],List!$E$2:$G$173,2,FALSE)</f>
        <v>N/A</v>
      </c>
      <c r="D42" s="27" t="s">
        <v>754</v>
      </c>
      <c r="E42" s="84" t="e">
        <v>#N/A</v>
      </c>
      <c r="F42" s="84" t="e">
        <v>#N/A</v>
      </c>
      <c r="G42" s="26" t="str">
        <f>VLOOKUP(Table7[[#This Row],[Legacy Practices]],List!$E$2:$G$173,3,FALSE)</f>
        <v>Shared Coverage</v>
      </c>
      <c r="H42" s="26" t="s">
        <v>719</v>
      </c>
    </row>
    <row r="43" spans="2:8" ht="87" x14ac:dyDescent="0.35">
      <c r="B43" s="26" t="s">
        <v>332</v>
      </c>
      <c r="C43" s="26" t="str">
        <f>VLOOKUP(Table7[[#This Row],[Legacy Practices]],List!$E$2:$G$173,2,FALSE)</f>
        <v>AU.L2-3.3.8</v>
      </c>
      <c r="D43" s="27" t="s">
        <v>755</v>
      </c>
      <c r="E43" s="84" t="s">
        <v>756</v>
      </c>
      <c r="F43" s="84" t="s">
        <v>757</v>
      </c>
      <c r="G43" s="26" t="str">
        <f>VLOOKUP(Table7[[#This Row],[Legacy Practices]],List!$E$2:$G$173,3,FALSE)</f>
        <v>Shared Coverage</v>
      </c>
      <c r="H43" s="26" t="s">
        <v>758</v>
      </c>
    </row>
    <row r="44" spans="2:8" ht="145" x14ac:dyDescent="0.35">
      <c r="B44" s="26" t="s">
        <v>333</v>
      </c>
      <c r="C44" s="26" t="str">
        <f>VLOOKUP(Table7[[#This Row],[Legacy Practices]],List!$E$2:$G$173,2,FALSE)</f>
        <v>AU.L2-3.3.9</v>
      </c>
      <c r="D44" s="27" t="s">
        <v>759</v>
      </c>
      <c r="E44" s="84" t="s">
        <v>180</v>
      </c>
      <c r="F44" s="84" t="s">
        <v>760</v>
      </c>
      <c r="G44" s="26" t="str">
        <f>VLOOKUP(Table7[[#This Row],[Legacy Practices]],List!$E$2:$G$173,3,FALSE)</f>
        <v>Customer Responsibility</v>
      </c>
      <c r="H44" s="26" t="s">
        <v>761</v>
      </c>
    </row>
    <row r="45" spans="2:8" ht="130.5" x14ac:dyDescent="0.35">
      <c r="B45" s="26" t="s">
        <v>334</v>
      </c>
      <c r="C45" s="26" t="str">
        <f>VLOOKUP(Table7[[#This Row],[Legacy Practices]],List!$E$2:$G$173,2,FALSE)</f>
        <v>AU.L2-3.3.5</v>
      </c>
      <c r="D45" s="27" t="s">
        <v>762</v>
      </c>
      <c r="E45" s="84" t="s">
        <v>763</v>
      </c>
      <c r="F45" s="84" t="s">
        <v>764</v>
      </c>
      <c r="G45" s="26" t="str">
        <f>VLOOKUP(Table7[[#This Row],[Legacy Practices]],List!$E$2:$G$173,3,FALSE)</f>
        <v>Shared Coverage</v>
      </c>
      <c r="H45" s="26" t="s">
        <v>765</v>
      </c>
    </row>
    <row r="46" spans="2:8" ht="72.5" x14ac:dyDescent="0.35">
      <c r="B46" s="26" t="s">
        <v>335</v>
      </c>
      <c r="C46" s="26" t="str">
        <f>VLOOKUP(Table7[[#This Row],[Legacy Practices]],List!$E$2:$G$173,2,FALSE)</f>
        <v>AU.L2-3.3.6</v>
      </c>
      <c r="D46" s="27" t="s">
        <v>766</v>
      </c>
      <c r="E46" s="84" t="s">
        <v>767</v>
      </c>
      <c r="F46" s="84" t="s">
        <v>768</v>
      </c>
      <c r="G46" s="26" t="str">
        <f>VLOOKUP(Table7[[#This Row],[Legacy Practices]],List!$E$2:$G$173,3,FALSE)</f>
        <v>Shared Coverage</v>
      </c>
      <c r="H46" s="26" t="s">
        <v>769</v>
      </c>
    </row>
    <row r="47" spans="2:8" ht="26" x14ac:dyDescent="0.35">
      <c r="B47" s="26" t="s">
        <v>336</v>
      </c>
      <c r="C47" s="26" t="str">
        <f>VLOOKUP(Table7[[#This Row],[Legacy Practices]],List!$E$2:$G$173,2,FALSE)</f>
        <v>N/A</v>
      </c>
      <c r="D47" s="27" t="s">
        <v>770</v>
      </c>
      <c r="E47" s="84" t="e">
        <v>#N/A</v>
      </c>
      <c r="F47" s="84" t="e">
        <v>#N/A</v>
      </c>
      <c r="G47" s="26" t="str">
        <f>VLOOKUP(Table7[[#This Row],[Legacy Practices]],List!$E$2:$G$173,3,FALSE)</f>
        <v>Not Applicable</v>
      </c>
      <c r="H47" s="26" t="s">
        <v>719</v>
      </c>
    </row>
    <row r="48" spans="2:8" x14ac:dyDescent="0.35">
      <c r="B48" s="26" t="s">
        <v>337</v>
      </c>
      <c r="C48" s="26" t="str">
        <f>VLOOKUP(Table7[[#This Row],[Legacy Practices]],List!$E$2:$G$173,2,FALSE)</f>
        <v>N/A</v>
      </c>
      <c r="D48" s="27" t="s">
        <v>771</v>
      </c>
      <c r="E48" s="84" t="e">
        <v>#N/A</v>
      </c>
      <c r="F48" s="84" t="e">
        <v>#N/A</v>
      </c>
      <c r="G48" s="26" t="str">
        <f>VLOOKUP(Table7[[#This Row],[Legacy Practices]],List!$E$2:$G$173,3,FALSE)</f>
        <v>Not Applicable</v>
      </c>
      <c r="H48" s="26" t="s">
        <v>719</v>
      </c>
    </row>
    <row r="49" spans="2:8" ht="26" x14ac:dyDescent="0.35">
      <c r="B49" s="26" t="s">
        <v>338</v>
      </c>
      <c r="C49" s="26" t="str">
        <f>VLOOKUP(Table7[[#This Row],[Legacy Practices]],List!$E$2:$G$173,2,FALSE)</f>
        <v>N/A</v>
      </c>
      <c r="D49" s="27" t="s">
        <v>772</v>
      </c>
      <c r="E49" s="84" t="e">
        <v>#N/A</v>
      </c>
      <c r="F49" s="84" t="e">
        <v>#N/A</v>
      </c>
      <c r="G49" s="26" t="str">
        <f>VLOOKUP(Table7[[#This Row],[Legacy Practices]],List!$E$2:$G$173,3,FALSE)</f>
        <v>Not Applicable</v>
      </c>
      <c r="H49" s="26" t="s">
        <v>719</v>
      </c>
    </row>
    <row r="50" spans="2:8" ht="43.5" x14ac:dyDescent="0.35">
      <c r="B50" s="26" t="s">
        <v>339</v>
      </c>
      <c r="C50" s="26" t="str">
        <f>VLOOKUP(Table7[[#This Row],[Legacy Practices]],List!$E$2:$G$173,2,FALSE)</f>
        <v>CA.L2-3.12.4</v>
      </c>
      <c r="D50" s="27" t="s">
        <v>773</v>
      </c>
      <c r="E50" s="84" t="s">
        <v>510</v>
      </c>
      <c r="F50" s="84" t="s">
        <v>774</v>
      </c>
      <c r="G50" s="119" t="str">
        <f>VLOOKUP(Table7[[#This Row],[Legacy Practices]],List!$E$2:$G$173,3,FALSE)</f>
        <v>Shared Coverage</v>
      </c>
      <c r="H50" s="26" t="s">
        <v>775</v>
      </c>
    </row>
    <row r="51" spans="2:8" ht="145" x14ac:dyDescent="0.35">
      <c r="B51" s="26" t="s">
        <v>340</v>
      </c>
      <c r="C51" s="26" t="str">
        <f>VLOOKUP(Table7[[#This Row],[Legacy Practices]],List!$E$2:$G$173,2,FALSE)</f>
        <v>CA.L2-3.12.1</v>
      </c>
      <c r="D51" s="27" t="s">
        <v>776</v>
      </c>
      <c r="E51" s="84">
        <v>0</v>
      </c>
      <c r="F51" s="84" t="s">
        <v>777</v>
      </c>
      <c r="G51" s="26" t="str">
        <f>VLOOKUP(Table7[[#This Row],[Legacy Practices]],List!$E$2:$G$173,3,FALSE)</f>
        <v>Shared Coverage</v>
      </c>
      <c r="H51" s="26" t="s">
        <v>778</v>
      </c>
    </row>
    <row r="52" spans="2:8" ht="101.5" x14ac:dyDescent="0.35">
      <c r="B52" s="26" t="s">
        <v>341</v>
      </c>
      <c r="C52" s="26" t="str">
        <f>VLOOKUP(Table7[[#This Row],[Legacy Practices]],List!$E$2:$G$173,2,FALSE)</f>
        <v>CA.L2-3.12.2</v>
      </c>
      <c r="D52" s="27" t="s">
        <v>779</v>
      </c>
      <c r="E52" s="84" t="s">
        <v>510</v>
      </c>
      <c r="F52" s="84" t="s">
        <v>780</v>
      </c>
      <c r="G52" s="26" t="str">
        <f>VLOOKUP(Table7[[#This Row],[Legacy Practices]],List!$E$2:$G$173,3,FALSE)</f>
        <v>Shared Coverage</v>
      </c>
      <c r="H52" s="26" t="s">
        <v>781</v>
      </c>
    </row>
    <row r="53" spans="2:8" ht="174" x14ac:dyDescent="0.35">
      <c r="B53" s="26" t="s">
        <v>342</v>
      </c>
      <c r="C53" s="26" t="str">
        <f>VLOOKUP(Table7[[#This Row],[Legacy Practices]],List!$E$2:$G$173,2,FALSE)</f>
        <v>CA.L2-3.12.3</v>
      </c>
      <c r="D53" s="27" t="s">
        <v>782</v>
      </c>
      <c r="E53" s="84">
        <v>0</v>
      </c>
      <c r="F53" s="84" t="s">
        <v>783</v>
      </c>
      <c r="G53" s="26" t="str">
        <f>VLOOKUP(Table7[[#This Row],[Legacy Practices]],List!$E$2:$G$173,3,FALSE)</f>
        <v>Shared Coverage</v>
      </c>
      <c r="H53" s="26" t="s">
        <v>784</v>
      </c>
    </row>
    <row r="54" spans="2:8" ht="26" x14ac:dyDescent="0.35">
      <c r="B54" s="26" t="s">
        <v>343</v>
      </c>
      <c r="C54" s="26" t="str">
        <f>VLOOKUP(Table7[[#This Row],[Legacy Practices]],List!$E$2:$G$173,2,FALSE)</f>
        <v>N/A</v>
      </c>
      <c r="D54" s="27" t="s">
        <v>785</v>
      </c>
      <c r="E54" s="84" t="e">
        <v>#N/A</v>
      </c>
      <c r="F54" s="84" t="e">
        <v>#N/A</v>
      </c>
      <c r="G54" s="26" t="str">
        <f>VLOOKUP(Table7[[#This Row],[Legacy Practices]],List!$E$2:$G$173,3,FALSE)</f>
        <v>Shared Coverage</v>
      </c>
      <c r="H54" s="26" t="s">
        <v>719</v>
      </c>
    </row>
    <row r="55" spans="2:8" ht="26" x14ac:dyDescent="0.35">
      <c r="B55" s="26" t="s">
        <v>344</v>
      </c>
      <c r="C55" s="26" t="str">
        <f>VLOOKUP(Table7[[#This Row],[Legacy Practices]],List!$E$2:$G$173,2,FALSE)</f>
        <v>N/A</v>
      </c>
      <c r="D55" s="27" t="s">
        <v>786</v>
      </c>
      <c r="E55" s="84" t="e">
        <v>#N/A</v>
      </c>
      <c r="F55" s="84" t="e">
        <v>#N/A</v>
      </c>
      <c r="G55" s="26" t="str">
        <f>VLOOKUP(Table7[[#This Row],[Legacy Practices]],List!$E$2:$G$173,3,FALSE)</f>
        <v>Not Applicable</v>
      </c>
      <c r="H55" s="26" t="s">
        <v>719</v>
      </c>
    </row>
    <row r="56" spans="2:8" ht="26" x14ac:dyDescent="0.35">
      <c r="B56" s="26" t="s">
        <v>345</v>
      </c>
      <c r="C56" s="26" t="str">
        <f>VLOOKUP(Table7[[#This Row],[Legacy Practices]],List!$E$2:$G$173,2,FALSE)</f>
        <v>CA.L3-4</v>
      </c>
      <c r="D56" s="27" t="s">
        <v>787</v>
      </c>
      <c r="E56" s="84" t="e">
        <v>#N/A</v>
      </c>
      <c r="F56" s="84" t="e">
        <v>#N/A</v>
      </c>
      <c r="G56" s="26" t="str">
        <f>VLOOKUP(Table7[[#This Row],[Legacy Practices]],List!$E$2:$G$173,3,FALSE)</f>
        <v>Not Applicable</v>
      </c>
      <c r="H56" s="26" t="s">
        <v>719</v>
      </c>
    </row>
    <row r="57" spans="2:8" ht="26" x14ac:dyDescent="0.35">
      <c r="B57" s="26" t="s">
        <v>346</v>
      </c>
      <c r="C57" s="26" t="str">
        <f>VLOOKUP(Table7[[#This Row],[Legacy Practices]],List!$E$2:$G$173,2,FALSE)</f>
        <v>N/A</v>
      </c>
      <c r="D57" s="27" t="s">
        <v>788</v>
      </c>
      <c r="E57" s="84" t="e">
        <v>#N/A</v>
      </c>
      <c r="F57" s="84" t="e">
        <v>#N/A</v>
      </c>
      <c r="G57" s="26" t="str">
        <f>VLOOKUP(Table7[[#This Row],[Legacy Practices]],List!$E$2:$G$173,3,FALSE)</f>
        <v>Not Applicable</v>
      </c>
      <c r="H57" s="26" t="s">
        <v>719</v>
      </c>
    </row>
    <row r="58" spans="2:8" ht="145" x14ac:dyDescent="0.35">
      <c r="B58" s="26" t="s">
        <v>347</v>
      </c>
      <c r="C58" s="26" t="str">
        <f>VLOOKUP(Table7[[#This Row],[Legacy Practices]],List!$E$2:$G$173,2,FALSE)</f>
        <v>CM.L2-3.4.1</v>
      </c>
      <c r="D58" s="27" t="s">
        <v>789</v>
      </c>
      <c r="E58" s="84" t="s">
        <v>790</v>
      </c>
      <c r="F58" s="84" t="s">
        <v>791</v>
      </c>
      <c r="G58" s="26" t="str">
        <f>VLOOKUP(Table7[[#This Row],[Legacy Practices]],List!$E$2:$G$173,3,FALSE)</f>
        <v>Customer Responsibility</v>
      </c>
      <c r="H58" s="26" t="s">
        <v>792</v>
      </c>
    </row>
    <row r="59" spans="2:8" ht="43.5" x14ac:dyDescent="0.35">
      <c r="B59" s="26" t="s">
        <v>348</v>
      </c>
      <c r="C59" s="26" t="str">
        <f>VLOOKUP(Table7[[#This Row],[Legacy Practices]],List!$E$2:$G$173,2,FALSE)</f>
        <v>CM.L2-3.4.6</v>
      </c>
      <c r="D59" s="27" t="s">
        <v>793</v>
      </c>
      <c r="E59" s="84" t="s">
        <v>794</v>
      </c>
      <c r="F59" s="84" t="s">
        <v>795</v>
      </c>
      <c r="G59" s="26" t="str">
        <f>VLOOKUP(Table7[[#This Row],[Legacy Practices]],List!$E$2:$G$173,3,FALSE)</f>
        <v>Customer Responsibility</v>
      </c>
      <c r="H59" s="26" t="s">
        <v>796</v>
      </c>
    </row>
    <row r="60" spans="2:8" ht="145" x14ac:dyDescent="0.35">
      <c r="B60" s="26" t="s">
        <v>349</v>
      </c>
      <c r="C60" s="26" t="str">
        <f>VLOOKUP(Table7[[#This Row],[Legacy Practices]],List!$E$2:$G$173,2,FALSE)</f>
        <v>CM.L2-3.4.9</v>
      </c>
      <c r="D60" s="27" t="s">
        <v>797</v>
      </c>
      <c r="E60" s="84" t="s">
        <v>798</v>
      </c>
      <c r="F60" s="84" t="s">
        <v>799</v>
      </c>
      <c r="G60" s="26" t="str">
        <f>VLOOKUP(Table7[[#This Row],[Legacy Practices]],List!$E$2:$G$173,3,FALSE)</f>
        <v>Shared Coverage</v>
      </c>
      <c r="H60" s="26" t="s">
        <v>800</v>
      </c>
    </row>
    <row r="61" spans="2:8" ht="87" x14ac:dyDescent="0.35">
      <c r="B61" s="26" t="s">
        <v>350</v>
      </c>
      <c r="C61" s="26" t="str">
        <f>VLOOKUP(Table7[[#This Row],[Legacy Practices]],List!$E$2:$G$173,2,FALSE)</f>
        <v>CM.L2-3.4.2</v>
      </c>
      <c r="D61" s="27" t="s">
        <v>801</v>
      </c>
      <c r="E61" s="84" t="s">
        <v>802</v>
      </c>
      <c r="F61" s="84" t="s">
        <v>803</v>
      </c>
      <c r="G61" s="26" t="str">
        <f>VLOOKUP(Table7[[#This Row],[Legacy Practices]],List!$E$2:$G$173,3,FALSE)</f>
        <v>Customer Responsibility</v>
      </c>
      <c r="H61" s="26" t="s">
        <v>804</v>
      </c>
    </row>
    <row r="62" spans="2:8" ht="101.5" x14ac:dyDescent="0.35">
      <c r="B62" s="26" t="s">
        <v>351</v>
      </c>
      <c r="C62" s="26" t="str">
        <f>VLOOKUP(Table7[[#This Row],[Legacy Practices]],List!$E$2:$G$173,2,FALSE)</f>
        <v>CM.L2-3.4.3</v>
      </c>
      <c r="D62" s="27" t="s">
        <v>805</v>
      </c>
      <c r="E62" s="84" t="s">
        <v>806</v>
      </c>
      <c r="F62" s="84" t="s">
        <v>807</v>
      </c>
      <c r="G62" s="26" t="str">
        <f>VLOOKUP(Table7[[#This Row],[Legacy Practices]],List!$E$2:$G$173,3,FALSE)</f>
        <v>Customer Responsibility</v>
      </c>
      <c r="H62" s="26" t="s">
        <v>808</v>
      </c>
    </row>
    <row r="63" spans="2:8" ht="72.5" x14ac:dyDescent="0.35">
      <c r="B63" s="26" t="s">
        <v>352</v>
      </c>
      <c r="C63" s="26" t="str">
        <f>VLOOKUP(Table7[[#This Row],[Legacy Practices]],List!$E$2:$G$173,2,FALSE)</f>
        <v>CM.L2-3.4.4</v>
      </c>
      <c r="D63" s="27" t="s">
        <v>809</v>
      </c>
      <c r="E63" s="84" t="s">
        <v>810</v>
      </c>
      <c r="F63" s="84" t="s">
        <v>811</v>
      </c>
      <c r="G63" s="26" t="str">
        <f>VLOOKUP(Table7[[#This Row],[Legacy Practices]],List!$E$2:$G$173,3,FALSE)</f>
        <v>Customer Responsibility</v>
      </c>
      <c r="H63" s="26" t="s">
        <v>812</v>
      </c>
    </row>
    <row r="64" spans="2:8" ht="174" x14ac:dyDescent="0.35">
      <c r="B64" s="26" t="s">
        <v>353</v>
      </c>
      <c r="C64" s="26" t="str">
        <f>VLOOKUP(Table7[[#This Row],[Legacy Practices]],List!$E$2:$G$173,2,FALSE)</f>
        <v>CM.L2-3.4.5</v>
      </c>
      <c r="D64" s="27" t="s">
        <v>813</v>
      </c>
      <c r="E64" s="84" t="s">
        <v>814</v>
      </c>
      <c r="F64" s="84" t="s">
        <v>815</v>
      </c>
      <c r="G64" s="26" t="str">
        <f>VLOOKUP(Table7[[#This Row],[Legacy Practices]],List!$E$2:$G$173,3,FALSE)</f>
        <v>Customer Responsibility</v>
      </c>
      <c r="H64" s="26" t="s">
        <v>816</v>
      </c>
    </row>
    <row r="65" spans="2:8" ht="116" x14ac:dyDescent="0.35">
      <c r="B65" s="26" t="s">
        <v>354</v>
      </c>
      <c r="C65" s="26" t="str">
        <f>VLOOKUP(Table7[[#This Row],[Legacy Practices]],List!$E$2:$G$173,2,FALSE)</f>
        <v>CM.L2-3.4.7</v>
      </c>
      <c r="D65" s="27" t="s">
        <v>817</v>
      </c>
      <c r="E65" s="84" t="s">
        <v>818</v>
      </c>
      <c r="F65" s="84" t="s">
        <v>819</v>
      </c>
      <c r="G65" s="26" t="str">
        <f>VLOOKUP(Table7[[#This Row],[Legacy Practices]],List!$E$2:$G$173,3,FALSE)</f>
        <v>Shared Coverage</v>
      </c>
      <c r="H65" s="26" t="s">
        <v>820</v>
      </c>
    </row>
    <row r="66" spans="2:8" ht="130.5" x14ac:dyDescent="0.35">
      <c r="B66" s="26" t="s">
        <v>355</v>
      </c>
      <c r="C66" s="26" t="str">
        <f>VLOOKUP(Table7[[#This Row],[Legacy Practices]],List!$E$2:$G$173,2,FALSE)</f>
        <v>CM.L2-3.4.8</v>
      </c>
      <c r="D66" s="27" t="s">
        <v>821</v>
      </c>
      <c r="E66" s="84" t="s">
        <v>822</v>
      </c>
      <c r="F66" s="84" t="s">
        <v>823</v>
      </c>
      <c r="G66" s="26" t="str">
        <f>VLOOKUP(Table7[[#This Row],[Legacy Practices]],List!$E$2:$G$173,3,FALSE)</f>
        <v>Customer Responsibility</v>
      </c>
      <c r="H66" s="26" t="s">
        <v>824</v>
      </c>
    </row>
    <row r="67" spans="2:8" ht="130.5" x14ac:dyDescent="0.35">
      <c r="B67" s="26" t="s">
        <v>356</v>
      </c>
      <c r="C67" s="26" t="str">
        <f>VLOOKUP(Table7[[#This Row],[Legacy Practices]],List!$E$2:$G$173,2,FALSE)</f>
        <v>CM.L3-3.4.8</v>
      </c>
      <c r="D67" s="27" t="s">
        <v>825</v>
      </c>
      <c r="E67" s="84" t="s">
        <v>822</v>
      </c>
      <c r="F67" s="84" t="s">
        <v>823</v>
      </c>
      <c r="G67" s="26" t="str">
        <f>VLOOKUP(Table7[[#This Row],[Legacy Practices]],List!$E$2:$G$173,3,FALSE)</f>
        <v>Not Applicable</v>
      </c>
      <c r="H67" s="26" t="s">
        <v>824</v>
      </c>
    </row>
    <row r="68" spans="2:8" ht="26" x14ac:dyDescent="0.35">
      <c r="B68" s="26" t="s">
        <v>357</v>
      </c>
      <c r="C68" s="26" t="str">
        <f>VLOOKUP(Table7[[#This Row],[Legacy Practices]],List!$E$2:$G$173,2,FALSE)</f>
        <v>CM.L3-5</v>
      </c>
      <c r="D68" s="27" t="s">
        <v>826</v>
      </c>
      <c r="E68" s="84" t="e">
        <v>#N/A</v>
      </c>
      <c r="F68" s="84" t="e">
        <v>#N/A</v>
      </c>
      <c r="G68" s="26" t="str">
        <f>VLOOKUP(Table7[[#This Row],[Legacy Practices]],List!$E$2:$G$173,3,FALSE)</f>
        <v>Not Applicable</v>
      </c>
      <c r="H68" s="26" t="s">
        <v>719</v>
      </c>
    </row>
    <row r="69" spans="2:8" ht="58" x14ac:dyDescent="0.35">
      <c r="B69" s="26" t="s">
        <v>358</v>
      </c>
      <c r="C69" s="26" t="str">
        <f>VLOOKUP(Table7[[#This Row],[Legacy Practices]],List!$E$2:$G$173,2,FALSE)</f>
        <v>IA.L1-3.5.1</v>
      </c>
      <c r="D69" s="27" t="s">
        <v>827</v>
      </c>
      <c r="E69" s="84" t="s">
        <v>828</v>
      </c>
      <c r="F69" s="84" t="s">
        <v>829</v>
      </c>
      <c r="G69" s="26" t="str">
        <f>VLOOKUP(Table7[[#This Row],[Legacy Practices]],List!$E$2:$G$173,3,FALSE)</f>
        <v>Shared Coverage</v>
      </c>
      <c r="H69" s="26" t="s">
        <v>830</v>
      </c>
    </row>
    <row r="70" spans="2:8" ht="87" x14ac:dyDescent="0.35">
      <c r="B70" s="26" t="s">
        <v>359</v>
      </c>
      <c r="C70" s="26" t="str">
        <f>VLOOKUP(Table7[[#This Row],[Legacy Practices]],List!$E$2:$G$173,2,FALSE)</f>
        <v>IA.L1-3.5.2</v>
      </c>
      <c r="D70" s="27" t="s">
        <v>831</v>
      </c>
      <c r="E70" s="84" t="s">
        <v>832</v>
      </c>
      <c r="F70" s="84" t="s">
        <v>833</v>
      </c>
      <c r="G70" s="26" t="str">
        <f>VLOOKUP(Table7[[#This Row],[Legacy Practices]],List!$E$2:$G$173,3,FALSE)</f>
        <v>Shared Coverage</v>
      </c>
      <c r="H70" s="26" t="s">
        <v>834</v>
      </c>
    </row>
    <row r="71" spans="2:8" ht="72.5" x14ac:dyDescent="0.35">
      <c r="B71" s="26" t="s">
        <v>360</v>
      </c>
      <c r="C71" s="26" t="str">
        <f>VLOOKUP(Table7[[#This Row],[Legacy Practices]],List!$E$2:$G$173,2,FALSE)</f>
        <v>IA.L2-3.5.7</v>
      </c>
      <c r="D71" s="27" t="s">
        <v>835</v>
      </c>
      <c r="E71" s="84" t="s">
        <v>48</v>
      </c>
      <c r="F71" s="84" t="s">
        <v>836</v>
      </c>
      <c r="G71" s="26" t="str">
        <f>VLOOKUP(Table7[[#This Row],[Legacy Practices]],List!$E$2:$G$173,3,FALSE)</f>
        <v>Shared Coverage</v>
      </c>
      <c r="H71" s="26" t="s">
        <v>837</v>
      </c>
    </row>
    <row r="72" spans="2:8" ht="72.5" x14ac:dyDescent="0.35">
      <c r="B72" s="26" t="s">
        <v>361</v>
      </c>
      <c r="C72" s="26" t="str">
        <f>VLOOKUP(Table7[[#This Row],[Legacy Practices]],List!$E$2:$G$173,2,FALSE)</f>
        <v>IA.L2-3.5.8</v>
      </c>
      <c r="D72" s="27" t="s">
        <v>838</v>
      </c>
      <c r="E72" s="84" t="s">
        <v>839</v>
      </c>
      <c r="F72" s="84" t="s">
        <v>840</v>
      </c>
      <c r="G72" s="26" t="str">
        <f>VLOOKUP(Table7[[#This Row],[Legacy Practices]],List!$E$2:$G$173,3,FALSE)</f>
        <v>Shared Coverage</v>
      </c>
      <c r="H72" s="26" t="s">
        <v>841</v>
      </c>
    </row>
    <row r="73" spans="2:8" ht="26" x14ac:dyDescent="0.35">
      <c r="B73" s="26" t="s">
        <v>362</v>
      </c>
      <c r="C73" s="26" t="str">
        <f>VLOOKUP(Table7[[#This Row],[Legacy Practices]],List!$E$2:$G$173,2,FALSE)</f>
        <v>IA.L2-3.5.9</v>
      </c>
      <c r="D73" s="27" t="s">
        <v>842</v>
      </c>
      <c r="E73" s="84" t="s">
        <v>843</v>
      </c>
      <c r="F73" s="84">
        <v>0</v>
      </c>
      <c r="G73" s="26" t="str">
        <f>VLOOKUP(Table7[[#This Row],[Legacy Practices]],List!$E$2:$G$173,3,FALSE)</f>
        <v>Customer Responsibility</v>
      </c>
      <c r="H73" s="26" t="s">
        <v>844</v>
      </c>
    </row>
    <row r="74" spans="2:8" ht="87" x14ac:dyDescent="0.35">
      <c r="B74" s="26" t="s">
        <v>363</v>
      </c>
      <c r="C74" s="26" t="str">
        <f>VLOOKUP(Table7[[#This Row],[Legacy Practices]],List!$E$2:$G$173,2,FALSE)</f>
        <v>IA.L2-3.5.10</v>
      </c>
      <c r="D74" s="27" t="s">
        <v>845</v>
      </c>
      <c r="E74" s="84" t="s">
        <v>846</v>
      </c>
      <c r="F74" s="84" t="s">
        <v>847</v>
      </c>
      <c r="G74" s="26" t="str">
        <f>VLOOKUP(Table7[[#This Row],[Legacy Practices]],List!$E$2:$G$173,3,FALSE)</f>
        <v>Shared Coverage</v>
      </c>
      <c r="H74" s="26" t="s">
        <v>848</v>
      </c>
    </row>
    <row r="75" spans="2:8" ht="72.5" x14ac:dyDescent="0.35">
      <c r="B75" s="26" t="s">
        <v>364</v>
      </c>
      <c r="C75" s="26" t="str">
        <f>VLOOKUP(Table7[[#This Row],[Legacy Practices]],List!$E$2:$G$173,2,FALSE)</f>
        <v>IA.L2-3.5.11</v>
      </c>
      <c r="D75" s="27" t="s">
        <v>849</v>
      </c>
      <c r="E75" s="84" t="s">
        <v>839</v>
      </c>
      <c r="F75" s="84" t="s">
        <v>850</v>
      </c>
      <c r="G75" s="26" t="str">
        <f>VLOOKUP(Table7[[#This Row],[Legacy Practices]],List!$E$2:$G$173,3,FALSE)</f>
        <v>Shared Coverage</v>
      </c>
      <c r="H75" s="26" t="s">
        <v>851</v>
      </c>
    </row>
    <row r="76" spans="2:8" ht="159.5" x14ac:dyDescent="0.35">
      <c r="B76" s="26" t="s">
        <v>365</v>
      </c>
      <c r="C76" s="26" t="str">
        <f>VLOOKUP(Table7[[#This Row],[Legacy Practices]],List!$E$2:$G$173,2,FALSE)</f>
        <v>IA.L2-3.5.3</v>
      </c>
      <c r="D76" s="27" t="s">
        <v>852</v>
      </c>
      <c r="E76" s="84" t="s">
        <v>853</v>
      </c>
      <c r="F76" s="84" t="s">
        <v>854</v>
      </c>
      <c r="G76" s="26" t="str">
        <f>VLOOKUP(Table7[[#This Row],[Legacy Practices]],List!$E$2:$G$173,3,FALSE)</f>
        <v>Shared Coverage</v>
      </c>
      <c r="H76" s="26" t="s">
        <v>855</v>
      </c>
    </row>
    <row r="77" spans="2:8" ht="101.5" x14ac:dyDescent="0.35">
      <c r="B77" s="26" t="s">
        <v>366</v>
      </c>
      <c r="C77" s="26" t="str">
        <f>VLOOKUP(Table7[[#This Row],[Legacy Practices]],List!$E$2:$G$173,2,FALSE)</f>
        <v>IA.L2-3.5.4</v>
      </c>
      <c r="D77" s="27" t="s">
        <v>856</v>
      </c>
      <c r="E77" s="84" t="s">
        <v>857</v>
      </c>
      <c r="F77" s="84" t="s">
        <v>858</v>
      </c>
      <c r="G77" s="26" t="str">
        <f>VLOOKUP(Table7[[#This Row],[Legacy Practices]],List!$E$2:$G$173,3,FALSE)</f>
        <v>Shared Coverage</v>
      </c>
      <c r="H77" s="26" t="s">
        <v>859</v>
      </c>
    </row>
    <row r="78" spans="2:8" ht="72.5" x14ac:dyDescent="0.35">
      <c r="B78" s="26" t="s">
        <v>367</v>
      </c>
      <c r="C78" s="26" t="str">
        <f>VLOOKUP(Table7[[#This Row],[Legacy Practices]],List!$E$2:$G$173,2,FALSE)</f>
        <v>IA.L2-3.5.5</v>
      </c>
      <c r="D78" s="27" t="s">
        <v>860</v>
      </c>
      <c r="E78" s="84" t="s">
        <v>861</v>
      </c>
      <c r="F78" s="84" t="s">
        <v>862</v>
      </c>
      <c r="G78" s="26" t="str">
        <f>VLOOKUP(Table7[[#This Row],[Legacy Practices]],List!$E$2:$G$173,3,FALSE)</f>
        <v>Shared Coverage</v>
      </c>
      <c r="H78" s="26" t="s">
        <v>863</v>
      </c>
    </row>
    <row r="79" spans="2:8" ht="72.5" x14ac:dyDescent="0.35">
      <c r="B79" s="26" t="s">
        <v>368</v>
      </c>
      <c r="C79" s="26" t="str">
        <f>VLOOKUP(Table7[[#This Row],[Legacy Practices]],List!$E$2:$G$173,2,FALSE)</f>
        <v>IA.L2-3.5.6</v>
      </c>
      <c r="D79" s="27" t="s">
        <v>864</v>
      </c>
      <c r="E79" s="84" t="s">
        <v>865</v>
      </c>
      <c r="F79" s="84" t="s">
        <v>866</v>
      </c>
      <c r="G79" s="26" t="str">
        <f>VLOOKUP(Table7[[#This Row],[Legacy Practices]],List!$E$2:$G$173,3,FALSE)</f>
        <v>Shared Coverage</v>
      </c>
      <c r="H79" s="26" t="s">
        <v>867</v>
      </c>
    </row>
    <row r="80" spans="2:8" ht="130.5" x14ac:dyDescent="0.35">
      <c r="B80" s="26" t="s">
        <v>369</v>
      </c>
      <c r="C80" s="26" t="str">
        <f>VLOOKUP(Table7[[#This Row],[Legacy Practices]],List!$E$2:$G$173,2,FALSE)</f>
        <v>IR.L2-3.6.1</v>
      </c>
      <c r="D80" s="27" t="s">
        <v>868</v>
      </c>
      <c r="E80" s="84" t="s">
        <v>869</v>
      </c>
      <c r="F80" s="84" t="s">
        <v>870</v>
      </c>
      <c r="G80" s="26" t="str">
        <f>VLOOKUP(Table7[[#This Row],[Legacy Practices]],List!$E$2:$G$173,3,FALSE)</f>
        <v>Customer Responsibility</v>
      </c>
      <c r="H80" s="26" t="s">
        <v>871</v>
      </c>
    </row>
    <row r="81" spans="2:8" x14ac:dyDescent="0.35">
      <c r="B81" s="26" t="s">
        <v>370</v>
      </c>
      <c r="C81" s="26" t="str">
        <f>VLOOKUP(Table7[[#This Row],[Legacy Practices]],List!$E$2:$G$173,2,FALSE)</f>
        <v>N/A</v>
      </c>
      <c r="D81" s="27" t="s">
        <v>872</v>
      </c>
      <c r="E81" s="84" t="e">
        <v>#N/A</v>
      </c>
      <c r="F81" s="84" t="e">
        <v>#N/A</v>
      </c>
      <c r="G81" s="26" t="str">
        <f>VLOOKUP(Table7[[#This Row],[Legacy Practices]],List!$E$2:$G$173,3,FALSE)</f>
        <v>Shared Coverage</v>
      </c>
      <c r="H81" s="26" t="s">
        <v>719</v>
      </c>
    </row>
    <row r="82" spans="2:8" x14ac:dyDescent="0.35">
      <c r="B82" s="26" t="s">
        <v>371</v>
      </c>
      <c r="C82" s="26" t="str">
        <f>VLOOKUP(Table7[[#This Row],[Legacy Practices]],List!$E$2:$G$173,2,FALSE)</f>
        <v>N/A</v>
      </c>
      <c r="D82" s="27" t="s">
        <v>873</v>
      </c>
      <c r="E82" s="84" t="e">
        <v>#N/A</v>
      </c>
      <c r="F82" s="84" t="e">
        <v>#N/A</v>
      </c>
      <c r="G82" s="26" t="str">
        <f>VLOOKUP(Table7[[#This Row],[Legacy Practices]],List!$E$2:$G$173,3,FALSE)</f>
        <v>Shared Coverage</v>
      </c>
      <c r="H82" s="26" t="s">
        <v>719</v>
      </c>
    </row>
    <row r="83" spans="2:8" x14ac:dyDescent="0.35">
      <c r="B83" s="26" t="s">
        <v>372</v>
      </c>
      <c r="C83" s="26" t="str">
        <f>VLOOKUP(Table7[[#This Row],[Legacy Practices]],List!$E$2:$G$173,2,FALSE)</f>
        <v>N/A</v>
      </c>
      <c r="D83" s="27" t="s">
        <v>874</v>
      </c>
      <c r="E83" s="84" t="e">
        <v>#N/A</v>
      </c>
      <c r="F83" s="84" t="e">
        <v>#N/A</v>
      </c>
      <c r="G83" s="26" t="str">
        <f>VLOOKUP(Table7[[#This Row],[Legacy Practices]],List!$E$2:$G$173,3,FALSE)</f>
        <v>Customer Responsibility</v>
      </c>
      <c r="H83" s="26" t="s">
        <v>719</v>
      </c>
    </row>
    <row r="84" spans="2:8" x14ac:dyDescent="0.35">
      <c r="B84" s="26" t="s">
        <v>373</v>
      </c>
      <c r="C84" s="26" t="str">
        <f>VLOOKUP(Table7[[#This Row],[Legacy Practices]],List!$E$2:$G$173,2,FALSE)</f>
        <v>N/A</v>
      </c>
      <c r="D84" s="27" t="s">
        <v>875</v>
      </c>
      <c r="E84" s="84" t="e">
        <v>#N/A</v>
      </c>
      <c r="F84" s="84" t="e">
        <v>#N/A</v>
      </c>
      <c r="G84" s="26" t="str">
        <f>VLOOKUP(Table7[[#This Row],[Legacy Practices]],List!$E$2:$G$173,3,FALSE)</f>
        <v>Shared Coverage</v>
      </c>
      <c r="H84" s="26" t="s">
        <v>719</v>
      </c>
    </row>
    <row r="85" spans="2:8" ht="101.5" x14ac:dyDescent="0.35">
      <c r="B85" s="26" t="s">
        <v>374</v>
      </c>
      <c r="C85" s="26" t="str">
        <f>VLOOKUP(Table7[[#This Row],[Legacy Practices]],List!$E$2:$G$173,2,FALSE)</f>
        <v>IR.L2-3.6.2</v>
      </c>
      <c r="D85" s="27" t="s">
        <v>876</v>
      </c>
      <c r="E85" s="84" t="s">
        <v>877</v>
      </c>
      <c r="F85" s="84" t="s">
        <v>878</v>
      </c>
      <c r="G85" s="26" t="str">
        <f>VLOOKUP(Table7[[#This Row],[Legacy Practices]],List!$E$2:$G$173,3,FALSE)</f>
        <v>Shared Coverage</v>
      </c>
      <c r="H85" s="26" t="s">
        <v>879</v>
      </c>
    </row>
    <row r="86" spans="2:8" ht="72.5" x14ac:dyDescent="0.35">
      <c r="B86" s="26" t="s">
        <v>375</v>
      </c>
      <c r="C86" s="26" t="str">
        <f>VLOOKUP(Table7[[#This Row],[Legacy Practices]],List!$E$2:$G$173,2,FALSE)</f>
        <v>IR.L2-3.6.3</v>
      </c>
      <c r="D86" s="27" t="s">
        <v>880</v>
      </c>
      <c r="E86" s="84" t="s">
        <v>510</v>
      </c>
      <c r="F86" s="84" t="s">
        <v>881</v>
      </c>
      <c r="G86" s="26" t="str">
        <f>VLOOKUP(Table7[[#This Row],[Legacy Practices]],List!$E$2:$G$173,3,FALSE)</f>
        <v>Customer Responsibility</v>
      </c>
      <c r="H86" s="26" t="s">
        <v>882</v>
      </c>
    </row>
    <row r="87" spans="2:8" ht="26" x14ac:dyDescent="0.35">
      <c r="B87" s="26" t="s">
        <v>376</v>
      </c>
      <c r="C87" s="26" t="str">
        <f>VLOOKUP(Table7[[#This Row],[Legacy Practices]],List!$E$2:$G$173,2,FALSE)</f>
        <v>N/A</v>
      </c>
      <c r="D87" s="27" t="s">
        <v>883</v>
      </c>
      <c r="E87" s="84" t="e">
        <v>#N/A</v>
      </c>
      <c r="F87" s="84" t="e">
        <v>#N/A</v>
      </c>
      <c r="G87" s="26" t="str">
        <f>VLOOKUP(Table7[[#This Row],[Legacy Practices]],List!$E$2:$G$173,3,FALSE)</f>
        <v>Not Applicable</v>
      </c>
      <c r="H87" s="26" t="s">
        <v>719</v>
      </c>
    </row>
    <row r="88" spans="2:8" ht="26" x14ac:dyDescent="0.35">
      <c r="B88" s="26" t="s">
        <v>377</v>
      </c>
      <c r="C88" s="26" t="str">
        <f>VLOOKUP(Table7[[#This Row],[Legacy Practices]],List!$E$2:$G$173,2,FALSE)</f>
        <v>IR.L3-6</v>
      </c>
      <c r="D88" s="27" t="s">
        <v>884</v>
      </c>
      <c r="E88" s="84" t="e">
        <v>#N/A</v>
      </c>
      <c r="F88" s="84" t="e">
        <v>#N/A</v>
      </c>
      <c r="G88" s="26" t="str">
        <f>VLOOKUP(Table7[[#This Row],[Legacy Practices]],List!$E$2:$G$173,3,FALSE)</f>
        <v>Not Applicable</v>
      </c>
      <c r="H88" s="26" t="s">
        <v>719</v>
      </c>
    </row>
    <row r="89" spans="2:8" ht="26" x14ac:dyDescent="0.35">
      <c r="B89" s="26" t="s">
        <v>378</v>
      </c>
      <c r="C89" s="26" t="str">
        <f>VLOOKUP(Table7[[#This Row],[Legacy Practices]],List!$E$2:$G$173,2,FALSE)</f>
        <v>N/A</v>
      </c>
      <c r="D89" s="27" t="s">
        <v>885</v>
      </c>
      <c r="E89" s="84" t="e">
        <v>#N/A</v>
      </c>
      <c r="F89" s="84" t="e">
        <v>#N/A</v>
      </c>
      <c r="G89" s="26" t="str">
        <f>VLOOKUP(Table7[[#This Row],[Legacy Practices]],List!$E$2:$G$173,3,FALSE)</f>
        <v>Not Applicable</v>
      </c>
      <c r="H89" s="26" t="s">
        <v>719</v>
      </c>
    </row>
    <row r="90" spans="2:8" ht="26" x14ac:dyDescent="0.35">
      <c r="B90" s="26" t="s">
        <v>379</v>
      </c>
      <c r="C90" s="26" t="str">
        <f>VLOOKUP(Table7[[#This Row],[Legacy Practices]],List!$E$2:$G$173,2,FALSE)</f>
        <v>N/A</v>
      </c>
      <c r="D90" s="27" t="s">
        <v>886</v>
      </c>
      <c r="E90" s="84" t="e">
        <v>#N/A</v>
      </c>
      <c r="F90" s="84" t="e">
        <v>#N/A</v>
      </c>
      <c r="G90" s="26" t="str">
        <f>VLOOKUP(Table7[[#This Row],[Legacy Practices]],List!$E$2:$G$173,3,FALSE)</f>
        <v>Not Applicable</v>
      </c>
      <c r="H90" s="26" t="s">
        <v>719</v>
      </c>
    </row>
    <row r="91" spans="2:8" ht="26" x14ac:dyDescent="0.35">
      <c r="B91" s="26" t="s">
        <v>380</v>
      </c>
      <c r="C91" s="26" t="str">
        <f>VLOOKUP(Table7[[#This Row],[Legacy Practices]],List!$E$2:$G$173,2,FALSE)</f>
        <v>IR.L3-7</v>
      </c>
      <c r="D91" s="27" t="s">
        <v>887</v>
      </c>
      <c r="E91" s="84" t="e">
        <v>#N/A</v>
      </c>
      <c r="F91" s="84" t="e">
        <v>#N/A</v>
      </c>
      <c r="G91" s="26" t="str">
        <f>VLOOKUP(Table7[[#This Row],[Legacy Practices]],List!$E$2:$G$173,3,FALSE)</f>
        <v>Not Applicable</v>
      </c>
      <c r="H91" s="26" t="s">
        <v>719</v>
      </c>
    </row>
    <row r="92" spans="2:8" x14ac:dyDescent="0.35">
      <c r="B92" s="26" t="s">
        <v>381</v>
      </c>
      <c r="C92" s="26" t="str">
        <f>VLOOKUP(Table7[[#This Row],[Legacy Practices]],List!$E$2:$G$173,2,FALSE)</f>
        <v>IR.L3-8</v>
      </c>
      <c r="D92" s="27" t="s">
        <v>888</v>
      </c>
      <c r="E92" s="84" t="e">
        <v>#N/A</v>
      </c>
      <c r="F92" s="84" t="e">
        <v>#N/A</v>
      </c>
      <c r="G92" s="26" t="str">
        <f>VLOOKUP(Table7[[#This Row],[Legacy Practices]],List!$E$2:$G$173,3,FALSE)</f>
        <v>Not Applicable</v>
      </c>
      <c r="H92" s="26" t="s">
        <v>719</v>
      </c>
    </row>
    <row r="93" spans="2:8" ht="159.5" x14ac:dyDescent="0.35">
      <c r="B93" s="26" t="s">
        <v>382</v>
      </c>
      <c r="C93" s="26" t="str">
        <f>VLOOKUP(Table7[[#This Row],[Legacy Practices]],List!$E$2:$G$173,2,FALSE)</f>
        <v>MA.L2-3.7.1</v>
      </c>
      <c r="D93" s="27" t="s">
        <v>889</v>
      </c>
      <c r="E93" s="84" t="s">
        <v>510</v>
      </c>
      <c r="F93" s="84" t="s">
        <v>890</v>
      </c>
      <c r="G93" s="119" t="str">
        <f>VLOOKUP(Table7[[#This Row],[Legacy Practices]],List!$E$2:$G$173,3,FALSE)</f>
        <v>Shared Coverage</v>
      </c>
      <c r="H93" s="26" t="s">
        <v>891</v>
      </c>
    </row>
    <row r="94" spans="2:8" ht="72.5" x14ac:dyDescent="0.35">
      <c r="B94" s="26" t="s">
        <v>383</v>
      </c>
      <c r="C94" s="26" t="str">
        <f>VLOOKUP(Table7[[#This Row],[Legacy Practices]],List!$E$2:$G$173,2,FALSE)</f>
        <v>MA.L2-3.7.2</v>
      </c>
      <c r="D94" s="27" t="s">
        <v>892</v>
      </c>
      <c r="E94" s="84" t="s">
        <v>893</v>
      </c>
      <c r="F94" s="84" t="s">
        <v>894</v>
      </c>
      <c r="G94" s="119" t="str">
        <f>VLOOKUP(Table7[[#This Row],[Legacy Practices]],List!$E$2:$G$173,3,FALSE)</f>
        <v>Shared Coverage</v>
      </c>
      <c r="H94" s="26" t="s">
        <v>895</v>
      </c>
    </row>
    <row r="95" spans="2:8" ht="87" x14ac:dyDescent="0.35">
      <c r="B95" s="26" t="s">
        <v>384</v>
      </c>
      <c r="C95" s="26" t="str">
        <f>VLOOKUP(Table7[[#This Row],[Legacy Practices]],List!$E$2:$G$173,2,FALSE)</f>
        <v>MA.L2-3.7.5</v>
      </c>
      <c r="D95" s="27" t="s">
        <v>896</v>
      </c>
      <c r="E95" s="84" t="s">
        <v>897</v>
      </c>
      <c r="F95" s="84" t="s">
        <v>898</v>
      </c>
      <c r="G95" s="119" t="str">
        <f>VLOOKUP(Table7[[#This Row],[Legacy Practices]],List!$E$2:$G$173,3,FALSE)</f>
        <v>Shared Coverage</v>
      </c>
      <c r="H95" s="26" t="s">
        <v>899</v>
      </c>
    </row>
    <row r="96" spans="2:8" ht="43.5" x14ac:dyDescent="0.35">
      <c r="B96" s="26" t="s">
        <v>385</v>
      </c>
      <c r="C96" s="26" t="str">
        <f>VLOOKUP(Table7[[#This Row],[Legacy Practices]],List!$E$2:$G$173,2,FALSE)</f>
        <v>MA.L2-3.7.6</v>
      </c>
      <c r="D96" s="27" t="s">
        <v>900</v>
      </c>
      <c r="E96" s="84" t="s">
        <v>901</v>
      </c>
      <c r="F96" s="84" t="s">
        <v>255</v>
      </c>
      <c r="G96" s="119" t="str">
        <f>VLOOKUP(Table7[[#This Row],[Legacy Practices]],List!$E$2:$G$173,3,FALSE)</f>
        <v>Shared Coverage</v>
      </c>
      <c r="H96" s="26" t="s">
        <v>902</v>
      </c>
    </row>
    <row r="97" spans="2:8" ht="29" x14ac:dyDescent="0.35">
      <c r="B97" s="26" t="s">
        <v>386</v>
      </c>
      <c r="C97" s="26" t="str">
        <f>VLOOKUP(Table7[[#This Row],[Legacy Practices]],List!$E$2:$G$173,2,FALSE)</f>
        <v>MA.L2-3.7.3</v>
      </c>
      <c r="D97" s="27" t="s">
        <v>903</v>
      </c>
      <c r="E97" s="84">
        <v>0</v>
      </c>
      <c r="F97" s="84" t="s">
        <v>904</v>
      </c>
      <c r="G97" s="119" t="str">
        <f>VLOOKUP(Table7[[#This Row],[Legacy Practices]],List!$E$2:$G$173,3,FALSE)</f>
        <v>Shared Coverage</v>
      </c>
      <c r="H97" s="26" t="s">
        <v>905</v>
      </c>
    </row>
    <row r="98" spans="2:8" ht="29" x14ac:dyDescent="0.35">
      <c r="B98" s="26" t="s">
        <v>387</v>
      </c>
      <c r="C98" s="26" t="str">
        <f>VLOOKUP(Table7[[#This Row],[Legacy Practices]],List!$E$2:$G$173,2,FALSE)</f>
        <v>MA.L2-3.7.4</v>
      </c>
      <c r="D98" s="27" t="s">
        <v>906</v>
      </c>
      <c r="E98" s="84" t="s">
        <v>510</v>
      </c>
      <c r="F98" s="84" t="s">
        <v>268</v>
      </c>
      <c r="G98" s="119" t="str">
        <f>VLOOKUP(Table7[[#This Row],[Legacy Practices]],List!$E$2:$G$173,3,FALSE)</f>
        <v>Shared Coverage</v>
      </c>
      <c r="H98" s="26" t="s">
        <v>907</v>
      </c>
    </row>
    <row r="99" spans="2:8" ht="43.5" x14ac:dyDescent="0.35">
      <c r="B99" s="26" t="s">
        <v>388</v>
      </c>
      <c r="C99" s="26" t="str">
        <f>VLOOKUP(Table7[[#This Row],[Legacy Practices]],List!$E$2:$G$173,2,FALSE)</f>
        <v>MP.L1-3.8.3</v>
      </c>
      <c r="D99" s="27" t="s">
        <v>908</v>
      </c>
      <c r="E99" s="84">
        <v>0</v>
      </c>
      <c r="F99" s="84" t="s">
        <v>909</v>
      </c>
      <c r="G99" s="26" t="str">
        <f>VLOOKUP(Table7[[#This Row],[Legacy Practices]],List!$E$2:$G$173,3,FALSE)</f>
        <v>Shared Coverage</v>
      </c>
      <c r="H99" s="26" t="s">
        <v>910</v>
      </c>
    </row>
    <row r="100" spans="2:8" ht="72.5" x14ac:dyDescent="0.35">
      <c r="B100" s="26" t="s">
        <v>389</v>
      </c>
      <c r="C100" s="26" t="str">
        <f>VLOOKUP(Table7[[#This Row],[Legacy Practices]],List!$E$2:$G$173,2,FALSE)</f>
        <v>MP.L2-3.8.1</v>
      </c>
      <c r="D100" s="27" t="s">
        <v>911</v>
      </c>
      <c r="E100" s="84" t="s">
        <v>912</v>
      </c>
      <c r="F100" s="84" t="s">
        <v>913</v>
      </c>
      <c r="G100" s="26" t="str">
        <f>VLOOKUP(Table7[[#This Row],[Legacy Practices]],List!$E$2:$G$173,3,FALSE)</f>
        <v>Shared Coverage</v>
      </c>
      <c r="H100" s="26" t="s">
        <v>914</v>
      </c>
    </row>
    <row r="101" spans="2:8" ht="130.5" x14ac:dyDescent="0.35">
      <c r="B101" s="26" t="s">
        <v>390</v>
      </c>
      <c r="C101" s="26" t="str">
        <f>VLOOKUP(Table7[[#This Row],[Legacy Practices]],List!$E$2:$G$173,2,FALSE)</f>
        <v>MP.L2-3.8.2</v>
      </c>
      <c r="D101" s="27" t="s">
        <v>915</v>
      </c>
      <c r="E101" s="84" t="s">
        <v>916</v>
      </c>
      <c r="F101" s="84" t="s">
        <v>917</v>
      </c>
      <c r="G101" s="26" t="str">
        <f>VLOOKUP(Table7[[#This Row],[Legacy Practices]],List!$E$2:$G$173,3,FALSE)</f>
        <v>Customer Responsibility</v>
      </c>
      <c r="H101" s="26" t="s">
        <v>918</v>
      </c>
    </row>
    <row r="102" spans="2:8" ht="58" x14ac:dyDescent="0.35">
      <c r="B102" s="26" t="s">
        <v>391</v>
      </c>
      <c r="C102" s="26" t="str">
        <f>VLOOKUP(Table7[[#This Row],[Legacy Practices]],List!$E$2:$G$173,2,FALSE)</f>
        <v>MP.L2-3.8.7</v>
      </c>
      <c r="D102" s="27" t="s">
        <v>919</v>
      </c>
      <c r="E102" s="84" t="s">
        <v>653</v>
      </c>
      <c r="F102" s="84">
        <v>0</v>
      </c>
      <c r="G102" s="26" t="str">
        <f>VLOOKUP(Table7[[#This Row],[Legacy Practices]],List!$E$2:$G$173,3,FALSE)</f>
        <v>Shared Coverage</v>
      </c>
      <c r="H102" s="26" t="s">
        <v>920</v>
      </c>
    </row>
    <row r="103" spans="2:8" ht="29" x14ac:dyDescent="0.35">
      <c r="B103" s="26" t="s">
        <v>392</v>
      </c>
      <c r="C103" s="26" t="str">
        <f>VLOOKUP(Table7[[#This Row],[Legacy Practices]],List!$E$2:$G$173,2,FALSE)</f>
        <v>MP.L2-3.8.4</v>
      </c>
      <c r="D103" s="27" t="s">
        <v>921</v>
      </c>
      <c r="E103" s="84" t="s">
        <v>242</v>
      </c>
      <c r="F103" s="84" t="s">
        <v>510</v>
      </c>
      <c r="G103" s="26" t="str">
        <f>VLOOKUP(Table7[[#This Row],[Legacy Practices]],List!$E$2:$G$173,3,FALSE)</f>
        <v>Customer Responsibility</v>
      </c>
      <c r="H103" s="26" t="s">
        <v>922</v>
      </c>
    </row>
    <row r="104" spans="2:8" ht="58" x14ac:dyDescent="0.35">
      <c r="B104" s="26" t="s">
        <v>393</v>
      </c>
      <c r="C104" s="26" t="str">
        <f>VLOOKUP(Table7[[#This Row],[Legacy Practices]],List!$E$2:$G$173,2,FALSE)</f>
        <v>MP.L2-3.8.8</v>
      </c>
      <c r="D104" s="27" t="s">
        <v>923</v>
      </c>
      <c r="E104" s="84" t="s">
        <v>924</v>
      </c>
      <c r="F104" s="84" t="s">
        <v>925</v>
      </c>
      <c r="G104" s="26" t="str">
        <f>VLOOKUP(Table7[[#This Row],[Legacy Practices]],List!$E$2:$G$173,3,FALSE)</f>
        <v>Shared Coverage</v>
      </c>
      <c r="H104" s="26" t="s">
        <v>926</v>
      </c>
    </row>
    <row r="105" spans="2:8" ht="130.5" x14ac:dyDescent="0.35">
      <c r="B105" s="26" t="s">
        <v>394</v>
      </c>
      <c r="C105" s="26" t="str">
        <f>VLOOKUP(Table7[[#This Row],[Legacy Practices]],List!$E$2:$G$173,2,FALSE)</f>
        <v>MP.L2-3.8.5</v>
      </c>
      <c r="D105" s="27" t="s">
        <v>927</v>
      </c>
      <c r="E105" s="84">
        <v>0</v>
      </c>
      <c r="F105" s="84" t="s">
        <v>928</v>
      </c>
      <c r="G105" s="26" t="str">
        <f>VLOOKUP(Table7[[#This Row],[Legacy Practices]],List!$E$2:$G$173,3,FALSE)</f>
        <v>Shared Coverage</v>
      </c>
      <c r="H105" s="26" t="s">
        <v>929</v>
      </c>
    </row>
    <row r="106" spans="2:8" ht="130.5" x14ac:dyDescent="0.35">
      <c r="B106" s="26" t="s">
        <v>395</v>
      </c>
      <c r="C106" s="26" t="str">
        <f>VLOOKUP(Table7[[#This Row],[Legacy Practices]],List!$E$2:$G$173,2,FALSE)</f>
        <v>MP.L2-3.8.6</v>
      </c>
      <c r="D106" s="27" t="s">
        <v>930</v>
      </c>
      <c r="E106" s="84" t="s">
        <v>931</v>
      </c>
      <c r="F106" s="84" t="s">
        <v>932</v>
      </c>
      <c r="G106" s="26" t="str">
        <f>VLOOKUP(Table7[[#This Row],[Legacy Practices]],List!$E$2:$G$173,3,FALSE)</f>
        <v>Shared Coverage</v>
      </c>
      <c r="H106" s="26" t="s">
        <v>933</v>
      </c>
    </row>
    <row r="107" spans="2:8" ht="116" x14ac:dyDescent="0.35">
      <c r="B107" s="26" t="s">
        <v>396</v>
      </c>
      <c r="C107" s="26" t="str">
        <f>VLOOKUP(Table7[[#This Row],[Legacy Practices]],List!$E$2:$G$173,2,FALSE)</f>
        <v>PE.L1-3.10.1</v>
      </c>
      <c r="D107" s="27" t="s">
        <v>937</v>
      </c>
      <c r="E107" s="84" t="s">
        <v>938</v>
      </c>
      <c r="F107" s="84" t="s">
        <v>510</v>
      </c>
      <c r="G107" s="26" t="str">
        <f>VLOOKUP(Table7[[#This Row],[Legacy Practices]],List!$E$2:$G$173,3,FALSE)</f>
        <v>Microsoft Coverage</v>
      </c>
      <c r="H107" s="26" t="s">
        <v>939</v>
      </c>
    </row>
    <row r="108" spans="2:8" ht="58" x14ac:dyDescent="0.35">
      <c r="B108" s="26" t="s">
        <v>397</v>
      </c>
      <c r="C108" s="26" t="str">
        <f>VLOOKUP(Table7[[#This Row],[Legacy Practices]],List!$E$2:$G$173,2,FALSE)</f>
        <v>PE.L1-3.10.3</v>
      </c>
      <c r="D108" s="27" t="s">
        <v>940</v>
      </c>
      <c r="E108" s="84" t="s">
        <v>941</v>
      </c>
      <c r="F108" s="84" t="s">
        <v>942</v>
      </c>
      <c r="G108" s="26" t="str">
        <f>VLOOKUP(Table7[[#This Row],[Legacy Practices]],List!$E$2:$G$173,3,FALSE)</f>
        <v>Microsoft Coverage</v>
      </c>
      <c r="H108" s="26" t="s">
        <v>943</v>
      </c>
    </row>
    <row r="109" spans="2:8" ht="58" x14ac:dyDescent="0.35">
      <c r="B109" s="26" t="s">
        <v>398</v>
      </c>
      <c r="C109" s="26" t="str">
        <f>VLOOKUP(Table7[[#This Row],[Legacy Practices]],List!$E$2:$G$173,2,FALSE)</f>
        <v>PE.L1-3.10.4</v>
      </c>
      <c r="D109" s="27" t="s">
        <v>944</v>
      </c>
      <c r="E109" s="84" t="s">
        <v>945</v>
      </c>
      <c r="F109" s="84" t="s">
        <v>510</v>
      </c>
      <c r="G109" s="26" t="str">
        <f>VLOOKUP(Table7[[#This Row],[Legacy Practices]],List!$E$2:$G$173,3,FALSE)</f>
        <v>Microsoft Coverage</v>
      </c>
      <c r="H109" s="26" t="s">
        <v>946</v>
      </c>
    </row>
    <row r="110" spans="2:8" ht="58" x14ac:dyDescent="0.35">
      <c r="B110" s="26" t="s">
        <v>399</v>
      </c>
      <c r="C110" s="26" t="str">
        <f>VLOOKUP(Table7[[#This Row],[Legacy Practices]],List!$E$2:$G$173,2,FALSE)</f>
        <v>PE.L1-3.10.5</v>
      </c>
      <c r="D110" s="27" t="s">
        <v>947</v>
      </c>
      <c r="E110" s="84" t="s">
        <v>941</v>
      </c>
      <c r="F110" s="84" t="s">
        <v>925</v>
      </c>
      <c r="G110" s="26" t="str">
        <f>VLOOKUP(Table7[[#This Row],[Legacy Practices]],List!$E$2:$G$173,3,FALSE)</f>
        <v>Microsoft Coverage</v>
      </c>
      <c r="H110" s="26" t="s">
        <v>948</v>
      </c>
    </row>
    <row r="111" spans="2:8" ht="72.5" x14ac:dyDescent="0.35">
      <c r="B111" s="26" t="s">
        <v>400</v>
      </c>
      <c r="C111" s="26" t="str">
        <f>VLOOKUP(Table7[[#This Row],[Legacy Practices]],List!$E$2:$G$173,2,FALSE)</f>
        <v>PE.L2-3.10.2</v>
      </c>
      <c r="D111" s="27" t="s">
        <v>949</v>
      </c>
      <c r="E111" s="84" t="s">
        <v>950</v>
      </c>
      <c r="F111" s="84" t="s">
        <v>951</v>
      </c>
      <c r="G111" s="26" t="str">
        <f>VLOOKUP(Table7[[#This Row],[Legacy Practices]],List!$E$2:$G$173,3,FALSE)</f>
        <v>Microsoft Coverage</v>
      </c>
      <c r="H111" s="26" t="s">
        <v>952</v>
      </c>
    </row>
    <row r="112" spans="2:8" ht="116" x14ac:dyDescent="0.35">
      <c r="B112" s="26" t="s">
        <v>401</v>
      </c>
      <c r="C112" s="26" t="str">
        <f>VLOOKUP(Table7[[#This Row],[Legacy Practices]],List!$E$2:$G$173,2,FALSE)</f>
        <v>PE.L2-3.10.6</v>
      </c>
      <c r="D112" s="27" t="s">
        <v>953</v>
      </c>
      <c r="E112" s="84" t="s">
        <v>954</v>
      </c>
      <c r="F112" s="84" t="s">
        <v>955</v>
      </c>
      <c r="G112" s="119" t="str">
        <f>VLOOKUP(Table7[[#This Row],[Legacy Practices]],List!$E$2:$G$173,3,FALSE)</f>
        <v>Shared Coverage</v>
      </c>
      <c r="H112" s="26" t="s">
        <v>956</v>
      </c>
    </row>
    <row r="113" spans="2:8" x14ac:dyDescent="0.35">
      <c r="B113" s="26" t="s">
        <v>402</v>
      </c>
      <c r="C113" s="26" t="str">
        <f>VLOOKUP(Table7[[#This Row],[Legacy Practices]],List!$E$2:$G$173,2,FALSE)</f>
        <v>PS.L2-3.9.1</v>
      </c>
      <c r="D113" s="27" t="s">
        <v>957</v>
      </c>
      <c r="E113" s="84">
        <v>0</v>
      </c>
      <c r="F113" s="84">
        <v>0</v>
      </c>
      <c r="G113" s="26" t="str">
        <f>VLOOKUP(Table7[[#This Row],[Legacy Practices]],List!$E$2:$G$173,3,FALSE)</f>
        <v>Customer Responsibility</v>
      </c>
      <c r="H113" s="26" t="s">
        <v>958</v>
      </c>
    </row>
    <row r="114" spans="2:8" ht="130.5" x14ac:dyDescent="0.35">
      <c r="B114" s="26" t="s">
        <v>403</v>
      </c>
      <c r="C114" s="26" t="str">
        <f>VLOOKUP(Table7[[#This Row],[Legacy Practices]],List!$E$2:$G$173,2,FALSE)</f>
        <v>PS.L2-3.9.2</v>
      </c>
      <c r="D114" s="27" t="s">
        <v>959</v>
      </c>
      <c r="E114" s="84" t="s">
        <v>696</v>
      </c>
      <c r="F114" s="84" t="s">
        <v>960</v>
      </c>
      <c r="G114" s="26" t="str">
        <f>VLOOKUP(Table7[[#This Row],[Legacy Practices]],List!$E$2:$G$173,3,FALSE)</f>
        <v>Shared Coverage</v>
      </c>
      <c r="H114" s="26" t="s">
        <v>961</v>
      </c>
    </row>
    <row r="115" spans="2:8" x14ac:dyDescent="0.35">
      <c r="B115" s="26" t="s">
        <v>404</v>
      </c>
      <c r="C115" s="26" t="str">
        <f>VLOOKUP(Table7[[#This Row],[Legacy Practices]],List!$E$2:$G$173,2,FALSE)</f>
        <v>N/A</v>
      </c>
      <c r="D115" s="27" t="s">
        <v>962</v>
      </c>
      <c r="E115" s="84" t="e">
        <v>#N/A</v>
      </c>
      <c r="F115" s="84" t="e">
        <v>#N/A</v>
      </c>
      <c r="G115" s="26" t="str">
        <f>VLOOKUP(Table7[[#This Row],[Legacy Practices]],List!$E$2:$G$173,3,FALSE)</f>
        <v>Shared Coverage</v>
      </c>
      <c r="H115" s="26" t="s">
        <v>719</v>
      </c>
    </row>
    <row r="116" spans="2:8" ht="101.5" x14ac:dyDescent="0.35">
      <c r="B116" s="26" t="s">
        <v>405</v>
      </c>
      <c r="C116" s="26" t="str">
        <f>VLOOKUP(Table7[[#This Row],[Legacy Practices]],List!$E$2:$G$173,2,FALSE)</f>
        <v>MP.L2-3.8.9</v>
      </c>
      <c r="D116" s="27" t="s">
        <v>963</v>
      </c>
      <c r="E116" s="84" t="s">
        <v>934</v>
      </c>
      <c r="F116" s="84" t="s">
        <v>935</v>
      </c>
      <c r="G116" s="26" t="str">
        <f>VLOOKUP(Table7[[#This Row],[Legacy Practices]],List!$E$2:$G$173,3,FALSE)</f>
        <v>Shared Coverage</v>
      </c>
      <c r="H116" s="26" t="s">
        <v>936</v>
      </c>
    </row>
    <row r="117" spans="2:8" ht="26" x14ac:dyDescent="0.35">
      <c r="B117" s="26" t="s">
        <v>406</v>
      </c>
      <c r="C117" s="26" t="str">
        <f>VLOOKUP(Table7[[#This Row],[Legacy Practices]],List!$E$2:$G$173,2,FALSE)</f>
        <v>N/A</v>
      </c>
      <c r="D117" s="27" t="s">
        <v>964</v>
      </c>
      <c r="E117" s="84" t="e">
        <v>#N/A</v>
      </c>
      <c r="F117" s="84" t="e">
        <v>#N/A</v>
      </c>
      <c r="G117" s="26" t="str">
        <f>VLOOKUP(Table7[[#This Row],[Legacy Practices]],List!$E$2:$G$173,3,FALSE)</f>
        <v>Shared Coverage</v>
      </c>
      <c r="H117" s="26" t="s">
        <v>719</v>
      </c>
    </row>
    <row r="118" spans="2:8" ht="26" x14ac:dyDescent="0.35">
      <c r="B118" s="26" t="s">
        <v>407</v>
      </c>
      <c r="C118" s="26" t="str">
        <f>VLOOKUP(Table7[[#This Row],[Legacy Practices]],List!$E$2:$G$173,2,FALSE)</f>
        <v>N/A</v>
      </c>
      <c r="D118" s="27" t="s">
        <v>965</v>
      </c>
      <c r="E118" s="84" t="e">
        <v>#N/A</v>
      </c>
      <c r="F118" s="84" t="e">
        <v>#N/A</v>
      </c>
      <c r="G118" s="26" t="str">
        <f>VLOOKUP(Table7[[#This Row],[Legacy Practices]],List!$E$2:$G$173,3,FALSE)</f>
        <v>Not Applicable</v>
      </c>
      <c r="H118" s="26" t="s">
        <v>719</v>
      </c>
    </row>
    <row r="119" spans="2:8" ht="116" x14ac:dyDescent="0.35">
      <c r="B119" s="26" t="s">
        <v>408</v>
      </c>
      <c r="C119" s="26" t="str">
        <f>VLOOKUP(Table7[[#This Row],[Legacy Practices]],List!$E$2:$G$173,2,FALSE)</f>
        <v>RA.L2-3.11.1</v>
      </c>
      <c r="D119" s="27" t="s">
        <v>966</v>
      </c>
      <c r="E119" s="84" t="s">
        <v>967</v>
      </c>
      <c r="F119" s="84" t="s">
        <v>968</v>
      </c>
      <c r="G119" s="26" t="str">
        <f>VLOOKUP(Table7[[#This Row],[Legacy Practices]],List!$E$2:$G$173,3,FALSE)</f>
        <v>Shared Coverage</v>
      </c>
      <c r="H119" s="26" t="s">
        <v>969</v>
      </c>
    </row>
    <row r="120" spans="2:8" ht="130.5" x14ac:dyDescent="0.35">
      <c r="B120" s="26" t="s">
        <v>409</v>
      </c>
      <c r="C120" s="26" t="str">
        <f>VLOOKUP(Table7[[#This Row],[Legacy Practices]],List!$E$2:$G$173,2,FALSE)</f>
        <v>RA.L2-3.11.2</v>
      </c>
      <c r="D120" s="27" t="s">
        <v>970</v>
      </c>
      <c r="E120" s="84" t="s">
        <v>971</v>
      </c>
      <c r="F120" s="84" t="s">
        <v>972</v>
      </c>
      <c r="G120" s="26" t="str">
        <f>VLOOKUP(Table7[[#This Row],[Legacy Practices]],List!$E$2:$G$173,3,FALSE)</f>
        <v>Shared Coverage</v>
      </c>
      <c r="H120" s="26" t="s">
        <v>973</v>
      </c>
    </row>
    <row r="121" spans="2:8" ht="145" x14ac:dyDescent="0.35">
      <c r="B121" s="26" t="s">
        <v>410</v>
      </c>
      <c r="C121" s="26" t="str">
        <f>VLOOKUP(Table7[[#This Row],[Legacy Practices]],List!$E$2:$G$173,2,FALSE)</f>
        <v>RA.L2-3.11.3</v>
      </c>
      <c r="D121" s="27" t="s">
        <v>974</v>
      </c>
      <c r="E121" s="84" t="s">
        <v>975</v>
      </c>
      <c r="F121" s="84" t="s">
        <v>976</v>
      </c>
      <c r="G121" s="26" t="str">
        <f>VLOOKUP(Table7[[#This Row],[Legacy Practices]],List!$E$2:$G$173,3,FALSE)</f>
        <v>Shared Coverage</v>
      </c>
      <c r="H121" s="26" t="s">
        <v>977</v>
      </c>
    </row>
    <row r="122" spans="2:8" ht="26" x14ac:dyDescent="0.35">
      <c r="B122" s="26" t="s">
        <v>411</v>
      </c>
      <c r="C122" s="26" t="str">
        <f>VLOOKUP(Table7[[#This Row],[Legacy Practices]],List!$E$2:$G$173,2,FALSE)</f>
        <v>N/A</v>
      </c>
      <c r="D122" s="27" t="s">
        <v>978</v>
      </c>
      <c r="E122" s="84" t="e">
        <v>#N/A</v>
      </c>
      <c r="F122" s="84" t="e">
        <v>#N/A</v>
      </c>
      <c r="G122" s="26" t="str">
        <f>VLOOKUP(Table7[[#This Row],[Legacy Practices]],List!$E$2:$G$173,3,FALSE)</f>
        <v>Shared Coverage</v>
      </c>
      <c r="H122" s="26" t="s">
        <v>719</v>
      </c>
    </row>
    <row r="123" spans="2:8" x14ac:dyDescent="0.35">
      <c r="B123" s="26" t="s">
        <v>412</v>
      </c>
      <c r="C123" s="26" t="str">
        <f>VLOOKUP(Table7[[#This Row],[Legacy Practices]],List!$E$2:$G$173,2,FALSE)</f>
        <v>N/A</v>
      </c>
      <c r="D123" s="27" t="s">
        <v>979</v>
      </c>
      <c r="E123" s="84" t="e">
        <v>#N/A</v>
      </c>
      <c r="F123" s="84" t="e">
        <v>#N/A</v>
      </c>
      <c r="G123" s="26" t="str">
        <f>VLOOKUP(Table7[[#This Row],[Legacy Practices]],List!$E$2:$G$173,3,FALSE)</f>
        <v>Customer Responsibility</v>
      </c>
      <c r="H123" s="26" t="s">
        <v>719</v>
      </c>
    </row>
    <row r="124" spans="2:8" ht="26" x14ac:dyDescent="0.35">
      <c r="B124" s="26" t="s">
        <v>413</v>
      </c>
      <c r="C124" s="26" t="str">
        <f>VLOOKUP(Table7[[#This Row],[Legacy Practices]],List!$E$2:$G$173,2,FALSE)</f>
        <v>N/A</v>
      </c>
      <c r="D124" s="27" t="s">
        <v>980</v>
      </c>
      <c r="E124" s="84" t="e">
        <v>#N/A</v>
      </c>
      <c r="F124" s="84" t="e">
        <v>#N/A</v>
      </c>
      <c r="G124" s="26" t="str">
        <f>VLOOKUP(Table7[[#This Row],[Legacy Practices]],List!$E$2:$G$173,3,FALSE)</f>
        <v>Customer Responsibility</v>
      </c>
      <c r="H124" s="26" t="s">
        <v>719</v>
      </c>
    </row>
    <row r="125" spans="2:8" ht="26" x14ac:dyDescent="0.35">
      <c r="B125" s="26" t="s">
        <v>414</v>
      </c>
      <c r="C125" s="26" t="str">
        <f>VLOOKUP(Table7[[#This Row],[Legacy Practices]],List!$E$2:$G$173,2,FALSE)</f>
        <v>RA.L3-9</v>
      </c>
      <c r="D125" s="27" t="s">
        <v>981</v>
      </c>
      <c r="E125" s="84" t="e">
        <v>#N/A</v>
      </c>
      <c r="F125" s="84" t="e">
        <v>#N/A</v>
      </c>
      <c r="G125" s="26" t="str">
        <f>VLOOKUP(Table7[[#This Row],[Legacy Practices]],List!$E$2:$G$173,3,FALSE)</f>
        <v>Not Applicable</v>
      </c>
      <c r="H125" s="26" t="s">
        <v>719</v>
      </c>
    </row>
    <row r="126" spans="2:8" ht="26" x14ac:dyDescent="0.35">
      <c r="B126" s="26" t="s">
        <v>415</v>
      </c>
      <c r="C126" s="26" t="str">
        <f>VLOOKUP(Table7[[#This Row],[Legacy Practices]],List!$E$2:$G$173,2,FALSE)</f>
        <v>N/A</v>
      </c>
      <c r="D126" s="27" t="s">
        <v>982</v>
      </c>
      <c r="E126" s="84" t="e">
        <v>#N/A</v>
      </c>
      <c r="F126" s="84" t="e">
        <v>#N/A</v>
      </c>
      <c r="G126" s="26" t="str">
        <f>VLOOKUP(Table7[[#This Row],[Legacy Practices]],List!$E$2:$G$173,3,FALSE)</f>
        <v>Not Applicable</v>
      </c>
      <c r="H126" s="26" t="s">
        <v>719</v>
      </c>
    </row>
    <row r="127" spans="2:8" ht="26" x14ac:dyDescent="0.35">
      <c r="B127" s="26" t="s">
        <v>416</v>
      </c>
      <c r="C127" s="26" t="str">
        <f>VLOOKUP(Table7[[#This Row],[Legacy Practices]],List!$E$2:$G$173,2,FALSE)</f>
        <v>RA.L3-10</v>
      </c>
      <c r="D127" s="27" t="s">
        <v>983</v>
      </c>
      <c r="E127" s="84" t="e">
        <v>#N/A</v>
      </c>
      <c r="F127" s="84" t="e">
        <v>#N/A</v>
      </c>
      <c r="G127" s="26" t="str">
        <f>VLOOKUP(Table7[[#This Row],[Legacy Practices]],List!$E$2:$G$173,3,FALSE)</f>
        <v>Not Applicable</v>
      </c>
      <c r="H127" s="26" t="s">
        <v>719</v>
      </c>
    </row>
    <row r="128" spans="2:8" ht="26" x14ac:dyDescent="0.35">
      <c r="B128" s="26" t="s">
        <v>417</v>
      </c>
      <c r="C128" s="26" t="str">
        <f>VLOOKUP(Table7[[#This Row],[Legacy Practices]],List!$E$2:$G$173,2,FALSE)</f>
        <v>N/A</v>
      </c>
      <c r="D128" s="27" t="s">
        <v>984</v>
      </c>
      <c r="E128" s="84" t="e">
        <v>#N/A</v>
      </c>
      <c r="F128" s="84" t="e">
        <v>#N/A</v>
      </c>
      <c r="G128" s="26" t="str">
        <f>VLOOKUP(Table7[[#This Row],[Legacy Practices]],List!$E$2:$G$173,3,FALSE)</f>
        <v>Not Applicable</v>
      </c>
      <c r="H128" s="26" t="s">
        <v>719</v>
      </c>
    </row>
    <row r="129" spans="2:8" x14ac:dyDescent="0.35">
      <c r="B129" s="26" t="s">
        <v>418</v>
      </c>
      <c r="C129" s="26" t="str">
        <f>VLOOKUP(Table7[[#This Row],[Legacy Practices]],List!$E$2:$G$173,2,FALSE)</f>
        <v>N/A</v>
      </c>
      <c r="D129" s="27" t="s">
        <v>985</v>
      </c>
      <c r="E129" s="84" t="e">
        <v>#N/A</v>
      </c>
      <c r="F129" s="84" t="e">
        <v>#N/A</v>
      </c>
      <c r="G129" s="26" t="str">
        <f>VLOOKUP(Table7[[#This Row],[Legacy Practices]],List!$E$2:$G$173,3,FALSE)</f>
        <v>Not Applicable</v>
      </c>
      <c r="H129" s="26" t="s">
        <v>719</v>
      </c>
    </row>
    <row r="130" spans="2:8" ht="26" x14ac:dyDescent="0.35">
      <c r="B130" s="26" t="s">
        <v>419</v>
      </c>
      <c r="C130" s="26" t="str">
        <f>VLOOKUP(Table7[[#This Row],[Legacy Practices]],List!$E$2:$G$173,2,FALSE)</f>
        <v>RA.L3-11</v>
      </c>
      <c r="D130" s="27" t="s">
        <v>986</v>
      </c>
      <c r="E130" s="84" t="e">
        <v>#N/A</v>
      </c>
      <c r="F130" s="84" t="e">
        <v>#N/A</v>
      </c>
      <c r="G130" s="26" t="str">
        <f>VLOOKUP(Table7[[#This Row],[Legacy Practices]],List!$E$2:$G$173,3,FALSE)</f>
        <v>Not Applicable</v>
      </c>
      <c r="H130" s="26" t="s">
        <v>719</v>
      </c>
    </row>
    <row r="131" spans="2:8" ht="26" x14ac:dyDescent="0.35">
      <c r="B131" s="26" t="s">
        <v>420</v>
      </c>
      <c r="C131" s="26" t="str">
        <f>VLOOKUP(Table7[[#This Row],[Legacy Practices]],List!$E$2:$G$173,2,FALSE)</f>
        <v>N/A</v>
      </c>
      <c r="D131" s="27" t="s">
        <v>987</v>
      </c>
      <c r="E131" s="84" t="e">
        <v>#N/A</v>
      </c>
      <c r="F131" s="84" t="e">
        <v>#N/A</v>
      </c>
      <c r="G131" s="26" t="str">
        <f>VLOOKUP(Table7[[#This Row],[Legacy Practices]],List!$E$2:$G$173,3,FALSE)</f>
        <v>Shared Coverage</v>
      </c>
      <c r="H131" s="26" t="s">
        <v>719</v>
      </c>
    </row>
    <row r="132" spans="2:8" ht="26" x14ac:dyDescent="0.35">
      <c r="B132" s="26" t="s">
        <v>421</v>
      </c>
      <c r="C132" s="26" t="str">
        <f>VLOOKUP(Table7[[#This Row],[Legacy Practices]],List!$E$2:$G$173,2,FALSE)</f>
        <v>N/A</v>
      </c>
      <c r="D132" s="27" t="s">
        <v>988</v>
      </c>
      <c r="E132" s="84" t="e">
        <v>#N/A</v>
      </c>
      <c r="F132" s="84" t="e">
        <v>#N/A</v>
      </c>
      <c r="G132" s="26" t="str">
        <f>VLOOKUP(Table7[[#This Row],[Legacy Practices]],List!$E$2:$G$173,3,FALSE)</f>
        <v>Not Applicable</v>
      </c>
      <c r="H132" s="26" t="s">
        <v>719</v>
      </c>
    </row>
    <row r="133" spans="2:8" ht="26" x14ac:dyDescent="0.35">
      <c r="B133" s="26" t="s">
        <v>422</v>
      </c>
      <c r="C133" s="26" t="str">
        <f>VLOOKUP(Table7[[#This Row],[Legacy Practices]],List!$E$2:$G$173,2,FALSE)</f>
        <v>N/A</v>
      </c>
      <c r="D133" s="27" t="s">
        <v>989</v>
      </c>
      <c r="E133" s="84" t="e">
        <v>#N/A</v>
      </c>
      <c r="F133" s="84" t="e">
        <v>#N/A</v>
      </c>
      <c r="G133" s="26" t="str">
        <f>VLOOKUP(Table7[[#This Row],[Legacy Practices]],List!$E$2:$G$173,3,FALSE)</f>
        <v>Not Applicable</v>
      </c>
      <c r="H133" s="26" t="s">
        <v>719</v>
      </c>
    </row>
    <row r="134" spans="2:8" ht="391.5" x14ac:dyDescent="0.35">
      <c r="B134" s="26" t="s">
        <v>423</v>
      </c>
      <c r="C134" s="26" t="str">
        <f>VLOOKUP(Table7[[#This Row],[Legacy Practices]],List!$E$2:$G$173,2,FALSE)</f>
        <v>SC.L1-3.13.1</v>
      </c>
      <c r="D134" s="27" t="s">
        <v>990</v>
      </c>
      <c r="E134" s="84" t="s">
        <v>991</v>
      </c>
      <c r="F134" s="84" t="s">
        <v>992</v>
      </c>
      <c r="G134" s="26" t="str">
        <f>VLOOKUP(Table7[[#This Row],[Legacy Practices]],List!$E$2:$G$173,3,FALSE)</f>
        <v>Shared Coverage</v>
      </c>
      <c r="H134" s="26" t="s">
        <v>993</v>
      </c>
    </row>
    <row r="135" spans="2:8" ht="101.5" x14ac:dyDescent="0.35">
      <c r="B135" s="26" t="s">
        <v>424</v>
      </c>
      <c r="C135" s="26" t="str">
        <f>VLOOKUP(Table7[[#This Row],[Legacy Practices]],List!$E$2:$G$173,2,FALSE)</f>
        <v>SC.L1-3.13.5</v>
      </c>
      <c r="D135" s="27" t="s">
        <v>994</v>
      </c>
      <c r="E135" s="84">
        <v>0</v>
      </c>
      <c r="F135" s="84" t="s">
        <v>995</v>
      </c>
      <c r="G135" s="26" t="str">
        <f>VLOOKUP(Table7[[#This Row],[Legacy Practices]],List!$E$2:$G$173,3,FALSE)</f>
        <v>Shared Coverage</v>
      </c>
      <c r="H135" s="26" t="s">
        <v>996</v>
      </c>
    </row>
    <row r="136" spans="2:8" ht="72.5" x14ac:dyDescent="0.35">
      <c r="B136" s="26" t="s">
        <v>425</v>
      </c>
      <c r="C136" s="26" t="str">
        <f>VLOOKUP(Table7[[#This Row],[Legacy Practices]],List!$E$2:$G$173,2,FALSE)</f>
        <v>SC.L2-3.13.12</v>
      </c>
      <c r="D136" s="27" t="s">
        <v>997</v>
      </c>
      <c r="E136" s="84" t="s">
        <v>266</v>
      </c>
      <c r="F136" s="84" t="s">
        <v>998</v>
      </c>
      <c r="G136" s="26" t="str">
        <f>VLOOKUP(Table7[[#This Row],[Legacy Practices]],List!$E$2:$G$173,3,FALSE)</f>
        <v>Shared Coverage</v>
      </c>
      <c r="H136" s="26" t="s">
        <v>999</v>
      </c>
    </row>
    <row r="137" spans="2:8" x14ac:dyDescent="0.35">
      <c r="B137" s="26" t="s">
        <v>426</v>
      </c>
      <c r="C137" s="26" t="str">
        <f>VLOOKUP(Table7[[#This Row],[Legacy Practices]],List!$E$2:$G$173,2,FALSE)</f>
        <v>N/A</v>
      </c>
      <c r="D137" s="27" t="s">
        <v>1000</v>
      </c>
      <c r="E137" s="84" t="e">
        <v>#N/A</v>
      </c>
      <c r="F137" s="84" t="e">
        <v>#N/A</v>
      </c>
      <c r="G137" s="26" t="str">
        <f>VLOOKUP(Table7[[#This Row],[Legacy Practices]],List!$E$2:$G$173,3,FALSE)</f>
        <v>Shared Coverage</v>
      </c>
      <c r="H137" s="26" t="s">
        <v>719</v>
      </c>
    </row>
    <row r="138" spans="2:8" ht="130.5" x14ac:dyDescent="0.35">
      <c r="B138" s="26" t="s">
        <v>427</v>
      </c>
      <c r="C138" s="26" t="str">
        <f>VLOOKUP(Table7[[#This Row],[Legacy Practices]],List!$E$2:$G$173,2,FALSE)</f>
        <v>SC.L2-3.13.11</v>
      </c>
      <c r="D138" s="27" t="s">
        <v>1001</v>
      </c>
      <c r="E138" s="84" t="s">
        <v>1002</v>
      </c>
      <c r="F138" s="84" t="s">
        <v>1003</v>
      </c>
      <c r="G138" s="26" t="str">
        <f>VLOOKUP(Table7[[#This Row],[Legacy Practices]],List!$E$2:$G$173,3,FALSE)</f>
        <v>Microsoft Coverage</v>
      </c>
      <c r="H138" s="26" t="s">
        <v>1004</v>
      </c>
    </row>
    <row r="139" spans="2:8" ht="26" x14ac:dyDescent="0.35">
      <c r="B139" s="26" t="s">
        <v>428</v>
      </c>
      <c r="C139" s="26" t="str">
        <f>VLOOKUP(Table7[[#This Row],[Legacy Practices]],List!$E$2:$G$173,2,FALSE)</f>
        <v>SC.L2-3.13.2</v>
      </c>
      <c r="D139" s="27" t="s">
        <v>1005</v>
      </c>
      <c r="E139" s="84">
        <v>0</v>
      </c>
      <c r="F139" s="84" t="s">
        <v>219</v>
      </c>
      <c r="G139" s="26" t="str">
        <f>VLOOKUP(Table7[[#This Row],[Legacy Practices]],List!$E$2:$G$173,3,FALSE)</f>
        <v>Shared Coverage</v>
      </c>
      <c r="H139" s="26" t="s">
        <v>1006</v>
      </c>
    </row>
    <row r="140" spans="2:8" ht="43.5" x14ac:dyDescent="0.35">
      <c r="B140" s="26" t="s">
        <v>429</v>
      </c>
      <c r="C140" s="26" t="str">
        <f>VLOOKUP(Table7[[#This Row],[Legacy Practices]],List!$E$2:$G$173,2,FALSE)</f>
        <v>SC.L2-3.13.3</v>
      </c>
      <c r="D140" s="27" t="s">
        <v>1007</v>
      </c>
      <c r="E140" s="84" t="s">
        <v>696</v>
      </c>
      <c r="F140" s="84" t="s">
        <v>1008</v>
      </c>
      <c r="G140" s="26" t="str">
        <f>VLOOKUP(Table7[[#This Row],[Legacy Practices]],List!$E$2:$G$173,3,FALSE)</f>
        <v>Shared Coverage</v>
      </c>
      <c r="H140" s="26" t="s">
        <v>1009</v>
      </c>
    </row>
    <row r="141" spans="2:8" ht="217.5" x14ac:dyDescent="0.35">
      <c r="B141" s="26" t="s">
        <v>430</v>
      </c>
      <c r="C141" s="26" t="str">
        <f>VLOOKUP(Table7[[#This Row],[Legacy Practices]],List!$E$2:$G$173,2,FALSE)</f>
        <v>SC.L2-3.13.4</v>
      </c>
      <c r="D141" s="27" t="s">
        <v>1010</v>
      </c>
      <c r="E141" s="84" t="s">
        <v>1011</v>
      </c>
      <c r="F141" s="84" t="s">
        <v>1012</v>
      </c>
      <c r="G141" s="26" t="str">
        <f>VLOOKUP(Table7[[#This Row],[Legacy Practices]],List!$E$2:$G$173,3,FALSE)</f>
        <v>Shared Coverage</v>
      </c>
      <c r="H141" s="26" t="s">
        <v>1013</v>
      </c>
    </row>
    <row r="142" spans="2:8" ht="145" x14ac:dyDescent="0.35">
      <c r="B142" s="26" t="s">
        <v>431</v>
      </c>
      <c r="C142" s="26" t="str">
        <f>VLOOKUP(Table7[[#This Row],[Legacy Practices]],List!$E$2:$G$173,2,FALSE)</f>
        <v>SC.L2-3.13.6</v>
      </c>
      <c r="D142" s="27" t="s">
        <v>1014</v>
      </c>
      <c r="E142" s="84" t="s">
        <v>163</v>
      </c>
      <c r="F142" s="84" t="s">
        <v>1015</v>
      </c>
      <c r="G142" s="26" t="str">
        <f>VLOOKUP(Table7[[#This Row],[Legacy Practices]],List!$E$2:$G$173,3,FALSE)</f>
        <v>Shared Coverage</v>
      </c>
      <c r="H142" s="26" t="s">
        <v>1016</v>
      </c>
    </row>
    <row r="143" spans="2:8" ht="43.5" x14ac:dyDescent="0.35">
      <c r="B143" s="26" t="s">
        <v>432</v>
      </c>
      <c r="C143" s="26" t="str">
        <f>VLOOKUP(Table7[[#This Row],[Legacy Practices]],List!$E$2:$G$173,2,FALSE)</f>
        <v>SC.L2-3.13.7</v>
      </c>
      <c r="D143" s="27" t="s">
        <v>1017</v>
      </c>
      <c r="E143" s="84" t="s">
        <v>1018</v>
      </c>
      <c r="F143" s="84" t="s">
        <v>1019</v>
      </c>
      <c r="G143" s="26" t="str">
        <f>VLOOKUP(Table7[[#This Row],[Legacy Practices]],List!$E$2:$G$173,3,FALSE)</f>
        <v>Customer Responsibility</v>
      </c>
      <c r="H143" s="26" t="s">
        <v>1020</v>
      </c>
    </row>
    <row r="144" spans="2:8" ht="203" x14ac:dyDescent="0.35">
      <c r="B144" s="26" t="s">
        <v>433</v>
      </c>
      <c r="C144" s="26" t="str">
        <f>VLOOKUP(Table7[[#This Row],[Legacy Practices]],List!$E$2:$G$173,2,FALSE)</f>
        <v>SC.L2-3.13.8</v>
      </c>
      <c r="D144" s="27" t="s">
        <v>1021</v>
      </c>
      <c r="E144" s="84" t="s">
        <v>1022</v>
      </c>
      <c r="F144" s="84" t="s">
        <v>1023</v>
      </c>
      <c r="G144" s="26" t="str">
        <f>VLOOKUP(Table7[[#This Row],[Legacy Practices]],List!$E$2:$G$173,3,FALSE)</f>
        <v>Shared Coverage</v>
      </c>
      <c r="H144" s="26" t="s">
        <v>1024</v>
      </c>
    </row>
    <row r="145" spans="2:8" ht="116" x14ac:dyDescent="0.35">
      <c r="B145" s="26" t="s">
        <v>434</v>
      </c>
      <c r="C145" s="26" t="str">
        <f>VLOOKUP(Table7[[#This Row],[Legacy Practices]],List!$E$2:$G$173,2,FALSE)</f>
        <v>SC.L2-3.13.9</v>
      </c>
      <c r="D145" s="27" t="s">
        <v>1025</v>
      </c>
      <c r="E145" s="84" t="s">
        <v>510</v>
      </c>
      <c r="F145" s="84" t="s">
        <v>1026</v>
      </c>
      <c r="G145" s="26" t="str">
        <f>VLOOKUP(Table7[[#This Row],[Legacy Practices]],List!$E$2:$G$173,3,FALSE)</f>
        <v>Shared Coverage</v>
      </c>
      <c r="H145" s="26" t="s">
        <v>1027</v>
      </c>
    </row>
    <row r="146" spans="2:8" ht="87" x14ac:dyDescent="0.35">
      <c r="B146" s="26" t="s">
        <v>435</v>
      </c>
      <c r="C146" s="26" t="str">
        <f>VLOOKUP(Table7[[#This Row],[Legacy Practices]],List!$E$2:$G$173,2,FALSE)</f>
        <v>SC.L2-3.13.10</v>
      </c>
      <c r="D146" s="27" t="s">
        <v>1028</v>
      </c>
      <c r="E146" s="84" t="s">
        <v>1029</v>
      </c>
      <c r="F146" s="84" t="s">
        <v>1030</v>
      </c>
      <c r="G146" s="26" t="str">
        <f>VLOOKUP(Table7[[#This Row],[Legacy Practices]],List!$E$2:$G$173,3,FALSE)</f>
        <v>Shared Coverage</v>
      </c>
      <c r="H146" s="26" t="s">
        <v>1031</v>
      </c>
    </row>
    <row r="147" spans="2:8" ht="116" x14ac:dyDescent="0.35">
      <c r="B147" s="26" t="s">
        <v>436</v>
      </c>
      <c r="C147" s="26" t="str">
        <f>VLOOKUP(Table7[[#This Row],[Legacy Practices]],List!$E$2:$G$173,2,FALSE)</f>
        <v>SC.L2-3.13.13</v>
      </c>
      <c r="D147" s="27" t="s">
        <v>1032</v>
      </c>
      <c r="E147" s="84" t="s">
        <v>1033</v>
      </c>
      <c r="F147" s="84" t="s">
        <v>1034</v>
      </c>
      <c r="G147" s="26" t="str">
        <f>VLOOKUP(Table7[[#This Row],[Legacy Practices]],List!$E$2:$G$173,3,FALSE)</f>
        <v>Customer Responsibility</v>
      </c>
      <c r="H147" s="26" t="s">
        <v>1035</v>
      </c>
    </row>
    <row r="148" spans="2:8" ht="72.5" x14ac:dyDescent="0.35">
      <c r="B148" s="26" t="s">
        <v>437</v>
      </c>
      <c r="C148" s="26" t="str">
        <f>VLOOKUP(Table7[[#This Row],[Legacy Practices]],List!$E$2:$G$173,2,FALSE)</f>
        <v>SC.L2-3.13.14</v>
      </c>
      <c r="D148" s="27" t="s">
        <v>1036</v>
      </c>
      <c r="E148" s="84" t="s">
        <v>1037</v>
      </c>
      <c r="F148" s="84" t="s">
        <v>1038</v>
      </c>
      <c r="G148" s="26" t="str">
        <f>VLOOKUP(Table7[[#This Row],[Legacy Practices]],List!$E$2:$G$173,3,FALSE)</f>
        <v>Customer Responsibility</v>
      </c>
      <c r="H148" s="26" t="s">
        <v>1039</v>
      </c>
    </row>
    <row r="149" spans="2:8" ht="232" x14ac:dyDescent="0.35">
      <c r="B149" s="26" t="s">
        <v>438</v>
      </c>
      <c r="C149" s="26" t="str">
        <f>VLOOKUP(Table7[[#This Row],[Legacy Practices]],List!$E$2:$G$173,2,FALSE)</f>
        <v>SC.L2-3.13.15</v>
      </c>
      <c r="D149" s="27" t="s">
        <v>1040</v>
      </c>
      <c r="E149" s="84" t="s">
        <v>843</v>
      </c>
      <c r="F149" s="84" t="s">
        <v>1041</v>
      </c>
      <c r="G149" s="26" t="str">
        <f>VLOOKUP(Table7[[#This Row],[Legacy Practices]],List!$E$2:$G$173,3,FALSE)</f>
        <v>Shared Coverage</v>
      </c>
      <c r="H149" s="26" t="s">
        <v>1042</v>
      </c>
    </row>
    <row r="150" spans="2:8" ht="217.5" x14ac:dyDescent="0.35">
      <c r="B150" s="26" t="s">
        <v>439</v>
      </c>
      <c r="C150" s="26" t="str">
        <f>VLOOKUP(Table7[[#This Row],[Legacy Practices]],List!$E$2:$G$173,2,FALSE)</f>
        <v>SC.L2-3.13.16</v>
      </c>
      <c r="D150" s="27" t="s">
        <v>1043</v>
      </c>
      <c r="E150" s="84" t="s">
        <v>1044</v>
      </c>
      <c r="F150" s="84" t="s">
        <v>1045</v>
      </c>
      <c r="G150" s="26" t="str">
        <f>VLOOKUP(Table7[[#This Row],[Legacy Practices]],List!$E$2:$G$173,3,FALSE)</f>
        <v>Shared Coverage</v>
      </c>
      <c r="H150" s="26" t="s">
        <v>1046</v>
      </c>
    </row>
    <row r="151" spans="2:8" x14ac:dyDescent="0.35">
      <c r="B151" s="26" t="s">
        <v>440</v>
      </c>
      <c r="C151" s="26" t="str">
        <f>VLOOKUP(Table7[[#This Row],[Legacy Practices]],List!$E$2:$G$173,2,FALSE)</f>
        <v>N/A</v>
      </c>
      <c r="D151" s="27" t="s">
        <v>1047</v>
      </c>
      <c r="E151" s="84" t="e">
        <v>#N/A</v>
      </c>
      <c r="F151" s="84" t="e">
        <v>#N/A</v>
      </c>
      <c r="G151" s="26" t="str">
        <f>VLOOKUP(Table7[[#This Row],[Legacy Practices]],List!$E$2:$G$173,3,FALSE)</f>
        <v>Shared Coverage</v>
      </c>
      <c r="H151" s="26" t="s">
        <v>719</v>
      </c>
    </row>
    <row r="152" spans="2:8" ht="26" x14ac:dyDescent="0.35">
      <c r="B152" s="26" t="s">
        <v>441</v>
      </c>
      <c r="C152" s="26" t="str">
        <f>VLOOKUP(Table7[[#This Row],[Legacy Practices]],List!$E$2:$G$173,2,FALSE)</f>
        <v>N/A</v>
      </c>
      <c r="D152" s="27" t="s">
        <v>1048</v>
      </c>
      <c r="E152" s="84" t="e">
        <v>#N/A</v>
      </c>
      <c r="F152" s="84" t="e">
        <v>#N/A</v>
      </c>
      <c r="G152" s="26" t="str">
        <f>VLOOKUP(Table7[[#This Row],[Legacy Practices]],List!$E$2:$G$173,3,FALSE)</f>
        <v>Shared Coverage</v>
      </c>
      <c r="H152" s="26" t="s">
        <v>719</v>
      </c>
    </row>
    <row r="153" spans="2:8" ht="26" x14ac:dyDescent="0.35">
      <c r="B153" s="26" t="s">
        <v>442</v>
      </c>
      <c r="C153" s="26" t="str">
        <f>VLOOKUP(Table7[[#This Row],[Legacy Practices]],List!$E$2:$G$173,2,FALSE)</f>
        <v>SC.L3-12</v>
      </c>
      <c r="D153" s="27" t="s">
        <v>1049</v>
      </c>
      <c r="E153" s="84" t="e">
        <v>#N/A</v>
      </c>
      <c r="F153" s="84" t="e">
        <v>#N/A</v>
      </c>
      <c r="G153" s="26" t="str">
        <f>VLOOKUP(Table7[[#This Row],[Legacy Practices]],List!$E$2:$G$173,3,FALSE)</f>
        <v>Not Applicable</v>
      </c>
      <c r="H153" s="26" t="s">
        <v>719</v>
      </c>
    </row>
    <row r="154" spans="2:8" x14ac:dyDescent="0.35">
      <c r="B154" s="26" t="s">
        <v>443</v>
      </c>
      <c r="C154" s="26" t="str">
        <f>VLOOKUP(Table7[[#This Row],[Legacy Practices]],List!$E$2:$G$173,2,FALSE)</f>
        <v>N/A</v>
      </c>
      <c r="D154" s="27" t="s">
        <v>1050</v>
      </c>
      <c r="E154" s="84" t="e">
        <v>#N/A</v>
      </c>
      <c r="F154" s="84" t="e">
        <v>#N/A</v>
      </c>
      <c r="G154" s="26" t="str">
        <f>VLOOKUP(Table7[[#This Row],[Legacy Practices]],List!$E$2:$G$173,3,FALSE)</f>
        <v>Not Applicable</v>
      </c>
      <c r="H154" s="26" t="s">
        <v>719</v>
      </c>
    </row>
    <row r="155" spans="2:8" ht="26" x14ac:dyDescent="0.35">
      <c r="B155" s="26" t="s">
        <v>444</v>
      </c>
      <c r="C155" s="26" t="str">
        <f>VLOOKUP(Table7[[#This Row],[Legacy Practices]],List!$E$2:$G$173,2,FALSE)</f>
        <v>N/A</v>
      </c>
      <c r="D155" s="27" t="s">
        <v>1051</v>
      </c>
      <c r="E155" s="84" t="e">
        <v>#N/A</v>
      </c>
      <c r="F155" s="84" t="e">
        <v>#N/A</v>
      </c>
      <c r="G155" s="26" t="str">
        <f>VLOOKUP(Table7[[#This Row],[Legacy Practices]],List!$E$2:$G$173,3,FALSE)</f>
        <v>Not Applicable</v>
      </c>
      <c r="H155" s="26" t="s">
        <v>719</v>
      </c>
    </row>
    <row r="156" spans="2:8" ht="26" x14ac:dyDescent="0.35">
      <c r="B156" s="26" t="s">
        <v>445</v>
      </c>
      <c r="C156" s="26" t="str">
        <f>VLOOKUP(Table7[[#This Row],[Legacy Practices]],List!$E$2:$G$173,2,FALSE)</f>
        <v>SC.L3-3.13.2</v>
      </c>
      <c r="D156" s="27" t="s">
        <v>1052</v>
      </c>
      <c r="E156" s="84">
        <v>0</v>
      </c>
      <c r="F156" s="84" t="s">
        <v>219</v>
      </c>
      <c r="G156" s="26" t="str">
        <f>VLOOKUP(Table7[[#This Row],[Legacy Practices]],List!$E$2:$G$173,3,FALSE)</f>
        <v>Not Applicable</v>
      </c>
      <c r="H156" s="26" t="s">
        <v>1006</v>
      </c>
    </row>
    <row r="157" spans="2:8" ht="26" x14ac:dyDescent="0.35">
      <c r="B157" s="26" t="s">
        <v>446</v>
      </c>
      <c r="C157" s="26" t="str">
        <f>VLOOKUP(Table7[[#This Row],[Legacy Practices]],List!$E$2:$G$173,2,FALSE)</f>
        <v>N/A</v>
      </c>
      <c r="D157" s="27" t="s">
        <v>1053</v>
      </c>
      <c r="E157" s="84" t="e">
        <v>#N/A</v>
      </c>
      <c r="F157" s="84" t="e">
        <v>#N/A</v>
      </c>
      <c r="G157" s="26" t="str">
        <f>VLOOKUP(Table7[[#This Row],[Legacy Practices]],List!$E$2:$G$173,3,FALSE)</f>
        <v>Not Applicable</v>
      </c>
      <c r="H157" s="26" t="s">
        <v>719</v>
      </c>
    </row>
    <row r="158" spans="2:8" ht="26" x14ac:dyDescent="0.35">
      <c r="B158" s="26" t="s">
        <v>447</v>
      </c>
      <c r="C158" s="26" t="str">
        <f>VLOOKUP(Table7[[#This Row],[Legacy Practices]],List!$E$2:$G$173,2,FALSE)</f>
        <v>N/A</v>
      </c>
      <c r="D158" s="27" t="s">
        <v>1054</v>
      </c>
      <c r="E158" s="84" t="e">
        <v>#N/A</v>
      </c>
      <c r="F158" s="84" t="e">
        <v>#N/A</v>
      </c>
      <c r="G158" s="26" t="str">
        <f>VLOOKUP(Table7[[#This Row],[Legacy Practices]],List!$E$2:$G$173,3,FALSE)</f>
        <v>Not Applicable</v>
      </c>
      <c r="H158" s="26" t="s">
        <v>719</v>
      </c>
    </row>
    <row r="159" spans="2:8" ht="26" x14ac:dyDescent="0.35">
      <c r="B159" s="26" t="s">
        <v>448</v>
      </c>
      <c r="C159" s="26" t="str">
        <f>VLOOKUP(Table7[[#This Row],[Legacy Practices]],List!$E$2:$G$173,2,FALSE)</f>
        <v>N/A</v>
      </c>
      <c r="D159" s="27" t="s">
        <v>1055</v>
      </c>
      <c r="E159" s="84" t="e">
        <v>#N/A</v>
      </c>
      <c r="F159" s="84" t="e">
        <v>#N/A</v>
      </c>
      <c r="G159" s="26" t="str">
        <f>VLOOKUP(Table7[[#This Row],[Legacy Practices]],List!$E$2:$G$173,3,FALSE)</f>
        <v>Not Applicable</v>
      </c>
      <c r="H159" s="26" t="s">
        <v>719</v>
      </c>
    </row>
    <row r="160" spans="2:8" x14ac:dyDescent="0.35">
      <c r="B160" s="26" t="s">
        <v>449</v>
      </c>
      <c r="C160" s="26" t="str">
        <f>VLOOKUP(Table7[[#This Row],[Legacy Practices]],List!$E$2:$G$173,2,FALSE)</f>
        <v>N/A</v>
      </c>
      <c r="D160" s="27" t="s">
        <v>1056</v>
      </c>
      <c r="E160" s="84" t="e">
        <v>#N/A</v>
      </c>
      <c r="F160" s="84" t="e">
        <v>#N/A</v>
      </c>
      <c r="G160" s="26" t="str">
        <f>VLOOKUP(Table7[[#This Row],[Legacy Practices]],List!$E$2:$G$173,3,FALSE)</f>
        <v>Not Applicable</v>
      </c>
      <c r="H160" s="26" t="s">
        <v>719</v>
      </c>
    </row>
    <row r="161" spans="2:8" ht="101.5" x14ac:dyDescent="0.35">
      <c r="B161" s="26" t="s">
        <v>450</v>
      </c>
      <c r="C161" s="26" t="str">
        <f>VLOOKUP(Table7[[#This Row],[Legacy Practices]],List!$E$2:$G$173,2,FALSE)</f>
        <v>SI.L1-3.14.1</v>
      </c>
      <c r="D161" s="27" t="s">
        <v>1057</v>
      </c>
      <c r="E161" s="84" t="s">
        <v>207</v>
      </c>
      <c r="F161" s="84" t="s">
        <v>1058</v>
      </c>
      <c r="G161" s="26" t="str">
        <f>VLOOKUP(Table7[[#This Row],[Legacy Practices]],List!$E$2:$G$173,3,FALSE)</f>
        <v>Shared Coverage</v>
      </c>
      <c r="H161" s="26" t="s">
        <v>1059</v>
      </c>
    </row>
    <row r="162" spans="2:8" ht="145" x14ac:dyDescent="0.35">
      <c r="B162" s="26" t="s">
        <v>451</v>
      </c>
      <c r="C162" s="26" t="str">
        <f>VLOOKUP(Table7[[#This Row],[Legacy Practices]],List!$E$2:$G$173,2,FALSE)</f>
        <v>SI.L1-3.14.2</v>
      </c>
      <c r="D162" s="27" t="s">
        <v>1060</v>
      </c>
      <c r="E162" s="84" t="s">
        <v>1061</v>
      </c>
      <c r="F162" s="84" t="s">
        <v>1062</v>
      </c>
      <c r="G162" s="119" t="str">
        <f>VLOOKUP(Table7[[#This Row],[Legacy Practices]],List!$E$2:$G$173,3,FALSE)</f>
        <v>Shared Coverage</v>
      </c>
      <c r="H162" s="26" t="s">
        <v>1063</v>
      </c>
    </row>
    <row r="163" spans="2:8" ht="174" x14ac:dyDescent="0.35">
      <c r="B163" s="26" t="s">
        <v>452</v>
      </c>
      <c r="C163" s="26" t="str">
        <f>VLOOKUP(Table7[[#This Row],[Legacy Practices]],List!$E$2:$G$173,2,FALSE)</f>
        <v>SI.L1-3.14.4</v>
      </c>
      <c r="D163" s="27" t="s">
        <v>1064</v>
      </c>
      <c r="E163" s="84" t="s">
        <v>1065</v>
      </c>
      <c r="F163" s="84" t="s">
        <v>1066</v>
      </c>
      <c r="G163" s="26" t="str">
        <f>VLOOKUP(Table7[[#This Row],[Legacy Practices]],List!$E$2:$G$173,3,FALSE)</f>
        <v>Shared Coverage</v>
      </c>
      <c r="H163" s="26" t="s">
        <v>1067</v>
      </c>
    </row>
    <row r="164" spans="2:8" ht="145" x14ac:dyDescent="0.35">
      <c r="B164" s="26" t="s">
        <v>453</v>
      </c>
      <c r="C164" s="26" t="str">
        <f>VLOOKUP(Table7[[#This Row],[Legacy Practices]],List!$E$2:$G$173,2,FALSE)</f>
        <v>SI.L1-3.14.5</v>
      </c>
      <c r="D164" s="27" t="s">
        <v>1068</v>
      </c>
      <c r="E164" s="84" t="s">
        <v>1069</v>
      </c>
      <c r="F164" s="84" t="s">
        <v>266</v>
      </c>
      <c r="G164" s="26" t="str">
        <f>VLOOKUP(Table7[[#This Row],[Legacy Practices]],List!$E$2:$G$173,3,FALSE)</f>
        <v>Customer Responsibility</v>
      </c>
      <c r="H164" s="26" t="s">
        <v>1070</v>
      </c>
    </row>
    <row r="165" spans="2:8" ht="145" x14ac:dyDescent="0.35">
      <c r="B165" s="26" t="s">
        <v>454</v>
      </c>
      <c r="C165" s="26" t="str">
        <f>VLOOKUP(Table7[[#This Row],[Legacy Practices]],List!$E$2:$G$173,2,FALSE)</f>
        <v>SI.L2-3.14.3</v>
      </c>
      <c r="D165" s="27" t="s">
        <v>1071</v>
      </c>
      <c r="E165" s="84" t="s">
        <v>1072</v>
      </c>
      <c r="F165" s="84">
        <v>0</v>
      </c>
      <c r="G165" s="26" t="str">
        <f>VLOOKUP(Table7[[#This Row],[Legacy Practices]],List!$E$2:$G$173,3,FALSE)</f>
        <v>Customer Responsibility</v>
      </c>
      <c r="H165" s="26" t="s">
        <v>1073</v>
      </c>
    </row>
    <row r="166" spans="2:8" ht="188.5" x14ac:dyDescent="0.35">
      <c r="B166" s="26" t="s">
        <v>455</v>
      </c>
      <c r="C166" s="26" t="str">
        <f>VLOOKUP(Table7[[#This Row],[Legacy Practices]],List!$E$2:$G$173,2,FALSE)</f>
        <v>SI.L2-3.14.6</v>
      </c>
      <c r="D166" s="27" t="s">
        <v>1074</v>
      </c>
      <c r="E166" s="84" t="s">
        <v>1075</v>
      </c>
      <c r="F166" s="84" t="s">
        <v>1076</v>
      </c>
      <c r="G166" s="26" t="str">
        <f>VLOOKUP(Table7[[#This Row],[Legacy Practices]],List!$E$2:$G$173,3,FALSE)</f>
        <v>Shared Coverage</v>
      </c>
      <c r="H166" s="26" t="s">
        <v>1077</v>
      </c>
    </row>
    <row r="167" spans="2:8" ht="217.5" x14ac:dyDescent="0.35">
      <c r="B167" s="26" t="s">
        <v>456</v>
      </c>
      <c r="C167" s="26" t="str">
        <f>VLOOKUP(Table7[[#This Row],[Legacy Practices]],List!$E$2:$G$173,2,FALSE)</f>
        <v>SI.L2-3.14.7</v>
      </c>
      <c r="D167" s="27" t="s">
        <v>1078</v>
      </c>
      <c r="E167" s="84" t="s">
        <v>751</v>
      </c>
      <c r="F167" s="84" t="s">
        <v>1079</v>
      </c>
      <c r="G167" s="26" t="str">
        <f>VLOOKUP(Table7[[#This Row],[Legacy Practices]],List!$E$2:$G$173,3,FALSE)</f>
        <v>Customer Responsibility</v>
      </c>
      <c r="H167" s="26" t="s">
        <v>1080</v>
      </c>
    </row>
    <row r="168" spans="2:8" x14ac:dyDescent="0.35">
      <c r="B168" s="26" t="s">
        <v>457</v>
      </c>
      <c r="C168" s="26" t="str">
        <f>VLOOKUP(Table7[[#This Row],[Legacy Practices]],List!$E$2:$G$173,2,FALSE)</f>
        <v>N/A</v>
      </c>
      <c r="D168" s="27" t="s">
        <v>1081</v>
      </c>
      <c r="E168" s="84" t="e">
        <v>#N/A</v>
      </c>
      <c r="F168" s="84" t="e">
        <v>#N/A</v>
      </c>
      <c r="G168" s="26" t="str">
        <f>VLOOKUP(Table7[[#This Row],[Legacy Practices]],List!$E$2:$G$173,3,FALSE)</f>
        <v>Shared Coverage</v>
      </c>
      <c r="H168" s="26" t="s">
        <v>719</v>
      </c>
    </row>
    <row r="169" spans="2:8" x14ac:dyDescent="0.35">
      <c r="B169" s="26" t="s">
        <v>458</v>
      </c>
      <c r="C169" s="26" t="str">
        <f>VLOOKUP(Table7[[#This Row],[Legacy Practices]],List!$E$2:$G$173,2,FALSE)</f>
        <v>N/A</v>
      </c>
      <c r="D169" s="27" t="s">
        <v>1082</v>
      </c>
      <c r="E169" s="84" t="e">
        <v>#N/A</v>
      </c>
      <c r="F169" s="84" t="e">
        <v>#N/A</v>
      </c>
      <c r="G169" s="26" t="str">
        <f>VLOOKUP(Table7[[#This Row],[Legacy Practices]],List!$E$2:$G$173,3,FALSE)</f>
        <v>Customer Responsibility</v>
      </c>
      <c r="H169" s="26" t="s">
        <v>719</v>
      </c>
    </row>
    <row r="170" spans="2:8" x14ac:dyDescent="0.35">
      <c r="B170" s="26" t="s">
        <v>459</v>
      </c>
      <c r="C170" s="26" t="str">
        <f>VLOOKUP(Table7[[#This Row],[Legacy Practices]],List!$E$2:$G$173,2,FALSE)</f>
        <v>N/A</v>
      </c>
      <c r="D170" s="27" t="s">
        <v>1083</v>
      </c>
      <c r="E170" s="84" t="e">
        <v>#N/A</v>
      </c>
      <c r="F170" s="84" t="e">
        <v>#N/A</v>
      </c>
      <c r="G170" s="26" t="str">
        <f>VLOOKUP(Table7[[#This Row],[Legacy Practices]],List!$E$2:$G$173,3,FALSE)</f>
        <v>Shared Coverage</v>
      </c>
      <c r="H170" s="26" t="s">
        <v>719</v>
      </c>
    </row>
    <row r="171" spans="2:8" ht="39" x14ac:dyDescent="0.35">
      <c r="B171" s="26" t="s">
        <v>460</v>
      </c>
      <c r="C171" s="26" t="str">
        <f>VLOOKUP(Table7[[#This Row],[Legacy Practices]],List!$E$2:$G$173,2,FALSE)</f>
        <v>SI.L3-13</v>
      </c>
      <c r="D171" s="27" t="s">
        <v>1084</v>
      </c>
      <c r="E171" s="84" t="e">
        <v>#N/A</v>
      </c>
      <c r="F171" s="84" t="e">
        <v>#N/A</v>
      </c>
      <c r="G171" s="26" t="str">
        <f>VLOOKUP(Table7[[#This Row],[Legacy Practices]],List!$E$2:$G$173,3,FALSE)</f>
        <v>Not Applicable</v>
      </c>
      <c r="H171" s="26" t="s">
        <v>719</v>
      </c>
    </row>
    <row r="172" spans="2:8" ht="26" x14ac:dyDescent="0.35">
      <c r="B172" s="26" t="s">
        <v>461</v>
      </c>
      <c r="C172" s="26" t="str">
        <f>VLOOKUP(Table7[[#This Row],[Legacy Practices]],List!$E$2:$G$173,2,FALSE)</f>
        <v>N/A</v>
      </c>
      <c r="D172" s="27" t="s">
        <v>1085</v>
      </c>
      <c r="E172" s="84" t="e">
        <v>#N/A</v>
      </c>
      <c r="F172" s="84" t="e">
        <v>#N/A</v>
      </c>
      <c r="G172" s="26" t="str">
        <f>VLOOKUP(Table7[[#This Row],[Legacy Practices]],List!$E$2:$G$173,3,FALSE)</f>
        <v>Not Applicable</v>
      </c>
      <c r="H172" s="26" t="s">
        <v>719</v>
      </c>
    </row>
    <row r="173" spans="2:8" ht="26" x14ac:dyDescent="0.35">
      <c r="B173" s="26" t="s">
        <v>462</v>
      </c>
      <c r="C173" s="26" t="str">
        <f>VLOOKUP(Table7[[#This Row],[Legacy Practices]],List!$E$2:$G$173,2,FALSE)</f>
        <v>SI.L3-14</v>
      </c>
      <c r="D173" s="27" t="s">
        <v>1086</v>
      </c>
      <c r="E173" s="84" t="e">
        <v>#N/A</v>
      </c>
      <c r="F173" s="84" t="e">
        <v>#N/A</v>
      </c>
      <c r="G173" s="26" t="str">
        <f>VLOOKUP(Table7[[#This Row],[Legacy Practices]],List!$E$2:$G$173,3,FALSE)</f>
        <v>Not Applicable</v>
      </c>
      <c r="H173" s="26" t="s">
        <v>719</v>
      </c>
    </row>
    <row r="175" spans="2:8" x14ac:dyDescent="0.35">
      <c r="B175">
        <f>SUBTOTAL(103,B3:B173)</f>
        <v>171</v>
      </c>
      <c r="D175" t="str" cm="1">
        <f t="array" ref="D175">INDEX(D$3:D$173,MATCH(MAX(LEN(D$3:D$173)),LEN(D$3:D$173),0))</f>
        <v>Periodically assess the risk to organizational operations (including mission, functions, image or reputation), organizational assets and individuals, resulting from the operation of organizational systems and the associated processing, storage or transmission of CUI.</v>
      </c>
      <c r="E175" t="e" cm="1">
        <f t="array" ref="E175">INDEX(E$3:E$173,MATCH(MAX(LEN(E$3:E$173)),LEN(E$3:E$173),0))</f>
        <v>#N/A</v>
      </c>
      <c r="F175" t="e" cm="1">
        <f t="array" ref="F175">INDEX(F$3:F$173,MATCH(MAX(LEN(F$3:F$173)),LEN(F$3:F$173),0))</f>
        <v>#N/A</v>
      </c>
      <c r="H175">
        <f>SUBTOTAL(103, Table7[NIST 800-171 Mapping])</f>
        <v>171</v>
      </c>
    </row>
    <row r="176" spans="2:8" x14ac:dyDescent="0.35">
      <c r="H176">
        <f>COUNTIF(Table7[NIST 800-171 Mapping],"No Mapping")</f>
        <v>59</v>
      </c>
    </row>
    <row r="178" spans="4:8" x14ac:dyDescent="0.35">
      <c r="D178" t="s">
        <v>1087</v>
      </c>
      <c r="G178" t="s">
        <v>719</v>
      </c>
      <c r="H178">
        <f>COUNTIF(Table7[[#All],[NIST 800-171 Mapping]],G178)</f>
        <v>59</v>
      </c>
    </row>
    <row r="181" spans="4:8" ht="15" thickBot="1" x14ac:dyDescent="0.4"/>
    <row r="182" spans="4:8" ht="19" thickBot="1" x14ac:dyDescent="0.4">
      <c r="D182" s="294" t="s">
        <v>1088</v>
      </c>
      <c r="E182" s="295"/>
      <c r="F182" s="296"/>
    </row>
    <row r="185" spans="4:8" x14ac:dyDescent="0.35">
      <c r="D185" t="s">
        <v>292</v>
      </c>
    </row>
    <row r="186" spans="4:8" x14ac:dyDescent="0.35">
      <c r="D186" t="s">
        <v>293</v>
      </c>
    </row>
    <row r="187" spans="4:8" x14ac:dyDescent="0.35">
      <c r="D187" t="s">
        <v>401</v>
      </c>
    </row>
    <row r="188" spans="4:8" x14ac:dyDescent="0.35">
      <c r="D188" t="s">
        <v>459</v>
      </c>
    </row>
  </sheetData>
  <mergeCells count="1">
    <mergeCell ref="D182:F182"/>
  </mergeCells>
  <conditionalFormatting sqref="D185:D188">
    <cfRule type="expression" dxfId="9" priority="1">
      <formula>IF($D$182="Practices with NIST 800-171 Mappings",VLOOKUP(D185,$B$2:$H$173,6,FALSE),"1")="No Mapping"</formula>
    </cfRule>
  </conditionalFormatting>
  <dataValidations count="1">
    <dataValidation type="list" allowBlank="1" showInputMessage="1" showErrorMessage="1" sqref="D182" xr:uid="{699311B0-B1DC-4C7F-BBAC-AC2E9245F985}">
      <formula1>"All Practices, Practices with NIST 800-171 Mappings"</formula1>
    </dataValidation>
  </dataValidations>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5EFCC0-B59F-4CDB-AA93-862CE4434244}">
  <sheetPr codeName="Sheet2"/>
  <dimension ref="B1:CE174"/>
  <sheetViews>
    <sheetView showGridLines="0" topLeftCell="D2" zoomScaleNormal="100" workbookViewId="0">
      <selection activeCell="F92" sqref="F92"/>
    </sheetView>
  </sheetViews>
  <sheetFormatPr defaultColWidth="8.6328125" defaultRowHeight="14.5" x14ac:dyDescent="0.35"/>
  <cols>
    <col min="2" max="2" width="19.36328125" bestFit="1" customWidth="1"/>
    <col min="6" max="6" width="12.36328125" bestFit="1" customWidth="1"/>
    <col min="7" max="7" width="20.6328125" bestFit="1" customWidth="1"/>
    <col min="8" max="83" width="15.6328125" customWidth="1"/>
  </cols>
  <sheetData>
    <row r="1" spans="2:83" ht="21.5" thickBot="1" x14ac:dyDescent="0.55000000000000004">
      <c r="H1" s="287" t="s">
        <v>47</v>
      </c>
      <c r="I1" s="288"/>
      <c r="J1" s="288"/>
      <c r="K1" s="288"/>
      <c r="L1" s="288"/>
      <c r="M1" s="288"/>
      <c r="N1" s="288"/>
      <c r="O1" s="288"/>
      <c r="P1" s="288"/>
      <c r="Q1" s="288"/>
      <c r="R1" s="288"/>
      <c r="S1" s="288"/>
      <c r="T1" s="288"/>
      <c r="U1" s="288"/>
      <c r="V1" s="288"/>
      <c r="W1" s="288"/>
      <c r="X1" s="288"/>
      <c r="Y1" s="288"/>
      <c r="Z1" s="288"/>
      <c r="AA1" s="288"/>
      <c r="AB1" s="288"/>
      <c r="AC1" s="288"/>
      <c r="AD1" s="289"/>
      <c r="AE1" s="287" t="s">
        <v>285</v>
      </c>
      <c r="AF1" s="288"/>
      <c r="AG1" s="288"/>
      <c r="AH1" s="288"/>
      <c r="AI1" s="288"/>
      <c r="AJ1" s="288"/>
      <c r="AK1" s="288"/>
      <c r="AL1" s="288"/>
      <c r="AM1" s="288"/>
      <c r="AN1" s="288"/>
      <c r="AO1" s="288"/>
      <c r="AP1" s="288"/>
      <c r="AQ1" s="288"/>
      <c r="AR1" s="288"/>
      <c r="AS1" s="288"/>
      <c r="AT1" s="288"/>
      <c r="AU1" s="288"/>
      <c r="AV1" s="288"/>
      <c r="AW1" s="288"/>
      <c r="AX1" s="288"/>
      <c r="AY1" s="288"/>
      <c r="AZ1" s="288"/>
      <c r="BA1" s="288"/>
      <c r="BB1" s="288"/>
      <c r="BC1" s="288"/>
      <c r="BD1" s="289"/>
      <c r="BE1" s="286" t="s">
        <v>286</v>
      </c>
      <c r="BF1" s="278"/>
      <c r="BG1" s="278"/>
      <c r="BH1" s="278"/>
      <c r="BI1" s="278"/>
      <c r="BJ1" s="279"/>
      <c r="BK1" s="286" t="s">
        <v>223</v>
      </c>
      <c r="BL1" s="278"/>
      <c r="BM1" s="278"/>
      <c r="BN1" s="278"/>
      <c r="BO1" s="278"/>
      <c r="BP1" s="278"/>
      <c r="BQ1" s="278"/>
      <c r="BR1" s="278"/>
      <c r="BS1" s="278"/>
      <c r="BT1" s="278"/>
      <c r="BU1" s="278"/>
      <c r="BV1" s="278"/>
      <c r="BW1" s="279"/>
      <c r="BX1" s="286" t="s">
        <v>249</v>
      </c>
      <c r="BY1" s="278"/>
      <c r="BZ1" s="279"/>
      <c r="CA1" s="278" t="s">
        <v>253</v>
      </c>
      <c r="CB1" s="278"/>
      <c r="CC1" s="278"/>
      <c r="CD1" s="279"/>
    </row>
    <row r="2" spans="2:83" ht="58.5" thickBot="1" x14ac:dyDescent="0.4">
      <c r="E2" s="127" t="s">
        <v>288</v>
      </c>
      <c r="F2" s="123" t="s">
        <v>276</v>
      </c>
      <c r="G2" s="115" t="s">
        <v>289</v>
      </c>
      <c r="H2" s="113" t="s">
        <v>107</v>
      </c>
      <c r="I2" s="114" t="s">
        <v>121</v>
      </c>
      <c r="J2" s="114" t="s">
        <v>133</v>
      </c>
      <c r="K2" s="114" t="s">
        <v>203</v>
      </c>
      <c r="L2" s="114" t="s">
        <v>142</v>
      </c>
      <c r="M2" s="114" t="s">
        <v>150</v>
      </c>
      <c r="N2" s="114" t="s">
        <v>158</v>
      </c>
      <c r="O2" s="114" t="s">
        <v>163</v>
      </c>
      <c r="P2" s="114" t="s">
        <v>168</v>
      </c>
      <c r="Q2" s="114" t="s">
        <v>171</v>
      </c>
      <c r="R2" s="114" t="s">
        <v>174</v>
      </c>
      <c r="S2" s="114" t="s">
        <v>177</v>
      </c>
      <c r="T2" s="114" t="s">
        <v>180</v>
      </c>
      <c r="U2" s="114" t="s">
        <v>207</v>
      </c>
      <c r="V2" s="114" t="s">
        <v>183</v>
      </c>
      <c r="W2" s="114" t="s">
        <v>189</v>
      </c>
      <c r="X2" s="114" t="s">
        <v>191</v>
      </c>
      <c r="Y2" s="114" t="s">
        <v>195</v>
      </c>
      <c r="Z2" s="114" t="s">
        <v>197</v>
      </c>
      <c r="AA2" s="114" t="s">
        <v>199</v>
      </c>
      <c r="AB2" s="114" t="s">
        <v>213</v>
      </c>
      <c r="AC2" s="114" t="s">
        <v>220</v>
      </c>
      <c r="AD2" s="163" t="s">
        <v>221</v>
      </c>
      <c r="AE2" s="164" t="s">
        <v>254</v>
      </c>
      <c r="AF2" s="165" t="s">
        <v>48</v>
      </c>
      <c r="AG2" s="165" t="s">
        <v>93</v>
      </c>
      <c r="AH2" s="165" t="s">
        <v>216</v>
      </c>
      <c r="AI2" s="165" t="s">
        <v>64</v>
      </c>
      <c r="AJ2" s="165" t="s">
        <v>265</v>
      </c>
      <c r="AK2" s="165" t="s">
        <v>193</v>
      </c>
      <c r="AL2" s="165" t="s">
        <v>255</v>
      </c>
      <c r="AM2" s="165" t="s">
        <v>257</v>
      </c>
      <c r="AN2" s="165" t="s">
        <v>228</v>
      </c>
      <c r="AO2" s="165" t="s">
        <v>266</v>
      </c>
      <c r="AP2" s="165" t="s">
        <v>230</v>
      </c>
      <c r="AQ2" s="165" t="s">
        <v>267</v>
      </c>
      <c r="AR2" s="165" t="s">
        <v>233</v>
      </c>
      <c r="AS2" s="165" t="s">
        <v>239</v>
      </c>
      <c r="AT2" s="165" t="s">
        <v>259</v>
      </c>
      <c r="AU2" s="165" t="s">
        <v>268</v>
      </c>
      <c r="AV2" s="165" t="s">
        <v>201</v>
      </c>
      <c r="AW2" s="165" t="s">
        <v>260</v>
      </c>
      <c r="AX2" s="165" t="s">
        <v>262</v>
      </c>
      <c r="AY2" s="165" t="s">
        <v>79</v>
      </c>
      <c r="AZ2" s="165" t="s">
        <v>245</v>
      </c>
      <c r="BA2" s="165" t="s">
        <v>210</v>
      </c>
      <c r="BB2" s="165" t="s">
        <v>219</v>
      </c>
      <c r="BC2" s="165" t="s">
        <v>248</v>
      </c>
      <c r="BD2" s="163" t="s">
        <v>263</v>
      </c>
      <c r="BE2" s="164" t="s">
        <v>243</v>
      </c>
      <c r="BF2" s="165" t="s">
        <v>232</v>
      </c>
      <c r="BG2" s="165" t="s">
        <v>240</v>
      </c>
      <c r="BH2" s="165" t="s">
        <v>242</v>
      </c>
      <c r="BI2" s="165" t="s">
        <v>231</v>
      </c>
      <c r="BJ2" s="163" t="s">
        <v>237</v>
      </c>
      <c r="BK2" s="164" t="s">
        <v>247</v>
      </c>
      <c r="BL2" s="165" t="s">
        <v>241</v>
      </c>
      <c r="BM2" s="165" t="s">
        <v>246</v>
      </c>
      <c r="BN2" s="165" t="s">
        <v>244</v>
      </c>
      <c r="BO2" s="165" t="s">
        <v>193</v>
      </c>
      <c r="BP2" s="165" t="s">
        <v>226</v>
      </c>
      <c r="BQ2" s="165" t="s">
        <v>234</v>
      </c>
      <c r="BR2" s="165" t="s">
        <v>256</v>
      </c>
      <c r="BS2" s="165" t="s">
        <v>224</v>
      </c>
      <c r="BT2" s="165" t="s">
        <v>229</v>
      </c>
      <c r="BU2" s="165" t="s">
        <v>245</v>
      </c>
      <c r="BV2" s="165" t="s">
        <v>186</v>
      </c>
      <c r="BW2" s="163" t="s">
        <v>238</v>
      </c>
      <c r="BX2" s="164" t="s">
        <v>250</v>
      </c>
      <c r="BY2" s="165" t="s">
        <v>251</v>
      </c>
      <c r="BZ2" s="163" t="s">
        <v>252</v>
      </c>
      <c r="CA2" s="166" t="s">
        <v>258</v>
      </c>
      <c r="CB2" s="165" t="s">
        <v>236</v>
      </c>
      <c r="CC2" s="165" t="s">
        <v>261</v>
      </c>
      <c r="CD2" s="163" t="s">
        <v>264</v>
      </c>
      <c r="CE2" s="163" t="s">
        <v>200</v>
      </c>
    </row>
    <row r="3" spans="2:83" x14ac:dyDescent="0.35">
      <c r="B3" s="3" t="s">
        <v>204</v>
      </c>
      <c r="C3" s="23" t="s">
        <v>206</v>
      </c>
      <c r="E3" s="79" t="s">
        <v>292</v>
      </c>
      <c r="F3" s="116" t="s">
        <v>50</v>
      </c>
      <c r="G3" s="116" t="s">
        <v>273</v>
      </c>
      <c r="H3" s="160" t="s">
        <v>215</v>
      </c>
      <c r="I3" s="49" t="s">
        <v>215</v>
      </c>
      <c r="J3" s="49" t="s">
        <v>215</v>
      </c>
      <c r="K3" s="49" t="s">
        <v>215</v>
      </c>
      <c r="L3" s="49" t="s">
        <v>215</v>
      </c>
      <c r="M3" s="49" t="s">
        <v>215</v>
      </c>
      <c r="N3" s="49" t="s">
        <v>215</v>
      </c>
      <c r="O3" s="49" t="s">
        <v>215</v>
      </c>
      <c r="P3" s="49" t="s">
        <v>215</v>
      </c>
      <c r="Q3" s="49" t="s">
        <v>215</v>
      </c>
      <c r="R3" s="49" t="s">
        <v>215</v>
      </c>
      <c r="S3" s="49" t="s">
        <v>215</v>
      </c>
      <c r="T3" s="49" t="s">
        <v>206</v>
      </c>
      <c r="U3" s="49" t="s">
        <v>215</v>
      </c>
      <c r="V3" s="49" t="s">
        <v>215</v>
      </c>
      <c r="W3" s="49" t="s">
        <v>215</v>
      </c>
      <c r="X3" s="49" t="s">
        <v>215</v>
      </c>
      <c r="Y3" s="49" t="s">
        <v>215</v>
      </c>
      <c r="Z3" s="49" t="s">
        <v>215</v>
      </c>
      <c r="AA3" s="49" t="s">
        <v>215</v>
      </c>
      <c r="AB3" s="49" t="s">
        <v>215</v>
      </c>
      <c r="AC3" s="49" t="s">
        <v>215</v>
      </c>
      <c r="AD3" s="161" t="s">
        <v>215</v>
      </c>
      <c r="AE3" s="160" t="s">
        <v>215</v>
      </c>
      <c r="AF3" s="49" t="s">
        <v>206</v>
      </c>
      <c r="AG3" s="49" t="s">
        <v>215</v>
      </c>
      <c r="AH3" s="49" t="s">
        <v>209</v>
      </c>
      <c r="AI3" s="49" t="s">
        <v>215</v>
      </c>
      <c r="AJ3" s="49" t="s">
        <v>215</v>
      </c>
      <c r="AK3" s="49" t="s">
        <v>209</v>
      </c>
      <c r="AL3" s="49" t="s">
        <v>209</v>
      </c>
      <c r="AM3" s="49" t="s">
        <v>215</v>
      </c>
      <c r="AN3" s="49" t="s">
        <v>215</v>
      </c>
      <c r="AO3" s="49" t="s">
        <v>206</v>
      </c>
      <c r="AP3" s="49" t="s">
        <v>215</v>
      </c>
      <c r="AQ3" s="49" t="s">
        <v>215</v>
      </c>
      <c r="AR3" s="49" t="s">
        <v>215</v>
      </c>
      <c r="AS3" s="49" t="s">
        <v>215</v>
      </c>
      <c r="AT3" s="49" t="s">
        <v>215</v>
      </c>
      <c r="AU3" s="49" t="s">
        <v>215</v>
      </c>
      <c r="AV3" s="49" t="s">
        <v>215</v>
      </c>
      <c r="AW3" s="49" t="s">
        <v>215</v>
      </c>
      <c r="AX3" s="49" t="s">
        <v>215</v>
      </c>
      <c r="AY3" s="49" t="s">
        <v>215</v>
      </c>
      <c r="AZ3" s="49" t="s">
        <v>215</v>
      </c>
      <c r="BA3" s="49" t="s">
        <v>215</v>
      </c>
      <c r="BB3" s="49" t="s">
        <v>215</v>
      </c>
      <c r="BC3" s="49" t="s">
        <v>215</v>
      </c>
      <c r="BD3" s="161" t="s">
        <v>215</v>
      </c>
      <c r="BE3" s="160" t="s">
        <v>215</v>
      </c>
      <c r="BF3" s="49" t="s">
        <v>215</v>
      </c>
      <c r="BG3" s="49" t="s">
        <v>215</v>
      </c>
      <c r="BH3" s="49" t="s">
        <v>209</v>
      </c>
      <c r="BI3" s="49" t="s">
        <v>215</v>
      </c>
      <c r="BJ3" s="161" t="s">
        <v>215</v>
      </c>
      <c r="BK3" s="160" t="s">
        <v>215</v>
      </c>
      <c r="BL3" s="49" t="s">
        <v>215</v>
      </c>
      <c r="BM3" s="49" t="s">
        <v>215</v>
      </c>
      <c r="BN3" s="49" t="s">
        <v>215</v>
      </c>
      <c r="BO3" s="49" t="s">
        <v>209</v>
      </c>
      <c r="BP3" s="49" t="s">
        <v>215</v>
      </c>
      <c r="BQ3" s="49" t="s">
        <v>209</v>
      </c>
      <c r="BR3" s="49" t="s">
        <v>215</v>
      </c>
      <c r="BS3" s="49" t="s">
        <v>215</v>
      </c>
      <c r="BT3" s="49" t="s">
        <v>215</v>
      </c>
      <c r="BU3" s="49" t="s">
        <v>215</v>
      </c>
      <c r="BV3" s="49" t="s">
        <v>215</v>
      </c>
      <c r="BW3" s="161" t="s">
        <v>209</v>
      </c>
      <c r="BX3" s="160" t="s">
        <v>215</v>
      </c>
      <c r="BY3" s="49" t="s">
        <v>215</v>
      </c>
      <c r="BZ3" s="161" t="s">
        <v>215</v>
      </c>
      <c r="CA3" s="162" t="s">
        <v>215</v>
      </c>
      <c r="CB3" s="49" t="s">
        <v>215</v>
      </c>
      <c r="CC3" s="49" t="s">
        <v>215</v>
      </c>
      <c r="CD3" s="161" t="s">
        <v>215</v>
      </c>
      <c r="CE3" s="161" t="s">
        <v>215</v>
      </c>
    </row>
    <row r="4" spans="2:83" x14ac:dyDescent="0.35">
      <c r="B4" s="6" t="s">
        <v>208</v>
      </c>
      <c r="C4" s="24" t="s">
        <v>209</v>
      </c>
      <c r="E4" s="79" t="s">
        <v>293</v>
      </c>
      <c r="F4" s="116" t="s">
        <v>65</v>
      </c>
      <c r="G4" s="116" t="s">
        <v>273</v>
      </c>
      <c r="H4" s="15" t="s">
        <v>215</v>
      </c>
      <c r="I4" s="13" t="s">
        <v>215</v>
      </c>
      <c r="J4" s="13" t="s">
        <v>215</v>
      </c>
      <c r="K4" s="13" t="s">
        <v>215</v>
      </c>
      <c r="L4" s="13" t="s">
        <v>215</v>
      </c>
      <c r="M4" s="13" t="s">
        <v>215</v>
      </c>
      <c r="N4" s="13" t="s">
        <v>215</v>
      </c>
      <c r="O4" s="13" t="s">
        <v>215</v>
      </c>
      <c r="P4" s="13" t="s">
        <v>215</v>
      </c>
      <c r="Q4" s="13" t="s">
        <v>215</v>
      </c>
      <c r="R4" s="13" t="s">
        <v>215</v>
      </c>
      <c r="S4" s="13" t="s">
        <v>215</v>
      </c>
      <c r="T4" s="13" t="s">
        <v>206</v>
      </c>
      <c r="U4" s="13" t="s">
        <v>215</v>
      </c>
      <c r="V4" s="13" t="s">
        <v>215</v>
      </c>
      <c r="W4" s="13" t="s">
        <v>215</v>
      </c>
      <c r="X4" s="13" t="s">
        <v>215</v>
      </c>
      <c r="Y4" s="13" t="s">
        <v>215</v>
      </c>
      <c r="Z4" s="13" t="s">
        <v>215</v>
      </c>
      <c r="AA4" s="13" t="s">
        <v>215</v>
      </c>
      <c r="AB4" s="13" t="s">
        <v>209</v>
      </c>
      <c r="AC4" s="13" t="s">
        <v>215</v>
      </c>
      <c r="AD4" s="16" t="s">
        <v>215</v>
      </c>
      <c r="AE4" s="15" t="s">
        <v>215</v>
      </c>
      <c r="AF4" s="13" t="s">
        <v>206</v>
      </c>
      <c r="AG4" s="13" t="s">
        <v>215</v>
      </c>
      <c r="AH4" s="13" t="s">
        <v>206</v>
      </c>
      <c r="AI4" s="13" t="s">
        <v>209</v>
      </c>
      <c r="AJ4" s="13" t="s">
        <v>215</v>
      </c>
      <c r="AK4" s="13" t="s">
        <v>209</v>
      </c>
      <c r="AL4" s="13" t="s">
        <v>215</v>
      </c>
      <c r="AM4" s="13" t="s">
        <v>215</v>
      </c>
      <c r="AN4" s="13" t="s">
        <v>215</v>
      </c>
      <c r="AO4" s="13" t="s">
        <v>209</v>
      </c>
      <c r="AP4" s="13" t="s">
        <v>209</v>
      </c>
      <c r="AQ4" s="13" t="s">
        <v>215</v>
      </c>
      <c r="AR4" s="13" t="s">
        <v>215</v>
      </c>
      <c r="AS4" s="13" t="s">
        <v>209</v>
      </c>
      <c r="AT4" s="13" t="s">
        <v>215</v>
      </c>
      <c r="AU4" s="13" t="s">
        <v>215</v>
      </c>
      <c r="AV4" s="13" t="s">
        <v>215</v>
      </c>
      <c r="AW4" s="13" t="s">
        <v>215</v>
      </c>
      <c r="AX4" s="13" t="s">
        <v>215</v>
      </c>
      <c r="AY4" s="13" t="s">
        <v>215</v>
      </c>
      <c r="AZ4" s="13" t="s">
        <v>215</v>
      </c>
      <c r="BA4" s="13" t="s">
        <v>215</v>
      </c>
      <c r="BB4" s="13" t="s">
        <v>215</v>
      </c>
      <c r="BC4" s="13" t="s">
        <v>215</v>
      </c>
      <c r="BD4" s="16" t="s">
        <v>215</v>
      </c>
      <c r="BE4" s="15" t="s">
        <v>215</v>
      </c>
      <c r="BF4" s="13" t="s">
        <v>215</v>
      </c>
      <c r="BG4" s="13" t="s">
        <v>215</v>
      </c>
      <c r="BH4" s="13" t="s">
        <v>215</v>
      </c>
      <c r="BI4" s="13" t="s">
        <v>215</v>
      </c>
      <c r="BJ4" s="16" t="s">
        <v>215</v>
      </c>
      <c r="BK4" s="15" t="s">
        <v>215</v>
      </c>
      <c r="BL4" s="13" t="s">
        <v>215</v>
      </c>
      <c r="BM4" s="13" t="s">
        <v>215</v>
      </c>
      <c r="BN4" s="13" t="s">
        <v>215</v>
      </c>
      <c r="BO4" s="13" t="s">
        <v>209</v>
      </c>
      <c r="BP4" s="13" t="s">
        <v>215</v>
      </c>
      <c r="BQ4" s="13" t="s">
        <v>215</v>
      </c>
      <c r="BR4" s="13" t="s">
        <v>215</v>
      </c>
      <c r="BS4" s="13" t="s">
        <v>215</v>
      </c>
      <c r="BT4" s="13" t="s">
        <v>215</v>
      </c>
      <c r="BU4" s="13" t="s">
        <v>215</v>
      </c>
      <c r="BV4" s="13" t="s">
        <v>215</v>
      </c>
      <c r="BW4" s="16" t="s">
        <v>209</v>
      </c>
      <c r="BX4" s="15" t="s">
        <v>215</v>
      </c>
      <c r="BY4" s="13" t="s">
        <v>209</v>
      </c>
      <c r="BZ4" s="16" t="s">
        <v>209</v>
      </c>
      <c r="CA4" s="81" t="s">
        <v>215</v>
      </c>
      <c r="CB4" s="13" t="s">
        <v>215</v>
      </c>
      <c r="CC4" s="13" t="s">
        <v>215</v>
      </c>
      <c r="CD4" s="16" t="s">
        <v>215</v>
      </c>
      <c r="CE4" s="16" t="s">
        <v>215</v>
      </c>
    </row>
    <row r="5" spans="2:83" x14ac:dyDescent="0.35">
      <c r="B5" s="6" t="s">
        <v>1089</v>
      </c>
      <c r="C5" s="24" t="s">
        <v>215</v>
      </c>
      <c r="E5" s="79" t="s">
        <v>294</v>
      </c>
      <c r="F5" s="116" t="s">
        <v>80</v>
      </c>
      <c r="G5" s="116" t="s">
        <v>273</v>
      </c>
      <c r="H5" s="15" t="s">
        <v>215</v>
      </c>
      <c r="I5" s="13" t="s">
        <v>215</v>
      </c>
      <c r="J5" s="13" t="s">
        <v>215</v>
      </c>
      <c r="K5" s="13" t="s">
        <v>209</v>
      </c>
      <c r="L5" s="13" t="s">
        <v>215</v>
      </c>
      <c r="M5" s="13" t="s">
        <v>215</v>
      </c>
      <c r="N5" s="13" t="s">
        <v>215</v>
      </c>
      <c r="O5" s="13" t="s">
        <v>206</v>
      </c>
      <c r="P5" s="13" t="s">
        <v>215</v>
      </c>
      <c r="Q5" s="13" t="s">
        <v>215</v>
      </c>
      <c r="R5" s="13" t="s">
        <v>215</v>
      </c>
      <c r="S5" s="13" t="s">
        <v>215</v>
      </c>
      <c r="T5" s="13" t="s">
        <v>215</v>
      </c>
      <c r="U5" s="13" t="s">
        <v>215</v>
      </c>
      <c r="V5" s="13" t="s">
        <v>215</v>
      </c>
      <c r="W5" s="13" t="s">
        <v>215</v>
      </c>
      <c r="X5" s="13" t="s">
        <v>215</v>
      </c>
      <c r="Y5" s="13" t="s">
        <v>215</v>
      </c>
      <c r="Z5" s="13" t="s">
        <v>215</v>
      </c>
      <c r="AA5" s="13" t="s">
        <v>209</v>
      </c>
      <c r="AB5" s="13" t="s">
        <v>206</v>
      </c>
      <c r="AC5" s="13" t="s">
        <v>215</v>
      </c>
      <c r="AD5" s="16" t="s">
        <v>215</v>
      </c>
      <c r="AE5" s="15" t="s">
        <v>215</v>
      </c>
      <c r="AF5" s="13" t="s">
        <v>206</v>
      </c>
      <c r="AG5" s="13" t="s">
        <v>215</v>
      </c>
      <c r="AH5" s="13" t="s">
        <v>215</v>
      </c>
      <c r="AI5" s="13" t="s">
        <v>215</v>
      </c>
      <c r="AJ5" s="13" t="s">
        <v>215</v>
      </c>
      <c r="AK5" s="13" t="s">
        <v>206</v>
      </c>
      <c r="AL5" s="13" t="s">
        <v>215</v>
      </c>
      <c r="AM5" s="13" t="s">
        <v>215</v>
      </c>
      <c r="AN5" s="13" t="s">
        <v>215</v>
      </c>
      <c r="AO5" s="13" t="s">
        <v>206</v>
      </c>
      <c r="AP5" s="13" t="s">
        <v>215</v>
      </c>
      <c r="AQ5" s="13" t="s">
        <v>215</v>
      </c>
      <c r="AR5" s="13" t="s">
        <v>215</v>
      </c>
      <c r="AS5" s="13" t="s">
        <v>206</v>
      </c>
      <c r="AT5" s="13" t="s">
        <v>215</v>
      </c>
      <c r="AU5" s="13" t="s">
        <v>215</v>
      </c>
      <c r="AV5" s="13" t="s">
        <v>215</v>
      </c>
      <c r="AW5" s="13" t="s">
        <v>215</v>
      </c>
      <c r="AX5" s="13" t="s">
        <v>215</v>
      </c>
      <c r="AY5" s="13" t="s">
        <v>215</v>
      </c>
      <c r="AZ5" s="13" t="s">
        <v>215</v>
      </c>
      <c r="BA5" s="13" t="s">
        <v>215</v>
      </c>
      <c r="BB5" s="13" t="s">
        <v>215</v>
      </c>
      <c r="BC5" s="13" t="s">
        <v>215</v>
      </c>
      <c r="BD5" s="16" t="s">
        <v>215</v>
      </c>
      <c r="BE5" s="15" t="s">
        <v>215</v>
      </c>
      <c r="BF5" s="13" t="s">
        <v>215</v>
      </c>
      <c r="BG5" s="13" t="s">
        <v>215</v>
      </c>
      <c r="BH5" s="13" t="s">
        <v>209</v>
      </c>
      <c r="BI5" s="13" t="s">
        <v>215</v>
      </c>
      <c r="BJ5" s="16" t="s">
        <v>215</v>
      </c>
      <c r="BK5" s="15" t="s">
        <v>215</v>
      </c>
      <c r="BL5" s="13" t="s">
        <v>215</v>
      </c>
      <c r="BM5" s="13" t="s">
        <v>215</v>
      </c>
      <c r="BN5" s="13" t="s">
        <v>215</v>
      </c>
      <c r="BO5" s="13" t="s">
        <v>206</v>
      </c>
      <c r="BP5" s="13" t="s">
        <v>215</v>
      </c>
      <c r="BQ5" s="13" t="s">
        <v>215</v>
      </c>
      <c r="BR5" s="13" t="s">
        <v>215</v>
      </c>
      <c r="BS5" s="13" t="s">
        <v>215</v>
      </c>
      <c r="BT5" s="13" t="s">
        <v>215</v>
      </c>
      <c r="BU5" s="13" t="s">
        <v>215</v>
      </c>
      <c r="BV5" s="13" t="s">
        <v>215</v>
      </c>
      <c r="BW5" s="16" t="s">
        <v>215</v>
      </c>
      <c r="BX5" s="15" t="s">
        <v>215</v>
      </c>
      <c r="BY5" s="13" t="s">
        <v>215</v>
      </c>
      <c r="BZ5" s="16" t="s">
        <v>215</v>
      </c>
      <c r="CA5" s="81" t="s">
        <v>215</v>
      </c>
      <c r="CB5" s="13" t="s">
        <v>215</v>
      </c>
      <c r="CC5" s="13" t="s">
        <v>215</v>
      </c>
      <c r="CD5" s="16" t="s">
        <v>215</v>
      </c>
      <c r="CE5" s="16" t="s">
        <v>215</v>
      </c>
    </row>
    <row r="6" spans="2:83" ht="15" thickBot="1" x14ac:dyDescent="0.4">
      <c r="B6" s="7" t="s">
        <v>275</v>
      </c>
      <c r="C6" s="25" t="s">
        <v>218</v>
      </c>
      <c r="E6" s="79" t="s">
        <v>295</v>
      </c>
      <c r="F6" s="116" t="s">
        <v>94</v>
      </c>
      <c r="G6" s="116" t="s">
        <v>273</v>
      </c>
      <c r="H6" s="15" t="s">
        <v>215</v>
      </c>
      <c r="I6" s="13" t="s">
        <v>215</v>
      </c>
      <c r="J6" s="13" t="s">
        <v>215</v>
      </c>
      <c r="K6" s="13" t="s">
        <v>215</v>
      </c>
      <c r="L6" s="13" t="s">
        <v>215</v>
      </c>
      <c r="M6" s="13" t="s">
        <v>215</v>
      </c>
      <c r="N6" s="13" t="s">
        <v>215</v>
      </c>
      <c r="O6" s="13" t="s">
        <v>215</v>
      </c>
      <c r="P6" s="13" t="s">
        <v>215</v>
      </c>
      <c r="Q6" s="13" t="s">
        <v>215</v>
      </c>
      <c r="R6" s="13" t="s">
        <v>215</v>
      </c>
      <c r="S6" s="13" t="s">
        <v>215</v>
      </c>
      <c r="T6" s="13" t="s">
        <v>215</v>
      </c>
      <c r="U6" s="13" t="s">
        <v>215</v>
      </c>
      <c r="V6" s="13" t="s">
        <v>215</v>
      </c>
      <c r="W6" s="13" t="s">
        <v>215</v>
      </c>
      <c r="X6" s="13" t="s">
        <v>215</v>
      </c>
      <c r="Y6" s="13" t="s">
        <v>215</v>
      </c>
      <c r="Z6" s="13" t="s">
        <v>215</v>
      </c>
      <c r="AA6" s="13" t="s">
        <v>215</v>
      </c>
      <c r="AB6" s="13" t="s">
        <v>215</v>
      </c>
      <c r="AC6" s="13" t="s">
        <v>215</v>
      </c>
      <c r="AD6" s="16" t="s">
        <v>215</v>
      </c>
      <c r="AE6" s="15" t="s">
        <v>215</v>
      </c>
      <c r="AF6" s="13" t="s">
        <v>215</v>
      </c>
      <c r="AG6" s="13" t="s">
        <v>215</v>
      </c>
      <c r="AH6" s="13" t="s">
        <v>215</v>
      </c>
      <c r="AI6" s="13" t="s">
        <v>215</v>
      </c>
      <c r="AJ6" s="13" t="s">
        <v>215</v>
      </c>
      <c r="AK6" s="13" t="s">
        <v>206</v>
      </c>
      <c r="AL6" s="13" t="s">
        <v>215</v>
      </c>
      <c r="AM6" s="13" t="s">
        <v>215</v>
      </c>
      <c r="AN6" s="13" t="s">
        <v>209</v>
      </c>
      <c r="AO6" s="13" t="s">
        <v>206</v>
      </c>
      <c r="AP6" s="13" t="s">
        <v>215</v>
      </c>
      <c r="AQ6" s="13" t="s">
        <v>215</v>
      </c>
      <c r="AR6" s="13" t="s">
        <v>215</v>
      </c>
      <c r="AS6" s="13" t="s">
        <v>215</v>
      </c>
      <c r="AT6" s="13" t="s">
        <v>215</v>
      </c>
      <c r="AU6" s="13" t="s">
        <v>215</v>
      </c>
      <c r="AV6" s="13" t="s">
        <v>215</v>
      </c>
      <c r="AW6" s="13" t="s">
        <v>215</v>
      </c>
      <c r="AX6" s="13" t="s">
        <v>215</v>
      </c>
      <c r="AY6" s="13" t="s">
        <v>215</v>
      </c>
      <c r="AZ6" s="13" t="s">
        <v>215</v>
      </c>
      <c r="BA6" s="13" t="s">
        <v>215</v>
      </c>
      <c r="BB6" s="13" t="s">
        <v>215</v>
      </c>
      <c r="BC6" s="13" t="s">
        <v>215</v>
      </c>
      <c r="BD6" s="16" t="s">
        <v>215</v>
      </c>
      <c r="BE6" s="15" t="s">
        <v>215</v>
      </c>
      <c r="BF6" s="13" t="s">
        <v>206</v>
      </c>
      <c r="BG6" s="13" t="s">
        <v>215</v>
      </c>
      <c r="BH6" s="13" t="s">
        <v>206</v>
      </c>
      <c r="BI6" s="13" t="s">
        <v>209</v>
      </c>
      <c r="BJ6" s="16" t="s">
        <v>215</v>
      </c>
      <c r="BK6" s="15" t="s">
        <v>215</v>
      </c>
      <c r="BL6" s="13" t="s">
        <v>215</v>
      </c>
      <c r="BM6" s="13" t="s">
        <v>215</v>
      </c>
      <c r="BN6" s="13" t="s">
        <v>215</v>
      </c>
      <c r="BO6" s="13" t="s">
        <v>206</v>
      </c>
      <c r="BP6" s="13" t="s">
        <v>215</v>
      </c>
      <c r="BQ6" s="13" t="s">
        <v>215</v>
      </c>
      <c r="BR6" s="13" t="s">
        <v>215</v>
      </c>
      <c r="BS6" s="13" t="s">
        <v>215</v>
      </c>
      <c r="BT6" s="13" t="s">
        <v>215</v>
      </c>
      <c r="BU6" s="13" t="s">
        <v>215</v>
      </c>
      <c r="BV6" s="13" t="s">
        <v>215</v>
      </c>
      <c r="BW6" s="16" t="s">
        <v>215</v>
      </c>
      <c r="BX6" s="15" t="s">
        <v>215</v>
      </c>
      <c r="BY6" s="13" t="s">
        <v>215</v>
      </c>
      <c r="BZ6" s="16" t="s">
        <v>215</v>
      </c>
      <c r="CA6" s="81" t="s">
        <v>215</v>
      </c>
      <c r="CB6" s="13" t="s">
        <v>215</v>
      </c>
      <c r="CC6" s="13" t="s">
        <v>215</v>
      </c>
      <c r="CD6" s="16" t="s">
        <v>215</v>
      </c>
      <c r="CE6" s="16" t="s">
        <v>215</v>
      </c>
    </row>
    <row r="7" spans="2:83" x14ac:dyDescent="0.35">
      <c r="E7" s="79" t="s">
        <v>296</v>
      </c>
      <c r="F7" s="116" t="s">
        <v>169</v>
      </c>
      <c r="G7" s="116" t="s">
        <v>273</v>
      </c>
      <c r="H7" s="15" t="s">
        <v>215</v>
      </c>
      <c r="I7" s="13" t="s">
        <v>215</v>
      </c>
      <c r="J7" s="13" t="s">
        <v>215</v>
      </c>
      <c r="K7" s="13" t="s">
        <v>215</v>
      </c>
      <c r="L7" s="13" t="s">
        <v>215</v>
      </c>
      <c r="M7" s="13" t="s">
        <v>215</v>
      </c>
      <c r="N7" s="13" t="s">
        <v>215</v>
      </c>
      <c r="O7" s="13" t="s">
        <v>215</v>
      </c>
      <c r="P7" s="13" t="s">
        <v>215</v>
      </c>
      <c r="Q7" s="13" t="s">
        <v>215</v>
      </c>
      <c r="R7" s="13" t="s">
        <v>215</v>
      </c>
      <c r="S7" s="13" t="s">
        <v>215</v>
      </c>
      <c r="T7" s="13" t="s">
        <v>215</v>
      </c>
      <c r="U7" s="13" t="s">
        <v>215</v>
      </c>
      <c r="V7" s="13" t="s">
        <v>215</v>
      </c>
      <c r="W7" s="13" t="s">
        <v>215</v>
      </c>
      <c r="X7" s="13" t="s">
        <v>215</v>
      </c>
      <c r="Y7" s="13" t="s">
        <v>215</v>
      </c>
      <c r="Z7" s="13" t="s">
        <v>215</v>
      </c>
      <c r="AA7" s="13" t="s">
        <v>215</v>
      </c>
      <c r="AB7" s="13" t="s">
        <v>215</v>
      </c>
      <c r="AC7" s="13" t="s">
        <v>215</v>
      </c>
      <c r="AD7" s="16" t="s">
        <v>215</v>
      </c>
      <c r="AE7" s="15" t="s">
        <v>215</v>
      </c>
      <c r="AF7" s="13" t="s">
        <v>206</v>
      </c>
      <c r="AG7" s="13" t="s">
        <v>215</v>
      </c>
      <c r="AH7" s="13" t="s">
        <v>215</v>
      </c>
      <c r="AI7" s="13" t="s">
        <v>215</v>
      </c>
      <c r="AJ7" s="13" t="s">
        <v>215</v>
      </c>
      <c r="AK7" s="13" t="s">
        <v>209</v>
      </c>
      <c r="AL7" s="13" t="s">
        <v>215</v>
      </c>
      <c r="AM7" s="13" t="s">
        <v>215</v>
      </c>
      <c r="AN7" s="13" t="s">
        <v>215</v>
      </c>
      <c r="AO7" s="13" t="s">
        <v>206</v>
      </c>
      <c r="AP7" s="13" t="s">
        <v>215</v>
      </c>
      <c r="AQ7" s="13" t="s">
        <v>215</v>
      </c>
      <c r="AR7" s="13" t="s">
        <v>215</v>
      </c>
      <c r="AS7" s="13" t="s">
        <v>215</v>
      </c>
      <c r="AT7" s="13" t="s">
        <v>215</v>
      </c>
      <c r="AU7" s="13" t="s">
        <v>215</v>
      </c>
      <c r="AV7" s="13" t="s">
        <v>215</v>
      </c>
      <c r="AW7" s="13" t="s">
        <v>215</v>
      </c>
      <c r="AX7" s="13" t="s">
        <v>215</v>
      </c>
      <c r="AY7" s="13" t="s">
        <v>215</v>
      </c>
      <c r="AZ7" s="13" t="s">
        <v>215</v>
      </c>
      <c r="BA7" s="13" t="s">
        <v>215</v>
      </c>
      <c r="BB7" s="13" t="s">
        <v>215</v>
      </c>
      <c r="BC7" s="13" t="s">
        <v>215</v>
      </c>
      <c r="BD7" s="16" t="s">
        <v>215</v>
      </c>
      <c r="BE7" s="15" t="s">
        <v>215</v>
      </c>
      <c r="BF7" s="13" t="s">
        <v>215</v>
      </c>
      <c r="BG7" s="13" t="s">
        <v>215</v>
      </c>
      <c r="BH7" s="13" t="s">
        <v>215</v>
      </c>
      <c r="BI7" s="13" t="s">
        <v>215</v>
      </c>
      <c r="BJ7" s="16" t="s">
        <v>215</v>
      </c>
      <c r="BK7" s="15" t="s">
        <v>209</v>
      </c>
      <c r="BL7" s="13" t="s">
        <v>215</v>
      </c>
      <c r="BM7" s="13" t="s">
        <v>215</v>
      </c>
      <c r="BN7" s="13" t="s">
        <v>215</v>
      </c>
      <c r="BO7" s="13" t="s">
        <v>209</v>
      </c>
      <c r="BP7" s="13" t="s">
        <v>215</v>
      </c>
      <c r="BQ7" s="13" t="s">
        <v>215</v>
      </c>
      <c r="BR7" s="13" t="s">
        <v>215</v>
      </c>
      <c r="BS7" s="13" t="s">
        <v>215</v>
      </c>
      <c r="BT7" s="13" t="s">
        <v>215</v>
      </c>
      <c r="BU7" s="13" t="s">
        <v>215</v>
      </c>
      <c r="BV7" s="13" t="s">
        <v>215</v>
      </c>
      <c r="BW7" s="16" t="s">
        <v>215</v>
      </c>
      <c r="BX7" s="15" t="s">
        <v>215</v>
      </c>
      <c r="BY7" s="13" t="s">
        <v>215</v>
      </c>
      <c r="BZ7" s="16" t="s">
        <v>215</v>
      </c>
      <c r="CA7" s="81" t="s">
        <v>215</v>
      </c>
      <c r="CB7" s="13" t="s">
        <v>215</v>
      </c>
      <c r="CC7" s="13" t="s">
        <v>215</v>
      </c>
      <c r="CD7" s="16" t="s">
        <v>215</v>
      </c>
      <c r="CE7" s="16" t="s">
        <v>215</v>
      </c>
    </row>
    <row r="8" spans="2:83" x14ac:dyDescent="0.35">
      <c r="E8" s="79" t="s">
        <v>297</v>
      </c>
      <c r="F8" s="116" t="s">
        <v>196</v>
      </c>
      <c r="G8" s="116" t="s">
        <v>274</v>
      </c>
      <c r="H8" s="15" t="s">
        <v>215</v>
      </c>
      <c r="I8" s="13" t="s">
        <v>215</v>
      </c>
      <c r="J8" s="13" t="s">
        <v>215</v>
      </c>
      <c r="K8" s="13" t="s">
        <v>215</v>
      </c>
      <c r="L8" s="13" t="s">
        <v>215</v>
      </c>
      <c r="M8" s="13" t="s">
        <v>215</v>
      </c>
      <c r="N8" s="13" t="s">
        <v>215</v>
      </c>
      <c r="O8" s="13" t="s">
        <v>215</v>
      </c>
      <c r="P8" s="13" t="s">
        <v>215</v>
      </c>
      <c r="Q8" s="13" t="s">
        <v>215</v>
      </c>
      <c r="R8" s="13" t="s">
        <v>215</v>
      </c>
      <c r="S8" s="13" t="s">
        <v>215</v>
      </c>
      <c r="T8" s="13" t="s">
        <v>215</v>
      </c>
      <c r="U8" s="13" t="s">
        <v>215</v>
      </c>
      <c r="V8" s="13" t="s">
        <v>215</v>
      </c>
      <c r="W8" s="13" t="s">
        <v>215</v>
      </c>
      <c r="X8" s="13" t="s">
        <v>215</v>
      </c>
      <c r="Y8" s="13" t="s">
        <v>215</v>
      </c>
      <c r="Z8" s="13" t="s">
        <v>215</v>
      </c>
      <c r="AA8" s="13" t="s">
        <v>215</v>
      </c>
      <c r="AB8" s="13" t="s">
        <v>215</v>
      </c>
      <c r="AC8" s="13" t="s">
        <v>215</v>
      </c>
      <c r="AD8" s="16" t="s">
        <v>215</v>
      </c>
      <c r="AE8" s="15" t="s">
        <v>215</v>
      </c>
      <c r="AF8" s="13" t="s">
        <v>209</v>
      </c>
      <c r="AG8" s="13" t="s">
        <v>215</v>
      </c>
      <c r="AH8" s="13" t="s">
        <v>215</v>
      </c>
      <c r="AI8" s="13" t="s">
        <v>215</v>
      </c>
      <c r="AJ8" s="13" t="s">
        <v>215</v>
      </c>
      <c r="AK8" s="13" t="s">
        <v>209</v>
      </c>
      <c r="AL8" s="13" t="s">
        <v>215</v>
      </c>
      <c r="AM8" s="13" t="s">
        <v>215</v>
      </c>
      <c r="AN8" s="13" t="s">
        <v>215</v>
      </c>
      <c r="AO8" s="13" t="s">
        <v>206</v>
      </c>
      <c r="AP8" s="13" t="s">
        <v>215</v>
      </c>
      <c r="AQ8" s="13" t="s">
        <v>215</v>
      </c>
      <c r="AR8" s="13" t="s">
        <v>215</v>
      </c>
      <c r="AS8" s="13" t="s">
        <v>215</v>
      </c>
      <c r="AT8" s="13" t="s">
        <v>215</v>
      </c>
      <c r="AU8" s="13" t="s">
        <v>206</v>
      </c>
      <c r="AV8" s="13" t="s">
        <v>215</v>
      </c>
      <c r="AW8" s="13" t="s">
        <v>215</v>
      </c>
      <c r="AX8" s="13" t="s">
        <v>215</v>
      </c>
      <c r="AY8" s="13" t="s">
        <v>215</v>
      </c>
      <c r="AZ8" s="13" t="s">
        <v>215</v>
      </c>
      <c r="BA8" s="13" t="s">
        <v>209</v>
      </c>
      <c r="BB8" s="13" t="s">
        <v>215</v>
      </c>
      <c r="BC8" s="13" t="s">
        <v>215</v>
      </c>
      <c r="BD8" s="16" t="s">
        <v>215</v>
      </c>
      <c r="BE8" s="15" t="s">
        <v>215</v>
      </c>
      <c r="BF8" s="13" t="s">
        <v>215</v>
      </c>
      <c r="BG8" s="13" t="s">
        <v>215</v>
      </c>
      <c r="BH8" s="13" t="s">
        <v>215</v>
      </c>
      <c r="BI8" s="13" t="s">
        <v>215</v>
      </c>
      <c r="BJ8" s="16" t="s">
        <v>215</v>
      </c>
      <c r="BK8" s="15" t="s">
        <v>215</v>
      </c>
      <c r="BL8" s="13" t="s">
        <v>215</v>
      </c>
      <c r="BM8" s="13" t="s">
        <v>215</v>
      </c>
      <c r="BN8" s="13" t="s">
        <v>215</v>
      </c>
      <c r="BO8" s="13" t="s">
        <v>209</v>
      </c>
      <c r="BP8" s="13" t="s">
        <v>215</v>
      </c>
      <c r="BQ8" s="13" t="s">
        <v>215</v>
      </c>
      <c r="BR8" s="13" t="s">
        <v>215</v>
      </c>
      <c r="BS8" s="13" t="s">
        <v>215</v>
      </c>
      <c r="BT8" s="13" t="s">
        <v>215</v>
      </c>
      <c r="BU8" s="13" t="s">
        <v>215</v>
      </c>
      <c r="BV8" s="13" t="s">
        <v>215</v>
      </c>
      <c r="BW8" s="16" t="s">
        <v>215</v>
      </c>
      <c r="BX8" s="15" t="s">
        <v>215</v>
      </c>
      <c r="BY8" s="13" t="s">
        <v>215</v>
      </c>
      <c r="BZ8" s="16" t="s">
        <v>215</v>
      </c>
      <c r="CA8" s="81" t="s">
        <v>215</v>
      </c>
      <c r="CB8" s="13" t="s">
        <v>215</v>
      </c>
      <c r="CC8" s="13" t="s">
        <v>215</v>
      </c>
      <c r="CD8" s="16" t="s">
        <v>215</v>
      </c>
      <c r="CE8" s="16" t="s">
        <v>215</v>
      </c>
    </row>
    <row r="9" spans="2:83" x14ac:dyDescent="0.35">
      <c r="E9" s="79" t="s">
        <v>298</v>
      </c>
      <c r="F9" s="116" t="s">
        <v>143</v>
      </c>
      <c r="G9" s="116" t="s">
        <v>273</v>
      </c>
      <c r="H9" s="15" t="s">
        <v>215</v>
      </c>
      <c r="I9" s="13" t="s">
        <v>215</v>
      </c>
      <c r="J9" s="13" t="s">
        <v>215</v>
      </c>
      <c r="K9" s="13" t="s">
        <v>215</v>
      </c>
      <c r="L9" s="13" t="s">
        <v>215</v>
      </c>
      <c r="M9" s="13" t="s">
        <v>215</v>
      </c>
      <c r="N9" s="13" t="s">
        <v>215</v>
      </c>
      <c r="O9" s="13" t="s">
        <v>215</v>
      </c>
      <c r="P9" s="13" t="s">
        <v>215</v>
      </c>
      <c r="Q9" s="13" t="s">
        <v>215</v>
      </c>
      <c r="R9" s="13" t="s">
        <v>215</v>
      </c>
      <c r="S9" s="13" t="s">
        <v>215</v>
      </c>
      <c r="T9" s="13" t="s">
        <v>206</v>
      </c>
      <c r="U9" s="13" t="s">
        <v>215</v>
      </c>
      <c r="V9" s="13" t="s">
        <v>215</v>
      </c>
      <c r="W9" s="13" t="s">
        <v>215</v>
      </c>
      <c r="X9" s="13" t="s">
        <v>215</v>
      </c>
      <c r="Y9" s="13" t="s">
        <v>215</v>
      </c>
      <c r="Z9" s="13" t="s">
        <v>215</v>
      </c>
      <c r="AA9" s="13" t="s">
        <v>215</v>
      </c>
      <c r="AB9" s="13" t="s">
        <v>215</v>
      </c>
      <c r="AC9" s="13" t="s">
        <v>215</v>
      </c>
      <c r="AD9" s="16" t="s">
        <v>215</v>
      </c>
      <c r="AE9" s="15" t="s">
        <v>215</v>
      </c>
      <c r="AF9" s="13" t="s">
        <v>209</v>
      </c>
      <c r="AG9" s="13" t="s">
        <v>215</v>
      </c>
      <c r="AH9" s="13" t="s">
        <v>206</v>
      </c>
      <c r="AI9" s="13" t="s">
        <v>215</v>
      </c>
      <c r="AJ9" s="13" t="s">
        <v>215</v>
      </c>
      <c r="AK9" s="13" t="s">
        <v>215</v>
      </c>
      <c r="AL9" s="13" t="s">
        <v>215</v>
      </c>
      <c r="AM9" s="13" t="s">
        <v>215</v>
      </c>
      <c r="AN9" s="13" t="s">
        <v>215</v>
      </c>
      <c r="AO9" s="13" t="s">
        <v>215</v>
      </c>
      <c r="AP9" s="13" t="s">
        <v>209</v>
      </c>
      <c r="AQ9" s="13" t="s">
        <v>215</v>
      </c>
      <c r="AR9" s="13" t="s">
        <v>215</v>
      </c>
      <c r="AS9" s="13" t="s">
        <v>215</v>
      </c>
      <c r="AT9" s="13" t="s">
        <v>215</v>
      </c>
      <c r="AU9" s="13" t="s">
        <v>215</v>
      </c>
      <c r="AV9" s="13" t="s">
        <v>215</v>
      </c>
      <c r="AW9" s="13" t="s">
        <v>215</v>
      </c>
      <c r="AX9" s="13" t="s">
        <v>215</v>
      </c>
      <c r="AY9" s="13" t="s">
        <v>215</v>
      </c>
      <c r="AZ9" s="13" t="s">
        <v>206</v>
      </c>
      <c r="BA9" s="13" t="s">
        <v>215</v>
      </c>
      <c r="BB9" s="13" t="s">
        <v>215</v>
      </c>
      <c r="BC9" s="13" t="s">
        <v>215</v>
      </c>
      <c r="BD9" s="16" t="s">
        <v>215</v>
      </c>
      <c r="BE9" s="15" t="s">
        <v>215</v>
      </c>
      <c r="BF9" s="13" t="s">
        <v>215</v>
      </c>
      <c r="BG9" s="13" t="s">
        <v>215</v>
      </c>
      <c r="BH9" s="13" t="s">
        <v>215</v>
      </c>
      <c r="BI9" s="13" t="s">
        <v>215</v>
      </c>
      <c r="BJ9" s="16" t="s">
        <v>215</v>
      </c>
      <c r="BK9" s="15" t="s">
        <v>215</v>
      </c>
      <c r="BL9" s="13" t="s">
        <v>215</v>
      </c>
      <c r="BM9" s="13" t="s">
        <v>215</v>
      </c>
      <c r="BN9" s="13" t="s">
        <v>215</v>
      </c>
      <c r="BO9" s="13" t="s">
        <v>215</v>
      </c>
      <c r="BP9" s="13" t="s">
        <v>215</v>
      </c>
      <c r="BQ9" s="13" t="s">
        <v>215</v>
      </c>
      <c r="BR9" s="13" t="s">
        <v>215</v>
      </c>
      <c r="BS9" s="13" t="s">
        <v>215</v>
      </c>
      <c r="BT9" s="13" t="s">
        <v>215</v>
      </c>
      <c r="BU9" s="13" t="s">
        <v>206</v>
      </c>
      <c r="BV9" s="13" t="s">
        <v>215</v>
      </c>
      <c r="BW9" s="16" t="s">
        <v>215</v>
      </c>
      <c r="BX9" s="15" t="s">
        <v>215</v>
      </c>
      <c r="BY9" s="13" t="s">
        <v>209</v>
      </c>
      <c r="BZ9" s="16" t="s">
        <v>209</v>
      </c>
      <c r="CA9" s="81" t="s">
        <v>215</v>
      </c>
      <c r="CB9" s="13" t="s">
        <v>215</v>
      </c>
      <c r="CC9" s="13" t="s">
        <v>215</v>
      </c>
      <c r="CD9" s="16" t="s">
        <v>215</v>
      </c>
      <c r="CE9" s="16" t="s">
        <v>215</v>
      </c>
    </row>
    <row r="10" spans="2:83" x14ac:dyDescent="0.35">
      <c r="E10" s="79" t="s">
        <v>299</v>
      </c>
      <c r="F10" s="116" t="s">
        <v>151</v>
      </c>
      <c r="G10" s="116" t="s">
        <v>273</v>
      </c>
      <c r="H10" s="15" t="s">
        <v>215</v>
      </c>
      <c r="I10" s="13" t="s">
        <v>215</v>
      </c>
      <c r="J10" s="13" t="s">
        <v>215</v>
      </c>
      <c r="K10" s="13" t="s">
        <v>215</v>
      </c>
      <c r="L10" s="13" t="s">
        <v>215</v>
      </c>
      <c r="M10" s="13" t="s">
        <v>215</v>
      </c>
      <c r="N10" s="13" t="s">
        <v>215</v>
      </c>
      <c r="O10" s="13" t="s">
        <v>215</v>
      </c>
      <c r="P10" s="13" t="s">
        <v>215</v>
      </c>
      <c r="Q10" s="13" t="s">
        <v>215</v>
      </c>
      <c r="R10" s="13" t="s">
        <v>215</v>
      </c>
      <c r="S10" s="13" t="s">
        <v>215</v>
      </c>
      <c r="T10" s="13" t="s">
        <v>206</v>
      </c>
      <c r="U10" s="13" t="s">
        <v>215</v>
      </c>
      <c r="V10" s="13" t="s">
        <v>215</v>
      </c>
      <c r="W10" s="13" t="s">
        <v>215</v>
      </c>
      <c r="X10" s="13" t="s">
        <v>215</v>
      </c>
      <c r="Y10" s="13" t="s">
        <v>215</v>
      </c>
      <c r="Z10" s="13" t="s">
        <v>215</v>
      </c>
      <c r="AA10" s="13" t="s">
        <v>215</v>
      </c>
      <c r="AB10" s="13" t="s">
        <v>215</v>
      </c>
      <c r="AC10" s="13" t="s">
        <v>215</v>
      </c>
      <c r="AD10" s="16" t="s">
        <v>215</v>
      </c>
      <c r="AE10" s="15" t="s">
        <v>215</v>
      </c>
      <c r="AF10" s="13" t="s">
        <v>206</v>
      </c>
      <c r="AG10" s="13" t="s">
        <v>215</v>
      </c>
      <c r="AH10" s="13" t="s">
        <v>209</v>
      </c>
      <c r="AI10" s="13" t="s">
        <v>215</v>
      </c>
      <c r="AJ10" s="13" t="s">
        <v>215</v>
      </c>
      <c r="AK10" s="13" t="s">
        <v>215</v>
      </c>
      <c r="AL10" s="13" t="s">
        <v>215</v>
      </c>
      <c r="AM10" s="13" t="s">
        <v>215</v>
      </c>
      <c r="AN10" s="13" t="s">
        <v>215</v>
      </c>
      <c r="AO10" s="13" t="s">
        <v>215</v>
      </c>
      <c r="AP10" s="13" t="s">
        <v>209</v>
      </c>
      <c r="AQ10" s="13" t="s">
        <v>215</v>
      </c>
      <c r="AR10" s="13" t="s">
        <v>215</v>
      </c>
      <c r="AS10" s="13" t="s">
        <v>215</v>
      </c>
      <c r="AT10" s="13" t="s">
        <v>215</v>
      </c>
      <c r="AU10" s="13" t="s">
        <v>215</v>
      </c>
      <c r="AV10" s="13" t="s">
        <v>215</v>
      </c>
      <c r="AW10" s="13" t="s">
        <v>215</v>
      </c>
      <c r="AX10" s="13" t="s">
        <v>215</v>
      </c>
      <c r="AY10" s="13" t="s">
        <v>215</v>
      </c>
      <c r="AZ10" s="13" t="s">
        <v>209</v>
      </c>
      <c r="BA10" s="13" t="s">
        <v>215</v>
      </c>
      <c r="BB10" s="13" t="s">
        <v>215</v>
      </c>
      <c r="BC10" s="13" t="s">
        <v>215</v>
      </c>
      <c r="BD10" s="16" t="s">
        <v>215</v>
      </c>
      <c r="BE10" s="15" t="s">
        <v>215</v>
      </c>
      <c r="BF10" s="13" t="s">
        <v>215</v>
      </c>
      <c r="BG10" s="13" t="s">
        <v>215</v>
      </c>
      <c r="BH10" s="13" t="s">
        <v>215</v>
      </c>
      <c r="BI10" s="13" t="s">
        <v>215</v>
      </c>
      <c r="BJ10" s="16" t="s">
        <v>215</v>
      </c>
      <c r="BK10" s="15" t="s">
        <v>215</v>
      </c>
      <c r="BL10" s="13" t="s">
        <v>215</v>
      </c>
      <c r="BM10" s="13" t="s">
        <v>215</v>
      </c>
      <c r="BN10" s="13" t="s">
        <v>215</v>
      </c>
      <c r="BO10" s="13" t="s">
        <v>215</v>
      </c>
      <c r="BP10" s="13" t="s">
        <v>215</v>
      </c>
      <c r="BQ10" s="13" t="s">
        <v>215</v>
      </c>
      <c r="BR10" s="13" t="s">
        <v>215</v>
      </c>
      <c r="BS10" s="13" t="s">
        <v>215</v>
      </c>
      <c r="BT10" s="13" t="s">
        <v>215</v>
      </c>
      <c r="BU10" s="13" t="s">
        <v>209</v>
      </c>
      <c r="BV10" s="13" t="s">
        <v>215</v>
      </c>
      <c r="BW10" s="16" t="s">
        <v>215</v>
      </c>
      <c r="BX10" s="15" t="s">
        <v>215</v>
      </c>
      <c r="BY10" s="13" t="s">
        <v>215</v>
      </c>
      <c r="BZ10" s="16" t="s">
        <v>215</v>
      </c>
      <c r="CA10" s="81" t="s">
        <v>215</v>
      </c>
      <c r="CB10" s="13" t="s">
        <v>215</v>
      </c>
      <c r="CC10" s="13" t="s">
        <v>215</v>
      </c>
      <c r="CD10" s="16" t="s">
        <v>215</v>
      </c>
      <c r="CE10" s="16" t="s">
        <v>215</v>
      </c>
    </row>
    <row r="11" spans="2:83" x14ac:dyDescent="0.35">
      <c r="E11" s="79" t="s">
        <v>300</v>
      </c>
      <c r="F11" s="116" t="s">
        <v>164</v>
      </c>
      <c r="G11" s="116" t="s">
        <v>273</v>
      </c>
      <c r="H11" s="15" t="s">
        <v>215</v>
      </c>
      <c r="I11" s="13" t="s">
        <v>215</v>
      </c>
      <c r="J11" s="13" t="s">
        <v>215</v>
      </c>
      <c r="K11" s="13" t="s">
        <v>215</v>
      </c>
      <c r="L11" s="13" t="s">
        <v>215</v>
      </c>
      <c r="M11" s="13" t="s">
        <v>215</v>
      </c>
      <c r="N11" s="13" t="s">
        <v>215</v>
      </c>
      <c r="O11" s="13" t="s">
        <v>215</v>
      </c>
      <c r="P11" s="13" t="s">
        <v>215</v>
      </c>
      <c r="Q11" s="13" t="s">
        <v>215</v>
      </c>
      <c r="R11" s="13" t="s">
        <v>215</v>
      </c>
      <c r="S11" s="13" t="s">
        <v>215</v>
      </c>
      <c r="T11" s="13" t="s">
        <v>215</v>
      </c>
      <c r="U11" s="13" t="s">
        <v>215</v>
      </c>
      <c r="V11" s="13" t="s">
        <v>215</v>
      </c>
      <c r="W11" s="13" t="s">
        <v>215</v>
      </c>
      <c r="X11" s="13" t="s">
        <v>215</v>
      </c>
      <c r="Y11" s="13" t="s">
        <v>215</v>
      </c>
      <c r="Z11" s="13" t="s">
        <v>215</v>
      </c>
      <c r="AA11" s="13" t="s">
        <v>215</v>
      </c>
      <c r="AB11" s="13" t="s">
        <v>215</v>
      </c>
      <c r="AC11" s="13" t="s">
        <v>215</v>
      </c>
      <c r="AD11" s="16" t="s">
        <v>215</v>
      </c>
      <c r="AE11" s="15" t="s">
        <v>215</v>
      </c>
      <c r="AF11" s="13" t="s">
        <v>206</v>
      </c>
      <c r="AG11" s="13" t="s">
        <v>209</v>
      </c>
      <c r="AH11" s="13" t="s">
        <v>215</v>
      </c>
      <c r="AI11" s="13" t="s">
        <v>215</v>
      </c>
      <c r="AJ11" s="13" t="s">
        <v>215</v>
      </c>
      <c r="AK11" s="13" t="s">
        <v>215</v>
      </c>
      <c r="AL11" s="13" t="s">
        <v>215</v>
      </c>
      <c r="AM11" s="13" t="s">
        <v>215</v>
      </c>
      <c r="AN11" s="13" t="s">
        <v>215</v>
      </c>
      <c r="AO11" s="13" t="s">
        <v>215</v>
      </c>
      <c r="AP11" s="13" t="s">
        <v>215</v>
      </c>
      <c r="AQ11" s="13" t="s">
        <v>215</v>
      </c>
      <c r="AR11" s="13" t="s">
        <v>215</v>
      </c>
      <c r="AS11" s="13" t="s">
        <v>215</v>
      </c>
      <c r="AT11" s="13" t="s">
        <v>215</v>
      </c>
      <c r="AU11" s="13" t="s">
        <v>215</v>
      </c>
      <c r="AV11" s="13" t="s">
        <v>215</v>
      </c>
      <c r="AW11" s="13" t="s">
        <v>215</v>
      </c>
      <c r="AX11" s="13" t="s">
        <v>215</v>
      </c>
      <c r="AY11" s="13" t="s">
        <v>209</v>
      </c>
      <c r="AZ11" s="13" t="s">
        <v>215</v>
      </c>
      <c r="BA11" s="13" t="s">
        <v>215</v>
      </c>
      <c r="BB11" s="13" t="s">
        <v>215</v>
      </c>
      <c r="BC11" s="13" t="s">
        <v>215</v>
      </c>
      <c r="BD11" s="16" t="s">
        <v>215</v>
      </c>
      <c r="BE11" s="15" t="s">
        <v>215</v>
      </c>
      <c r="BF11" s="13" t="s">
        <v>215</v>
      </c>
      <c r="BG11" s="13" t="s">
        <v>215</v>
      </c>
      <c r="BH11" s="13" t="s">
        <v>215</v>
      </c>
      <c r="BI11" s="13" t="s">
        <v>215</v>
      </c>
      <c r="BJ11" s="16" t="s">
        <v>215</v>
      </c>
      <c r="BK11" s="15" t="s">
        <v>215</v>
      </c>
      <c r="BL11" s="13" t="s">
        <v>215</v>
      </c>
      <c r="BM11" s="13" t="s">
        <v>215</v>
      </c>
      <c r="BN11" s="13" t="s">
        <v>215</v>
      </c>
      <c r="BO11" s="13" t="s">
        <v>215</v>
      </c>
      <c r="BP11" s="13" t="s">
        <v>215</v>
      </c>
      <c r="BQ11" s="13" t="s">
        <v>215</v>
      </c>
      <c r="BR11" s="13" t="s">
        <v>215</v>
      </c>
      <c r="BS11" s="13" t="s">
        <v>215</v>
      </c>
      <c r="BT11" s="13" t="s">
        <v>215</v>
      </c>
      <c r="BU11" s="13" t="s">
        <v>215</v>
      </c>
      <c r="BV11" s="13" t="s">
        <v>215</v>
      </c>
      <c r="BW11" s="16" t="s">
        <v>215</v>
      </c>
      <c r="BX11" s="15" t="s">
        <v>215</v>
      </c>
      <c r="BY11" s="13" t="s">
        <v>215</v>
      </c>
      <c r="BZ11" s="16" t="s">
        <v>215</v>
      </c>
      <c r="CA11" s="81" t="s">
        <v>215</v>
      </c>
      <c r="CB11" s="13" t="s">
        <v>215</v>
      </c>
      <c r="CC11" s="13" t="s">
        <v>215</v>
      </c>
      <c r="CD11" s="16" t="s">
        <v>215</v>
      </c>
      <c r="CE11" s="16" t="s">
        <v>215</v>
      </c>
    </row>
    <row r="12" spans="2:83" x14ac:dyDescent="0.35">
      <c r="E12" s="79" t="s">
        <v>301</v>
      </c>
      <c r="F12" s="116" t="s">
        <v>108</v>
      </c>
      <c r="G12" s="116" t="s">
        <v>273</v>
      </c>
      <c r="H12" s="15" t="s">
        <v>215</v>
      </c>
      <c r="I12" s="13" t="s">
        <v>215</v>
      </c>
      <c r="J12" s="13" t="s">
        <v>215</v>
      </c>
      <c r="K12" s="13" t="s">
        <v>215</v>
      </c>
      <c r="L12" s="13" t="s">
        <v>215</v>
      </c>
      <c r="M12" s="13" t="s">
        <v>215</v>
      </c>
      <c r="N12" s="13" t="s">
        <v>215</v>
      </c>
      <c r="O12" s="13" t="s">
        <v>215</v>
      </c>
      <c r="P12" s="13" t="s">
        <v>215</v>
      </c>
      <c r="Q12" s="13" t="s">
        <v>215</v>
      </c>
      <c r="R12" s="13" t="s">
        <v>215</v>
      </c>
      <c r="S12" s="13" t="s">
        <v>215</v>
      </c>
      <c r="T12" s="13" t="s">
        <v>215</v>
      </c>
      <c r="U12" s="13" t="s">
        <v>215</v>
      </c>
      <c r="V12" s="13" t="s">
        <v>215</v>
      </c>
      <c r="W12" s="13" t="s">
        <v>209</v>
      </c>
      <c r="X12" s="13" t="s">
        <v>215</v>
      </c>
      <c r="Y12" s="13" t="s">
        <v>215</v>
      </c>
      <c r="Z12" s="13" t="s">
        <v>215</v>
      </c>
      <c r="AA12" s="13" t="s">
        <v>209</v>
      </c>
      <c r="AB12" s="13" t="s">
        <v>215</v>
      </c>
      <c r="AC12" s="13" t="s">
        <v>215</v>
      </c>
      <c r="AD12" s="16" t="s">
        <v>215</v>
      </c>
      <c r="AE12" s="15" t="s">
        <v>215</v>
      </c>
      <c r="AF12" s="13" t="s">
        <v>206</v>
      </c>
      <c r="AG12" s="13" t="s">
        <v>215</v>
      </c>
      <c r="AH12" s="13" t="s">
        <v>215</v>
      </c>
      <c r="AI12" s="13" t="s">
        <v>215</v>
      </c>
      <c r="AJ12" s="13" t="s">
        <v>215</v>
      </c>
      <c r="AK12" s="13" t="s">
        <v>206</v>
      </c>
      <c r="AL12" s="13" t="s">
        <v>215</v>
      </c>
      <c r="AM12" s="13" t="s">
        <v>215</v>
      </c>
      <c r="AN12" s="13" t="s">
        <v>215</v>
      </c>
      <c r="AO12" s="13" t="s">
        <v>209</v>
      </c>
      <c r="AP12" s="13" t="s">
        <v>215</v>
      </c>
      <c r="AQ12" s="13" t="s">
        <v>215</v>
      </c>
      <c r="AR12" s="13" t="s">
        <v>215</v>
      </c>
      <c r="AS12" s="13" t="s">
        <v>215</v>
      </c>
      <c r="AT12" s="13" t="s">
        <v>215</v>
      </c>
      <c r="AU12" s="13" t="s">
        <v>215</v>
      </c>
      <c r="AV12" s="13" t="s">
        <v>215</v>
      </c>
      <c r="AW12" s="13" t="s">
        <v>215</v>
      </c>
      <c r="AX12" s="13" t="s">
        <v>215</v>
      </c>
      <c r="AY12" s="13" t="s">
        <v>215</v>
      </c>
      <c r="AZ12" s="13" t="s">
        <v>215</v>
      </c>
      <c r="BA12" s="13" t="s">
        <v>215</v>
      </c>
      <c r="BB12" s="13" t="s">
        <v>215</v>
      </c>
      <c r="BC12" s="13" t="s">
        <v>215</v>
      </c>
      <c r="BD12" s="16" t="s">
        <v>215</v>
      </c>
      <c r="BE12" s="15" t="s">
        <v>215</v>
      </c>
      <c r="BF12" s="13" t="s">
        <v>215</v>
      </c>
      <c r="BG12" s="13" t="s">
        <v>215</v>
      </c>
      <c r="BH12" s="13" t="s">
        <v>215</v>
      </c>
      <c r="BI12" s="13" t="s">
        <v>215</v>
      </c>
      <c r="BJ12" s="16" t="s">
        <v>215</v>
      </c>
      <c r="BK12" s="15" t="s">
        <v>215</v>
      </c>
      <c r="BL12" s="13" t="s">
        <v>215</v>
      </c>
      <c r="BM12" s="13" t="s">
        <v>215</v>
      </c>
      <c r="BN12" s="13" t="s">
        <v>215</v>
      </c>
      <c r="BO12" s="13" t="s">
        <v>206</v>
      </c>
      <c r="BP12" s="13" t="s">
        <v>215</v>
      </c>
      <c r="BQ12" s="13" t="s">
        <v>215</v>
      </c>
      <c r="BR12" s="13" t="s">
        <v>215</v>
      </c>
      <c r="BS12" s="13" t="s">
        <v>215</v>
      </c>
      <c r="BT12" s="13" t="s">
        <v>215</v>
      </c>
      <c r="BU12" s="13" t="s">
        <v>215</v>
      </c>
      <c r="BV12" s="13" t="s">
        <v>215</v>
      </c>
      <c r="BW12" s="16" t="s">
        <v>209</v>
      </c>
      <c r="BX12" s="15" t="s">
        <v>215</v>
      </c>
      <c r="BY12" s="13" t="s">
        <v>215</v>
      </c>
      <c r="BZ12" s="16" t="s">
        <v>215</v>
      </c>
      <c r="CA12" s="81" t="s">
        <v>215</v>
      </c>
      <c r="CB12" s="13" t="s">
        <v>215</v>
      </c>
      <c r="CC12" s="13" t="s">
        <v>215</v>
      </c>
      <c r="CD12" s="16" t="s">
        <v>215</v>
      </c>
      <c r="CE12" s="16" t="s">
        <v>215</v>
      </c>
    </row>
    <row r="13" spans="2:83" x14ac:dyDescent="0.35">
      <c r="E13" s="79" t="s">
        <v>302</v>
      </c>
      <c r="F13" s="116" t="s">
        <v>187</v>
      </c>
      <c r="G13" s="116" t="s">
        <v>274</v>
      </c>
      <c r="H13" s="15" t="s">
        <v>215</v>
      </c>
      <c r="I13" s="13" t="s">
        <v>215</v>
      </c>
      <c r="J13" s="13" t="s">
        <v>215</v>
      </c>
      <c r="K13" s="13" t="s">
        <v>215</v>
      </c>
      <c r="L13" s="13" t="s">
        <v>215</v>
      </c>
      <c r="M13" s="13" t="s">
        <v>215</v>
      </c>
      <c r="N13" s="13" t="s">
        <v>215</v>
      </c>
      <c r="O13" s="13" t="s">
        <v>215</v>
      </c>
      <c r="P13" s="13" t="s">
        <v>215</v>
      </c>
      <c r="Q13" s="13" t="s">
        <v>215</v>
      </c>
      <c r="R13" s="13" t="s">
        <v>215</v>
      </c>
      <c r="S13" s="13" t="s">
        <v>215</v>
      </c>
      <c r="T13" s="13" t="s">
        <v>215</v>
      </c>
      <c r="U13" s="13" t="s">
        <v>215</v>
      </c>
      <c r="V13" s="13" t="s">
        <v>215</v>
      </c>
      <c r="W13" s="13" t="s">
        <v>215</v>
      </c>
      <c r="X13" s="13" t="s">
        <v>215</v>
      </c>
      <c r="Y13" s="13" t="s">
        <v>215</v>
      </c>
      <c r="Z13" s="13" t="s">
        <v>215</v>
      </c>
      <c r="AA13" s="13" t="s">
        <v>215</v>
      </c>
      <c r="AB13" s="13" t="s">
        <v>215</v>
      </c>
      <c r="AC13" s="13" t="s">
        <v>215</v>
      </c>
      <c r="AD13" s="16" t="s">
        <v>215</v>
      </c>
      <c r="AE13" s="15" t="s">
        <v>215</v>
      </c>
      <c r="AF13" s="13" t="s">
        <v>215</v>
      </c>
      <c r="AG13" s="13" t="s">
        <v>215</v>
      </c>
      <c r="AH13" s="13" t="s">
        <v>215</v>
      </c>
      <c r="AI13" s="13" t="s">
        <v>215</v>
      </c>
      <c r="AJ13" s="13" t="s">
        <v>215</v>
      </c>
      <c r="AK13" s="13" t="s">
        <v>209</v>
      </c>
      <c r="AL13" s="13" t="s">
        <v>215</v>
      </c>
      <c r="AM13" s="13" t="s">
        <v>215</v>
      </c>
      <c r="AN13" s="13" t="s">
        <v>215</v>
      </c>
      <c r="AO13" s="13" t="s">
        <v>206</v>
      </c>
      <c r="AP13" s="13" t="s">
        <v>215</v>
      </c>
      <c r="AQ13" s="13" t="s">
        <v>215</v>
      </c>
      <c r="AR13" s="13" t="s">
        <v>215</v>
      </c>
      <c r="AS13" s="13" t="s">
        <v>215</v>
      </c>
      <c r="AT13" s="13" t="s">
        <v>215</v>
      </c>
      <c r="AU13" s="13" t="s">
        <v>215</v>
      </c>
      <c r="AV13" s="13" t="s">
        <v>215</v>
      </c>
      <c r="AW13" s="13" t="s">
        <v>215</v>
      </c>
      <c r="AX13" s="13" t="s">
        <v>209</v>
      </c>
      <c r="AY13" s="13" t="s">
        <v>215</v>
      </c>
      <c r="AZ13" s="13" t="s">
        <v>215</v>
      </c>
      <c r="BA13" s="13" t="s">
        <v>215</v>
      </c>
      <c r="BB13" s="13" t="s">
        <v>215</v>
      </c>
      <c r="BC13" s="13" t="s">
        <v>215</v>
      </c>
      <c r="BD13" s="16" t="s">
        <v>215</v>
      </c>
      <c r="BE13" s="15" t="s">
        <v>215</v>
      </c>
      <c r="BF13" s="13" t="s">
        <v>215</v>
      </c>
      <c r="BG13" s="13" t="s">
        <v>215</v>
      </c>
      <c r="BH13" s="13" t="s">
        <v>215</v>
      </c>
      <c r="BI13" s="13" t="s">
        <v>215</v>
      </c>
      <c r="BJ13" s="16" t="s">
        <v>215</v>
      </c>
      <c r="BK13" s="15" t="s">
        <v>215</v>
      </c>
      <c r="BL13" s="13" t="s">
        <v>215</v>
      </c>
      <c r="BM13" s="13" t="s">
        <v>215</v>
      </c>
      <c r="BN13" s="13" t="s">
        <v>215</v>
      </c>
      <c r="BO13" s="13" t="s">
        <v>209</v>
      </c>
      <c r="BP13" s="13" t="s">
        <v>215</v>
      </c>
      <c r="BQ13" s="13" t="s">
        <v>215</v>
      </c>
      <c r="BR13" s="13" t="s">
        <v>215</v>
      </c>
      <c r="BS13" s="13" t="s">
        <v>215</v>
      </c>
      <c r="BT13" s="13" t="s">
        <v>215</v>
      </c>
      <c r="BU13" s="13" t="s">
        <v>215</v>
      </c>
      <c r="BV13" s="13" t="s">
        <v>215</v>
      </c>
      <c r="BW13" s="16" t="s">
        <v>215</v>
      </c>
      <c r="BX13" s="15" t="s">
        <v>215</v>
      </c>
      <c r="BY13" s="13" t="s">
        <v>215</v>
      </c>
      <c r="BZ13" s="16" t="s">
        <v>215</v>
      </c>
      <c r="CA13" s="81" t="s">
        <v>215</v>
      </c>
      <c r="CB13" s="13" t="s">
        <v>215</v>
      </c>
      <c r="CC13" s="13" t="s">
        <v>215</v>
      </c>
      <c r="CD13" s="16" t="s">
        <v>215</v>
      </c>
      <c r="CE13" s="16" t="s">
        <v>215</v>
      </c>
    </row>
    <row r="14" spans="2:83" x14ac:dyDescent="0.35">
      <c r="E14" s="79" t="s">
        <v>303</v>
      </c>
      <c r="F14" s="116" t="s">
        <v>175</v>
      </c>
      <c r="G14" s="116" t="s">
        <v>273</v>
      </c>
      <c r="H14" s="15" t="s">
        <v>215</v>
      </c>
      <c r="I14" s="13" t="s">
        <v>206</v>
      </c>
      <c r="J14" s="13" t="s">
        <v>215</v>
      </c>
      <c r="K14" s="13" t="s">
        <v>206</v>
      </c>
      <c r="L14" s="13" t="s">
        <v>215</v>
      </c>
      <c r="M14" s="13" t="s">
        <v>215</v>
      </c>
      <c r="N14" s="13" t="s">
        <v>209</v>
      </c>
      <c r="O14" s="13" t="s">
        <v>215</v>
      </c>
      <c r="P14" s="13" t="s">
        <v>215</v>
      </c>
      <c r="Q14" s="13" t="s">
        <v>215</v>
      </c>
      <c r="R14" s="13" t="s">
        <v>215</v>
      </c>
      <c r="S14" s="13" t="s">
        <v>215</v>
      </c>
      <c r="T14" s="13" t="s">
        <v>215</v>
      </c>
      <c r="U14" s="13" t="s">
        <v>206</v>
      </c>
      <c r="V14" s="13" t="s">
        <v>215</v>
      </c>
      <c r="W14" s="13" t="s">
        <v>215</v>
      </c>
      <c r="X14" s="13" t="s">
        <v>215</v>
      </c>
      <c r="Y14" s="13" t="s">
        <v>215</v>
      </c>
      <c r="Z14" s="13" t="s">
        <v>215</v>
      </c>
      <c r="AA14" s="13" t="s">
        <v>209</v>
      </c>
      <c r="AB14" s="13" t="s">
        <v>209</v>
      </c>
      <c r="AC14" s="13" t="s">
        <v>215</v>
      </c>
      <c r="AD14" s="16" t="s">
        <v>215</v>
      </c>
      <c r="AE14" s="15" t="s">
        <v>215</v>
      </c>
      <c r="AF14" s="13" t="s">
        <v>206</v>
      </c>
      <c r="AG14" s="13" t="s">
        <v>215</v>
      </c>
      <c r="AH14" s="13" t="s">
        <v>215</v>
      </c>
      <c r="AI14" s="13" t="s">
        <v>215</v>
      </c>
      <c r="AJ14" s="13" t="s">
        <v>215</v>
      </c>
      <c r="AK14" s="13" t="s">
        <v>209</v>
      </c>
      <c r="AL14" s="13" t="s">
        <v>215</v>
      </c>
      <c r="AM14" s="13" t="s">
        <v>215</v>
      </c>
      <c r="AN14" s="13" t="s">
        <v>215</v>
      </c>
      <c r="AO14" s="13" t="s">
        <v>209</v>
      </c>
      <c r="AP14" s="13" t="s">
        <v>215</v>
      </c>
      <c r="AQ14" s="13" t="s">
        <v>215</v>
      </c>
      <c r="AR14" s="13" t="s">
        <v>215</v>
      </c>
      <c r="AS14" s="13" t="s">
        <v>215</v>
      </c>
      <c r="AT14" s="13" t="s">
        <v>215</v>
      </c>
      <c r="AU14" s="13" t="s">
        <v>215</v>
      </c>
      <c r="AV14" s="13" t="s">
        <v>215</v>
      </c>
      <c r="AW14" s="13" t="s">
        <v>215</v>
      </c>
      <c r="AX14" s="13" t="s">
        <v>215</v>
      </c>
      <c r="AY14" s="13" t="s">
        <v>215</v>
      </c>
      <c r="AZ14" s="13" t="s">
        <v>215</v>
      </c>
      <c r="BA14" s="13" t="s">
        <v>215</v>
      </c>
      <c r="BB14" s="13" t="s">
        <v>215</v>
      </c>
      <c r="BC14" s="13" t="s">
        <v>215</v>
      </c>
      <c r="BD14" s="16" t="s">
        <v>215</v>
      </c>
      <c r="BE14" s="15" t="s">
        <v>215</v>
      </c>
      <c r="BF14" s="13" t="s">
        <v>215</v>
      </c>
      <c r="BG14" s="13" t="s">
        <v>209</v>
      </c>
      <c r="BH14" s="13" t="s">
        <v>215</v>
      </c>
      <c r="BI14" s="13" t="s">
        <v>215</v>
      </c>
      <c r="BJ14" s="16" t="s">
        <v>215</v>
      </c>
      <c r="BK14" s="15" t="s">
        <v>215</v>
      </c>
      <c r="BL14" s="13" t="s">
        <v>215</v>
      </c>
      <c r="BM14" s="13" t="s">
        <v>215</v>
      </c>
      <c r="BN14" s="13" t="s">
        <v>215</v>
      </c>
      <c r="BO14" s="13" t="s">
        <v>209</v>
      </c>
      <c r="BP14" s="13" t="s">
        <v>215</v>
      </c>
      <c r="BQ14" s="13" t="s">
        <v>215</v>
      </c>
      <c r="BR14" s="13" t="s">
        <v>209</v>
      </c>
      <c r="BS14" s="13" t="s">
        <v>215</v>
      </c>
      <c r="BT14" s="13" t="s">
        <v>215</v>
      </c>
      <c r="BU14" s="13" t="s">
        <v>215</v>
      </c>
      <c r="BV14" s="13" t="s">
        <v>215</v>
      </c>
      <c r="BW14" s="16" t="s">
        <v>215</v>
      </c>
      <c r="BX14" s="15" t="s">
        <v>215</v>
      </c>
      <c r="BY14" s="13" t="s">
        <v>215</v>
      </c>
      <c r="BZ14" s="16" t="s">
        <v>215</v>
      </c>
      <c r="CA14" s="81" t="s">
        <v>215</v>
      </c>
      <c r="CB14" s="13" t="s">
        <v>215</v>
      </c>
      <c r="CC14" s="13" t="s">
        <v>215</v>
      </c>
      <c r="CD14" s="16" t="s">
        <v>215</v>
      </c>
      <c r="CE14" s="16" t="s">
        <v>215</v>
      </c>
    </row>
    <row r="15" spans="2:83" x14ac:dyDescent="0.35">
      <c r="E15" s="79" t="s">
        <v>304</v>
      </c>
      <c r="F15" s="116" t="s">
        <v>181</v>
      </c>
      <c r="G15" s="116" t="s">
        <v>273</v>
      </c>
      <c r="H15" s="15" t="s">
        <v>215</v>
      </c>
      <c r="I15" s="13" t="s">
        <v>206</v>
      </c>
      <c r="J15" s="13" t="s">
        <v>215</v>
      </c>
      <c r="K15" s="13" t="s">
        <v>215</v>
      </c>
      <c r="L15" s="13" t="s">
        <v>215</v>
      </c>
      <c r="M15" s="13" t="s">
        <v>215</v>
      </c>
      <c r="N15" s="13" t="s">
        <v>209</v>
      </c>
      <c r="O15" s="13" t="s">
        <v>215</v>
      </c>
      <c r="P15" s="13" t="s">
        <v>209</v>
      </c>
      <c r="Q15" s="13" t="s">
        <v>215</v>
      </c>
      <c r="R15" s="13" t="s">
        <v>215</v>
      </c>
      <c r="S15" s="13" t="s">
        <v>215</v>
      </c>
      <c r="T15" s="13" t="s">
        <v>215</v>
      </c>
      <c r="U15" s="13" t="s">
        <v>215</v>
      </c>
      <c r="V15" s="13" t="s">
        <v>215</v>
      </c>
      <c r="W15" s="13" t="s">
        <v>215</v>
      </c>
      <c r="X15" s="13" t="s">
        <v>209</v>
      </c>
      <c r="Y15" s="13" t="s">
        <v>215</v>
      </c>
      <c r="Z15" s="13" t="s">
        <v>215</v>
      </c>
      <c r="AA15" s="13" t="s">
        <v>215</v>
      </c>
      <c r="AB15" s="13" t="s">
        <v>209</v>
      </c>
      <c r="AC15" s="13" t="s">
        <v>215</v>
      </c>
      <c r="AD15" s="16" t="s">
        <v>206</v>
      </c>
      <c r="AE15" s="15" t="s">
        <v>215</v>
      </c>
      <c r="AF15" s="13" t="s">
        <v>215</v>
      </c>
      <c r="AG15" s="13" t="s">
        <v>215</v>
      </c>
      <c r="AH15" s="13" t="s">
        <v>215</v>
      </c>
      <c r="AI15" s="13" t="s">
        <v>215</v>
      </c>
      <c r="AJ15" s="13" t="s">
        <v>215</v>
      </c>
      <c r="AK15" s="13" t="s">
        <v>209</v>
      </c>
      <c r="AL15" s="13" t="s">
        <v>215</v>
      </c>
      <c r="AM15" s="13" t="s">
        <v>215</v>
      </c>
      <c r="AN15" s="13" t="s">
        <v>215</v>
      </c>
      <c r="AO15" s="13" t="s">
        <v>206</v>
      </c>
      <c r="AP15" s="13" t="s">
        <v>215</v>
      </c>
      <c r="AQ15" s="13" t="s">
        <v>215</v>
      </c>
      <c r="AR15" s="13" t="s">
        <v>215</v>
      </c>
      <c r="AS15" s="13" t="s">
        <v>215</v>
      </c>
      <c r="AT15" s="13" t="s">
        <v>215</v>
      </c>
      <c r="AU15" s="13" t="s">
        <v>215</v>
      </c>
      <c r="AV15" s="13" t="s">
        <v>215</v>
      </c>
      <c r="AW15" s="13" t="s">
        <v>215</v>
      </c>
      <c r="AX15" s="13" t="s">
        <v>215</v>
      </c>
      <c r="AY15" s="13" t="s">
        <v>215</v>
      </c>
      <c r="AZ15" s="13" t="s">
        <v>215</v>
      </c>
      <c r="BA15" s="13" t="s">
        <v>215</v>
      </c>
      <c r="BB15" s="13" t="s">
        <v>215</v>
      </c>
      <c r="BC15" s="13" t="s">
        <v>215</v>
      </c>
      <c r="BD15" s="16" t="s">
        <v>215</v>
      </c>
      <c r="BE15" s="15" t="s">
        <v>215</v>
      </c>
      <c r="BF15" s="13" t="s">
        <v>215</v>
      </c>
      <c r="BG15" s="13" t="s">
        <v>215</v>
      </c>
      <c r="BH15" s="13" t="s">
        <v>215</v>
      </c>
      <c r="BI15" s="13" t="s">
        <v>215</v>
      </c>
      <c r="BJ15" s="16" t="s">
        <v>215</v>
      </c>
      <c r="BK15" s="15" t="s">
        <v>215</v>
      </c>
      <c r="BL15" s="13" t="s">
        <v>215</v>
      </c>
      <c r="BM15" s="13" t="s">
        <v>215</v>
      </c>
      <c r="BN15" s="13" t="s">
        <v>215</v>
      </c>
      <c r="BO15" s="13" t="s">
        <v>209</v>
      </c>
      <c r="BP15" s="13" t="s">
        <v>215</v>
      </c>
      <c r="BQ15" s="13" t="s">
        <v>215</v>
      </c>
      <c r="BR15" s="13" t="s">
        <v>215</v>
      </c>
      <c r="BS15" s="13" t="s">
        <v>215</v>
      </c>
      <c r="BT15" s="13" t="s">
        <v>215</v>
      </c>
      <c r="BU15" s="13" t="s">
        <v>215</v>
      </c>
      <c r="BV15" s="13" t="s">
        <v>209</v>
      </c>
      <c r="BW15" s="16" t="s">
        <v>215</v>
      </c>
      <c r="BX15" s="15" t="s">
        <v>215</v>
      </c>
      <c r="BY15" s="13" t="s">
        <v>215</v>
      </c>
      <c r="BZ15" s="16" t="s">
        <v>215</v>
      </c>
      <c r="CA15" s="81" t="s">
        <v>215</v>
      </c>
      <c r="CB15" s="13" t="s">
        <v>215</v>
      </c>
      <c r="CC15" s="13" t="s">
        <v>215</v>
      </c>
      <c r="CD15" s="16" t="s">
        <v>215</v>
      </c>
      <c r="CE15" s="16" t="s">
        <v>215</v>
      </c>
    </row>
    <row r="16" spans="2:83" x14ac:dyDescent="0.35">
      <c r="E16" s="79" t="s">
        <v>305</v>
      </c>
      <c r="F16" s="116" t="s">
        <v>122</v>
      </c>
      <c r="G16" s="116" t="s">
        <v>273</v>
      </c>
      <c r="H16" s="15" t="s">
        <v>215</v>
      </c>
      <c r="I16" s="13" t="s">
        <v>215</v>
      </c>
      <c r="J16" s="13" t="s">
        <v>215</v>
      </c>
      <c r="K16" s="13" t="s">
        <v>215</v>
      </c>
      <c r="L16" s="13" t="s">
        <v>215</v>
      </c>
      <c r="M16" s="13" t="s">
        <v>215</v>
      </c>
      <c r="N16" s="13" t="s">
        <v>215</v>
      </c>
      <c r="O16" s="13" t="s">
        <v>215</v>
      </c>
      <c r="P16" s="13" t="s">
        <v>215</v>
      </c>
      <c r="Q16" s="13" t="s">
        <v>215</v>
      </c>
      <c r="R16" s="13" t="s">
        <v>215</v>
      </c>
      <c r="S16" s="13" t="s">
        <v>215</v>
      </c>
      <c r="T16" s="13" t="s">
        <v>215</v>
      </c>
      <c r="U16" s="13" t="s">
        <v>215</v>
      </c>
      <c r="V16" s="13" t="s">
        <v>215</v>
      </c>
      <c r="W16" s="13" t="s">
        <v>215</v>
      </c>
      <c r="X16" s="13" t="s">
        <v>206</v>
      </c>
      <c r="Y16" s="13" t="s">
        <v>215</v>
      </c>
      <c r="Z16" s="13" t="s">
        <v>215</v>
      </c>
      <c r="AA16" s="13" t="s">
        <v>215</v>
      </c>
      <c r="AB16" s="13" t="s">
        <v>209</v>
      </c>
      <c r="AC16" s="13" t="s">
        <v>215</v>
      </c>
      <c r="AD16" s="16" t="s">
        <v>215</v>
      </c>
      <c r="AE16" s="15" t="s">
        <v>215</v>
      </c>
      <c r="AF16" s="13" t="s">
        <v>215</v>
      </c>
      <c r="AG16" s="13" t="s">
        <v>215</v>
      </c>
      <c r="AH16" s="13" t="s">
        <v>215</v>
      </c>
      <c r="AI16" s="13" t="s">
        <v>215</v>
      </c>
      <c r="AJ16" s="13" t="s">
        <v>215</v>
      </c>
      <c r="AK16" s="13" t="s">
        <v>215</v>
      </c>
      <c r="AL16" s="13" t="s">
        <v>215</v>
      </c>
      <c r="AM16" s="13" t="s">
        <v>215</v>
      </c>
      <c r="AN16" s="13" t="s">
        <v>209</v>
      </c>
      <c r="AO16" s="13" t="s">
        <v>209</v>
      </c>
      <c r="AP16" s="13" t="s">
        <v>215</v>
      </c>
      <c r="AQ16" s="13" t="s">
        <v>215</v>
      </c>
      <c r="AR16" s="13" t="s">
        <v>215</v>
      </c>
      <c r="AS16" s="13" t="s">
        <v>209</v>
      </c>
      <c r="AT16" s="13" t="s">
        <v>215</v>
      </c>
      <c r="AU16" s="13" t="s">
        <v>215</v>
      </c>
      <c r="AV16" s="13" t="s">
        <v>209</v>
      </c>
      <c r="AW16" s="13" t="s">
        <v>215</v>
      </c>
      <c r="AX16" s="13" t="s">
        <v>215</v>
      </c>
      <c r="AY16" s="13" t="s">
        <v>215</v>
      </c>
      <c r="AZ16" s="13" t="s">
        <v>215</v>
      </c>
      <c r="BA16" s="13" t="s">
        <v>215</v>
      </c>
      <c r="BB16" s="13" t="s">
        <v>215</v>
      </c>
      <c r="BC16" s="13" t="s">
        <v>215</v>
      </c>
      <c r="BD16" s="16" t="s">
        <v>215</v>
      </c>
      <c r="BE16" s="15" t="s">
        <v>215</v>
      </c>
      <c r="BF16" s="13" t="s">
        <v>206</v>
      </c>
      <c r="BG16" s="13" t="s">
        <v>215</v>
      </c>
      <c r="BH16" s="13" t="s">
        <v>206</v>
      </c>
      <c r="BI16" s="13" t="s">
        <v>209</v>
      </c>
      <c r="BJ16" s="16" t="s">
        <v>215</v>
      </c>
      <c r="BK16" s="15" t="s">
        <v>215</v>
      </c>
      <c r="BL16" s="13" t="s">
        <v>215</v>
      </c>
      <c r="BM16" s="13" t="s">
        <v>215</v>
      </c>
      <c r="BN16" s="13" t="s">
        <v>209</v>
      </c>
      <c r="BO16" s="13" t="s">
        <v>215</v>
      </c>
      <c r="BP16" s="13" t="s">
        <v>215</v>
      </c>
      <c r="BQ16" s="13" t="s">
        <v>215</v>
      </c>
      <c r="BR16" s="13" t="s">
        <v>215</v>
      </c>
      <c r="BS16" s="13" t="s">
        <v>215</v>
      </c>
      <c r="BT16" s="13" t="s">
        <v>215</v>
      </c>
      <c r="BU16" s="13" t="s">
        <v>215</v>
      </c>
      <c r="BV16" s="13" t="s">
        <v>215</v>
      </c>
      <c r="BW16" s="16" t="s">
        <v>215</v>
      </c>
      <c r="BX16" s="15" t="s">
        <v>215</v>
      </c>
      <c r="BY16" s="13" t="s">
        <v>215</v>
      </c>
      <c r="BZ16" s="16" t="s">
        <v>215</v>
      </c>
      <c r="CA16" s="81" t="s">
        <v>215</v>
      </c>
      <c r="CB16" s="13" t="s">
        <v>215</v>
      </c>
      <c r="CC16" s="13" t="s">
        <v>215</v>
      </c>
      <c r="CD16" s="16" t="s">
        <v>215</v>
      </c>
      <c r="CE16" s="16" t="s">
        <v>215</v>
      </c>
    </row>
    <row r="17" spans="5:83" x14ac:dyDescent="0.35">
      <c r="E17" s="79" t="s">
        <v>306</v>
      </c>
      <c r="F17" s="116" t="s">
        <v>190</v>
      </c>
      <c r="G17" s="116" t="s">
        <v>274</v>
      </c>
      <c r="H17" s="15" t="s">
        <v>215</v>
      </c>
      <c r="I17" s="13" t="s">
        <v>215</v>
      </c>
      <c r="J17" s="13" t="s">
        <v>215</v>
      </c>
      <c r="K17" s="13" t="s">
        <v>215</v>
      </c>
      <c r="L17" s="13" t="s">
        <v>215</v>
      </c>
      <c r="M17" s="13" t="s">
        <v>215</v>
      </c>
      <c r="N17" s="13" t="s">
        <v>215</v>
      </c>
      <c r="O17" s="13" t="s">
        <v>215</v>
      </c>
      <c r="P17" s="13" t="s">
        <v>215</v>
      </c>
      <c r="Q17" s="13" t="s">
        <v>215</v>
      </c>
      <c r="R17" s="13" t="s">
        <v>215</v>
      </c>
      <c r="S17" s="13" t="s">
        <v>215</v>
      </c>
      <c r="T17" s="13" t="s">
        <v>215</v>
      </c>
      <c r="U17" s="13" t="s">
        <v>215</v>
      </c>
      <c r="V17" s="13" t="s">
        <v>215</v>
      </c>
      <c r="W17" s="13" t="s">
        <v>215</v>
      </c>
      <c r="X17" s="13" t="s">
        <v>215</v>
      </c>
      <c r="Y17" s="13" t="s">
        <v>215</v>
      </c>
      <c r="Z17" s="13" t="s">
        <v>215</v>
      </c>
      <c r="AA17" s="13" t="s">
        <v>215</v>
      </c>
      <c r="AB17" s="13" t="s">
        <v>215</v>
      </c>
      <c r="AC17" s="13" t="s">
        <v>215</v>
      </c>
      <c r="AD17" s="16" t="s">
        <v>215</v>
      </c>
      <c r="AE17" s="15" t="s">
        <v>215</v>
      </c>
      <c r="AF17" s="13" t="s">
        <v>215</v>
      </c>
      <c r="AG17" s="13" t="s">
        <v>215</v>
      </c>
      <c r="AH17" s="13" t="s">
        <v>215</v>
      </c>
      <c r="AI17" s="13" t="s">
        <v>215</v>
      </c>
      <c r="AJ17" s="13" t="s">
        <v>215</v>
      </c>
      <c r="AK17" s="13" t="s">
        <v>209</v>
      </c>
      <c r="AL17" s="13" t="s">
        <v>215</v>
      </c>
      <c r="AM17" s="13" t="s">
        <v>215</v>
      </c>
      <c r="AN17" s="13" t="s">
        <v>215</v>
      </c>
      <c r="AO17" s="13" t="s">
        <v>206</v>
      </c>
      <c r="AP17" s="13" t="s">
        <v>215</v>
      </c>
      <c r="AQ17" s="13" t="s">
        <v>215</v>
      </c>
      <c r="AR17" s="13" t="s">
        <v>215</v>
      </c>
      <c r="AS17" s="13" t="s">
        <v>215</v>
      </c>
      <c r="AT17" s="13" t="s">
        <v>215</v>
      </c>
      <c r="AU17" s="13" t="s">
        <v>215</v>
      </c>
      <c r="AV17" s="13" t="s">
        <v>215</v>
      </c>
      <c r="AW17" s="13" t="s">
        <v>215</v>
      </c>
      <c r="AX17" s="13" t="s">
        <v>209</v>
      </c>
      <c r="AY17" s="13" t="s">
        <v>215</v>
      </c>
      <c r="AZ17" s="13" t="s">
        <v>215</v>
      </c>
      <c r="BA17" s="13" t="s">
        <v>215</v>
      </c>
      <c r="BB17" s="13" t="s">
        <v>215</v>
      </c>
      <c r="BC17" s="13" t="s">
        <v>215</v>
      </c>
      <c r="BD17" s="16" t="s">
        <v>215</v>
      </c>
      <c r="BE17" s="15" t="s">
        <v>215</v>
      </c>
      <c r="BF17" s="13" t="s">
        <v>215</v>
      </c>
      <c r="BG17" s="13" t="s">
        <v>215</v>
      </c>
      <c r="BH17" s="13" t="s">
        <v>215</v>
      </c>
      <c r="BI17" s="13" t="s">
        <v>215</v>
      </c>
      <c r="BJ17" s="16" t="s">
        <v>215</v>
      </c>
      <c r="BK17" s="15" t="s">
        <v>215</v>
      </c>
      <c r="BL17" s="13" t="s">
        <v>215</v>
      </c>
      <c r="BM17" s="13" t="s">
        <v>215</v>
      </c>
      <c r="BN17" s="13" t="s">
        <v>215</v>
      </c>
      <c r="BO17" s="13" t="s">
        <v>209</v>
      </c>
      <c r="BP17" s="13" t="s">
        <v>215</v>
      </c>
      <c r="BQ17" s="13" t="s">
        <v>215</v>
      </c>
      <c r="BR17" s="13" t="s">
        <v>215</v>
      </c>
      <c r="BS17" s="13" t="s">
        <v>215</v>
      </c>
      <c r="BT17" s="13" t="s">
        <v>215</v>
      </c>
      <c r="BU17" s="13" t="s">
        <v>215</v>
      </c>
      <c r="BV17" s="13" t="s">
        <v>215</v>
      </c>
      <c r="BW17" s="16" t="s">
        <v>215</v>
      </c>
      <c r="BX17" s="15" t="s">
        <v>215</v>
      </c>
      <c r="BY17" s="13" t="s">
        <v>215</v>
      </c>
      <c r="BZ17" s="16" t="s">
        <v>215</v>
      </c>
      <c r="CA17" s="81" t="s">
        <v>215</v>
      </c>
      <c r="CB17" s="13" t="s">
        <v>215</v>
      </c>
      <c r="CC17" s="13" t="s">
        <v>215</v>
      </c>
      <c r="CD17" s="16" t="s">
        <v>215</v>
      </c>
      <c r="CE17" s="16" t="s">
        <v>215</v>
      </c>
    </row>
    <row r="18" spans="5:83" x14ac:dyDescent="0.35">
      <c r="E18" s="79" t="s">
        <v>307</v>
      </c>
      <c r="F18" s="116" t="s">
        <v>178</v>
      </c>
      <c r="G18" s="116" t="s">
        <v>273</v>
      </c>
      <c r="H18" s="15" t="s">
        <v>215</v>
      </c>
      <c r="I18" s="13" t="s">
        <v>209</v>
      </c>
      <c r="J18" s="13" t="s">
        <v>215</v>
      </c>
      <c r="K18" s="13" t="s">
        <v>215</v>
      </c>
      <c r="L18" s="13" t="s">
        <v>215</v>
      </c>
      <c r="M18" s="13" t="s">
        <v>215</v>
      </c>
      <c r="N18" s="13" t="s">
        <v>215</v>
      </c>
      <c r="O18" s="13" t="s">
        <v>209</v>
      </c>
      <c r="P18" s="13" t="s">
        <v>215</v>
      </c>
      <c r="Q18" s="13" t="s">
        <v>215</v>
      </c>
      <c r="R18" s="13" t="s">
        <v>215</v>
      </c>
      <c r="S18" s="13" t="s">
        <v>215</v>
      </c>
      <c r="T18" s="13" t="s">
        <v>215</v>
      </c>
      <c r="U18" s="13" t="s">
        <v>215</v>
      </c>
      <c r="V18" s="13" t="s">
        <v>215</v>
      </c>
      <c r="W18" s="13" t="s">
        <v>215</v>
      </c>
      <c r="X18" s="13" t="s">
        <v>215</v>
      </c>
      <c r="Y18" s="13" t="s">
        <v>209</v>
      </c>
      <c r="Z18" s="13" t="s">
        <v>215</v>
      </c>
      <c r="AA18" s="13" t="s">
        <v>206</v>
      </c>
      <c r="AB18" s="13" t="s">
        <v>215</v>
      </c>
      <c r="AC18" s="13" t="s">
        <v>215</v>
      </c>
      <c r="AD18" s="16" t="s">
        <v>215</v>
      </c>
      <c r="AE18" s="15" t="s">
        <v>215</v>
      </c>
      <c r="AF18" s="13" t="s">
        <v>206</v>
      </c>
      <c r="AG18" s="13" t="s">
        <v>215</v>
      </c>
      <c r="AH18" s="13" t="s">
        <v>215</v>
      </c>
      <c r="AI18" s="13" t="s">
        <v>209</v>
      </c>
      <c r="AJ18" s="13" t="s">
        <v>215</v>
      </c>
      <c r="AK18" s="13" t="s">
        <v>215</v>
      </c>
      <c r="AL18" s="13" t="s">
        <v>215</v>
      </c>
      <c r="AM18" s="13" t="s">
        <v>215</v>
      </c>
      <c r="AN18" s="13" t="s">
        <v>215</v>
      </c>
      <c r="AO18" s="13" t="s">
        <v>209</v>
      </c>
      <c r="AP18" s="13" t="s">
        <v>215</v>
      </c>
      <c r="AQ18" s="13" t="s">
        <v>215</v>
      </c>
      <c r="AR18" s="13" t="s">
        <v>215</v>
      </c>
      <c r="AS18" s="13" t="s">
        <v>215</v>
      </c>
      <c r="AT18" s="13" t="s">
        <v>215</v>
      </c>
      <c r="AU18" s="13" t="s">
        <v>215</v>
      </c>
      <c r="AV18" s="13" t="s">
        <v>215</v>
      </c>
      <c r="AW18" s="13" t="s">
        <v>215</v>
      </c>
      <c r="AX18" s="13" t="s">
        <v>215</v>
      </c>
      <c r="AY18" s="13" t="s">
        <v>215</v>
      </c>
      <c r="AZ18" s="13" t="s">
        <v>215</v>
      </c>
      <c r="BA18" s="13" t="s">
        <v>215</v>
      </c>
      <c r="BB18" s="13" t="s">
        <v>215</v>
      </c>
      <c r="BC18" s="13" t="s">
        <v>215</v>
      </c>
      <c r="BD18" s="16" t="s">
        <v>215</v>
      </c>
      <c r="BE18" s="15" t="s">
        <v>215</v>
      </c>
      <c r="BF18" s="13" t="s">
        <v>215</v>
      </c>
      <c r="BG18" s="13" t="s">
        <v>215</v>
      </c>
      <c r="BH18" s="13" t="s">
        <v>215</v>
      </c>
      <c r="BI18" s="13" t="s">
        <v>215</v>
      </c>
      <c r="BJ18" s="16" t="s">
        <v>215</v>
      </c>
      <c r="BK18" s="15" t="s">
        <v>215</v>
      </c>
      <c r="BL18" s="13" t="s">
        <v>215</v>
      </c>
      <c r="BM18" s="13" t="s">
        <v>215</v>
      </c>
      <c r="BN18" s="13" t="s">
        <v>215</v>
      </c>
      <c r="BO18" s="13" t="s">
        <v>215</v>
      </c>
      <c r="BP18" s="13" t="s">
        <v>215</v>
      </c>
      <c r="BQ18" s="13" t="s">
        <v>215</v>
      </c>
      <c r="BR18" s="13" t="s">
        <v>215</v>
      </c>
      <c r="BS18" s="13" t="s">
        <v>215</v>
      </c>
      <c r="BT18" s="13" t="s">
        <v>215</v>
      </c>
      <c r="BU18" s="13" t="s">
        <v>215</v>
      </c>
      <c r="BV18" s="13" t="s">
        <v>209</v>
      </c>
      <c r="BW18" s="16" t="s">
        <v>215</v>
      </c>
      <c r="BX18" s="15" t="s">
        <v>215</v>
      </c>
      <c r="BY18" s="13" t="s">
        <v>215</v>
      </c>
      <c r="BZ18" s="16" t="s">
        <v>215</v>
      </c>
      <c r="CA18" s="81" t="s">
        <v>215</v>
      </c>
      <c r="CB18" s="13" t="s">
        <v>215</v>
      </c>
      <c r="CC18" s="13" t="s">
        <v>215</v>
      </c>
      <c r="CD18" s="16" t="s">
        <v>215</v>
      </c>
      <c r="CE18" s="16" t="s">
        <v>215</v>
      </c>
    </row>
    <row r="19" spans="5:83" x14ac:dyDescent="0.35">
      <c r="E19" s="79" t="s">
        <v>308</v>
      </c>
      <c r="F19" s="116" t="s">
        <v>135</v>
      </c>
      <c r="G19" s="116" t="s">
        <v>274</v>
      </c>
      <c r="H19" s="15" t="s">
        <v>215</v>
      </c>
      <c r="I19" s="13" t="s">
        <v>215</v>
      </c>
      <c r="J19" s="13" t="s">
        <v>215</v>
      </c>
      <c r="K19" s="13" t="s">
        <v>215</v>
      </c>
      <c r="L19" s="13" t="s">
        <v>215</v>
      </c>
      <c r="M19" s="13" t="s">
        <v>215</v>
      </c>
      <c r="N19" s="13" t="s">
        <v>215</v>
      </c>
      <c r="O19" s="13" t="s">
        <v>215</v>
      </c>
      <c r="P19" s="13" t="s">
        <v>215</v>
      </c>
      <c r="Q19" s="13" t="s">
        <v>215</v>
      </c>
      <c r="R19" s="13" t="s">
        <v>215</v>
      </c>
      <c r="S19" s="13" t="s">
        <v>215</v>
      </c>
      <c r="T19" s="13" t="s">
        <v>206</v>
      </c>
      <c r="U19" s="13" t="s">
        <v>215</v>
      </c>
      <c r="V19" s="13" t="s">
        <v>215</v>
      </c>
      <c r="W19" s="13" t="s">
        <v>215</v>
      </c>
      <c r="X19" s="13" t="s">
        <v>215</v>
      </c>
      <c r="Y19" s="13" t="s">
        <v>215</v>
      </c>
      <c r="Z19" s="13" t="s">
        <v>215</v>
      </c>
      <c r="AA19" s="13" t="s">
        <v>215</v>
      </c>
      <c r="AB19" s="13" t="s">
        <v>215</v>
      </c>
      <c r="AC19" s="13" t="s">
        <v>215</v>
      </c>
      <c r="AD19" s="16" t="s">
        <v>215</v>
      </c>
      <c r="AE19" s="15" t="s">
        <v>215</v>
      </c>
      <c r="AF19" s="13" t="s">
        <v>206</v>
      </c>
      <c r="AG19" s="13" t="s">
        <v>215</v>
      </c>
      <c r="AH19" s="13" t="s">
        <v>209</v>
      </c>
      <c r="AI19" s="13" t="s">
        <v>215</v>
      </c>
      <c r="AJ19" s="13" t="s">
        <v>215</v>
      </c>
      <c r="AK19" s="13" t="s">
        <v>215</v>
      </c>
      <c r="AL19" s="13" t="s">
        <v>215</v>
      </c>
      <c r="AM19" s="13" t="s">
        <v>215</v>
      </c>
      <c r="AN19" s="13" t="s">
        <v>215</v>
      </c>
      <c r="AO19" s="13" t="s">
        <v>215</v>
      </c>
      <c r="AP19" s="13" t="s">
        <v>215</v>
      </c>
      <c r="AQ19" s="13" t="s">
        <v>215</v>
      </c>
      <c r="AR19" s="13" t="s">
        <v>215</v>
      </c>
      <c r="AS19" s="13" t="s">
        <v>215</v>
      </c>
      <c r="AT19" s="13" t="s">
        <v>215</v>
      </c>
      <c r="AU19" s="13" t="s">
        <v>215</v>
      </c>
      <c r="AV19" s="13" t="s">
        <v>215</v>
      </c>
      <c r="AW19" s="13" t="s">
        <v>215</v>
      </c>
      <c r="AX19" s="13" t="s">
        <v>215</v>
      </c>
      <c r="AY19" s="13" t="s">
        <v>215</v>
      </c>
      <c r="AZ19" s="13" t="s">
        <v>215</v>
      </c>
      <c r="BA19" s="13" t="s">
        <v>215</v>
      </c>
      <c r="BB19" s="13" t="s">
        <v>215</v>
      </c>
      <c r="BC19" s="13" t="s">
        <v>215</v>
      </c>
      <c r="BD19" s="16" t="s">
        <v>215</v>
      </c>
      <c r="BE19" s="15" t="s">
        <v>215</v>
      </c>
      <c r="BF19" s="13" t="s">
        <v>215</v>
      </c>
      <c r="BG19" s="13" t="s">
        <v>215</v>
      </c>
      <c r="BH19" s="13" t="s">
        <v>215</v>
      </c>
      <c r="BI19" s="13" t="s">
        <v>215</v>
      </c>
      <c r="BJ19" s="16" t="s">
        <v>215</v>
      </c>
      <c r="BK19" s="15" t="s">
        <v>215</v>
      </c>
      <c r="BL19" s="13" t="s">
        <v>215</v>
      </c>
      <c r="BM19" s="13" t="s">
        <v>215</v>
      </c>
      <c r="BN19" s="13" t="s">
        <v>215</v>
      </c>
      <c r="BO19" s="13" t="s">
        <v>215</v>
      </c>
      <c r="BP19" s="13" t="s">
        <v>215</v>
      </c>
      <c r="BQ19" s="13" t="s">
        <v>215</v>
      </c>
      <c r="BR19" s="13" t="s">
        <v>215</v>
      </c>
      <c r="BS19" s="13" t="s">
        <v>215</v>
      </c>
      <c r="BT19" s="13" t="s">
        <v>215</v>
      </c>
      <c r="BU19" s="13" t="s">
        <v>215</v>
      </c>
      <c r="BV19" s="13" t="s">
        <v>215</v>
      </c>
      <c r="BW19" s="16" t="s">
        <v>215</v>
      </c>
      <c r="BX19" s="15" t="s">
        <v>215</v>
      </c>
      <c r="BY19" s="13" t="s">
        <v>215</v>
      </c>
      <c r="BZ19" s="16" t="s">
        <v>215</v>
      </c>
      <c r="CA19" s="81" t="s">
        <v>215</v>
      </c>
      <c r="CB19" s="13" t="s">
        <v>215</v>
      </c>
      <c r="CC19" s="13" t="s">
        <v>215</v>
      </c>
      <c r="CD19" s="16" t="s">
        <v>215</v>
      </c>
      <c r="CE19" s="16" t="s">
        <v>215</v>
      </c>
    </row>
    <row r="20" spans="5:83" x14ac:dyDescent="0.35">
      <c r="E20" s="79" t="s">
        <v>309</v>
      </c>
      <c r="F20" s="116" t="s">
        <v>159</v>
      </c>
      <c r="G20" s="116" t="s">
        <v>273</v>
      </c>
      <c r="H20" s="15" t="s">
        <v>215</v>
      </c>
      <c r="I20" s="13" t="s">
        <v>215</v>
      </c>
      <c r="J20" s="13" t="s">
        <v>215</v>
      </c>
      <c r="K20" s="13" t="s">
        <v>215</v>
      </c>
      <c r="L20" s="13" t="s">
        <v>215</v>
      </c>
      <c r="M20" s="13" t="s">
        <v>215</v>
      </c>
      <c r="N20" s="13" t="s">
        <v>215</v>
      </c>
      <c r="O20" s="13" t="s">
        <v>215</v>
      </c>
      <c r="P20" s="13" t="s">
        <v>215</v>
      </c>
      <c r="Q20" s="13" t="s">
        <v>215</v>
      </c>
      <c r="R20" s="13" t="s">
        <v>215</v>
      </c>
      <c r="S20" s="13" t="s">
        <v>206</v>
      </c>
      <c r="T20" s="13" t="s">
        <v>206</v>
      </c>
      <c r="U20" s="13" t="s">
        <v>206</v>
      </c>
      <c r="V20" s="13" t="s">
        <v>215</v>
      </c>
      <c r="W20" s="13" t="s">
        <v>215</v>
      </c>
      <c r="X20" s="13" t="s">
        <v>215</v>
      </c>
      <c r="Y20" s="13" t="s">
        <v>215</v>
      </c>
      <c r="Z20" s="13" t="s">
        <v>215</v>
      </c>
      <c r="AA20" s="13" t="s">
        <v>215</v>
      </c>
      <c r="AB20" s="13" t="s">
        <v>215</v>
      </c>
      <c r="AC20" s="13" t="s">
        <v>215</v>
      </c>
      <c r="AD20" s="16" t="s">
        <v>215</v>
      </c>
      <c r="AE20" s="15" t="s">
        <v>215</v>
      </c>
      <c r="AF20" s="13" t="s">
        <v>206</v>
      </c>
      <c r="AG20" s="13" t="s">
        <v>215</v>
      </c>
      <c r="AH20" s="13" t="s">
        <v>206</v>
      </c>
      <c r="AI20" s="13" t="s">
        <v>215</v>
      </c>
      <c r="AJ20" s="13" t="s">
        <v>215</v>
      </c>
      <c r="AK20" s="13" t="s">
        <v>209</v>
      </c>
      <c r="AL20" s="13" t="s">
        <v>215</v>
      </c>
      <c r="AM20" s="13" t="s">
        <v>215</v>
      </c>
      <c r="AN20" s="13" t="s">
        <v>215</v>
      </c>
      <c r="AO20" s="13" t="s">
        <v>209</v>
      </c>
      <c r="AP20" s="13" t="s">
        <v>215</v>
      </c>
      <c r="AQ20" s="13" t="s">
        <v>215</v>
      </c>
      <c r="AR20" s="13" t="s">
        <v>215</v>
      </c>
      <c r="AS20" s="13" t="s">
        <v>215</v>
      </c>
      <c r="AT20" s="13" t="s">
        <v>215</v>
      </c>
      <c r="AU20" s="13" t="s">
        <v>215</v>
      </c>
      <c r="AV20" s="13" t="s">
        <v>215</v>
      </c>
      <c r="AW20" s="13" t="s">
        <v>215</v>
      </c>
      <c r="AX20" s="13" t="s">
        <v>215</v>
      </c>
      <c r="AY20" s="13" t="s">
        <v>215</v>
      </c>
      <c r="AZ20" s="13" t="s">
        <v>206</v>
      </c>
      <c r="BA20" s="13" t="s">
        <v>215</v>
      </c>
      <c r="BB20" s="13" t="s">
        <v>215</v>
      </c>
      <c r="BC20" s="13" t="s">
        <v>215</v>
      </c>
      <c r="BD20" s="16" t="s">
        <v>215</v>
      </c>
      <c r="BE20" s="15" t="s">
        <v>215</v>
      </c>
      <c r="BF20" s="13" t="s">
        <v>215</v>
      </c>
      <c r="BG20" s="13" t="s">
        <v>209</v>
      </c>
      <c r="BH20" s="13" t="s">
        <v>215</v>
      </c>
      <c r="BI20" s="13" t="s">
        <v>209</v>
      </c>
      <c r="BJ20" s="16" t="s">
        <v>215</v>
      </c>
      <c r="BK20" s="15" t="s">
        <v>215</v>
      </c>
      <c r="BL20" s="13" t="s">
        <v>215</v>
      </c>
      <c r="BM20" s="13" t="s">
        <v>215</v>
      </c>
      <c r="BN20" s="13" t="s">
        <v>215</v>
      </c>
      <c r="BO20" s="13" t="s">
        <v>209</v>
      </c>
      <c r="BP20" s="13" t="s">
        <v>215</v>
      </c>
      <c r="BQ20" s="13" t="s">
        <v>215</v>
      </c>
      <c r="BR20" s="13" t="s">
        <v>215</v>
      </c>
      <c r="BS20" s="13" t="s">
        <v>215</v>
      </c>
      <c r="BT20" s="13" t="s">
        <v>215</v>
      </c>
      <c r="BU20" s="13" t="s">
        <v>206</v>
      </c>
      <c r="BV20" s="13" t="s">
        <v>215</v>
      </c>
      <c r="BW20" s="16" t="s">
        <v>215</v>
      </c>
      <c r="BX20" s="15" t="s">
        <v>215</v>
      </c>
      <c r="BY20" s="13" t="s">
        <v>215</v>
      </c>
      <c r="BZ20" s="16" t="s">
        <v>215</v>
      </c>
      <c r="CA20" s="81" t="s">
        <v>215</v>
      </c>
      <c r="CB20" s="13" t="s">
        <v>215</v>
      </c>
      <c r="CC20" s="13" t="s">
        <v>215</v>
      </c>
      <c r="CD20" s="16" t="s">
        <v>215</v>
      </c>
      <c r="CE20" s="16" t="s">
        <v>215</v>
      </c>
    </row>
    <row r="21" spans="5:83" x14ac:dyDescent="0.35">
      <c r="E21" s="79" t="s">
        <v>310</v>
      </c>
      <c r="F21" s="116" t="s">
        <v>172</v>
      </c>
      <c r="G21" s="116" t="s">
        <v>273</v>
      </c>
      <c r="H21" s="15" t="s">
        <v>215</v>
      </c>
      <c r="I21" s="13" t="s">
        <v>209</v>
      </c>
      <c r="J21" s="13" t="s">
        <v>215</v>
      </c>
      <c r="K21" s="13" t="s">
        <v>215</v>
      </c>
      <c r="L21" s="13" t="s">
        <v>215</v>
      </c>
      <c r="M21" s="13" t="s">
        <v>215</v>
      </c>
      <c r="N21" s="13" t="s">
        <v>215</v>
      </c>
      <c r="O21" s="13" t="s">
        <v>215</v>
      </c>
      <c r="P21" s="13" t="s">
        <v>215</v>
      </c>
      <c r="Q21" s="13" t="s">
        <v>215</v>
      </c>
      <c r="R21" s="13" t="s">
        <v>215</v>
      </c>
      <c r="S21" s="13" t="s">
        <v>215</v>
      </c>
      <c r="T21" s="13" t="s">
        <v>215</v>
      </c>
      <c r="U21" s="13" t="s">
        <v>215</v>
      </c>
      <c r="V21" s="13" t="s">
        <v>215</v>
      </c>
      <c r="W21" s="13" t="s">
        <v>215</v>
      </c>
      <c r="X21" s="13" t="s">
        <v>215</v>
      </c>
      <c r="Y21" s="13" t="s">
        <v>215</v>
      </c>
      <c r="Z21" s="13" t="s">
        <v>215</v>
      </c>
      <c r="AA21" s="13" t="s">
        <v>206</v>
      </c>
      <c r="AB21" s="13" t="s">
        <v>215</v>
      </c>
      <c r="AC21" s="13" t="s">
        <v>215</v>
      </c>
      <c r="AD21" s="16" t="s">
        <v>215</v>
      </c>
      <c r="AE21" s="15" t="s">
        <v>215</v>
      </c>
      <c r="AF21" s="13" t="s">
        <v>206</v>
      </c>
      <c r="AG21" s="13" t="s">
        <v>206</v>
      </c>
      <c r="AH21" s="13" t="s">
        <v>215</v>
      </c>
      <c r="AI21" s="13" t="s">
        <v>215</v>
      </c>
      <c r="AJ21" s="13" t="s">
        <v>215</v>
      </c>
      <c r="AK21" s="13" t="s">
        <v>209</v>
      </c>
      <c r="AL21" s="13" t="s">
        <v>215</v>
      </c>
      <c r="AM21" s="13" t="s">
        <v>215</v>
      </c>
      <c r="AN21" s="13" t="s">
        <v>215</v>
      </c>
      <c r="AO21" s="13" t="s">
        <v>206</v>
      </c>
      <c r="AP21" s="13" t="s">
        <v>215</v>
      </c>
      <c r="AQ21" s="13" t="s">
        <v>215</v>
      </c>
      <c r="AR21" s="13" t="s">
        <v>215</v>
      </c>
      <c r="AS21" s="13" t="s">
        <v>206</v>
      </c>
      <c r="AT21" s="13" t="s">
        <v>215</v>
      </c>
      <c r="AU21" s="13" t="s">
        <v>206</v>
      </c>
      <c r="AV21" s="13" t="s">
        <v>215</v>
      </c>
      <c r="AW21" s="13" t="s">
        <v>215</v>
      </c>
      <c r="AX21" s="13" t="s">
        <v>215</v>
      </c>
      <c r="AY21" s="13" t="s">
        <v>215</v>
      </c>
      <c r="AZ21" s="13" t="s">
        <v>215</v>
      </c>
      <c r="BA21" s="13" t="s">
        <v>215</v>
      </c>
      <c r="BB21" s="13" t="s">
        <v>215</v>
      </c>
      <c r="BC21" s="13" t="s">
        <v>215</v>
      </c>
      <c r="BD21" s="16" t="s">
        <v>215</v>
      </c>
      <c r="BE21" s="15" t="s">
        <v>215</v>
      </c>
      <c r="BF21" s="13" t="s">
        <v>215</v>
      </c>
      <c r="BG21" s="13" t="s">
        <v>215</v>
      </c>
      <c r="BH21" s="13" t="s">
        <v>215</v>
      </c>
      <c r="BI21" s="13" t="s">
        <v>215</v>
      </c>
      <c r="BJ21" s="16" t="s">
        <v>215</v>
      </c>
      <c r="BK21" s="15" t="s">
        <v>215</v>
      </c>
      <c r="BL21" s="13" t="s">
        <v>215</v>
      </c>
      <c r="BM21" s="13" t="s">
        <v>215</v>
      </c>
      <c r="BN21" s="13" t="s">
        <v>215</v>
      </c>
      <c r="BO21" s="13" t="s">
        <v>209</v>
      </c>
      <c r="BP21" s="13" t="s">
        <v>215</v>
      </c>
      <c r="BQ21" s="13" t="s">
        <v>215</v>
      </c>
      <c r="BR21" s="13" t="s">
        <v>215</v>
      </c>
      <c r="BS21" s="13" t="s">
        <v>215</v>
      </c>
      <c r="BT21" s="13" t="s">
        <v>215</v>
      </c>
      <c r="BU21" s="13" t="s">
        <v>215</v>
      </c>
      <c r="BV21" s="13" t="s">
        <v>215</v>
      </c>
      <c r="BW21" s="16" t="s">
        <v>215</v>
      </c>
      <c r="BX21" s="15" t="s">
        <v>215</v>
      </c>
      <c r="BY21" s="13" t="s">
        <v>215</v>
      </c>
      <c r="BZ21" s="16" t="s">
        <v>215</v>
      </c>
      <c r="CA21" s="81" t="s">
        <v>215</v>
      </c>
      <c r="CB21" s="13" t="s">
        <v>215</v>
      </c>
      <c r="CC21" s="13" t="s">
        <v>215</v>
      </c>
      <c r="CD21" s="16" t="s">
        <v>215</v>
      </c>
      <c r="CE21" s="16" t="s">
        <v>215</v>
      </c>
    </row>
    <row r="22" spans="5:83" x14ac:dyDescent="0.35">
      <c r="E22" s="79" t="s">
        <v>311</v>
      </c>
      <c r="F22" s="116" t="s">
        <v>192</v>
      </c>
      <c r="G22" s="116" t="s">
        <v>273</v>
      </c>
      <c r="H22" s="15" t="s">
        <v>215</v>
      </c>
      <c r="I22" s="13" t="s">
        <v>215</v>
      </c>
      <c r="J22" s="13" t="s">
        <v>215</v>
      </c>
      <c r="K22" s="13" t="s">
        <v>215</v>
      </c>
      <c r="L22" s="13" t="s">
        <v>215</v>
      </c>
      <c r="M22" s="13" t="s">
        <v>215</v>
      </c>
      <c r="N22" s="13" t="s">
        <v>215</v>
      </c>
      <c r="O22" s="13" t="s">
        <v>215</v>
      </c>
      <c r="P22" s="13" t="s">
        <v>215</v>
      </c>
      <c r="Q22" s="13" t="s">
        <v>215</v>
      </c>
      <c r="R22" s="13" t="s">
        <v>215</v>
      </c>
      <c r="S22" s="13" t="s">
        <v>215</v>
      </c>
      <c r="T22" s="13" t="s">
        <v>215</v>
      </c>
      <c r="U22" s="13" t="s">
        <v>215</v>
      </c>
      <c r="V22" s="13" t="s">
        <v>215</v>
      </c>
      <c r="W22" s="13" t="s">
        <v>215</v>
      </c>
      <c r="X22" s="13" t="s">
        <v>215</v>
      </c>
      <c r="Y22" s="13" t="s">
        <v>215</v>
      </c>
      <c r="Z22" s="13" t="s">
        <v>215</v>
      </c>
      <c r="AA22" s="13" t="s">
        <v>215</v>
      </c>
      <c r="AB22" s="13" t="s">
        <v>215</v>
      </c>
      <c r="AC22" s="13" t="s">
        <v>215</v>
      </c>
      <c r="AD22" s="16" t="s">
        <v>215</v>
      </c>
      <c r="AE22" s="15" t="s">
        <v>215</v>
      </c>
      <c r="AF22" s="13" t="s">
        <v>215</v>
      </c>
      <c r="AG22" s="13" t="s">
        <v>215</v>
      </c>
      <c r="AH22" s="13" t="s">
        <v>215</v>
      </c>
      <c r="AI22" s="13" t="s">
        <v>215</v>
      </c>
      <c r="AJ22" s="13" t="s">
        <v>215</v>
      </c>
      <c r="AK22" s="13" t="s">
        <v>209</v>
      </c>
      <c r="AL22" s="13" t="s">
        <v>215</v>
      </c>
      <c r="AM22" s="13" t="s">
        <v>215</v>
      </c>
      <c r="AN22" s="13" t="s">
        <v>215</v>
      </c>
      <c r="AO22" s="13" t="s">
        <v>206</v>
      </c>
      <c r="AP22" s="13" t="s">
        <v>209</v>
      </c>
      <c r="AQ22" s="13" t="s">
        <v>215</v>
      </c>
      <c r="AR22" s="13" t="s">
        <v>215</v>
      </c>
      <c r="AS22" s="13" t="s">
        <v>215</v>
      </c>
      <c r="AT22" s="13" t="s">
        <v>215</v>
      </c>
      <c r="AU22" s="13" t="s">
        <v>209</v>
      </c>
      <c r="AV22" s="13" t="s">
        <v>215</v>
      </c>
      <c r="AW22" s="13" t="s">
        <v>215</v>
      </c>
      <c r="AX22" s="13" t="s">
        <v>215</v>
      </c>
      <c r="AY22" s="13" t="s">
        <v>215</v>
      </c>
      <c r="AZ22" s="13" t="s">
        <v>215</v>
      </c>
      <c r="BA22" s="13" t="s">
        <v>215</v>
      </c>
      <c r="BB22" s="13" t="s">
        <v>215</v>
      </c>
      <c r="BC22" s="13" t="s">
        <v>215</v>
      </c>
      <c r="BD22" s="16" t="s">
        <v>215</v>
      </c>
      <c r="BE22" s="15" t="s">
        <v>215</v>
      </c>
      <c r="BF22" s="13" t="s">
        <v>215</v>
      </c>
      <c r="BG22" s="13" t="s">
        <v>215</v>
      </c>
      <c r="BH22" s="13" t="s">
        <v>215</v>
      </c>
      <c r="BI22" s="13" t="s">
        <v>215</v>
      </c>
      <c r="BJ22" s="16" t="s">
        <v>215</v>
      </c>
      <c r="BK22" s="15" t="s">
        <v>215</v>
      </c>
      <c r="BL22" s="13" t="s">
        <v>215</v>
      </c>
      <c r="BM22" s="13" t="s">
        <v>215</v>
      </c>
      <c r="BN22" s="13" t="s">
        <v>215</v>
      </c>
      <c r="BO22" s="13" t="s">
        <v>209</v>
      </c>
      <c r="BP22" s="13" t="s">
        <v>215</v>
      </c>
      <c r="BQ22" s="13" t="s">
        <v>215</v>
      </c>
      <c r="BR22" s="13" t="s">
        <v>215</v>
      </c>
      <c r="BS22" s="13" t="s">
        <v>215</v>
      </c>
      <c r="BT22" s="13" t="s">
        <v>215</v>
      </c>
      <c r="BU22" s="13" t="s">
        <v>215</v>
      </c>
      <c r="BV22" s="13" t="s">
        <v>215</v>
      </c>
      <c r="BW22" s="16" t="s">
        <v>215</v>
      </c>
      <c r="BX22" s="15" t="s">
        <v>215</v>
      </c>
      <c r="BY22" s="13" t="s">
        <v>215</v>
      </c>
      <c r="BZ22" s="16" t="s">
        <v>215</v>
      </c>
      <c r="CA22" s="81" t="s">
        <v>215</v>
      </c>
      <c r="CB22" s="13" t="s">
        <v>215</v>
      </c>
      <c r="CC22" s="13" t="s">
        <v>215</v>
      </c>
      <c r="CD22" s="16" t="s">
        <v>215</v>
      </c>
      <c r="CE22" s="16" t="s">
        <v>215</v>
      </c>
    </row>
    <row r="23" spans="5:83" x14ac:dyDescent="0.35">
      <c r="E23" s="79" t="s">
        <v>312</v>
      </c>
      <c r="F23" s="116" t="s">
        <v>184</v>
      </c>
      <c r="G23" s="116" t="s">
        <v>273</v>
      </c>
      <c r="H23" s="15" t="s">
        <v>215</v>
      </c>
      <c r="I23" s="13" t="s">
        <v>215</v>
      </c>
      <c r="J23" s="13" t="s">
        <v>215</v>
      </c>
      <c r="K23" s="13" t="s">
        <v>215</v>
      </c>
      <c r="L23" s="13" t="s">
        <v>215</v>
      </c>
      <c r="M23" s="13" t="s">
        <v>215</v>
      </c>
      <c r="N23" s="13" t="s">
        <v>215</v>
      </c>
      <c r="O23" s="13" t="s">
        <v>215</v>
      </c>
      <c r="P23" s="13" t="s">
        <v>215</v>
      </c>
      <c r="Q23" s="13" t="s">
        <v>215</v>
      </c>
      <c r="R23" s="13" t="s">
        <v>215</v>
      </c>
      <c r="S23" s="13" t="s">
        <v>215</v>
      </c>
      <c r="T23" s="13" t="s">
        <v>215</v>
      </c>
      <c r="U23" s="13" t="s">
        <v>215</v>
      </c>
      <c r="V23" s="13" t="s">
        <v>215</v>
      </c>
      <c r="W23" s="13" t="s">
        <v>209</v>
      </c>
      <c r="X23" s="13" t="s">
        <v>215</v>
      </c>
      <c r="Y23" s="13" t="s">
        <v>215</v>
      </c>
      <c r="Z23" s="13" t="s">
        <v>215</v>
      </c>
      <c r="AA23" s="13" t="s">
        <v>215</v>
      </c>
      <c r="AB23" s="13" t="s">
        <v>215</v>
      </c>
      <c r="AC23" s="13" t="s">
        <v>215</v>
      </c>
      <c r="AD23" s="16" t="s">
        <v>215</v>
      </c>
      <c r="AE23" s="15" t="s">
        <v>215</v>
      </c>
      <c r="AF23" s="13" t="s">
        <v>206</v>
      </c>
      <c r="AG23" s="13" t="s">
        <v>215</v>
      </c>
      <c r="AH23" s="13" t="s">
        <v>206</v>
      </c>
      <c r="AI23" s="13" t="s">
        <v>215</v>
      </c>
      <c r="AJ23" s="13" t="s">
        <v>215</v>
      </c>
      <c r="AK23" s="13" t="s">
        <v>209</v>
      </c>
      <c r="AL23" s="13" t="s">
        <v>215</v>
      </c>
      <c r="AM23" s="13" t="s">
        <v>215</v>
      </c>
      <c r="AN23" s="13" t="s">
        <v>215</v>
      </c>
      <c r="AO23" s="13" t="s">
        <v>209</v>
      </c>
      <c r="AP23" s="13" t="s">
        <v>215</v>
      </c>
      <c r="AQ23" s="13" t="s">
        <v>215</v>
      </c>
      <c r="AR23" s="13" t="s">
        <v>215</v>
      </c>
      <c r="AS23" s="13" t="s">
        <v>215</v>
      </c>
      <c r="AT23" s="13" t="s">
        <v>215</v>
      </c>
      <c r="AU23" s="13" t="s">
        <v>215</v>
      </c>
      <c r="AV23" s="13" t="s">
        <v>215</v>
      </c>
      <c r="AW23" s="13" t="s">
        <v>215</v>
      </c>
      <c r="AX23" s="13" t="s">
        <v>215</v>
      </c>
      <c r="AY23" s="13" t="s">
        <v>215</v>
      </c>
      <c r="AZ23" s="13" t="s">
        <v>215</v>
      </c>
      <c r="BA23" s="13" t="s">
        <v>209</v>
      </c>
      <c r="BB23" s="13" t="s">
        <v>215</v>
      </c>
      <c r="BC23" s="13" t="s">
        <v>215</v>
      </c>
      <c r="BD23" s="16" t="s">
        <v>215</v>
      </c>
      <c r="BE23" s="15" t="s">
        <v>215</v>
      </c>
      <c r="BF23" s="13" t="s">
        <v>215</v>
      </c>
      <c r="BG23" s="13" t="s">
        <v>215</v>
      </c>
      <c r="BH23" s="13" t="s">
        <v>209</v>
      </c>
      <c r="BI23" s="13" t="s">
        <v>215</v>
      </c>
      <c r="BJ23" s="16" t="s">
        <v>215</v>
      </c>
      <c r="BK23" s="15" t="s">
        <v>215</v>
      </c>
      <c r="BL23" s="13" t="s">
        <v>215</v>
      </c>
      <c r="BM23" s="13" t="s">
        <v>215</v>
      </c>
      <c r="BN23" s="13" t="s">
        <v>215</v>
      </c>
      <c r="BO23" s="13" t="s">
        <v>209</v>
      </c>
      <c r="BP23" s="13" t="s">
        <v>215</v>
      </c>
      <c r="BQ23" s="13" t="s">
        <v>215</v>
      </c>
      <c r="BR23" s="13" t="s">
        <v>215</v>
      </c>
      <c r="BS23" s="13" t="s">
        <v>215</v>
      </c>
      <c r="BT23" s="13" t="s">
        <v>215</v>
      </c>
      <c r="BU23" s="13" t="s">
        <v>215</v>
      </c>
      <c r="BV23" s="13" t="s">
        <v>215</v>
      </c>
      <c r="BW23" s="16" t="s">
        <v>215</v>
      </c>
      <c r="BX23" s="15" t="s">
        <v>215</v>
      </c>
      <c r="BY23" s="13" t="s">
        <v>215</v>
      </c>
      <c r="BZ23" s="16" t="s">
        <v>215</v>
      </c>
      <c r="CA23" s="81" t="s">
        <v>215</v>
      </c>
      <c r="CB23" s="13" t="s">
        <v>215</v>
      </c>
      <c r="CC23" s="13" t="s">
        <v>215</v>
      </c>
      <c r="CD23" s="16" t="s">
        <v>215</v>
      </c>
      <c r="CE23" s="16" t="s">
        <v>215</v>
      </c>
    </row>
    <row r="24" spans="5:83" x14ac:dyDescent="0.35">
      <c r="E24" s="79" t="s">
        <v>313</v>
      </c>
      <c r="F24" s="116" t="s">
        <v>194</v>
      </c>
      <c r="G24" s="116" t="s">
        <v>273</v>
      </c>
      <c r="H24" s="15" t="s">
        <v>215</v>
      </c>
      <c r="I24" s="13" t="s">
        <v>215</v>
      </c>
      <c r="J24" s="13" t="s">
        <v>215</v>
      </c>
      <c r="K24" s="13" t="s">
        <v>215</v>
      </c>
      <c r="L24" s="13" t="s">
        <v>215</v>
      </c>
      <c r="M24" s="13" t="s">
        <v>215</v>
      </c>
      <c r="N24" s="13" t="s">
        <v>215</v>
      </c>
      <c r="O24" s="13" t="s">
        <v>215</v>
      </c>
      <c r="P24" s="13" t="s">
        <v>215</v>
      </c>
      <c r="Q24" s="13" t="s">
        <v>215</v>
      </c>
      <c r="R24" s="13" t="s">
        <v>215</v>
      </c>
      <c r="S24" s="13" t="s">
        <v>215</v>
      </c>
      <c r="T24" s="13" t="s">
        <v>215</v>
      </c>
      <c r="U24" s="13" t="s">
        <v>215</v>
      </c>
      <c r="V24" s="13" t="s">
        <v>215</v>
      </c>
      <c r="W24" s="13" t="s">
        <v>215</v>
      </c>
      <c r="X24" s="13" t="s">
        <v>215</v>
      </c>
      <c r="Y24" s="13" t="s">
        <v>215</v>
      </c>
      <c r="Z24" s="13" t="s">
        <v>215</v>
      </c>
      <c r="AA24" s="13" t="s">
        <v>215</v>
      </c>
      <c r="AB24" s="13" t="s">
        <v>215</v>
      </c>
      <c r="AC24" s="13" t="s">
        <v>215</v>
      </c>
      <c r="AD24" s="16" t="s">
        <v>215</v>
      </c>
      <c r="AE24" s="15" t="s">
        <v>215</v>
      </c>
      <c r="AF24" s="13" t="s">
        <v>215</v>
      </c>
      <c r="AG24" s="13" t="s">
        <v>215</v>
      </c>
      <c r="AH24" s="13" t="s">
        <v>215</v>
      </c>
      <c r="AI24" s="13" t="s">
        <v>215</v>
      </c>
      <c r="AJ24" s="13" t="s">
        <v>215</v>
      </c>
      <c r="AK24" s="13" t="s">
        <v>209</v>
      </c>
      <c r="AL24" s="13" t="s">
        <v>215</v>
      </c>
      <c r="AM24" s="13" t="s">
        <v>215</v>
      </c>
      <c r="AN24" s="13" t="s">
        <v>215</v>
      </c>
      <c r="AO24" s="13" t="s">
        <v>206</v>
      </c>
      <c r="AP24" s="13" t="s">
        <v>215</v>
      </c>
      <c r="AQ24" s="13" t="s">
        <v>215</v>
      </c>
      <c r="AR24" s="13" t="s">
        <v>215</v>
      </c>
      <c r="AS24" s="13" t="s">
        <v>215</v>
      </c>
      <c r="AT24" s="13" t="s">
        <v>215</v>
      </c>
      <c r="AU24" s="13" t="s">
        <v>209</v>
      </c>
      <c r="AV24" s="13" t="s">
        <v>215</v>
      </c>
      <c r="AW24" s="13" t="s">
        <v>215</v>
      </c>
      <c r="AX24" s="13" t="s">
        <v>215</v>
      </c>
      <c r="AY24" s="13" t="s">
        <v>215</v>
      </c>
      <c r="AZ24" s="13" t="s">
        <v>215</v>
      </c>
      <c r="BA24" s="13" t="s">
        <v>215</v>
      </c>
      <c r="BB24" s="13" t="s">
        <v>215</v>
      </c>
      <c r="BC24" s="13" t="s">
        <v>215</v>
      </c>
      <c r="BD24" s="16" t="s">
        <v>215</v>
      </c>
      <c r="BE24" s="15" t="s">
        <v>215</v>
      </c>
      <c r="BF24" s="13" t="s">
        <v>215</v>
      </c>
      <c r="BG24" s="13" t="s">
        <v>215</v>
      </c>
      <c r="BH24" s="13" t="s">
        <v>206</v>
      </c>
      <c r="BI24" s="13" t="s">
        <v>215</v>
      </c>
      <c r="BJ24" s="16" t="s">
        <v>215</v>
      </c>
      <c r="BK24" s="15" t="s">
        <v>215</v>
      </c>
      <c r="BL24" s="13" t="s">
        <v>215</v>
      </c>
      <c r="BM24" s="13" t="s">
        <v>215</v>
      </c>
      <c r="BN24" s="13" t="s">
        <v>215</v>
      </c>
      <c r="BO24" s="13" t="s">
        <v>209</v>
      </c>
      <c r="BP24" s="13" t="s">
        <v>215</v>
      </c>
      <c r="BQ24" s="13" t="s">
        <v>215</v>
      </c>
      <c r="BR24" s="13" t="s">
        <v>215</v>
      </c>
      <c r="BS24" s="13" t="s">
        <v>215</v>
      </c>
      <c r="BT24" s="13" t="s">
        <v>215</v>
      </c>
      <c r="BU24" s="13" t="s">
        <v>215</v>
      </c>
      <c r="BV24" s="13" t="s">
        <v>215</v>
      </c>
      <c r="BW24" s="16" t="s">
        <v>215</v>
      </c>
      <c r="BX24" s="15" t="s">
        <v>215</v>
      </c>
      <c r="BY24" s="13" t="s">
        <v>215</v>
      </c>
      <c r="BZ24" s="16" t="s">
        <v>215</v>
      </c>
      <c r="CA24" s="81" t="s">
        <v>215</v>
      </c>
      <c r="CB24" s="13" t="s">
        <v>215</v>
      </c>
      <c r="CC24" s="13" t="s">
        <v>215</v>
      </c>
      <c r="CD24" s="16" t="s">
        <v>215</v>
      </c>
      <c r="CE24" s="16" t="s">
        <v>215</v>
      </c>
    </row>
    <row r="25" spans="5:83" x14ac:dyDescent="0.35">
      <c r="E25" s="79" t="s">
        <v>314</v>
      </c>
      <c r="F25" s="116" t="s">
        <v>198</v>
      </c>
      <c r="G25" s="116" t="s">
        <v>275</v>
      </c>
      <c r="H25" s="15" t="s">
        <v>215</v>
      </c>
      <c r="I25" s="13" t="s">
        <v>215</v>
      </c>
      <c r="J25" s="13" t="s">
        <v>215</v>
      </c>
      <c r="K25" s="13" t="s">
        <v>215</v>
      </c>
      <c r="L25" s="13" t="s">
        <v>215</v>
      </c>
      <c r="M25" s="13" t="s">
        <v>215</v>
      </c>
      <c r="N25" s="13" t="s">
        <v>215</v>
      </c>
      <c r="O25" s="13" t="s">
        <v>215</v>
      </c>
      <c r="P25" s="13" t="s">
        <v>215</v>
      </c>
      <c r="Q25" s="13" t="s">
        <v>215</v>
      </c>
      <c r="R25" s="13" t="s">
        <v>215</v>
      </c>
      <c r="S25" s="13" t="s">
        <v>215</v>
      </c>
      <c r="T25" s="13" t="s">
        <v>215</v>
      </c>
      <c r="U25" s="13" t="s">
        <v>215</v>
      </c>
      <c r="V25" s="13" t="s">
        <v>215</v>
      </c>
      <c r="W25" s="13" t="s">
        <v>215</v>
      </c>
      <c r="X25" s="13" t="s">
        <v>215</v>
      </c>
      <c r="Y25" s="13" t="s">
        <v>215</v>
      </c>
      <c r="Z25" s="13" t="s">
        <v>215</v>
      </c>
      <c r="AA25" s="13" t="s">
        <v>215</v>
      </c>
      <c r="AB25" s="13" t="s">
        <v>215</v>
      </c>
      <c r="AC25" s="13" t="s">
        <v>215</v>
      </c>
      <c r="AD25" s="16" t="s">
        <v>215</v>
      </c>
      <c r="AE25" s="15" t="s">
        <v>215</v>
      </c>
      <c r="AF25" s="13" t="s">
        <v>215</v>
      </c>
      <c r="AG25" s="13" t="s">
        <v>215</v>
      </c>
      <c r="AH25" s="13" t="s">
        <v>215</v>
      </c>
      <c r="AI25" s="13" t="s">
        <v>215</v>
      </c>
      <c r="AJ25" s="13" t="s">
        <v>215</v>
      </c>
      <c r="AK25" s="13" t="s">
        <v>215</v>
      </c>
      <c r="AL25" s="13" t="s">
        <v>215</v>
      </c>
      <c r="AM25" s="13" t="s">
        <v>215</v>
      </c>
      <c r="AN25" s="13" t="s">
        <v>215</v>
      </c>
      <c r="AO25" s="13" t="s">
        <v>215</v>
      </c>
      <c r="AP25" s="13" t="s">
        <v>215</v>
      </c>
      <c r="AQ25" s="13" t="s">
        <v>215</v>
      </c>
      <c r="AR25" s="13" t="s">
        <v>215</v>
      </c>
      <c r="AS25" s="13" t="s">
        <v>215</v>
      </c>
      <c r="AT25" s="13" t="s">
        <v>215</v>
      </c>
      <c r="AU25" s="13" t="s">
        <v>215</v>
      </c>
      <c r="AV25" s="13" t="s">
        <v>215</v>
      </c>
      <c r="AW25" s="13" t="s">
        <v>215</v>
      </c>
      <c r="AX25" s="13" t="s">
        <v>215</v>
      </c>
      <c r="AY25" s="13" t="s">
        <v>215</v>
      </c>
      <c r="AZ25" s="13" t="s">
        <v>215</v>
      </c>
      <c r="BA25" s="13" t="s">
        <v>215</v>
      </c>
      <c r="BB25" s="13" t="s">
        <v>215</v>
      </c>
      <c r="BC25" s="13" t="s">
        <v>215</v>
      </c>
      <c r="BD25" s="16" t="s">
        <v>215</v>
      </c>
      <c r="BE25" s="15" t="s">
        <v>215</v>
      </c>
      <c r="BF25" s="13" t="s">
        <v>215</v>
      </c>
      <c r="BG25" s="13" t="s">
        <v>215</v>
      </c>
      <c r="BH25" s="13" t="s">
        <v>215</v>
      </c>
      <c r="BI25" s="13" t="s">
        <v>215</v>
      </c>
      <c r="BJ25" s="16" t="s">
        <v>215</v>
      </c>
      <c r="BK25" s="15" t="s">
        <v>215</v>
      </c>
      <c r="BL25" s="13" t="s">
        <v>215</v>
      </c>
      <c r="BM25" s="13" t="s">
        <v>215</v>
      </c>
      <c r="BN25" s="13" t="s">
        <v>215</v>
      </c>
      <c r="BO25" s="13" t="s">
        <v>215</v>
      </c>
      <c r="BP25" s="13" t="s">
        <v>215</v>
      </c>
      <c r="BQ25" s="13" t="s">
        <v>215</v>
      </c>
      <c r="BR25" s="13" t="s">
        <v>215</v>
      </c>
      <c r="BS25" s="13" t="s">
        <v>215</v>
      </c>
      <c r="BT25" s="13" t="s">
        <v>215</v>
      </c>
      <c r="BU25" s="13" t="s">
        <v>215</v>
      </c>
      <c r="BV25" s="13" t="s">
        <v>215</v>
      </c>
      <c r="BW25" s="16" t="s">
        <v>215</v>
      </c>
      <c r="BX25" s="15" t="s">
        <v>215</v>
      </c>
      <c r="BY25" s="13" t="s">
        <v>215</v>
      </c>
      <c r="BZ25" s="16" t="s">
        <v>215</v>
      </c>
      <c r="CA25" s="81" t="s">
        <v>215</v>
      </c>
      <c r="CB25" s="13" t="s">
        <v>215</v>
      </c>
      <c r="CC25" s="13" t="s">
        <v>215</v>
      </c>
      <c r="CD25" s="16" t="s">
        <v>215</v>
      </c>
      <c r="CE25" s="16" t="s">
        <v>215</v>
      </c>
    </row>
    <row r="26" spans="5:83" x14ac:dyDescent="0.35">
      <c r="E26" s="79" t="s">
        <v>315</v>
      </c>
      <c r="F26" s="116" t="s">
        <v>281</v>
      </c>
      <c r="G26" s="116" t="s">
        <v>275</v>
      </c>
      <c r="H26" s="15" t="e">
        <v>#N/A</v>
      </c>
      <c r="I26" s="13" t="e">
        <v>#N/A</v>
      </c>
      <c r="J26" s="13" t="e">
        <v>#N/A</v>
      </c>
      <c r="K26" s="13" t="e">
        <v>#N/A</v>
      </c>
      <c r="L26" s="13" t="e">
        <v>#N/A</v>
      </c>
      <c r="M26" s="13" t="e">
        <v>#N/A</v>
      </c>
      <c r="N26" s="13" t="e">
        <v>#N/A</v>
      </c>
      <c r="O26" s="13" t="e">
        <v>#N/A</v>
      </c>
      <c r="P26" s="13" t="e">
        <v>#N/A</v>
      </c>
      <c r="Q26" s="13" t="e">
        <v>#N/A</v>
      </c>
      <c r="R26" s="13" t="e">
        <v>#N/A</v>
      </c>
      <c r="S26" s="13" t="e">
        <v>#N/A</v>
      </c>
      <c r="T26" s="13" t="e">
        <v>#N/A</v>
      </c>
      <c r="U26" s="13" t="e">
        <v>#N/A</v>
      </c>
      <c r="V26" s="13" t="e">
        <v>#N/A</v>
      </c>
      <c r="W26" s="13" t="e">
        <v>#N/A</v>
      </c>
      <c r="X26" s="13" t="e">
        <v>#N/A</v>
      </c>
      <c r="Y26" s="13" t="e">
        <v>#N/A</v>
      </c>
      <c r="Z26" s="13" t="e">
        <v>#N/A</v>
      </c>
      <c r="AA26" s="13" t="e">
        <v>#N/A</v>
      </c>
      <c r="AB26" s="13" t="e">
        <v>#N/A</v>
      </c>
      <c r="AC26" s="13" t="e">
        <v>#N/A</v>
      </c>
      <c r="AD26" s="16" t="e">
        <v>#N/A</v>
      </c>
      <c r="AE26" s="15" t="e">
        <v>#N/A</v>
      </c>
      <c r="AF26" s="13" t="e">
        <v>#N/A</v>
      </c>
      <c r="AG26" s="13" t="e">
        <v>#N/A</v>
      </c>
      <c r="AH26" s="13" t="e">
        <v>#N/A</v>
      </c>
      <c r="AI26" s="13" t="e">
        <v>#N/A</v>
      </c>
      <c r="AJ26" s="13" t="e">
        <v>#N/A</v>
      </c>
      <c r="AK26" s="13" t="e">
        <v>#N/A</v>
      </c>
      <c r="AL26" s="13" t="e">
        <v>#N/A</v>
      </c>
      <c r="AM26" s="13" t="e">
        <v>#N/A</v>
      </c>
      <c r="AN26" s="13" t="e">
        <v>#N/A</v>
      </c>
      <c r="AO26" s="13" t="e">
        <v>#N/A</v>
      </c>
      <c r="AP26" s="13" t="e">
        <v>#N/A</v>
      </c>
      <c r="AQ26" s="13" t="e">
        <v>#N/A</v>
      </c>
      <c r="AR26" s="13" t="e">
        <v>#N/A</v>
      </c>
      <c r="AS26" s="13" t="e">
        <v>#N/A</v>
      </c>
      <c r="AT26" s="13" t="e">
        <v>#N/A</v>
      </c>
      <c r="AU26" s="13" t="e">
        <v>#N/A</v>
      </c>
      <c r="AV26" s="13" t="e">
        <v>#N/A</v>
      </c>
      <c r="AW26" s="13" t="e">
        <v>#N/A</v>
      </c>
      <c r="AX26" s="13" t="e">
        <v>#N/A</v>
      </c>
      <c r="AY26" s="13" t="e">
        <v>#N/A</v>
      </c>
      <c r="AZ26" s="13" t="e">
        <v>#N/A</v>
      </c>
      <c r="BA26" s="13" t="e">
        <v>#N/A</v>
      </c>
      <c r="BB26" s="13" t="e">
        <v>#N/A</v>
      </c>
      <c r="BC26" s="13" t="e">
        <v>#N/A</v>
      </c>
      <c r="BD26" s="16" t="e">
        <v>#N/A</v>
      </c>
      <c r="BE26" s="15" t="e">
        <v>#N/A</v>
      </c>
      <c r="BF26" s="13" t="e">
        <v>#N/A</v>
      </c>
      <c r="BG26" s="13" t="e">
        <v>#N/A</v>
      </c>
      <c r="BH26" s="13" t="e">
        <v>#N/A</v>
      </c>
      <c r="BI26" s="13" t="e">
        <v>#N/A</v>
      </c>
      <c r="BJ26" s="16" t="e">
        <v>#N/A</v>
      </c>
      <c r="BK26" s="15" t="e">
        <v>#N/A</v>
      </c>
      <c r="BL26" s="13" t="e">
        <v>#N/A</v>
      </c>
      <c r="BM26" s="13" t="e">
        <v>#N/A</v>
      </c>
      <c r="BN26" s="13" t="e">
        <v>#N/A</v>
      </c>
      <c r="BO26" s="13" t="e">
        <v>#N/A</v>
      </c>
      <c r="BP26" s="13" t="e">
        <v>#N/A</v>
      </c>
      <c r="BQ26" s="13" t="e">
        <v>#N/A</v>
      </c>
      <c r="BR26" s="13" t="e">
        <v>#N/A</v>
      </c>
      <c r="BS26" s="13" t="e">
        <v>#N/A</v>
      </c>
      <c r="BT26" s="13" t="e">
        <v>#N/A</v>
      </c>
      <c r="BU26" s="13" t="e">
        <v>#N/A</v>
      </c>
      <c r="BV26" s="13" t="e">
        <v>#N/A</v>
      </c>
      <c r="BW26" s="16" t="e">
        <v>#N/A</v>
      </c>
      <c r="BX26" s="15" t="e">
        <v>#N/A</v>
      </c>
      <c r="BY26" s="13" t="e">
        <v>#N/A</v>
      </c>
      <c r="BZ26" s="16" t="e">
        <v>#N/A</v>
      </c>
      <c r="CA26" s="81" t="e">
        <v>#N/A</v>
      </c>
      <c r="CB26" s="13" t="e">
        <v>#N/A</v>
      </c>
      <c r="CC26" s="13" t="e">
        <v>#N/A</v>
      </c>
      <c r="CD26" s="16" t="e">
        <v>#N/A</v>
      </c>
      <c r="CE26" s="16" t="s">
        <v>215</v>
      </c>
    </row>
    <row r="27" spans="5:83" x14ac:dyDescent="0.35">
      <c r="E27" s="79" t="s">
        <v>316</v>
      </c>
      <c r="F27" s="116" t="s">
        <v>281</v>
      </c>
      <c r="G27" s="116" t="s">
        <v>275</v>
      </c>
      <c r="H27" s="15" t="e">
        <v>#N/A</v>
      </c>
      <c r="I27" s="13" t="e">
        <v>#N/A</v>
      </c>
      <c r="J27" s="13" t="e">
        <v>#N/A</v>
      </c>
      <c r="K27" s="13" t="e">
        <v>#N/A</v>
      </c>
      <c r="L27" s="13" t="e">
        <v>#N/A</v>
      </c>
      <c r="M27" s="13" t="e">
        <v>#N/A</v>
      </c>
      <c r="N27" s="13" t="e">
        <v>#N/A</v>
      </c>
      <c r="O27" s="13" t="e">
        <v>#N/A</v>
      </c>
      <c r="P27" s="13" t="e">
        <v>#N/A</v>
      </c>
      <c r="Q27" s="13" t="e">
        <v>#N/A</v>
      </c>
      <c r="R27" s="13" t="e">
        <v>#N/A</v>
      </c>
      <c r="S27" s="13" t="e">
        <v>#N/A</v>
      </c>
      <c r="T27" s="13" t="e">
        <v>#N/A</v>
      </c>
      <c r="U27" s="13" t="e">
        <v>#N/A</v>
      </c>
      <c r="V27" s="13" t="e">
        <v>#N/A</v>
      </c>
      <c r="W27" s="13" t="e">
        <v>#N/A</v>
      </c>
      <c r="X27" s="13" t="e">
        <v>#N/A</v>
      </c>
      <c r="Y27" s="13" t="e">
        <v>#N/A</v>
      </c>
      <c r="Z27" s="13" t="e">
        <v>#N/A</v>
      </c>
      <c r="AA27" s="13" t="e">
        <v>#N/A</v>
      </c>
      <c r="AB27" s="13" t="e">
        <v>#N/A</v>
      </c>
      <c r="AC27" s="13" t="e">
        <v>#N/A</v>
      </c>
      <c r="AD27" s="16" t="e">
        <v>#N/A</v>
      </c>
      <c r="AE27" s="15" t="e">
        <v>#N/A</v>
      </c>
      <c r="AF27" s="13" t="e">
        <v>#N/A</v>
      </c>
      <c r="AG27" s="13" t="e">
        <v>#N/A</v>
      </c>
      <c r="AH27" s="13" t="e">
        <v>#N/A</v>
      </c>
      <c r="AI27" s="13" t="e">
        <v>#N/A</v>
      </c>
      <c r="AJ27" s="13" t="e">
        <v>#N/A</v>
      </c>
      <c r="AK27" s="13" t="e">
        <v>#N/A</v>
      </c>
      <c r="AL27" s="13" t="e">
        <v>#N/A</v>
      </c>
      <c r="AM27" s="13" t="e">
        <v>#N/A</v>
      </c>
      <c r="AN27" s="13" t="e">
        <v>#N/A</v>
      </c>
      <c r="AO27" s="13" t="e">
        <v>#N/A</v>
      </c>
      <c r="AP27" s="13" t="e">
        <v>#N/A</v>
      </c>
      <c r="AQ27" s="13" t="e">
        <v>#N/A</v>
      </c>
      <c r="AR27" s="13" t="e">
        <v>#N/A</v>
      </c>
      <c r="AS27" s="13" t="e">
        <v>#N/A</v>
      </c>
      <c r="AT27" s="13" t="e">
        <v>#N/A</v>
      </c>
      <c r="AU27" s="13" t="e">
        <v>#N/A</v>
      </c>
      <c r="AV27" s="13" t="e">
        <v>#N/A</v>
      </c>
      <c r="AW27" s="13" t="e">
        <v>#N/A</v>
      </c>
      <c r="AX27" s="13" t="e">
        <v>#N/A</v>
      </c>
      <c r="AY27" s="13" t="e">
        <v>#N/A</v>
      </c>
      <c r="AZ27" s="13" t="e">
        <v>#N/A</v>
      </c>
      <c r="BA27" s="13" t="e">
        <v>#N/A</v>
      </c>
      <c r="BB27" s="13" t="e">
        <v>#N/A</v>
      </c>
      <c r="BC27" s="13" t="e">
        <v>#N/A</v>
      </c>
      <c r="BD27" s="16" t="e">
        <v>#N/A</v>
      </c>
      <c r="BE27" s="15" t="e">
        <v>#N/A</v>
      </c>
      <c r="BF27" s="13" t="e">
        <v>#N/A</v>
      </c>
      <c r="BG27" s="13" t="e">
        <v>#N/A</v>
      </c>
      <c r="BH27" s="13" t="e">
        <v>#N/A</v>
      </c>
      <c r="BI27" s="13" t="e">
        <v>#N/A</v>
      </c>
      <c r="BJ27" s="16" t="e">
        <v>#N/A</v>
      </c>
      <c r="BK27" s="15" t="e">
        <v>#N/A</v>
      </c>
      <c r="BL27" s="13" t="e">
        <v>#N/A</v>
      </c>
      <c r="BM27" s="13" t="e">
        <v>#N/A</v>
      </c>
      <c r="BN27" s="13" t="e">
        <v>#N/A</v>
      </c>
      <c r="BO27" s="13" t="e">
        <v>#N/A</v>
      </c>
      <c r="BP27" s="13" t="e">
        <v>#N/A</v>
      </c>
      <c r="BQ27" s="13" t="e">
        <v>#N/A</v>
      </c>
      <c r="BR27" s="13" t="e">
        <v>#N/A</v>
      </c>
      <c r="BS27" s="13" t="e">
        <v>#N/A</v>
      </c>
      <c r="BT27" s="13" t="e">
        <v>#N/A</v>
      </c>
      <c r="BU27" s="13" t="e">
        <v>#N/A</v>
      </c>
      <c r="BV27" s="13" t="e">
        <v>#N/A</v>
      </c>
      <c r="BW27" s="16" t="e">
        <v>#N/A</v>
      </c>
      <c r="BX27" s="15" t="e">
        <v>#N/A</v>
      </c>
      <c r="BY27" s="13" t="e">
        <v>#N/A</v>
      </c>
      <c r="BZ27" s="16" t="e">
        <v>#N/A</v>
      </c>
      <c r="CA27" s="81" t="e">
        <v>#N/A</v>
      </c>
      <c r="CB27" s="13" t="e">
        <v>#N/A</v>
      </c>
      <c r="CC27" s="13" t="e">
        <v>#N/A</v>
      </c>
      <c r="CD27" s="16" t="e">
        <v>#N/A</v>
      </c>
      <c r="CE27" s="16" t="s">
        <v>215</v>
      </c>
    </row>
    <row r="28" spans="5:83" x14ac:dyDescent="0.35">
      <c r="E28" s="79" t="s">
        <v>317</v>
      </c>
      <c r="F28" s="116" t="s">
        <v>281</v>
      </c>
      <c r="G28" s="116" t="s">
        <v>275</v>
      </c>
      <c r="H28" s="15" t="e">
        <v>#N/A</v>
      </c>
      <c r="I28" s="13" t="e">
        <v>#N/A</v>
      </c>
      <c r="J28" s="13" t="e">
        <v>#N/A</v>
      </c>
      <c r="K28" s="13" t="e">
        <v>#N/A</v>
      </c>
      <c r="L28" s="13" t="e">
        <v>#N/A</v>
      </c>
      <c r="M28" s="13" t="e">
        <v>#N/A</v>
      </c>
      <c r="N28" s="13" t="e">
        <v>#N/A</v>
      </c>
      <c r="O28" s="13" t="e">
        <v>#N/A</v>
      </c>
      <c r="P28" s="13" t="e">
        <v>#N/A</v>
      </c>
      <c r="Q28" s="13" t="e">
        <v>#N/A</v>
      </c>
      <c r="R28" s="13" t="e">
        <v>#N/A</v>
      </c>
      <c r="S28" s="13" t="e">
        <v>#N/A</v>
      </c>
      <c r="T28" s="13" t="e">
        <v>#N/A</v>
      </c>
      <c r="U28" s="13" t="e">
        <v>#N/A</v>
      </c>
      <c r="V28" s="13" t="e">
        <v>#N/A</v>
      </c>
      <c r="W28" s="13" t="e">
        <v>#N/A</v>
      </c>
      <c r="X28" s="13" t="e">
        <v>#N/A</v>
      </c>
      <c r="Y28" s="13" t="e">
        <v>#N/A</v>
      </c>
      <c r="Z28" s="13" t="e">
        <v>#N/A</v>
      </c>
      <c r="AA28" s="13" t="e">
        <v>#N/A</v>
      </c>
      <c r="AB28" s="13" t="e">
        <v>#N/A</v>
      </c>
      <c r="AC28" s="13" t="e">
        <v>#N/A</v>
      </c>
      <c r="AD28" s="16" t="e">
        <v>#N/A</v>
      </c>
      <c r="AE28" s="15" t="e">
        <v>#N/A</v>
      </c>
      <c r="AF28" s="13" t="e">
        <v>#N/A</v>
      </c>
      <c r="AG28" s="13" t="e">
        <v>#N/A</v>
      </c>
      <c r="AH28" s="13" t="e">
        <v>#N/A</v>
      </c>
      <c r="AI28" s="13" t="e">
        <v>#N/A</v>
      </c>
      <c r="AJ28" s="13" t="e">
        <v>#N/A</v>
      </c>
      <c r="AK28" s="13" t="e">
        <v>#N/A</v>
      </c>
      <c r="AL28" s="13" t="e">
        <v>#N/A</v>
      </c>
      <c r="AM28" s="13" t="e">
        <v>#N/A</v>
      </c>
      <c r="AN28" s="13" t="e">
        <v>#N/A</v>
      </c>
      <c r="AO28" s="13" t="e">
        <v>#N/A</v>
      </c>
      <c r="AP28" s="13" t="e">
        <v>#N/A</v>
      </c>
      <c r="AQ28" s="13" t="e">
        <v>#N/A</v>
      </c>
      <c r="AR28" s="13" t="e">
        <v>#N/A</v>
      </c>
      <c r="AS28" s="13" t="e">
        <v>#N/A</v>
      </c>
      <c r="AT28" s="13" t="e">
        <v>#N/A</v>
      </c>
      <c r="AU28" s="13" t="e">
        <v>#N/A</v>
      </c>
      <c r="AV28" s="13" t="e">
        <v>#N/A</v>
      </c>
      <c r="AW28" s="13" t="e">
        <v>#N/A</v>
      </c>
      <c r="AX28" s="13" t="e">
        <v>#N/A</v>
      </c>
      <c r="AY28" s="13" t="e">
        <v>#N/A</v>
      </c>
      <c r="AZ28" s="13" t="e">
        <v>#N/A</v>
      </c>
      <c r="BA28" s="13" t="e">
        <v>#N/A</v>
      </c>
      <c r="BB28" s="13" t="e">
        <v>#N/A</v>
      </c>
      <c r="BC28" s="13" t="e">
        <v>#N/A</v>
      </c>
      <c r="BD28" s="16" t="e">
        <v>#N/A</v>
      </c>
      <c r="BE28" s="15" t="e">
        <v>#N/A</v>
      </c>
      <c r="BF28" s="13" t="e">
        <v>#N/A</v>
      </c>
      <c r="BG28" s="13" t="e">
        <v>#N/A</v>
      </c>
      <c r="BH28" s="13" t="e">
        <v>#N/A</v>
      </c>
      <c r="BI28" s="13" t="e">
        <v>#N/A</v>
      </c>
      <c r="BJ28" s="16" t="e">
        <v>#N/A</v>
      </c>
      <c r="BK28" s="15" t="e">
        <v>#N/A</v>
      </c>
      <c r="BL28" s="13" t="e">
        <v>#N/A</v>
      </c>
      <c r="BM28" s="13" t="e">
        <v>#N/A</v>
      </c>
      <c r="BN28" s="13" t="e">
        <v>#N/A</v>
      </c>
      <c r="BO28" s="13" t="e">
        <v>#N/A</v>
      </c>
      <c r="BP28" s="13" t="e">
        <v>#N/A</v>
      </c>
      <c r="BQ28" s="13" t="e">
        <v>#N/A</v>
      </c>
      <c r="BR28" s="13" t="e">
        <v>#N/A</v>
      </c>
      <c r="BS28" s="13" t="e">
        <v>#N/A</v>
      </c>
      <c r="BT28" s="13" t="e">
        <v>#N/A</v>
      </c>
      <c r="BU28" s="13" t="e">
        <v>#N/A</v>
      </c>
      <c r="BV28" s="13" t="e">
        <v>#N/A</v>
      </c>
      <c r="BW28" s="16" t="e">
        <v>#N/A</v>
      </c>
      <c r="BX28" s="15" t="e">
        <v>#N/A</v>
      </c>
      <c r="BY28" s="13" t="e">
        <v>#N/A</v>
      </c>
      <c r="BZ28" s="16" t="e">
        <v>#N/A</v>
      </c>
      <c r="CA28" s="81" t="e">
        <v>#N/A</v>
      </c>
      <c r="CB28" s="13" t="e">
        <v>#N/A</v>
      </c>
      <c r="CC28" s="13" t="e">
        <v>#N/A</v>
      </c>
      <c r="CD28" s="16" t="e">
        <v>#N/A</v>
      </c>
      <c r="CE28" s="16" t="s">
        <v>215</v>
      </c>
    </row>
    <row r="29" spans="5:83" x14ac:dyDescent="0.35">
      <c r="E29" s="79" t="s">
        <v>318</v>
      </c>
      <c r="F29" s="116" t="s">
        <v>281</v>
      </c>
      <c r="G29" s="116" t="s">
        <v>274</v>
      </c>
      <c r="H29" s="15" t="e">
        <v>#N/A</v>
      </c>
      <c r="I29" s="13" t="e">
        <v>#N/A</v>
      </c>
      <c r="J29" s="13" t="e">
        <v>#N/A</v>
      </c>
      <c r="K29" s="13" t="e">
        <v>#N/A</v>
      </c>
      <c r="L29" s="13" t="e">
        <v>#N/A</v>
      </c>
      <c r="M29" s="13" t="e">
        <v>#N/A</v>
      </c>
      <c r="N29" s="13" t="e">
        <v>#N/A</v>
      </c>
      <c r="O29" s="13" t="e">
        <v>#N/A</v>
      </c>
      <c r="P29" s="13" t="e">
        <v>#N/A</v>
      </c>
      <c r="Q29" s="13" t="e">
        <v>#N/A</v>
      </c>
      <c r="R29" s="13" t="e">
        <v>#N/A</v>
      </c>
      <c r="S29" s="13" t="e">
        <v>#N/A</v>
      </c>
      <c r="T29" s="13" t="e">
        <v>#N/A</v>
      </c>
      <c r="U29" s="13" t="e">
        <v>#N/A</v>
      </c>
      <c r="V29" s="13" t="e">
        <v>#N/A</v>
      </c>
      <c r="W29" s="13" t="e">
        <v>#N/A</v>
      </c>
      <c r="X29" s="13" t="e">
        <v>#N/A</v>
      </c>
      <c r="Y29" s="13" t="e">
        <v>#N/A</v>
      </c>
      <c r="Z29" s="13" t="e">
        <v>#N/A</v>
      </c>
      <c r="AA29" s="13" t="e">
        <v>#N/A</v>
      </c>
      <c r="AB29" s="13" t="e">
        <v>#N/A</v>
      </c>
      <c r="AC29" s="13" t="e">
        <v>#N/A</v>
      </c>
      <c r="AD29" s="16" t="e">
        <v>#N/A</v>
      </c>
      <c r="AE29" s="15" t="e">
        <v>#N/A</v>
      </c>
      <c r="AF29" s="13" t="e">
        <v>#N/A</v>
      </c>
      <c r="AG29" s="13" t="e">
        <v>#N/A</v>
      </c>
      <c r="AH29" s="13" t="e">
        <v>#N/A</v>
      </c>
      <c r="AI29" s="13" t="e">
        <v>#N/A</v>
      </c>
      <c r="AJ29" s="13" t="e">
        <v>#N/A</v>
      </c>
      <c r="AK29" s="13" t="e">
        <v>#N/A</v>
      </c>
      <c r="AL29" s="13" t="e">
        <v>#N/A</v>
      </c>
      <c r="AM29" s="13" t="e">
        <v>#N/A</v>
      </c>
      <c r="AN29" s="13" t="e">
        <v>#N/A</v>
      </c>
      <c r="AO29" s="13" t="e">
        <v>#N/A</v>
      </c>
      <c r="AP29" s="13" t="e">
        <v>#N/A</v>
      </c>
      <c r="AQ29" s="13" t="e">
        <v>#N/A</v>
      </c>
      <c r="AR29" s="13" t="e">
        <v>#N/A</v>
      </c>
      <c r="AS29" s="13" t="e">
        <v>#N/A</v>
      </c>
      <c r="AT29" s="13" t="e">
        <v>#N/A</v>
      </c>
      <c r="AU29" s="13" t="e">
        <v>#N/A</v>
      </c>
      <c r="AV29" s="13" t="e">
        <v>#N/A</v>
      </c>
      <c r="AW29" s="13" t="e">
        <v>#N/A</v>
      </c>
      <c r="AX29" s="13" t="e">
        <v>#N/A</v>
      </c>
      <c r="AY29" s="13" t="e">
        <v>#N/A</v>
      </c>
      <c r="AZ29" s="13" t="e">
        <v>#N/A</v>
      </c>
      <c r="BA29" s="13" t="e">
        <v>#N/A</v>
      </c>
      <c r="BB29" s="13" t="e">
        <v>#N/A</v>
      </c>
      <c r="BC29" s="13" t="e">
        <v>#N/A</v>
      </c>
      <c r="BD29" s="16" t="e">
        <v>#N/A</v>
      </c>
      <c r="BE29" s="15" t="e">
        <v>#N/A</v>
      </c>
      <c r="BF29" s="13" t="e">
        <v>#N/A</v>
      </c>
      <c r="BG29" s="13" t="e">
        <v>#N/A</v>
      </c>
      <c r="BH29" s="13" t="e">
        <v>#N/A</v>
      </c>
      <c r="BI29" s="13" t="e">
        <v>#N/A</v>
      </c>
      <c r="BJ29" s="16" t="e">
        <v>#N/A</v>
      </c>
      <c r="BK29" s="15" t="e">
        <v>#N/A</v>
      </c>
      <c r="BL29" s="13" t="e">
        <v>#N/A</v>
      </c>
      <c r="BM29" s="13" t="e">
        <v>#N/A</v>
      </c>
      <c r="BN29" s="13" t="e">
        <v>#N/A</v>
      </c>
      <c r="BO29" s="13" t="e">
        <v>#N/A</v>
      </c>
      <c r="BP29" s="13" t="e">
        <v>#N/A</v>
      </c>
      <c r="BQ29" s="13" t="e">
        <v>#N/A</v>
      </c>
      <c r="BR29" s="13" t="e">
        <v>#N/A</v>
      </c>
      <c r="BS29" s="13" t="e">
        <v>#N/A</v>
      </c>
      <c r="BT29" s="13" t="e">
        <v>#N/A</v>
      </c>
      <c r="BU29" s="13" t="e">
        <v>#N/A</v>
      </c>
      <c r="BV29" s="13" t="e">
        <v>#N/A</v>
      </c>
      <c r="BW29" s="16" t="e">
        <v>#N/A</v>
      </c>
      <c r="BX29" s="15" t="e">
        <v>#N/A</v>
      </c>
      <c r="BY29" s="13" t="e">
        <v>#N/A</v>
      </c>
      <c r="BZ29" s="16" t="e">
        <v>#N/A</v>
      </c>
      <c r="CA29" s="81" t="e">
        <v>#N/A</v>
      </c>
      <c r="CB29" s="13" t="e">
        <v>#N/A</v>
      </c>
      <c r="CC29" s="13" t="e">
        <v>#N/A</v>
      </c>
      <c r="CD29" s="16" t="e">
        <v>#N/A</v>
      </c>
      <c r="CE29" s="16" t="s">
        <v>215</v>
      </c>
    </row>
    <row r="30" spans="5:83" x14ac:dyDescent="0.35">
      <c r="E30" s="79" t="s">
        <v>319</v>
      </c>
      <c r="F30" s="116" t="s">
        <v>281</v>
      </c>
      <c r="G30" s="116" t="s">
        <v>275</v>
      </c>
      <c r="H30" s="15" t="e">
        <v>#N/A</v>
      </c>
      <c r="I30" s="13" t="e">
        <v>#N/A</v>
      </c>
      <c r="J30" s="13" t="e">
        <v>#N/A</v>
      </c>
      <c r="K30" s="13" t="e">
        <v>#N/A</v>
      </c>
      <c r="L30" s="13" t="e">
        <v>#N/A</v>
      </c>
      <c r="M30" s="13" t="e">
        <v>#N/A</v>
      </c>
      <c r="N30" s="13" t="e">
        <v>#N/A</v>
      </c>
      <c r="O30" s="13" t="e">
        <v>#N/A</v>
      </c>
      <c r="P30" s="13" t="e">
        <v>#N/A</v>
      </c>
      <c r="Q30" s="13" t="e">
        <v>#N/A</v>
      </c>
      <c r="R30" s="13" t="e">
        <v>#N/A</v>
      </c>
      <c r="S30" s="13" t="e">
        <v>#N/A</v>
      </c>
      <c r="T30" s="13" t="e">
        <v>#N/A</v>
      </c>
      <c r="U30" s="13" t="e">
        <v>#N/A</v>
      </c>
      <c r="V30" s="13" t="e">
        <v>#N/A</v>
      </c>
      <c r="W30" s="13" t="e">
        <v>#N/A</v>
      </c>
      <c r="X30" s="13" t="e">
        <v>#N/A</v>
      </c>
      <c r="Y30" s="13" t="e">
        <v>#N/A</v>
      </c>
      <c r="Z30" s="13" t="e">
        <v>#N/A</v>
      </c>
      <c r="AA30" s="13" t="e">
        <v>#N/A</v>
      </c>
      <c r="AB30" s="13" t="e">
        <v>#N/A</v>
      </c>
      <c r="AC30" s="13" t="e">
        <v>#N/A</v>
      </c>
      <c r="AD30" s="16" t="e">
        <v>#N/A</v>
      </c>
      <c r="AE30" s="15" t="e">
        <v>#N/A</v>
      </c>
      <c r="AF30" s="13" t="e">
        <v>#N/A</v>
      </c>
      <c r="AG30" s="13" t="e">
        <v>#N/A</v>
      </c>
      <c r="AH30" s="13" t="e">
        <v>#N/A</v>
      </c>
      <c r="AI30" s="13" t="e">
        <v>#N/A</v>
      </c>
      <c r="AJ30" s="13" t="e">
        <v>#N/A</v>
      </c>
      <c r="AK30" s="13" t="e">
        <v>#N/A</v>
      </c>
      <c r="AL30" s="13" t="e">
        <v>#N/A</v>
      </c>
      <c r="AM30" s="13" t="e">
        <v>#N/A</v>
      </c>
      <c r="AN30" s="13" t="e">
        <v>#N/A</v>
      </c>
      <c r="AO30" s="13" t="e">
        <v>#N/A</v>
      </c>
      <c r="AP30" s="13" t="e">
        <v>#N/A</v>
      </c>
      <c r="AQ30" s="13" t="e">
        <v>#N/A</v>
      </c>
      <c r="AR30" s="13" t="e">
        <v>#N/A</v>
      </c>
      <c r="AS30" s="13" t="e">
        <v>#N/A</v>
      </c>
      <c r="AT30" s="13" t="e">
        <v>#N/A</v>
      </c>
      <c r="AU30" s="13" t="e">
        <v>#N/A</v>
      </c>
      <c r="AV30" s="13" t="e">
        <v>#N/A</v>
      </c>
      <c r="AW30" s="13" t="e">
        <v>#N/A</v>
      </c>
      <c r="AX30" s="13" t="e">
        <v>#N/A</v>
      </c>
      <c r="AY30" s="13" t="e">
        <v>#N/A</v>
      </c>
      <c r="AZ30" s="13" t="e">
        <v>#N/A</v>
      </c>
      <c r="BA30" s="13" t="e">
        <v>#N/A</v>
      </c>
      <c r="BB30" s="13" t="e">
        <v>#N/A</v>
      </c>
      <c r="BC30" s="13" t="e">
        <v>#N/A</v>
      </c>
      <c r="BD30" s="16" t="e">
        <v>#N/A</v>
      </c>
      <c r="BE30" s="15" t="e">
        <v>#N/A</v>
      </c>
      <c r="BF30" s="13" t="e">
        <v>#N/A</v>
      </c>
      <c r="BG30" s="13" t="e">
        <v>#N/A</v>
      </c>
      <c r="BH30" s="13" t="e">
        <v>#N/A</v>
      </c>
      <c r="BI30" s="13" t="e">
        <v>#N/A</v>
      </c>
      <c r="BJ30" s="16" t="e">
        <v>#N/A</v>
      </c>
      <c r="BK30" s="15" t="e">
        <v>#N/A</v>
      </c>
      <c r="BL30" s="13" t="e">
        <v>#N/A</v>
      </c>
      <c r="BM30" s="13" t="e">
        <v>#N/A</v>
      </c>
      <c r="BN30" s="13" t="e">
        <v>#N/A</v>
      </c>
      <c r="BO30" s="13" t="e">
        <v>#N/A</v>
      </c>
      <c r="BP30" s="13" t="e">
        <v>#N/A</v>
      </c>
      <c r="BQ30" s="13" t="e">
        <v>#N/A</v>
      </c>
      <c r="BR30" s="13" t="e">
        <v>#N/A</v>
      </c>
      <c r="BS30" s="13" t="e">
        <v>#N/A</v>
      </c>
      <c r="BT30" s="13" t="e">
        <v>#N/A</v>
      </c>
      <c r="BU30" s="13" t="e">
        <v>#N/A</v>
      </c>
      <c r="BV30" s="13" t="e">
        <v>#N/A</v>
      </c>
      <c r="BW30" s="16" t="e">
        <v>#N/A</v>
      </c>
      <c r="BX30" s="15" t="e">
        <v>#N/A</v>
      </c>
      <c r="BY30" s="13" t="e">
        <v>#N/A</v>
      </c>
      <c r="BZ30" s="16" t="e">
        <v>#N/A</v>
      </c>
      <c r="CA30" s="81" t="e">
        <v>#N/A</v>
      </c>
      <c r="CB30" s="13" t="e">
        <v>#N/A</v>
      </c>
      <c r="CC30" s="13" t="e">
        <v>#N/A</v>
      </c>
      <c r="CD30" s="16" t="e">
        <v>#N/A</v>
      </c>
      <c r="CE30" s="16" t="s">
        <v>215</v>
      </c>
    </row>
    <row r="31" spans="5:83" x14ac:dyDescent="0.35">
      <c r="E31" s="79" t="s">
        <v>320</v>
      </c>
      <c r="F31" s="116" t="s">
        <v>52</v>
      </c>
      <c r="G31" s="116" t="s">
        <v>274</v>
      </c>
      <c r="H31" s="15" t="s">
        <v>215</v>
      </c>
      <c r="I31" s="13" t="s">
        <v>215</v>
      </c>
      <c r="J31" s="13" t="s">
        <v>215</v>
      </c>
      <c r="K31" s="13" t="s">
        <v>215</v>
      </c>
      <c r="L31" s="13" t="s">
        <v>215</v>
      </c>
      <c r="M31" s="13" t="s">
        <v>215</v>
      </c>
      <c r="N31" s="13" t="s">
        <v>215</v>
      </c>
      <c r="O31" s="13" t="s">
        <v>215</v>
      </c>
      <c r="P31" s="13" t="s">
        <v>215</v>
      </c>
      <c r="Q31" s="13" t="s">
        <v>215</v>
      </c>
      <c r="R31" s="13" t="s">
        <v>215</v>
      </c>
      <c r="S31" s="13" t="s">
        <v>215</v>
      </c>
      <c r="T31" s="13" t="s">
        <v>215</v>
      </c>
      <c r="U31" s="13" t="s">
        <v>215</v>
      </c>
      <c r="V31" s="13" t="s">
        <v>215</v>
      </c>
      <c r="W31" s="13" t="s">
        <v>215</v>
      </c>
      <c r="X31" s="13" t="s">
        <v>215</v>
      </c>
      <c r="Y31" s="13" t="s">
        <v>215</v>
      </c>
      <c r="Z31" s="13" t="s">
        <v>215</v>
      </c>
      <c r="AA31" s="13" t="s">
        <v>215</v>
      </c>
      <c r="AB31" s="13" t="s">
        <v>215</v>
      </c>
      <c r="AC31" s="13" t="s">
        <v>215</v>
      </c>
      <c r="AD31" s="16" t="s">
        <v>215</v>
      </c>
      <c r="AE31" s="15" t="s">
        <v>215</v>
      </c>
      <c r="AF31" s="13" t="s">
        <v>209</v>
      </c>
      <c r="AG31" s="13" t="s">
        <v>215</v>
      </c>
      <c r="AH31" s="13" t="s">
        <v>215</v>
      </c>
      <c r="AI31" s="13" t="s">
        <v>215</v>
      </c>
      <c r="AJ31" s="13" t="s">
        <v>215</v>
      </c>
      <c r="AK31" s="13" t="s">
        <v>215</v>
      </c>
      <c r="AL31" s="13" t="s">
        <v>215</v>
      </c>
      <c r="AM31" s="13" t="s">
        <v>215</v>
      </c>
      <c r="AN31" s="13" t="s">
        <v>215</v>
      </c>
      <c r="AO31" s="13" t="s">
        <v>215</v>
      </c>
      <c r="AP31" s="13" t="s">
        <v>215</v>
      </c>
      <c r="AQ31" s="13" t="s">
        <v>209</v>
      </c>
      <c r="AR31" s="13" t="s">
        <v>215</v>
      </c>
      <c r="AS31" s="13" t="s">
        <v>209</v>
      </c>
      <c r="AT31" s="13" t="s">
        <v>215</v>
      </c>
      <c r="AU31" s="13" t="s">
        <v>215</v>
      </c>
      <c r="AV31" s="13" t="s">
        <v>209</v>
      </c>
      <c r="AW31" s="13" t="s">
        <v>215</v>
      </c>
      <c r="AX31" s="13" t="s">
        <v>215</v>
      </c>
      <c r="AY31" s="13" t="s">
        <v>215</v>
      </c>
      <c r="AZ31" s="13" t="s">
        <v>215</v>
      </c>
      <c r="BA31" s="13" t="s">
        <v>215</v>
      </c>
      <c r="BB31" s="13" t="s">
        <v>215</v>
      </c>
      <c r="BC31" s="13" t="s">
        <v>215</v>
      </c>
      <c r="BD31" s="16" t="s">
        <v>215</v>
      </c>
      <c r="BE31" s="15" t="s">
        <v>215</v>
      </c>
      <c r="BF31" s="13" t="s">
        <v>215</v>
      </c>
      <c r="BG31" s="13" t="s">
        <v>215</v>
      </c>
      <c r="BH31" s="13" t="s">
        <v>215</v>
      </c>
      <c r="BI31" s="13" t="s">
        <v>215</v>
      </c>
      <c r="BJ31" s="16" t="s">
        <v>215</v>
      </c>
      <c r="BK31" s="15" t="s">
        <v>209</v>
      </c>
      <c r="BL31" s="13" t="s">
        <v>215</v>
      </c>
      <c r="BM31" s="13" t="s">
        <v>215</v>
      </c>
      <c r="BN31" s="13" t="s">
        <v>215</v>
      </c>
      <c r="BO31" s="13" t="s">
        <v>215</v>
      </c>
      <c r="BP31" s="13" t="s">
        <v>215</v>
      </c>
      <c r="BQ31" s="13" t="s">
        <v>215</v>
      </c>
      <c r="BR31" s="13" t="s">
        <v>215</v>
      </c>
      <c r="BS31" s="13" t="s">
        <v>215</v>
      </c>
      <c r="BT31" s="13" t="s">
        <v>215</v>
      </c>
      <c r="BU31" s="13" t="s">
        <v>215</v>
      </c>
      <c r="BV31" s="13" t="s">
        <v>215</v>
      </c>
      <c r="BW31" s="16" t="s">
        <v>209</v>
      </c>
      <c r="BX31" s="15" t="s">
        <v>215</v>
      </c>
      <c r="BY31" s="13" t="s">
        <v>215</v>
      </c>
      <c r="BZ31" s="16" t="s">
        <v>215</v>
      </c>
      <c r="CA31" s="81" t="s">
        <v>215</v>
      </c>
      <c r="CB31" s="13" t="s">
        <v>215</v>
      </c>
      <c r="CC31" s="13" t="s">
        <v>215</v>
      </c>
      <c r="CD31" s="16" t="s">
        <v>215</v>
      </c>
      <c r="CE31" s="16" t="s">
        <v>215</v>
      </c>
    </row>
    <row r="32" spans="5:83" x14ac:dyDescent="0.35">
      <c r="E32" s="79" t="s">
        <v>321</v>
      </c>
      <c r="F32" s="116" t="s">
        <v>67</v>
      </c>
      <c r="G32" s="116" t="s">
        <v>274</v>
      </c>
      <c r="H32" s="15" t="s">
        <v>215</v>
      </c>
      <c r="I32" s="13" t="s">
        <v>215</v>
      </c>
      <c r="J32" s="13" t="s">
        <v>215</v>
      </c>
      <c r="K32" s="13" t="s">
        <v>215</v>
      </c>
      <c r="L32" s="13" t="s">
        <v>215</v>
      </c>
      <c r="M32" s="13" t="s">
        <v>215</v>
      </c>
      <c r="N32" s="13" t="s">
        <v>215</v>
      </c>
      <c r="O32" s="13" t="s">
        <v>215</v>
      </c>
      <c r="P32" s="13" t="s">
        <v>215</v>
      </c>
      <c r="Q32" s="13" t="s">
        <v>215</v>
      </c>
      <c r="R32" s="13" t="s">
        <v>215</v>
      </c>
      <c r="S32" s="13" t="s">
        <v>215</v>
      </c>
      <c r="T32" s="13" t="s">
        <v>215</v>
      </c>
      <c r="U32" s="13" t="s">
        <v>215</v>
      </c>
      <c r="V32" s="13" t="s">
        <v>215</v>
      </c>
      <c r="W32" s="13" t="s">
        <v>215</v>
      </c>
      <c r="X32" s="13" t="s">
        <v>215</v>
      </c>
      <c r="Y32" s="13" t="s">
        <v>215</v>
      </c>
      <c r="Z32" s="13" t="s">
        <v>215</v>
      </c>
      <c r="AA32" s="13" t="s">
        <v>215</v>
      </c>
      <c r="AB32" s="13" t="s">
        <v>215</v>
      </c>
      <c r="AC32" s="13" t="s">
        <v>215</v>
      </c>
      <c r="AD32" s="16" t="s">
        <v>215</v>
      </c>
      <c r="AE32" s="15" t="s">
        <v>215</v>
      </c>
      <c r="AF32" s="13" t="s">
        <v>215</v>
      </c>
      <c r="AG32" s="13" t="s">
        <v>215</v>
      </c>
      <c r="AH32" s="13" t="s">
        <v>215</v>
      </c>
      <c r="AI32" s="13" t="s">
        <v>215</v>
      </c>
      <c r="AJ32" s="13" t="s">
        <v>215</v>
      </c>
      <c r="AK32" s="13" t="s">
        <v>215</v>
      </c>
      <c r="AL32" s="13" t="s">
        <v>215</v>
      </c>
      <c r="AM32" s="13" t="s">
        <v>215</v>
      </c>
      <c r="AN32" s="13" t="s">
        <v>215</v>
      </c>
      <c r="AO32" s="13" t="s">
        <v>215</v>
      </c>
      <c r="AP32" s="13" t="s">
        <v>215</v>
      </c>
      <c r="AQ32" s="13" t="s">
        <v>209</v>
      </c>
      <c r="AR32" s="13" t="s">
        <v>215</v>
      </c>
      <c r="AS32" s="13" t="s">
        <v>215</v>
      </c>
      <c r="AT32" s="13" t="s">
        <v>215</v>
      </c>
      <c r="AU32" s="13" t="s">
        <v>215</v>
      </c>
      <c r="AV32" s="13" t="s">
        <v>215</v>
      </c>
      <c r="AW32" s="13" t="s">
        <v>215</v>
      </c>
      <c r="AX32" s="13" t="s">
        <v>215</v>
      </c>
      <c r="AY32" s="13" t="s">
        <v>215</v>
      </c>
      <c r="AZ32" s="13" t="s">
        <v>215</v>
      </c>
      <c r="BA32" s="13" t="s">
        <v>215</v>
      </c>
      <c r="BB32" s="13" t="s">
        <v>215</v>
      </c>
      <c r="BC32" s="13" t="s">
        <v>215</v>
      </c>
      <c r="BD32" s="16" t="s">
        <v>215</v>
      </c>
      <c r="BE32" s="15" t="s">
        <v>215</v>
      </c>
      <c r="BF32" s="13" t="s">
        <v>215</v>
      </c>
      <c r="BG32" s="13" t="s">
        <v>209</v>
      </c>
      <c r="BH32" s="13" t="s">
        <v>215</v>
      </c>
      <c r="BI32" s="13" t="s">
        <v>215</v>
      </c>
      <c r="BJ32" s="16" t="s">
        <v>215</v>
      </c>
      <c r="BK32" s="15" t="s">
        <v>215</v>
      </c>
      <c r="BL32" s="13" t="s">
        <v>215</v>
      </c>
      <c r="BM32" s="13" t="s">
        <v>215</v>
      </c>
      <c r="BN32" s="13" t="s">
        <v>215</v>
      </c>
      <c r="BO32" s="13" t="s">
        <v>215</v>
      </c>
      <c r="BP32" s="13" t="s">
        <v>215</v>
      </c>
      <c r="BQ32" s="13" t="s">
        <v>215</v>
      </c>
      <c r="BR32" s="13" t="s">
        <v>215</v>
      </c>
      <c r="BS32" s="13" t="s">
        <v>215</v>
      </c>
      <c r="BT32" s="13" t="s">
        <v>215</v>
      </c>
      <c r="BU32" s="13" t="s">
        <v>215</v>
      </c>
      <c r="BV32" s="13" t="s">
        <v>215</v>
      </c>
      <c r="BW32" s="16" t="s">
        <v>215</v>
      </c>
      <c r="BX32" s="15" t="s">
        <v>215</v>
      </c>
      <c r="BY32" s="13" t="s">
        <v>215</v>
      </c>
      <c r="BZ32" s="16" t="s">
        <v>215</v>
      </c>
      <c r="CA32" s="81" t="s">
        <v>215</v>
      </c>
      <c r="CB32" s="13" t="s">
        <v>215</v>
      </c>
      <c r="CC32" s="13" t="s">
        <v>209</v>
      </c>
      <c r="CD32" s="16" t="s">
        <v>215</v>
      </c>
      <c r="CE32" s="16" t="s">
        <v>215</v>
      </c>
    </row>
    <row r="33" spans="5:83" x14ac:dyDescent="0.35">
      <c r="E33" s="79" t="s">
        <v>322</v>
      </c>
      <c r="F33" s="116" t="s">
        <v>82</v>
      </c>
      <c r="G33" s="116" t="s">
        <v>274</v>
      </c>
      <c r="H33" s="15" t="s">
        <v>215</v>
      </c>
      <c r="I33" s="13" t="s">
        <v>215</v>
      </c>
      <c r="J33" s="13" t="s">
        <v>215</v>
      </c>
      <c r="K33" s="13" t="s">
        <v>215</v>
      </c>
      <c r="L33" s="13" t="s">
        <v>215</v>
      </c>
      <c r="M33" s="13" t="s">
        <v>215</v>
      </c>
      <c r="N33" s="13" t="s">
        <v>215</v>
      </c>
      <c r="O33" s="13" t="s">
        <v>215</v>
      </c>
      <c r="P33" s="13" t="s">
        <v>215</v>
      </c>
      <c r="Q33" s="13" t="s">
        <v>215</v>
      </c>
      <c r="R33" s="13" t="s">
        <v>215</v>
      </c>
      <c r="S33" s="13" t="s">
        <v>215</v>
      </c>
      <c r="T33" s="13" t="s">
        <v>215</v>
      </c>
      <c r="U33" s="13" t="s">
        <v>215</v>
      </c>
      <c r="V33" s="13" t="s">
        <v>215</v>
      </c>
      <c r="W33" s="13" t="s">
        <v>215</v>
      </c>
      <c r="X33" s="13" t="s">
        <v>215</v>
      </c>
      <c r="Y33" s="13" t="s">
        <v>215</v>
      </c>
      <c r="Z33" s="13" t="s">
        <v>215</v>
      </c>
      <c r="AA33" s="13" t="s">
        <v>215</v>
      </c>
      <c r="AB33" s="13" t="s">
        <v>215</v>
      </c>
      <c r="AC33" s="13" t="s">
        <v>215</v>
      </c>
      <c r="AD33" s="16" t="s">
        <v>215</v>
      </c>
      <c r="AE33" s="15" t="s">
        <v>215</v>
      </c>
      <c r="AF33" s="13" t="s">
        <v>215</v>
      </c>
      <c r="AG33" s="13" t="s">
        <v>215</v>
      </c>
      <c r="AH33" s="13" t="s">
        <v>215</v>
      </c>
      <c r="AI33" s="13" t="s">
        <v>215</v>
      </c>
      <c r="AJ33" s="13" t="s">
        <v>215</v>
      </c>
      <c r="AK33" s="13" t="s">
        <v>215</v>
      </c>
      <c r="AL33" s="13" t="s">
        <v>215</v>
      </c>
      <c r="AM33" s="13" t="s">
        <v>215</v>
      </c>
      <c r="AN33" s="13" t="s">
        <v>215</v>
      </c>
      <c r="AO33" s="13" t="s">
        <v>215</v>
      </c>
      <c r="AP33" s="13" t="s">
        <v>215</v>
      </c>
      <c r="AQ33" s="13" t="s">
        <v>209</v>
      </c>
      <c r="AR33" s="13" t="s">
        <v>215</v>
      </c>
      <c r="AS33" s="13" t="s">
        <v>215</v>
      </c>
      <c r="AT33" s="13" t="s">
        <v>215</v>
      </c>
      <c r="AU33" s="13" t="s">
        <v>215</v>
      </c>
      <c r="AV33" s="13" t="s">
        <v>215</v>
      </c>
      <c r="AW33" s="13" t="s">
        <v>215</v>
      </c>
      <c r="AX33" s="13" t="s">
        <v>215</v>
      </c>
      <c r="AY33" s="13" t="s">
        <v>215</v>
      </c>
      <c r="AZ33" s="13" t="s">
        <v>215</v>
      </c>
      <c r="BA33" s="13" t="s">
        <v>215</v>
      </c>
      <c r="BB33" s="13" t="s">
        <v>215</v>
      </c>
      <c r="BC33" s="13" t="s">
        <v>215</v>
      </c>
      <c r="BD33" s="16" t="s">
        <v>215</v>
      </c>
      <c r="BE33" s="15" t="s">
        <v>215</v>
      </c>
      <c r="BF33" s="13" t="s">
        <v>215</v>
      </c>
      <c r="BG33" s="13" t="s">
        <v>209</v>
      </c>
      <c r="BH33" s="13" t="s">
        <v>215</v>
      </c>
      <c r="BI33" s="13" t="s">
        <v>215</v>
      </c>
      <c r="BJ33" s="16" t="s">
        <v>215</v>
      </c>
      <c r="BK33" s="15" t="s">
        <v>215</v>
      </c>
      <c r="BL33" s="13" t="s">
        <v>215</v>
      </c>
      <c r="BM33" s="13" t="s">
        <v>215</v>
      </c>
      <c r="BN33" s="13" t="s">
        <v>215</v>
      </c>
      <c r="BO33" s="13" t="s">
        <v>215</v>
      </c>
      <c r="BP33" s="13" t="s">
        <v>215</v>
      </c>
      <c r="BQ33" s="13" t="s">
        <v>215</v>
      </c>
      <c r="BR33" s="13" t="s">
        <v>215</v>
      </c>
      <c r="BS33" s="13" t="s">
        <v>215</v>
      </c>
      <c r="BT33" s="13" t="s">
        <v>215</v>
      </c>
      <c r="BU33" s="13" t="s">
        <v>215</v>
      </c>
      <c r="BV33" s="13" t="s">
        <v>215</v>
      </c>
      <c r="BW33" s="16" t="s">
        <v>215</v>
      </c>
      <c r="BX33" s="15" t="s">
        <v>215</v>
      </c>
      <c r="BY33" s="13" t="s">
        <v>215</v>
      </c>
      <c r="BZ33" s="16" t="s">
        <v>215</v>
      </c>
      <c r="CA33" s="81" t="s">
        <v>215</v>
      </c>
      <c r="CB33" s="13" t="s">
        <v>215</v>
      </c>
      <c r="CC33" s="13" t="s">
        <v>209</v>
      </c>
      <c r="CD33" s="16" t="s">
        <v>215</v>
      </c>
      <c r="CE33" s="16" t="s">
        <v>215</v>
      </c>
    </row>
    <row r="34" spans="5:83" x14ac:dyDescent="0.35">
      <c r="E34" s="79" t="s">
        <v>323</v>
      </c>
      <c r="F34" s="116" t="s">
        <v>96</v>
      </c>
      <c r="G34" s="116" t="s">
        <v>275</v>
      </c>
      <c r="H34" s="15" t="s">
        <v>215</v>
      </c>
      <c r="I34" s="13" t="s">
        <v>215</v>
      </c>
      <c r="J34" s="13" t="s">
        <v>215</v>
      </c>
      <c r="K34" s="13" t="s">
        <v>215</v>
      </c>
      <c r="L34" s="13" t="s">
        <v>215</v>
      </c>
      <c r="M34" s="13" t="s">
        <v>215</v>
      </c>
      <c r="N34" s="13" t="s">
        <v>215</v>
      </c>
      <c r="O34" s="13" t="s">
        <v>215</v>
      </c>
      <c r="P34" s="13" t="s">
        <v>215</v>
      </c>
      <c r="Q34" s="13" t="s">
        <v>215</v>
      </c>
      <c r="R34" s="13" t="s">
        <v>215</v>
      </c>
      <c r="S34" s="13" t="s">
        <v>215</v>
      </c>
      <c r="T34" s="13" t="s">
        <v>215</v>
      </c>
      <c r="U34" s="13" t="s">
        <v>215</v>
      </c>
      <c r="V34" s="13" t="s">
        <v>215</v>
      </c>
      <c r="W34" s="13" t="s">
        <v>215</v>
      </c>
      <c r="X34" s="13" t="s">
        <v>215</v>
      </c>
      <c r="Y34" s="13" t="s">
        <v>215</v>
      </c>
      <c r="Z34" s="13" t="s">
        <v>215</v>
      </c>
      <c r="AA34" s="13" t="s">
        <v>215</v>
      </c>
      <c r="AB34" s="13" t="s">
        <v>215</v>
      </c>
      <c r="AC34" s="13" t="s">
        <v>215</v>
      </c>
      <c r="AD34" s="16" t="s">
        <v>215</v>
      </c>
      <c r="AE34" s="15" t="s">
        <v>215</v>
      </c>
      <c r="AF34" s="13" t="s">
        <v>215</v>
      </c>
      <c r="AG34" s="13" t="s">
        <v>215</v>
      </c>
      <c r="AH34" s="13" t="s">
        <v>215</v>
      </c>
      <c r="AI34" s="13" t="s">
        <v>215</v>
      </c>
      <c r="AJ34" s="13" t="s">
        <v>215</v>
      </c>
      <c r="AK34" s="13" t="s">
        <v>215</v>
      </c>
      <c r="AL34" s="13" t="s">
        <v>215</v>
      </c>
      <c r="AM34" s="13" t="s">
        <v>215</v>
      </c>
      <c r="AN34" s="13" t="s">
        <v>215</v>
      </c>
      <c r="AO34" s="13" t="s">
        <v>215</v>
      </c>
      <c r="AP34" s="13" t="s">
        <v>215</v>
      </c>
      <c r="AQ34" s="13" t="s">
        <v>215</v>
      </c>
      <c r="AR34" s="13" t="s">
        <v>215</v>
      </c>
      <c r="AS34" s="13" t="s">
        <v>215</v>
      </c>
      <c r="AT34" s="13" t="s">
        <v>215</v>
      </c>
      <c r="AU34" s="13" t="s">
        <v>215</v>
      </c>
      <c r="AV34" s="13" t="s">
        <v>215</v>
      </c>
      <c r="AW34" s="13" t="s">
        <v>215</v>
      </c>
      <c r="AX34" s="13" t="s">
        <v>215</v>
      </c>
      <c r="AY34" s="13" t="s">
        <v>215</v>
      </c>
      <c r="AZ34" s="13" t="s">
        <v>215</v>
      </c>
      <c r="BA34" s="13" t="s">
        <v>215</v>
      </c>
      <c r="BB34" s="13" t="s">
        <v>215</v>
      </c>
      <c r="BC34" s="13" t="s">
        <v>215</v>
      </c>
      <c r="BD34" s="16" t="s">
        <v>215</v>
      </c>
      <c r="BE34" s="15" t="s">
        <v>215</v>
      </c>
      <c r="BF34" s="13" t="s">
        <v>215</v>
      </c>
      <c r="BG34" s="13" t="s">
        <v>215</v>
      </c>
      <c r="BH34" s="13" t="s">
        <v>215</v>
      </c>
      <c r="BI34" s="13" t="s">
        <v>215</v>
      </c>
      <c r="BJ34" s="16" t="s">
        <v>215</v>
      </c>
      <c r="BK34" s="15" t="s">
        <v>215</v>
      </c>
      <c r="BL34" s="13" t="s">
        <v>215</v>
      </c>
      <c r="BM34" s="13" t="s">
        <v>215</v>
      </c>
      <c r="BN34" s="13" t="s">
        <v>215</v>
      </c>
      <c r="BO34" s="13" t="s">
        <v>215</v>
      </c>
      <c r="BP34" s="13" t="s">
        <v>215</v>
      </c>
      <c r="BQ34" s="13" t="s">
        <v>215</v>
      </c>
      <c r="BR34" s="13" t="s">
        <v>215</v>
      </c>
      <c r="BS34" s="13" t="s">
        <v>215</v>
      </c>
      <c r="BT34" s="13" t="s">
        <v>215</v>
      </c>
      <c r="BU34" s="13" t="s">
        <v>215</v>
      </c>
      <c r="BV34" s="13" t="s">
        <v>215</v>
      </c>
      <c r="BW34" s="16" t="s">
        <v>215</v>
      </c>
      <c r="BX34" s="15" t="s">
        <v>215</v>
      </c>
      <c r="BY34" s="13" t="s">
        <v>215</v>
      </c>
      <c r="BZ34" s="16" t="s">
        <v>215</v>
      </c>
      <c r="CA34" s="81" t="s">
        <v>215</v>
      </c>
      <c r="CB34" s="13" t="s">
        <v>215</v>
      </c>
      <c r="CC34" s="13" t="s">
        <v>215</v>
      </c>
      <c r="CD34" s="16" t="s">
        <v>215</v>
      </c>
      <c r="CE34" s="16" t="s">
        <v>215</v>
      </c>
    </row>
    <row r="35" spans="5:83" x14ac:dyDescent="0.35">
      <c r="E35" s="79" t="s">
        <v>324</v>
      </c>
      <c r="F35" s="116" t="s">
        <v>110</v>
      </c>
      <c r="G35" s="116" t="s">
        <v>275</v>
      </c>
      <c r="H35" s="15" t="s">
        <v>215</v>
      </c>
      <c r="I35" s="13" t="s">
        <v>215</v>
      </c>
      <c r="J35" s="13" t="s">
        <v>215</v>
      </c>
      <c r="K35" s="13" t="s">
        <v>215</v>
      </c>
      <c r="L35" s="13" t="s">
        <v>215</v>
      </c>
      <c r="M35" s="13" t="s">
        <v>215</v>
      </c>
      <c r="N35" s="13" t="s">
        <v>215</v>
      </c>
      <c r="O35" s="13" t="s">
        <v>215</v>
      </c>
      <c r="P35" s="13" t="s">
        <v>215</v>
      </c>
      <c r="Q35" s="13" t="s">
        <v>215</v>
      </c>
      <c r="R35" s="13" t="s">
        <v>215</v>
      </c>
      <c r="S35" s="13" t="s">
        <v>215</v>
      </c>
      <c r="T35" s="13" t="s">
        <v>215</v>
      </c>
      <c r="U35" s="13" t="s">
        <v>215</v>
      </c>
      <c r="V35" s="13" t="s">
        <v>215</v>
      </c>
      <c r="W35" s="13" t="s">
        <v>215</v>
      </c>
      <c r="X35" s="13" t="s">
        <v>215</v>
      </c>
      <c r="Y35" s="13" t="s">
        <v>215</v>
      </c>
      <c r="Z35" s="13" t="s">
        <v>215</v>
      </c>
      <c r="AA35" s="13" t="s">
        <v>215</v>
      </c>
      <c r="AB35" s="13" t="s">
        <v>215</v>
      </c>
      <c r="AC35" s="13" t="s">
        <v>215</v>
      </c>
      <c r="AD35" s="16" t="s">
        <v>215</v>
      </c>
      <c r="AE35" s="15" t="s">
        <v>215</v>
      </c>
      <c r="AF35" s="13" t="s">
        <v>215</v>
      </c>
      <c r="AG35" s="13" t="s">
        <v>215</v>
      </c>
      <c r="AH35" s="13" t="s">
        <v>215</v>
      </c>
      <c r="AI35" s="13" t="s">
        <v>215</v>
      </c>
      <c r="AJ35" s="13" t="s">
        <v>215</v>
      </c>
      <c r="AK35" s="13" t="s">
        <v>215</v>
      </c>
      <c r="AL35" s="13" t="s">
        <v>215</v>
      </c>
      <c r="AM35" s="13" t="s">
        <v>215</v>
      </c>
      <c r="AN35" s="13" t="s">
        <v>215</v>
      </c>
      <c r="AO35" s="13" t="s">
        <v>215</v>
      </c>
      <c r="AP35" s="13" t="s">
        <v>215</v>
      </c>
      <c r="AQ35" s="13" t="s">
        <v>215</v>
      </c>
      <c r="AR35" s="13" t="s">
        <v>215</v>
      </c>
      <c r="AS35" s="13" t="s">
        <v>215</v>
      </c>
      <c r="AT35" s="13" t="s">
        <v>215</v>
      </c>
      <c r="AU35" s="13" t="s">
        <v>215</v>
      </c>
      <c r="AV35" s="13" t="s">
        <v>215</v>
      </c>
      <c r="AW35" s="13" t="s">
        <v>215</v>
      </c>
      <c r="AX35" s="13" t="s">
        <v>215</v>
      </c>
      <c r="AY35" s="13" t="s">
        <v>215</v>
      </c>
      <c r="AZ35" s="13" t="s">
        <v>215</v>
      </c>
      <c r="BA35" s="13" t="s">
        <v>215</v>
      </c>
      <c r="BB35" s="13" t="s">
        <v>215</v>
      </c>
      <c r="BC35" s="13" t="s">
        <v>215</v>
      </c>
      <c r="BD35" s="16" t="s">
        <v>215</v>
      </c>
      <c r="BE35" s="15" t="s">
        <v>215</v>
      </c>
      <c r="BF35" s="13" t="s">
        <v>215</v>
      </c>
      <c r="BG35" s="13" t="s">
        <v>215</v>
      </c>
      <c r="BH35" s="13" t="s">
        <v>215</v>
      </c>
      <c r="BI35" s="13" t="s">
        <v>215</v>
      </c>
      <c r="BJ35" s="16" t="s">
        <v>215</v>
      </c>
      <c r="BK35" s="15" t="s">
        <v>215</v>
      </c>
      <c r="BL35" s="13" t="s">
        <v>215</v>
      </c>
      <c r="BM35" s="13" t="s">
        <v>215</v>
      </c>
      <c r="BN35" s="13" t="s">
        <v>215</v>
      </c>
      <c r="BO35" s="13" t="s">
        <v>215</v>
      </c>
      <c r="BP35" s="13" t="s">
        <v>215</v>
      </c>
      <c r="BQ35" s="13" t="s">
        <v>215</v>
      </c>
      <c r="BR35" s="13" t="s">
        <v>215</v>
      </c>
      <c r="BS35" s="13" t="s">
        <v>215</v>
      </c>
      <c r="BT35" s="13" t="s">
        <v>215</v>
      </c>
      <c r="BU35" s="13" t="s">
        <v>215</v>
      </c>
      <c r="BV35" s="13" t="s">
        <v>215</v>
      </c>
      <c r="BW35" s="16" t="s">
        <v>215</v>
      </c>
      <c r="BX35" s="15" t="s">
        <v>215</v>
      </c>
      <c r="BY35" s="13" t="s">
        <v>215</v>
      </c>
      <c r="BZ35" s="16" t="s">
        <v>215</v>
      </c>
      <c r="CA35" s="81" t="s">
        <v>215</v>
      </c>
      <c r="CB35" s="13" t="s">
        <v>215</v>
      </c>
      <c r="CC35" s="13" t="s">
        <v>215</v>
      </c>
      <c r="CD35" s="16" t="s">
        <v>215</v>
      </c>
      <c r="CE35" s="16" t="s">
        <v>215</v>
      </c>
    </row>
    <row r="36" spans="5:83" x14ac:dyDescent="0.35">
      <c r="E36" s="79" t="s">
        <v>325</v>
      </c>
      <c r="F36" s="116" t="s">
        <v>66</v>
      </c>
      <c r="G36" s="116" t="s">
        <v>273</v>
      </c>
      <c r="H36" s="15" t="s">
        <v>215</v>
      </c>
      <c r="I36" s="13" t="s">
        <v>215</v>
      </c>
      <c r="J36" s="13" t="s">
        <v>215</v>
      </c>
      <c r="K36" s="13" t="s">
        <v>215</v>
      </c>
      <c r="L36" s="13" t="s">
        <v>215</v>
      </c>
      <c r="M36" s="13" t="s">
        <v>215</v>
      </c>
      <c r="N36" s="13" t="s">
        <v>215</v>
      </c>
      <c r="O36" s="13" t="s">
        <v>215</v>
      </c>
      <c r="P36" s="13" t="s">
        <v>215</v>
      </c>
      <c r="Q36" s="13" t="s">
        <v>215</v>
      </c>
      <c r="R36" s="13" t="s">
        <v>215</v>
      </c>
      <c r="S36" s="13" t="s">
        <v>215</v>
      </c>
      <c r="T36" s="13" t="s">
        <v>215</v>
      </c>
      <c r="U36" s="13" t="s">
        <v>206</v>
      </c>
      <c r="V36" s="13" t="s">
        <v>215</v>
      </c>
      <c r="W36" s="13" t="s">
        <v>215</v>
      </c>
      <c r="X36" s="13" t="s">
        <v>215</v>
      </c>
      <c r="Y36" s="13" t="s">
        <v>215</v>
      </c>
      <c r="Z36" s="13" t="s">
        <v>215</v>
      </c>
      <c r="AA36" s="13" t="s">
        <v>215</v>
      </c>
      <c r="AB36" s="13" t="s">
        <v>215</v>
      </c>
      <c r="AC36" s="13" t="s">
        <v>215</v>
      </c>
      <c r="AD36" s="16" t="s">
        <v>215</v>
      </c>
      <c r="AE36" s="15" t="s">
        <v>215</v>
      </c>
      <c r="AF36" s="13" t="s">
        <v>206</v>
      </c>
      <c r="AG36" s="13" t="s">
        <v>215</v>
      </c>
      <c r="AH36" s="13" t="s">
        <v>215</v>
      </c>
      <c r="AI36" s="13" t="s">
        <v>215</v>
      </c>
      <c r="AJ36" s="13" t="s">
        <v>215</v>
      </c>
      <c r="AK36" s="13" t="s">
        <v>215</v>
      </c>
      <c r="AL36" s="13" t="s">
        <v>215</v>
      </c>
      <c r="AM36" s="13" t="s">
        <v>215</v>
      </c>
      <c r="AN36" s="13" t="s">
        <v>215</v>
      </c>
      <c r="AO36" s="13" t="s">
        <v>209</v>
      </c>
      <c r="AP36" s="13" t="s">
        <v>215</v>
      </c>
      <c r="AQ36" s="13" t="s">
        <v>215</v>
      </c>
      <c r="AR36" s="13" t="s">
        <v>215</v>
      </c>
      <c r="AS36" s="13" t="s">
        <v>215</v>
      </c>
      <c r="AT36" s="13" t="s">
        <v>215</v>
      </c>
      <c r="AU36" s="13" t="s">
        <v>215</v>
      </c>
      <c r="AV36" s="13" t="s">
        <v>215</v>
      </c>
      <c r="AW36" s="13" t="s">
        <v>215</v>
      </c>
      <c r="AX36" s="13" t="s">
        <v>215</v>
      </c>
      <c r="AY36" s="13" t="s">
        <v>215</v>
      </c>
      <c r="AZ36" s="13" t="s">
        <v>215</v>
      </c>
      <c r="BA36" s="13" t="s">
        <v>215</v>
      </c>
      <c r="BB36" s="13" t="s">
        <v>215</v>
      </c>
      <c r="BC36" s="13" t="s">
        <v>215</v>
      </c>
      <c r="BD36" s="16" t="s">
        <v>215</v>
      </c>
      <c r="BE36" s="15" t="s">
        <v>215</v>
      </c>
      <c r="BF36" s="13" t="s">
        <v>215</v>
      </c>
      <c r="BG36" s="13" t="s">
        <v>215</v>
      </c>
      <c r="BH36" s="13" t="s">
        <v>215</v>
      </c>
      <c r="BI36" s="13" t="s">
        <v>206</v>
      </c>
      <c r="BJ36" s="16" t="s">
        <v>215</v>
      </c>
      <c r="BK36" s="15" t="s">
        <v>215</v>
      </c>
      <c r="BL36" s="13" t="s">
        <v>215</v>
      </c>
      <c r="BM36" s="13" t="s">
        <v>215</v>
      </c>
      <c r="BN36" s="13" t="s">
        <v>215</v>
      </c>
      <c r="BO36" s="13" t="s">
        <v>215</v>
      </c>
      <c r="BP36" s="13" t="s">
        <v>215</v>
      </c>
      <c r="BQ36" s="13" t="s">
        <v>215</v>
      </c>
      <c r="BR36" s="13" t="s">
        <v>215</v>
      </c>
      <c r="BS36" s="13" t="s">
        <v>215</v>
      </c>
      <c r="BT36" s="13" t="s">
        <v>215</v>
      </c>
      <c r="BU36" s="13" t="s">
        <v>215</v>
      </c>
      <c r="BV36" s="13" t="s">
        <v>215</v>
      </c>
      <c r="BW36" s="16" t="s">
        <v>215</v>
      </c>
      <c r="BX36" s="15" t="s">
        <v>215</v>
      </c>
      <c r="BY36" s="13" t="s">
        <v>215</v>
      </c>
      <c r="BZ36" s="16" t="s">
        <v>215</v>
      </c>
      <c r="CA36" s="81" t="s">
        <v>215</v>
      </c>
      <c r="CB36" s="13" t="s">
        <v>215</v>
      </c>
      <c r="CC36" s="13" t="s">
        <v>215</v>
      </c>
      <c r="CD36" s="16" t="s">
        <v>215</v>
      </c>
      <c r="CE36" s="16" t="s">
        <v>215</v>
      </c>
    </row>
    <row r="37" spans="5:83" x14ac:dyDescent="0.35">
      <c r="E37" s="79" t="s">
        <v>326</v>
      </c>
      <c r="F37" s="116" t="s">
        <v>51</v>
      </c>
      <c r="G37" s="116" t="s">
        <v>273</v>
      </c>
      <c r="H37" s="15" t="s">
        <v>215</v>
      </c>
      <c r="I37" s="13" t="s">
        <v>215</v>
      </c>
      <c r="J37" s="13" t="s">
        <v>215</v>
      </c>
      <c r="K37" s="13" t="s">
        <v>215</v>
      </c>
      <c r="L37" s="13" t="s">
        <v>215</v>
      </c>
      <c r="M37" s="13" t="s">
        <v>215</v>
      </c>
      <c r="N37" s="13" t="s">
        <v>215</v>
      </c>
      <c r="O37" s="13" t="s">
        <v>209</v>
      </c>
      <c r="P37" s="13" t="s">
        <v>215</v>
      </c>
      <c r="Q37" s="13" t="s">
        <v>215</v>
      </c>
      <c r="R37" s="13" t="s">
        <v>215</v>
      </c>
      <c r="S37" s="13" t="s">
        <v>215</v>
      </c>
      <c r="T37" s="13" t="s">
        <v>215</v>
      </c>
      <c r="U37" s="13" t="s">
        <v>206</v>
      </c>
      <c r="V37" s="13" t="s">
        <v>206</v>
      </c>
      <c r="W37" s="13" t="s">
        <v>215</v>
      </c>
      <c r="X37" s="13" t="s">
        <v>209</v>
      </c>
      <c r="Y37" s="13" t="s">
        <v>215</v>
      </c>
      <c r="Z37" s="13" t="s">
        <v>206</v>
      </c>
      <c r="AA37" s="13" t="s">
        <v>215</v>
      </c>
      <c r="AB37" s="13" t="s">
        <v>215</v>
      </c>
      <c r="AC37" s="13" t="s">
        <v>215</v>
      </c>
      <c r="AD37" s="16" t="s">
        <v>215</v>
      </c>
      <c r="AE37" s="15" t="s">
        <v>215</v>
      </c>
      <c r="AF37" s="13" t="s">
        <v>206</v>
      </c>
      <c r="AG37" s="13" t="s">
        <v>215</v>
      </c>
      <c r="AH37" s="13" t="s">
        <v>215</v>
      </c>
      <c r="AI37" s="13" t="s">
        <v>215</v>
      </c>
      <c r="AJ37" s="13" t="s">
        <v>215</v>
      </c>
      <c r="AK37" s="13" t="s">
        <v>215</v>
      </c>
      <c r="AL37" s="13" t="s">
        <v>215</v>
      </c>
      <c r="AM37" s="13" t="s">
        <v>215</v>
      </c>
      <c r="AN37" s="13" t="s">
        <v>215</v>
      </c>
      <c r="AO37" s="13" t="s">
        <v>206</v>
      </c>
      <c r="AP37" s="13" t="s">
        <v>215</v>
      </c>
      <c r="AQ37" s="13" t="s">
        <v>215</v>
      </c>
      <c r="AR37" s="13" t="s">
        <v>215</v>
      </c>
      <c r="AS37" s="13" t="s">
        <v>215</v>
      </c>
      <c r="AT37" s="13" t="s">
        <v>215</v>
      </c>
      <c r="AU37" s="13" t="s">
        <v>215</v>
      </c>
      <c r="AV37" s="13" t="s">
        <v>215</v>
      </c>
      <c r="AW37" s="13" t="s">
        <v>215</v>
      </c>
      <c r="AX37" s="13" t="s">
        <v>215</v>
      </c>
      <c r="AY37" s="13" t="s">
        <v>215</v>
      </c>
      <c r="AZ37" s="13" t="s">
        <v>215</v>
      </c>
      <c r="BA37" s="13" t="s">
        <v>215</v>
      </c>
      <c r="BB37" s="13" t="s">
        <v>215</v>
      </c>
      <c r="BC37" s="13" t="s">
        <v>215</v>
      </c>
      <c r="BD37" s="16" t="s">
        <v>215</v>
      </c>
      <c r="BE37" s="15" t="s">
        <v>215</v>
      </c>
      <c r="BF37" s="13" t="s">
        <v>215</v>
      </c>
      <c r="BG37" s="13" t="s">
        <v>209</v>
      </c>
      <c r="BH37" s="13" t="s">
        <v>215</v>
      </c>
      <c r="BI37" s="13" t="s">
        <v>206</v>
      </c>
      <c r="BJ37" s="16" t="s">
        <v>215</v>
      </c>
      <c r="BK37" s="15" t="s">
        <v>215</v>
      </c>
      <c r="BL37" s="13" t="s">
        <v>215</v>
      </c>
      <c r="BM37" s="13" t="s">
        <v>215</v>
      </c>
      <c r="BN37" s="13" t="s">
        <v>215</v>
      </c>
      <c r="BO37" s="13" t="s">
        <v>215</v>
      </c>
      <c r="BP37" s="13" t="s">
        <v>215</v>
      </c>
      <c r="BQ37" s="13" t="s">
        <v>215</v>
      </c>
      <c r="BR37" s="13" t="s">
        <v>215</v>
      </c>
      <c r="BS37" s="13" t="s">
        <v>215</v>
      </c>
      <c r="BT37" s="13" t="s">
        <v>215</v>
      </c>
      <c r="BU37" s="13" t="s">
        <v>215</v>
      </c>
      <c r="BV37" s="13" t="s">
        <v>215</v>
      </c>
      <c r="BW37" s="16" t="s">
        <v>215</v>
      </c>
      <c r="BX37" s="15" t="s">
        <v>215</v>
      </c>
      <c r="BY37" s="13" t="s">
        <v>209</v>
      </c>
      <c r="BZ37" s="16" t="s">
        <v>209</v>
      </c>
      <c r="CA37" s="81" t="s">
        <v>215</v>
      </c>
      <c r="CB37" s="13" t="s">
        <v>215</v>
      </c>
      <c r="CC37" s="13" t="s">
        <v>215</v>
      </c>
      <c r="CD37" s="16" t="s">
        <v>215</v>
      </c>
      <c r="CE37" s="16" t="s">
        <v>206</v>
      </c>
    </row>
    <row r="38" spans="5:83" x14ac:dyDescent="0.35">
      <c r="E38" s="79" t="s">
        <v>327</v>
      </c>
      <c r="F38" s="116" t="s">
        <v>136</v>
      </c>
      <c r="G38" s="116" t="s">
        <v>273</v>
      </c>
      <c r="H38" s="15" t="s">
        <v>215</v>
      </c>
      <c r="I38" s="13" t="s">
        <v>215</v>
      </c>
      <c r="J38" s="13" t="s">
        <v>215</v>
      </c>
      <c r="K38" s="13" t="s">
        <v>215</v>
      </c>
      <c r="L38" s="13" t="s">
        <v>215</v>
      </c>
      <c r="M38" s="13" t="s">
        <v>215</v>
      </c>
      <c r="N38" s="13" t="s">
        <v>215</v>
      </c>
      <c r="O38" s="13" t="s">
        <v>215</v>
      </c>
      <c r="P38" s="13" t="s">
        <v>215</v>
      </c>
      <c r="Q38" s="13" t="s">
        <v>215</v>
      </c>
      <c r="R38" s="13" t="s">
        <v>215</v>
      </c>
      <c r="S38" s="13" t="s">
        <v>215</v>
      </c>
      <c r="T38" s="13" t="s">
        <v>215</v>
      </c>
      <c r="U38" s="13" t="s">
        <v>215</v>
      </c>
      <c r="V38" s="13" t="s">
        <v>215</v>
      </c>
      <c r="W38" s="13" t="s">
        <v>215</v>
      </c>
      <c r="X38" s="13" t="s">
        <v>215</v>
      </c>
      <c r="Y38" s="13" t="s">
        <v>215</v>
      </c>
      <c r="Z38" s="13" t="s">
        <v>215</v>
      </c>
      <c r="AA38" s="13" t="s">
        <v>215</v>
      </c>
      <c r="AB38" s="13" t="s">
        <v>215</v>
      </c>
      <c r="AC38" s="13" t="s">
        <v>215</v>
      </c>
      <c r="AD38" s="16" t="s">
        <v>215</v>
      </c>
      <c r="AE38" s="15" t="s">
        <v>215</v>
      </c>
      <c r="AF38" s="13" t="s">
        <v>215</v>
      </c>
      <c r="AG38" s="13" t="s">
        <v>215</v>
      </c>
      <c r="AH38" s="13" t="s">
        <v>215</v>
      </c>
      <c r="AI38" s="13" t="s">
        <v>215</v>
      </c>
      <c r="AJ38" s="13" t="s">
        <v>215</v>
      </c>
      <c r="AK38" s="13" t="s">
        <v>215</v>
      </c>
      <c r="AL38" s="13" t="s">
        <v>215</v>
      </c>
      <c r="AM38" s="13" t="s">
        <v>215</v>
      </c>
      <c r="AN38" s="13" t="s">
        <v>215</v>
      </c>
      <c r="AO38" s="13" t="s">
        <v>215</v>
      </c>
      <c r="AP38" s="13" t="s">
        <v>215</v>
      </c>
      <c r="AQ38" s="13" t="s">
        <v>215</v>
      </c>
      <c r="AR38" s="13" t="s">
        <v>215</v>
      </c>
      <c r="AS38" s="13" t="s">
        <v>215</v>
      </c>
      <c r="AT38" s="13" t="s">
        <v>215</v>
      </c>
      <c r="AU38" s="13" t="s">
        <v>215</v>
      </c>
      <c r="AV38" s="13" t="s">
        <v>215</v>
      </c>
      <c r="AW38" s="13" t="s">
        <v>215</v>
      </c>
      <c r="AX38" s="13" t="s">
        <v>215</v>
      </c>
      <c r="AY38" s="13" t="s">
        <v>215</v>
      </c>
      <c r="AZ38" s="13" t="s">
        <v>215</v>
      </c>
      <c r="BA38" s="13" t="s">
        <v>215</v>
      </c>
      <c r="BB38" s="13" t="s">
        <v>215</v>
      </c>
      <c r="BC38" s="13" t="s">
        <v>215</v>
      </c>
      <c r="BD38" s="16" t="s">
        <v>215</v>
      </c>
      <c r="BE38" s="15" t="s">
        <v>215</v>
      </c>
      <c r="BF38" s="13" t="s">
        <v>215</v>
      </c>
      <c r="BG38" s="13" t="s">
        <v>215</v>
      </c>
      <c r="BH38" s="13" t="s">
        <v>215</v>
      </c>
      <c r="BI38" s="13" t="s">
        <v>215</v>
      </c>
      <c r="BJ38" s="16" t="s">
        <v>215</v>
      </c>
      <c r="BK38" s="15" t="s">
        <v>215</v>
      </c>
      <c r="BL38" s="13" t="s">
        <v>215</v>
      </c>
      <c r="BM38" s="13" t="s">
        <v>215</v>
      </c>
      <c r="BN38" s="13" t="s">
        <v>215</v>
      </c>
      <c r="BO38" s="13" t="s">
        <v>215</v>
      </c>
      <c r="BP38" s="13" t="s">
        <v>215</v>
      </c>
      <c r="BQ38" s="13" t="s">
        <v>215</v>
      </c>
      <c r="BR38" s="13" t="s">
        <v>215</v>
      </c>
      <c r="BS38" s="13" t="s">
        <v>215</v>
      </c>
      <c r="BT38" s="13" t="s">
        <v>215</v>
      </c>
      <c r="BU38" s="13" t="s">
        <v>215</v>
      </c>
      <c r="BV38" s="13" t="s">
        <v>215</v>
      </c>
      <c r="BW38" s="16" t="s">
        <v>215</v>
      </c>
      <c r="BX38" s="15" t="s">
        <v>215</v>
      </c>
      <c r="BY38" s="13" t="s">
        <v>215</v>
      </c>
      <c r="BZ38" s="16" t="s">
        <v>215</v>
      </c>
      <c r="CA38" s="81" t="s">
        <v>215</v>
      </c>
      <c r="CB38" s="13" t="s">
        <v>215</v>
      </c>
      <c r="CC38" s="13" t="s">
        <v>215</v>
      </c>
      <c r="CD38" s="16" t="s">
        <v>206</v>
      </c>
      <c r="CE38" s="16" t="s">
        <v>215</v>
      </c>
    </row>
    <row r="39" spans="5:83" x14ac:dyDescent="0.35">
      <c r="E39" s="79" t="s">
        <v>328</v>
      </c>
      <c r="F39" s="116" t="s">
        <v>281</v>
      </c>
      <c r="G39" s="116" t="s">
        <v>274</v>
      </c>
      <c r="H39" s="15" t="e">
        <v>#N/A</v>
      </c>
      <c r="I39" s="13" t="e">
        <v>#N/A</v>
      </c>
      <c r="J39" s="13" t="e">
        <v>#N/A</v>
      </c>
      <c r="K39" s="13" t="e">
        <v>#N/A</v>
      </c>
      <c r="L39" s="13" t="e">
        <v>#N/A</v>
      </c>
      <c r="M39" s="13" t="e">
        <v>#N/A</v>
      </c>
      <c r="N39" s="13" t="e">
        <v>#N/A</v>
      </c>
      <c r="O39" s="13" t="e">
        <v>#N/A</v>
      </c>
      <c r="P39" s="13" t="e">
        <v>#N/A</v>
      </c>
      <c r="Q39" s="13" t="e">
        <v>#N/A</v>
      </c>
      <c r="R39" s="13" t="e">
        <v>#N/A</v>
      </c>
      <c r="S39" s="13" t="e">
        <v>#N/A</v>
      </c>
      <c r="T39" s="13" t="e">
        <v>#N/A</v>
      </c>
      <c r="U39" s="13" t="e">
        <v>#N/A</v>
      </c>
      <c r="V39" s="13" t="e">
        <v>#N/A</v>
      </c>
      <c r="W39" s="13" t="e">
        <v>#N/A</v>
      </c>
      <c r="X39" s="13" t="e">
        <v>#N/A</v>
      </c>
      <c r="Y39" s="13" t="e">
        <v>#N/A</v>
      </c>
      <c r="Z39" s="13" t="e">
        <v>#N/A</v>
      </c>
      <c r="AA39" s="13" t="e">
        <v>#N/A</v>
      </c>
      <c r="AB39" s="13" t="e">
        <v>#N/A</v>
      </c>
      <c r="AC39" s="13" t="e">
        <v>#N/A</v>
      </c>
      <c r="AD39" s="16" t="e">
        <v>#N/A</v>
      </c>
      <c r="AE39" s="15" t="e">
        <v>#N/A</v>
      </c>
      <c r="AF39" s="13" t="e">
        <v>#N/A</v>
      </c>
      <c r="AG39" s="13" t="e">
        <v>#N/A</v>
      </c>
      <c r="AH39" s="13" t="e">
        <v>#N/A</v>
      </c>
      <c r="AI39" s="13" t="e">
        <v>#N/A</v>
      </c>
      <c r="AJ39" s="13" t="e">
        <v>#N/A</v>
      </c>
      <c r="AK39" s="13" t="e">
        <v>#N/A</v>
      </c>
      <c r="AL39" s="13" t="e">
        <v>#N/A</v>
      </c>
      <c r="AM39" s="13" t="e">
        <v>#N/A</v>
      </c>
      <c r="AN39" s="13" t="e">
        <v>#N/A</v>
      </c>
      <c r="AO39" s="13" t="e">
        <v>#N/A</v>
      </c>
      <c r="AP39" s="13" t="e">
        <v>#N/A</v>
      </c>
      <c r="AQ39" s="13" t="e">
        <v>#N/A</v>
      </c>
      <c r="AR39" s="13" t="e">
        <v>#N/A</v>
      </c>
      <c r="AS39" s="13" t="e">
        <v>#N/A</v>
      </c>
      <c r="AT39" s="13" t="e">
        <v>#N/A</v>
      </c>
      <c r="AU39" s="13" t="e">
        <v>#N/A</v>
      </c>
      <c r="AV39" s="13" t="e">
        <v>#N/A</v>
      </c>
      <c r="AW39" s="13" t="e">
        <v>#N/A</v>
      </c>
      <c r="AX39" s="13" t="e">
        <v>#N/A</v>
      </c>
      <c r="AY39" s="13" t="e">
        <v>#N/A</v>
      </c>
      <c r="AZ39" s="13" t="e">
        <v>#N/A</v>
      </c>
      <c r="BA39" s="13" t="e">
        <v>#N/A</v>
      </c>
      <c r="BB39" s="13" t="e">
        <v>#N/A</v>
      </c>
      <c r="BC39" s="13" t="e">
        <v>#N/A</v>
      </c>
      <c r="BD39" s="16" t="e">
        <v>#N/A</v>
      </c>
      <c r="BE39" s="15" t="e">
        <v>#N/A</v>
      </c>
      <c r="BF39" s="13" t="e">
        <v>#N/A</v>
      </c>
      <c r="BG39" s="13" t="e">
        <v>#N/A</v>
      </c>
      <c r="BH39" s="13" t="e">
        <v>#N/A</v>
      </c>
      <c r="BI39" s="13" t="e">
        <v>#N/A</v>
      </c>
      <c r="BJ39" s="16" t="e">
        <v>#N/A</v>
      </c>
      <c r="BK39" s="15" t="e">
        <v>#N/A</v>
      </c>
      <c r="BL39" s="13" t="e">
        <v>#N/A</v>
      </c>
      <c r="BM39" s="13" t="e">
        <v>#N/A</v>
      </c>
      <c r="BN39" s="13" t="e">
        <v>#N/A</v>
      </c>
      <c r="BO39" s="13" t="e">
        <v>#N/A</v>
      </c>
      <c r="BP39" s="13" t="e">
        <v>#N/A</v>
      </c>
      <c r="BQ39" s="13" t="e">
        <v>#N/A</v>
      </c>
      <c r="BR39" s="13" t="e">
        <v>#N/A</v>
      </c>
      <c r="BS39" s="13" t="e">
        <v>#N/A</v>
      </c>
      <c r="BT39" s="13" t="e">
        <v>#N/A</v>
      </c>
      <c r="BU39" s="13" t="e">
        <v>#N/A</v>
      </c>
      <c r="BV39" s="13" t="e">
        <v>#N/A</v>
      </c>
      <c r="BW39" s="16" t="e">
        <v>#N/A</v>
      </c>
      <c r="BX39" s="15" t="e">
        <v>#N/A</v>
      </c>
      <c r="BY39" s="13" t="e">
        <v>#N/A</v>
      </c>
      <c r="BZ39" s="16" t="e">
        <v>#N/A</v>
      </c>
      <c r="CA39" s="81" t="e">
        <v>#N/A</v>
      </c>
      <c r="CB39" s="13" t="e">
        <v>#N/A</v>
      </c>
      <c r="CC39" s="13" t="e">
        <v>#N/A</v>
      </c>
      <c r="CD39" s="16" t="e">
        <v>#N/A</v>
      </c>
      <c r="CE39" s="16" t="s">
        <v>215</v>
      </c>
    </row>
    <row r="40" spans="5:83" x14ac:dyDescent="0.35">
      <c r="E40" s="79" t="s">
        <v>329</v>
      </c>
      <c r="F40" s="116" t="s">
        <v>81</v>
      </c>
      <c r="G40" s="116" t="s">
        <v>274</v>
      </c>
      <c r="H40" s="15" t="s">
        <v>215</v>
      </c>
      <c r="I40" s="13" t="s">
        <v>215</v>
      </c>
      <c r="J40" s="13" t="s">
        <v>215</v>
      </c>
      <c r="K40" s="13" t="s">
        <v>215</v>
      </c>
      <c r="L40" s="13" t="s">
        <v>215</v>
      </c>
      <c r="M40" s="13" t="s">
        <v>215</v>
      </c>
      <c r="N40" s="13" t="s">
        <v>215</v>
      </c>
      <c r="O40" s="13" t="s">
        <v>215</v>
      </c>
      <c r="P40" s="13" t="s">
        <v>215</v>
      </c>
      <c r="Q40" s="13" t="s">
        <v>215</v>
      </c>
      <c r="R40" s="13" t="s">
        <v>215</v>
      </c>
      <c r="S40" s="13" t="s">
        <v>215</v>
      </c>
      <c r="T40" s="13" t="s">
        <v>215</v>
      </c>
      <c r="U40" s="13" t="s">
        <v>209</v>
      </c>
      <c r="V40" s="13" t="s">
        <v>215</v>
      </c>
      <c r="W40" s="13" t="s">
        <v>215</v>
      </c>
      <c r="X40" s="13" t="s">
        <v>215</v>
      </c>
      <c r="Y40" s="13" t="s">
        <v>215</v>
      </c>
      <c r="Z40" s="13" t="s">
        <v>215</v>
      </c>
      <c r="AA40" s="13" t="s">
        <v>215</v>
      </c>
      <c r="AB40" s="13" t="s">
        <v>215</v>
      </c>
      <c r="AC40" s="13" t="s">
        <v>215</v>
      </c>
      <c r="AD40" s="16" t="s">
        <v>215</v>
      </c>
      <c r="AE40" s="15" t="s">
        <v>215</v>
      </c>
      <c r="AF40" s="13" t="s">
        <v>209</v>
      </c>
      <c r="AG40" s="13" t="s">
        <v>215</v>
      </c>
      <c r="AH40" s="13" t="s">
        <v>215</v>
      </c>
      <c r="AI40" s="13" t="s">
        <v>215</v>
      </c>
      <c r="AJ40" s="13" t="s">
        <v>215</v>
      </c>
      <c r="AK40" s="13" t="s">
        <v>215</v>
      </c>
      <c r="AL40" s="13" t="s">
        <v>215</v>
      </c>
      <c r="AM40" s="13" t="s">
        <v>215</v>
      </c>
      <c r="AN40" s="13" t="s">
        <v>209</v>
      </c>
      <c r="AO40" s="13" t="s">
        <v>209</v>
      </c>
      <c r="AP40" s="13" t="s">
        <v>215</v>
      </c>
      <c r="AQ40" s="13" t="s">
        <v>215</v>
      </c>
      <c r="AR40" s="13" t="s">
        <v>215</v>
      </c>
      <c r="AS40" s="13" t="s">
        <v>209</v>
      </c>
      <c r="AT40" s="13" t="s">
        <v>215</v>
      </c>
      <c r="AU40" s="13" t="s">
        <v>206</v>
      </c>
      <c r="AV40" s="13" t="s">
        <v>215</v>
      </c>
      <c r="AW40" s="13" t="s">
        <v>215</v>
      </c>
      <c r="AX40" s="13" t="s">
        <v>215</v>
      </c>
      <c r="AY40" s="13" t="s">
        <v>215</v>
      </c>
      <c r="AZ40" s="13" t="s">
        <v>215</v>
      </c>
      <c r="BA40" s="13" t="s">
        <v>215</v>
      </c>
      <c r="BB40" s="13" t="s">
        <v>215</v>
      </c>
      <c r="BC40" s="13" t="s">
        <v>215</v>
      </c>
      <c r="BD40" s="16" t="s">
        <v>215</v>
      </c>
      <c r="BE40" s="15" t="s">
        <v>215</v>
      </c>
      <c r="BF40" s="13" t="s">
        <v>215</v>
      </c>
      <c r="BG40" s="13" t="s">
        <v>215</v>
      </c>
      <c r="BH40" s="13" t="s">
        <v>215</v>
      </c>
      <c r="BI40" s="13" t="s">
        <v>209</v>
      </c>
      <c r="BJ40" s="16" t="s">
        <v>215</v>
      </c>
      <c r="BK40" s="15" t="s">
        <v>215</v>
      </c>
      <c r="BL40" s="13" t="s">
        <v>215</v>
      </c>
      <c r="BM40" s="13" t="s">
        <v>215</v>
      </c>
      <c r="BN40" s="13" t="s">
        <v>215</v>
      </c>
      <c r="BO40" s="13" t="s">
        <v>215</v>
      </c>
      <c r="BP40" s="13" t="s">
        <v>215</v>
      </c>
      <c r="BQ40" s="13" t="s">
        <v>215</v>
      </c>
      <c r="BR40" s="13" t="s">
        <v>215</v>
      </c>
      <c r="BS40" s="13" t="s">
        <v>215</v>
      </c>
      <c r="BT40" s="13" t="s">
        <v>215</v>
      </c>
      <c r="BU40" s="13" t="s">
        <v>215</v>
      </c>
      <c r="BV40" s="13" t="s">
        <v>215</v>
      </c>
      <c r="BW40" s="16" t="s">
        <v>215</v>
      </c>
      <c r="BX40" s="15" t="s">
        <v>215</v>
      </c>
      <c r="BY40" s="13" t="s">
        <v>215</v>
      </c>
      <c r="BZ40" s="16" t="s">
        <v>215</v>
      </c>
      <c r="CA40" s="81" t="s">
        <v>215</v>
      </c>
      <c r="CB40" s="13" t="s">
        <v>215</v>
      </c>
      <c r="CC40" s="13" t="s">
        <v>215</v>
      </c>
      <c r="CD40" s="16" t="s">
        <v>215</v>
      </c>
      <c r="CE40" s="16" t="s">
        <v>215</v>
      </c>
    </row>
    <row r="41" spans="5:83" x14ac:dyDescent="0.35">
      <c r="E41" s="79" t="s">
        <v>330</v>
      </c>
      <c r="F41" s="116" t="s">
        <v>95</v>
      </c>
      <c r="G41" s="116" t="s">
        <v>273</v>
      </c>
      <c r="H41" s="15" t="s">
        <v>215</v>
      </c>
      <c r="I41" s="13" t="s">
        <v>215</v>
      </c>
      <c r="J41" s="13" t="s">
        <v>215</v>
      </c>
      <c r="K41" s="13" t="s">
        <v>215</v>
      </c>
      <c r="L41" s="13" t="s">
        <v>215</v>
      </c>
      <c r="M41" s="13" t="s">
        <v>215</v>
      </c>
      <c r="N41" s="13" t="s">
        <v>215</v>
      </c>
      <c r="O41" s="13" t="s">
        <v>215</v>
      </c>
      <c r="P41" s="13" t="s">
        <v>215</v>
      </c>
      <c r="Q41" s="13" t="s">
        <v>215</v>
      </c>
      <c r="R41" s="13" t="s">
        <v>215</v>
      </c>
      <c r="S41" s="13" t="s">
        <v>209</v>
      </c>
      <c r="T41" s="13" t="s">
        <v>215</v>
      </c>
      <c r="U41" s="13" t="s">
        <v>206</v>
      </c>
      <c r="V41" s="13" t="s">
        <v>215</v>
      </c>
      <c r="W41" s="13" t="s">
        <v>215</v>
      </c>
      <c r="X41" s="13" t="s">
        <v>215</v>
      </c>
      <c r="Y41" s="13" t="s">
        <v>215</v>
      </c>
      <c r="Z41" s="13" t="s">
        <v>215</v>
      </c>
      <c r="AA41" s="13" t="s">
        <v>215</v>
      </c>
      <c r="AB41" s="13" t="s">
        <v>215</v>
      </c>
      <c r="AC41" s="13" t="s">
        <v>215</v>
      </c>
      <c r="AD41" s="16" t="s">
        <v>215</v>
      </c>
      <c r="AE41" s="15" t="s">
        <v>215</v>
      </c>
      <c r="AF41" s="13" t="s">
        <v>209</v>
      </c>
      <c r="AG41" s="13" t="s">
        <v>215</v>
      </c>
      <c r="AH41" s="13" t="s">
        <v>215</v>
      </c>
      <c r="AI41" s="13" t="s">
        <v>215</v>
      </c>
      <c r="AJ41" s="13" t="s">
        <v>215</v>
      </c>
      <c r="AK41" s="13" t="s">
        <v>215</v>
      </c>
      <c r="AL41" s="13" t="s">
        <v>215</v>
      </c>
      <c r="AM41" s="13" t="s">
        <v>215</v>
      </c>
      <c r="AN41" s="13" t="s">
        <v>215</v>
      </c>
      <c r="AO41" s="13" t="s">
        <v>215</v>
      </c>
      <c r="AP41" s="13" t="s">
        <v>215</v>
      </c>
      <c r="AQ41" s="13" t="s">
        <v>215</v>
      </c>
      <c r="AR41" s="13" t="s">
        <v>215</v>
      </c>
      <c r="AS41" s="13" t="s">
        <v>215</v>
      </c>
      <c r="AT41" s="13" t="s">
        <v>215</v>
      </c>
      <c r="AU41" s="13" t="s">
        <v>215</v>
      </c>
      <c r="AV41" s="13" t="s">
        <v>215</v>
      </c>
      <c r="AW41" s="13" t="s">
        <v>215</v>
      </c>
      <c r="AX41" s="13" t="s">
        <v>215</v>
      </c>
      <c r="AY41" s="13" t="s">
        <v>215</v>
      </c>
      <c r="AZ41" s="13" t="s">
        <v>215</v>
      </c>
      <c r="BA41" s="13" t="s">
        <v>215</v>
      </c>
      <c r="BB41" s="13" t="s">
        <v>215</v>
      </c>
      <c r="BC41" s="13" t="s">
        <v>215</v>
      </c>
      <c r="BD41" s="16" t="s">
        <v>215</v>
      </c>
      <c r="BE41" s="15" t="s">
        <v>215</v>
      </c>
      <c r="BF41" s="13" t="s">
        <v>215</v>
      </c>
      <c r="BG41" s="13" t="s">
        <v>215</v>
      </c>
      <c r="BH41" s="13" t="s">
        <v>215</v>
      </c>
      <c r="BI41" s="13" t="s">
        <v>215</v>
      </c>
      <c r="BJ41" s="16" t="s">
        <v>215</v>
      </c>
      <c r="BK41" s="15" t="s">
        <v>215</v>
      </c>
      <c r="BL41" s="13" t="s">
        <v>209</v>
      </c>
      <c r="BM41" s="13" t="s">
        <v>215</v>
      </c>
      <c r="BN41" s="13" t="s">
        <v>209</v>
      </c>
      <c r="BO41" s="13" t="s">
        <v>215</v>
      </c>
      <c r="BP41" s="13" t="s">
        <v>215</v>
      </c>
      <c r="BQ41" s="13" t="s">
        <v>215</v>
      </c>
      <c r="BR41" s="13" t="s">
        <v>215</v>
      </c>
      <c r="BS41" s="13" t="s">
        <v>215</v>
      </c>
      <c r="BT41" s="13" t="s">
        <v>215</v>
      </c>
      <c r="BU41" s="13" t="s">
        <v>215</v>
      </c>
      <c r="BV41" s="13" t="s">
        <v>215</v>
      </c>
      <c r="BW41" s="16" t="s">
        <v>215</v>
      </c>
      <c r="BX41" s="15" t="s">
        <v>215</v>
      </c>
      <c r="BY41" s="13" t="s">
        <v>215</v>
      </c>
      <c r="BZ41" s="16" t="s">
        <v>215</v>
      </c>
      <c r="CA41" s="81" t="s">
        <v>215</v>
      </c>
      <c r="CB41" s="13" t="s">
        <v>215</v>
      </c>
      <c r="CC41" s="13" t="s">
        <v>215</v>
      </c>
      <c r="CD41" s="16" t="s">
        <v>215</v>
      </c>
      <c r="CE41" s="16" t="s">
        <v>215</v>
      </c>
    </row>
    <row r="42" spans="5:83" x14ac:dyDescent="0.35">
      <c r="E42" s="79" t="s">
        <v>331</v>
      </c>
      <c r="F42" s="116" t="s">
        <v>281</v>
      </c>
      <c r="G42" s="116" t="s">
        <v>273</v>
      </c>
      <c r="H42" s="15" t="e">
        <v>#N/A</v>
      </c>
      <c r="I42" s="13" t="e">
        <v>#N/A</v>
      </c>
      <c r="J42" s="13" t="e">
        <v>#N/A</v>
      </c>
      <c r="K42" s="13" t="e">
        <v>#N/A</v>
      </c>
      <c r="L42" s="13" t="e">
        <v>#N/A</v>
      </c>
      <c r="M42" s="13" t="e">
        <v>#N/A</v>
      </c>
      <c r="N42" s="13" t="e">
        <v>#N/A</v>
      </c>
      <c r="O42" s="13" t="e">
        <v>#N/A</v>
      </c>
      <c r="P42" s="13" t="e">
        <v>#N/A</v>
      </c>
      <c r="Q42" s="13" t="e">
        <v>#N/A</v>
      </c>
      <c r="R42" s="13" t="e">
        <v>#N/A</v>
      </c>
      <c r="S42" s="13" t="e">
        <v>#N/A</v>
      </c>
      <c r="T42" s="13" t="e">
        <v>#N/A</v>
      </c>
      <c r="U42" s="13" t="e">
        <v>#N/A</v>
      </c>
      <c r="V42" s="13" t="e">
        <v>#N/A</v>
      </c>
      <c r="W42" s="13" t="e">
        <v>#N/A</v>
      </c>
      <c r="X42" s="13" t="e">
        <v>#N/A</v>
      </c>
      <c r="Y42" s="13" t="e">
        <v>#N/A</v>
      </c>
      <c r="Z42" s="13" t="e">
        <v>#N/A</v>
      </c>
      <c r="AA42" s="13" t="e">
        <v>#N/A</v>
      </c>
      <c r="AB42" s="13" t="e">
        <v>#N/A</v>
      </c>
      <c r="AC42" s="13" t="e">
        <v>#N/A</v>
      </c>
      <c r="AD42" s="16" t="e">
        <v>#N/A</v>
      </c>
      <c r="AE42" s="15" t="e">
        <v>#N/A</v>
      </c>
      <c r="AF42" s="13" t="e">
        <v>#N/A</v>
      </c>
      <c r="AG42" s="13" t="e">
        <v>#N/A</v>
      </c>
      <c r="AH42" s="13" t="e">
        <v>#N/A</v>
      </c>
      <c r="AI42" s="13" t="e">
        <v>#N/A</v>
      </c>
      <c r="AJ42" s="13" t="e">
        <v>#N/A</v>
      </c>
      <c r="AK42" s="13" t="e">
        <v>#N/A</v>
      </c>
      <c r="AL42" s="13" t="e">
        <v>#N/A</v>
      </c>
      <c r="AM42" s="13" t="e">
        <v>#N/A</v>
      </c>
      <c r="AN42" s="13" t="e">
        <v>#N/A</v>
      </c>
      <c r="AO42" s="13" t="e">
        <v>#N/A</v>
      </c>
      <c r="AP42" s="13" t="e">
        <v>#N/A</v>
      </c>
      <c r="AQ42" s="13" t="e">
        <v>#N/A</v>
      </c>
      <c r="AR42" s="13" t="e">
        <v>#N/A</v>
      </c>
      <c r="AS42" s="13" t="e">
        <v>#N/A</v>
      </c>
      <c r="AT42" s="13" t="e">
        <v>#N/A</v>
      </c>
      <c r="AU42" s="13" t="e">
        <v>#N/A</v>
      </c>
      <c r="AV42" s="13" t="e">
        <v>#N/A</v>
      </c>
      <c r="AW42" s="13" t="e">
        <v>#N/A</v>
      </c>
      <c r="AX42" s="13" t="e">
        <v>#N/A</v>
      </c>
      <c r="AY42" s="13" t="e">
        <v>#N/A</v>
      </c>
      <c r="AZ42" s="13" t="e">
        <v>#N/A</v>
      </c>
      <c r="BA42" s="13" t="e">
        <v>#N/A</v>
      </c>
      <c r="BB42" s="13" t="e">
        <v>#N/A</v>
      </c>
      <c r="BC42" s="13" t="e">
        <v>#N/A</v>
      </c>
      <c r="BD42" s="16" t="e">
        <v>#N/A</v>
      </c>
      <c r="BE42" s="15" t="e">
        <v>#N/A</v>
      </c>
      <c r="BF42" s="13" t="e">
        <v>#N/A</v>
      </c>
      <c r="BG42" s="13" t="e">
        <v>#N/A</v>
      </c>
      <c r="BH42" s="13" t="e">
        <v>#N/A</v>
      </c>
      <c r="BI42" s="13" t="e">
        <v>#N/A</v>
      </c>
      <c r="BJ42" s="16" t="e">
        <v>#N/A</v>
      </c>
      <c r="BK42" s="15" t="e">
        <v>#N/A</v>
      </c>
      <c r="BL42" s="13" t="e">
        <v>#N/A</v>
      </c>
      <c r="BM42" s="13" t="e">
        <v>#N/A</v>
      </c>
      <c r="BN42" s="13" t="e">
        <v>#N/A</v>
      </c>
      <c r="BO42" s="13" t="e">
        <v>#N/A</v>
      </c>
      <c r="BP42" s="13" t="e">
        <v>#N/A</v>
      </c>
      <c r="BQ42" s="13" t="e">
        <v>#N/A</v>
      </c>
      <c r="BR42" s="13" t="e">
        <v>#N/A</v>
      </c>
      <c r="BS42" s="13" t="e">
        <v>#N/A</v>
      </c>
      <c r="BT42" s="13" t="e">
        <v>#N/A</v>
      </c>
      <c r="BU42" s="13" t="e">
        <v>#N/A</v>
      </c>
      <c r="BV42" s="13" t="e">
        <v>#N/A</v>
      </c>
      <c r="BW42" s="16" t="e">
        <v>#N/A</v>
      </c>
      <c r="BX42" s="15" t="e">
        <v>#N/A</v>
      </c>
      <c r="BY42" s="13" t="e">
        <v>#N/A</v>
      </c>
      <c r="BZ42" s="16" t="e">
        <v>#N/A</v>
      </c>
      <c r="CA42" s="81" t="e">
        <v>#N/A</v>
      </c>
      <c r="CB42" s="13" t="e">
        <v>#N/A</v>
      </c>
      <c r="CC42" s="13" t="e">
        <v>#N/A</v>
      </c>
      <c r="CD42" s="16" t="e">
        <v>#N/A</v>
      </c>
      <c r="CE42" s="16" t="s">
        <v>215</v>
      </c>
    </row>
    <row r="43" spans="5:83" x14ac:dyDescent="0.35">
      <c r="E43" s="79" t="s">
        <v>332</v>
      </c>
      <c r="F43" s="116" t="s">
        <v>144</v>
      </c>
      <c r="G43" s="116" t="s">
        <v>273</v>
      </c>
      <c r="H43" s="15" t="s">
        <v>215</v>
      </c>
      <c r="I43" s="13" t="s">
        <v>215</v>
      </c>
      <c r="J43" s="13" t="s">
        <v>215</v>
      </c>
      <c r="K43" s="13" t="s">
        <v>215</v>
      </c>
      <c r="L43" s="13" t="s">
        <v>215</v>
      </c>
      <c r="M43" s="13" t="s">
        <v>215</v>
      </c>
      <c r="N43" s="13" t="s">
        <v>215</v>
      </c>
      <c r="O43" s="13" t="s">
        <v>215</v>
      </c>
      <c r="P43" s="13" t="s">
        <v>215</v>
      </c>
      <c r="Q43" s="13" t="s">
        <v>215</v>
      </c>
      <c r="R43" s="13" t="s">
        <v>215</v>
      </c>
      <c r="S43" s="13" t="s">
        <v>215</v>
      </c>
      <c r="T43" s="13" t="s">
        <v>206</v>
      </c>
      <c r="U43" s="13" t="s">
        <v>209</v>
      </c>
      <c r="V43" s="13" t="s">
        <v>209</v>
      </c>
      <c r="W43" s="13" t="s">
        <v>215</v>
      </c>
      <c r="X43" s="13" t="s">
        <v>215</v>
      </c>
      <c r="Y43" s="13" t="s">
        <v>215</v>
      </c>
      <c r="Z43" s="13" t="s">
        <v>209</v>
      </c>
      <c r="AA43" s="13" t="s">
        <v>215</v>
      </c>
      <c r="AB43" s="13" t="s">
        <v>215</v>
      </c>
      <c r="AC43" s="13" t="s">
        <v>215</v>
      </c>
      <c r="AD43" s="16" t="s">
        <v>215</v>
      </c>
      <c r="AE43" s="15" t="s">
        <v>215</v>
      </c>
      <c r="AF43" s="13" t="s">
        <v>215</v>
      </c>
      <c r="AG43" s="13" t="s">
        <v>215</v>
      </c>
      <c r="AH43" s="13" t="s">
        <v>215</v>
      </c>
      <c r="AI43" s="13" t="s">
        <v>215</v>
      </c>
      <c r="AJ43" s="13" t="s">
        <v>215</v>
      </c>
      <c r="AK43" s="13" t="s">
        <v>209</v>
      </c>
      <c r="AL43" s="13" t="s">
        <v>215</v>
      </c>
      <c r="AM43" s="13" t="s">
        <v>215</v>
      </c>
      <c r="AN43" s="13" t="s">
        <v>215</v>
      </c>
      <c r="AO43" s="13" t="s">
        <v>215</v>
      </c>
      <c r="AP43" s="13" t="s">
        <v>215</v>
      </c>
      <c r="AQ43" s="13" t="s">
        <v>215</v>
      </c>
      <c r="AR43" s="13" t="s">
        <v>215</v>
      </c>
      <c r="AS43" s="13" t="s">
        <v>215</v>
      </c>
      <c r="AT43" s="13" t="s">
        <v>215</v>
      </c>
      <c r="AU43" s="13" t="s">
        <v>215</v>
      </c>
      <c r="AV43" s="13" t="s">
        <v>215</v>
      </c>
      <c r="AW43" s="13" t="s">
        <v>215</v>
      </c>
      <c r="AX43" s="13" t="s">
        <v>215</v>
      </c>
      <c r="AY43" s="13" t="s">
        <v>215</v>
      </c>
      <c r="AZ43" s="13" t="s">
        <v>215</v>
      </c>
      <c r="BA43" s="13" t="s">
        <v>215</v>
      </c>
      <c r="BB43" s="13" t="s">
        <v>215</v>
      </c>
      <c r="BC43" s="13" t="s">
        <v>215</v>
      </c>
      <c r="BD43" s="16" t="s">
        <v>215</v>
      </c>
      <c r="BE43" s="15" t="s">
        <v>215</v>
      </c>
      <c r="BF43" s="13" t="s">
        <v>215</v>
      </c>
      <c r="BG43" s="13" t="s">
        <v>215</v>
      </c>
      <c r="BH43" s="13" t="s">
        <v>215</v>
      </c>
      <c r="BI43" s="13" t="s">
        <v>209</v>
      </c>
      <c r="BJ43" s="16" t="s">
        <v>215</v>
      </c>
      <c r="BK43" s="15" t="s">
        <v>215</v>
      </c>
      <c r="BL43" s="13" t="s">
        <v>215</v>
      </c>
      <c r="BM43" s="13" t="s">
        <v>215</v>
      </c>
      <c r="BN43" s="13" t="s">
        <v>215</v>
      </c>
      <c r="BO43" s="13" t="s">
        <v>209</v>
      </c>
      <c r="BP43" s="13" t="s">
        <v>215</v>
      </c>
      <c r="BQ43" s="13" t="s">
        <v>215</v>
      </c>
      <c r="BR43" s="13" t="s">
        <v>215</v>
      </c>
      <c r="BS43" s="13" t="s">
        <v>215</v>
      </c>
      <c r="BT43" s="13" t="s">
        <v>215</v>
      </c>
      <c r="BU43" s="13" t="s">
        <v>215</v>
      </c>
      <c r="BV43" s="13" t="s">
        <v>215</v>
      </c>
      <c r="BW43" s="16" t="s">
        <v>215</v>
      </c>
      <c r="BX43" s="15" t="s">
        <v>215</v>
      </c>
      <c r="BY43" s="13" t="s">
        <v>215</v>
      </c>
      <c r="BZ43" s="16" t="s">
        <v>215</v>
      </c>
      <c r="CA43" s="81" t="s">
        <v>215</v>
      </c>
      <c r="CB43" s="13" t="s">
        <v>215</v>
      </c>
      <c r="CC43" s="13" t="s">
        <v>215</v>
      </c>
      <c r="CD43" s="16" t="s">
        <v>215</v>
      </c>
      <c r="CE43" s="16" t="s">
        <v>215</v>
      </c>
    </row>
    <row r="44" spans="5:83" x14ac:dyDescent="0.35">
      <c r="E44" s="79" t="s">
        <v>333</v>
      </c>
      <c r="F44" s="116" t="s">
        <v>152</v>
      </c>
      <c r="G44" s="116" t="s">
        <v>274</v>
      </c>
      <c r="H44" s="15" t="s">
        <v>215</v>
      </c>
      <c r="I44" s="13" t="s">
        <v>215</v>
      </c>
      <c r="J44" s="13" t="s">
        <v>215</v>
      </c>
      <c r="K44" s="13" t="s">
        <v>215</v>
      </c>
      <c r="L44" s="13" t="s">
        <v>215</v>
      </c>
      <c r="M44" s="13" t="s">
        <v>215</v>
      </c>
      <c r="N44" s="13" t="s">
        <v>215</v>
      </c>
      <c r="O44" s="13" t="s">
        <v>215</v>
      </c>
      <c r="P44" s="13" t="s">
        <v>215</v>
      </c>
      <c r="Q44" s="13" t="s">
        <v>215</v>
      </c>
      <c r="R44" s="13" t="s">
        <v>215</v>
      </c>
      <c r="S44" s="13" t="s">
        <v>215</v>
      </c>
      <c r="T44" s="13" t="s">
        <v>206</v>
      </c>
      <c r="U44" s="13" t="s">
        <v>215</v>
      </c>
      <c r="V44" s="13" t="s">
        <v>215</v>
      </c>
      <c r="W44" s="13" t="s">
        <v>215</v>
      </c>
      <c r="X44" s="13" t="s">
        <v>215</v>
      </c>
      <c r="Y44" s="13" t="s">
        <v>215</v>
      </c>
      <c r="Z44" s="13" t="s">
        <v>209</v>
      </c>
      <c r="AA44" s="13" t="s">
        <v>215</v>
      </c>
      <c r="AB44" s="13" t="s">
        <v>215</v>
      </c>
      <c r="AC44" s="13" t="s">
        <v>215</v>
      </c>
      <c r="AD44" s="16" t="s">
        <v>215</v>
      </c>
      <c r="AE44" s="15" t="s">
        <v>215</v>
      </c>
      <c r="AF44" s="13" t="s">
        <v>215</v>
      </c>
      <c r="AG44" s="13" t="s">
        <v>215</v>
      </c>
      <c r="AH44" s="13" t="s">
        <v>209</v>
      </c>
      <c r="AI44" s="13" t="s">
        <v>215</v>
      </c>
      <c r="AJ44" s="13" t="s">
        <v>215</v>
      </c>
      <c r="AK44" s="13" t="s">
        <v>209</v>
      </c>
      <c r="AL44" s="13" t="s">
        <v>215</v>
      </c>
      <c r="AM44" s="13" t="s">
        <v>215</v>
      </c>
      <c r="AN44" s="13" t="s">
        <v>215</v>
      </c>
      <c r="AO44" s="13" t="s">
        <v>209</v>
      </c>
      <c r="AP44" s="13" t="s">
        <v>215</v>
      </c>
      <c r="AQ44" s="13" t="s">
        <v>215</v>
      </c>
      <c r="AR44" s="13" t="s">
        <v>215</v>
      </c>
      <c r="AS44" s="13" t="s">
        <v>209</v>
      </c>
      <c r="AT44" s="13" t="s">
        <v>215</v>
      </c>
      <c r="AU44" s="13" t="s">
        <v>215</v>
      </c>
      <c r="AV44" s="13" t="s">
        <v>215</v>
      </c>
      <c r="AW44" s="13" t="s">
        <v>215</v>
      </c>
      <c r="AX44" s="13" t="s">
        <v>215</v>
      </c>
      <c r="AY44" s="13" t="s">
        <v>215</v>
      </c>
      <c r="AZ44" s="13" t="s">
        <v>215</v>
      </c>
      <c r="BA44" s="13" t="s">
        <v>215</v>
      </c>
      <c r="BB44" s="13" t="s">
        <v>215</v>
      </c>
      <c r="BC44" s="13" t="s">
        <v>215</v>
      </c>
      <c r="BD44" s="16" t="s">
        <v>215</v>
      </c>
      <c r="BE44" s="15" t="s">
        <v>215</v>
      </c>
      <c r="BF44" s="13" t="s">
        <v>215</v>
      </c>
      <c r="BG44" s="13" t="s">
        <v>215</v>
      </c>
      <c r="BH44" s="13" t="s">
        <v>215</v>
      </c>
      <c r="BI44" s="13" t="s">
        <v>215</v>
      </c>
      <c r="BJ44" s="16" t="s">
        <v>209</v>
      </c>
      <c r="BK44" s="15" t="s">
        <v>215</v>
      </c>
      <c r="BL44" s="13" t="s">
        <v>215</v>
      </c>
      <c r="BM44" s="13" t="s">
        <v>215</v>
      </c>
      <c r="BN44" s="13" t="s">
        <v>215</v>
      </c>
      <c r="BO44" s="13" t="s">
        <v>209</v>
      </c>
      <c r="BP44" s="13" t="s">
        <v>215</v>
      </c>
      <c r="BQ44" s="13" t="s">
        <v>215</v>
      </c>
      <c r="BR44" s="13" t="s">
        <v>215</v>
      </c>
      <c r="BS44" s="13" t="s">
        <v>215</v>
      </c>
      <c r="BT44" s="13" t="s">
        <v>215</v>
      </c>
      <c r="BU44" s="13" t="s">
        <v>215</v>
      </c>
      <c r="BV44" s="13" t="s">
        <v>215</v>
      </c>
      <c r="BW44" s="16" t="s">
        <v>215</v>
      </c>
      <c r="BX44" s="15" t="s">
        <v>215</v>
      </c>
      <c r="BY44" s="13" t="s">
        <v>215</v>
      </c>
      <c r="BZ44" s="16" t="s">
        <v>215</v>
      </c>
      <c r="CA44" s="81" t="s">
        <v>215</v>
      </c>
      <c r="CB44" s="13" t="s">
        <v>215</v>
      </c>
      <c r="CC44" s="13" t="s">
        <v>215</v>
      </c>
      <c r="CD44" s="16" t="s">
        <v>215</v>
      </c>
      <c r="CE44" s="16" t="s">
        <v>215</v>
      </c>
    </row>
    <row r="45" spans="5:83" x14ac:dyDescent="0.35">
      <c r="E45" s="79" t="s">
        <v>334</v>
      </c>
      <c r="F45" s="116" t="s">
        <v>109</v>
      </c>
      <c r="G45" s="116" t="s">
        <v>273</v>
      </c>
      <c r="H45" s="15" t="s">
        <v>215</v>
      </c>
      <c r="I45" s="13" t="s">
        <v>215</v>
      </c>
      <c r="J45" s="13" t="s">
        <v>215</v>
      </c>
      <c r="K45" s="13" t="s">
        <v>209</v>
      </c>
      <c r="L45" s="13" t="s">
        <v>215</v>
      </c>
      <c r="M45" s="13" t="s">
        <v>215</v>
      </c>
      <c r="N45" s="13" t="s">
        <v>215</v>
      </c>
      <c r="O45" s="13" t="s">
        <v>215</v>
      </c>
      <c r="P45" s="13" t="s">
        <v>215</v>
      </c>
      <c r="Q45" s="13" t="s">
        <v>215</v>
      </c>
      <c r="R45" s="13" t="s">
        <v>215</v>
      </c>
      <c r="S45" s="13" t="s">
        <v>215</v>
      </c>
      <c r="T45" s="13" t="s">
        <v>215</v>
      </c>
      <c r="U45" s="13" t="s">
        <v>206</v>
      </c>
      <c r="V45" s="13" t="s">
        <v>215</v>
      </c>
      <c r="W45" s="13" t="s">
        <v>215</v>
      </c>
      <c r="X45" s="13" t="s">
        <v>215</v>
      </c>
      <c r="Y45" s="13" t="s">
        <v>215</v>
      </c>
      <c r="Z45" s="13" t="s">
        <v>209</v>
      </c>
      <c r="AA45" s="13" t="s">
        <v>215</v>
      </c>
      <c r="AB45" s="13" t="s">
        <v>215</v>
      </c>
      <c r="AC45" s="13" t="s">
        <v>215</v>
      </c>
      <c r="AD45" s="16" t="s">
        <v>215</v>
      </c>
      <c r="AE45" s="15" t="s">
        <v>215</v>
      </c>
      <c r="AF45" s="13" t="s">
        <v>215</v>
      </c>
      <c r="AG45" s="13" t="s">
        <v>215</v>
      </c>
      <c r="AH45" s="13" t="s">
        <v>215</v>
      </c>
      <c r="AI45" s="13" t="s">
        <v>215</v>
      </c>
      <c r="AJ45" s="13" t="s">
        <v>215</v>
      </c>
      <c r="AK45" s="13" t="s">
        <v>215</v>
      </c>
      <c r="AL45" s="13" t="s">
        <v>215</v>
      </c>
      <c r="AM45" s="13" t="s">
        <v>215</v>
      </c>
      <c r="AN45" s="13" t="s">
        <v>215</v>
      </c>
      <c r="AO45" s="13" t="s">
        <v>215</v>
      </c>
      <c r="AP45" s="13" t="s">
        <v>215</v>
      </c>
      <c r="AQ45" s="13" t="s">
        <v>215</v>
      </c>
      <c r="AR45" s="13" t="s">
        <v>215</v>
      </c>
      <c r="AS45" s="13" t="s">
        <v>209</v>
      </c>
      <c r="AT45" s="13" t="s">
        <v>215</v>
      </c>
      <c r="AU45" s="13" t="s">
        <v>215</v>
      </c>
      <c r="AV45" s="13" t="s">
        <v>209</v>
      </c>
      <c r="AW45" s="13" t="s">
        <v>215</v>
      </c>
      <c r="AX45" s="13" t="s">
        <v>215</v>
      </c>
      <c r="AY45" s="13" t="s">
        <v>215</v>
      </c>
      <c r="AZ45" s="13" t="s">
        <v>215</v>
      </c>
      <c r="BA45" s="13" t="s">
        <v>215</v>
      </c>
      <c r="BB45" s="13" t="s">
        <v>215</v>
      </c>
      <c r="BC45" s="13" t="s">
        <v>215</v>
      </c>
      <c r="BD45" s="16" t="s">
        <v>215</v>
      </c>
      <c r="BE45" s="15" t="s">
        <v>215</v>
      </c>
      <c r="BF45" s="13" t="s">
        <v>215</v>
      </c>
      <c r="BG45" s="13" t="s">
        <v>215</v>
      </c>
      <c r="BH45" s="13" t="s">
        <v>215</v>
      </c>
      <c r="BI45" s="13" t="s">
        <v>209</v>
      </c>
      <c r="BJ45" s="16" t="s">
        <v>215</v>
      </c>
      <c r="BK45" s="15" t="s">
        <v>215</v>
      </c>
      <c r="BL45" s="13" t="s">
        <v>209</v>
      </c>
      <c r="BM45" s="13" t="s">
        <v>215</v>
      </c>
      <c r="BN45" s="13" t="s">
        <v>215</v>
      </c>
      <c r="BO45" s="13" t="s">
        <v>215</v>
      </c>
      <c r="BP45" s="13" t="s">
        <v>215</v>
      </c>
      <c r="BQ45" s="13" t="s">
        <v>215</v>
      </c>
      <c r="BR45" s="13" t="s">
        <v>215</v>
      </c>
      <c r="BS45" s="13" t="s">
        <v>215</v>
      </c>
      <c r="BT45" s="13" t="s">
        <v>215</v>
      </c>
      <c r="BU45" s="13" t="s">
        <v>215</v>
      </c>
      <c r="BV45" s="13" t="s">
        <v>215</v>
      </c>
      <c r="BW45" s="16" t="s">
        <v>215</v>
      </c>
      <c r="BX45" s="15" t="s">
        <v>215</v>
      </c>
      <c r="BY45" s="13" t="s">
        <v>215</v>
      </c>
      <c r="BZ45" s="16" t="s">
        <v>215</v>
      </c>
      <c r="CA45" s="81" t="s">
        <v>215</v>
      </c>
      <c r="CB45" s="13" t="s">
        <v>215</v>
      </c>
      <c r="CC45" s="13" t="s">
        <v>215</v>
      </c>
      <c r="CD45" s="16" t="s">
        <v>215</v>
      </c>
      <c r="CE45" s="16" t="s">
        <v>215</v>
      </c>
    </row>
    <row r="46" spans="5:83" x14ac:dyDescent="0.35">
      <c r="E46" s="79" t="s">
        <v>335</v>
      </c>
      <c r="F46" s="116" t="s">
        <v>123</v>
      </c>
      <c r="G46" s="116" t="s">
        <v>273</v>
      </c>
      <c r="H46" s="15" t="s">
        <v>215</v>
      </c>
      <c r="I46" s="13" t="s">
        <v>215</v>
      </c>
      <c r="J46" s="13" t="s">
        <v>215</v>
      </c>
      <c r="K46" s="13" t="s">
        <v>206</v>
      </c>
      <c r="L46" s="13" t="s">
        <v>215</v>
      </c>
      <c r="M46" s="13" t="s">
        <v>215</v>
      </c>
      <c r="N46" s="13" t="s">
        <v>215</v>
      </c>
      <c r="O46" s="13" t="s">
        <v>215</v>
      </c>
      <c r="P46" s="13" t="s">
        <v>215</v>
      </c>
      <c r="Q46" s="13" t="s">
        <v>215</v>
      </c>
      <c r="R46" s="13" t="s">
        <v>215</v>
      </c>
      <c r="S46" s="13" t="s">
        <v>215</v>
      </c>
      <c r="T46" s="13" t="s">
        <v>215</v>
      </c>
      <c r="U46" s="13" t="s">
        <v>206</v>
      </c>
      <c r="V46" s="13" t="s">
        <v>215</v>
      </c>
      <c r="W46" s="13" t="s">
        <v>215</v>
      </c>
      <c r="X46" s="13" t="s">
        <v>215</v>
      </c>
      <c r="Y46" s="13" t="s">
        <v>215</v>
      </c>
      <c r="Z46" s="13" t="s">
        <v>209</v>
      </c>
      <c r="AA46" s="13" t="s">
        <v>215</v>
      </c>
      <c r="AB46" s="13" t="s">
        <v>215</v>
      </c>
      <c r="AC46" s="13" t="s">
        <v>215</v>
      </c>
      <c r="AD46" s="16" t="s">
        <v>215</v>
      </c>
      <c r="AE46" s="15" t="s">
        <v>215</v>
      </c>
      <c r="AF46" s="13" t="s">
        <v>209</v>
      </c>
      <c r="AG46" s="13" t="s">
        <v>215</v>
      </c>
      <c r="AH46" s="13" t="s">
        <v>215</v>
      </c>
      <c r="AI46" s="13" t="s">
        <v>215</v>
      </c>
      <c r="AJ46" s="13" t="s">
        <v>215</v>
      </c>
      <c r="AK46" s="13" t="s">
        <v>215</v>
      </c>
      <c r="AL46" s="13" t="s">
        <v>215</v>
      </c>
      <c r="AM46" s="13" t="s">
        <v>215</v>
      </c>
      <c r="AN46" s="13" t="s">
        <v>215</v>
      </c>
      <c r="AO46" s="13" t="s">
        <v>215</v>
      </c>
      <c r="AP46" s="13" t="s">
        <v>209</v>
      </c>
      <c r="AQ46" s="13" t="s">
        <v>215</v>
      </c>
      <c r="AR46" s="13" t="s">
        <v>215</v>
      </c>
      <c r="AS46" s="13" t="s">
        <v>215</v>
      </c>
      <c r="AT46" s="13" t="s">
        <v>215</v>
      </c>
      <c r="AU46" s="13" t="s">
        <v>215</v>
      </c>
      <c r="AV46" s="13" t="s">
        <v>215</v>
      </c>
      <c r="AW46" s="13" t="s">
        <v>215</v>
      </c>
      <c r="AX46" s="13" t="s">
        <v>215</v>
      </c>
      <c r="AY46" s="13" t="s">
        <v>215</v>
      </c>
      <c r="AZ46" s="13" t="s">
        <v>215</v>
      </c>
      <c r="BA46" s="13" t="s">
        <v>215</v>
      </c>
      <c r="BB46" s="13" t="s">
        <v>215</v>
      </c>
      <c r="BC46" s="13" t="s">
        <v>215</v>
      </c>
      <c r="BD46" s="16" t="s">
        <v>215</v>
      </c>
      <c r="BE46" s="15" t="s">
        <v>215</v>
      </c>
      <c r="BF46" s="13" t="s">
        <v>215</v>
      </c>
      <c r="BG46" s="13" t="s">
        <v>215</v>
      </c>
      <c r="BH46" s="13" t="s">
        <v>215</v>
      </c>
      <c r="BI46" s="13" t="s">
        <v>209</v>
      </c>
      <c r="BJ46" s="16" t="s">
        <v>215</v>
      </c>
      <c r="BK46" s="15" t="s">
        <v>215</v>
      </c>
      <c r="BL46" s="13" t="s">
        <v>215</v>
      </c>
      <c r="BM46" s="13" t="s">
        <v>215</v>
      </c>
      <c r="BN46" s="13" t="s">
        <v>215</v>
      </c>
      <c r="BO46" s="13" t="s">
        <v>215</v>
      </c>
      <c r="BP46" s="13" t="s">
        <v>215</v>
      </c>
      <c r="BQ46" s="13" t="s">
        <v>215</v>
      </c>
      <c r="BR46" s="13" t="s">
        <v>215</v>
      </c>
      <c r="BS46" s="13" t="s">
        <v>215</v>
      </c>
      <c r="BT46" s="13" t="s">
        <v>215</v>
      </c>
      <c r="BU46" s="13" t="s">
        <v>215</v>
      </c>
      <c r="BV46" s="13" t="s">
        <v>215</v>
      </c>
      <c r="BW46" s="16" t="s">
        <v>215</v>
      </c>
      <c r="BX46" s="15" t="s">
        <v>215</v>
      </c>
      <c r="BY46" s="13" t="s">
        <v>215</v>
      </c>
      <c r="BZ46" s="16" t="s">
        <v>215</v>
      </c>
      <c r="CA46" s="81" t="s">
        <v>215</v>
      </c>
      <c r="CB46" s="13" t="s">
        <v>215</v>
      </c>
      <c r="CC46" s="13" t="s">
        <v>215</v>
      </c>
      <c r="CD46" s="16" t="s">
        <v>215</v>
      </c>
      <c r="CE46" s="16" t="s">
        <v>215</v>
      </c>
    </row>
    <row r="47" spans="5:83" x14ac:dyDescent="0.35">
      <c r="E47" s="79" t="s">
        <v>336</v>
      </c>
      <c r="F47" s="116" t="s">
        <v>281</v>
      </c>
      <c r="G47" s="116" t="s">
        <v>275</v>
      </c>
      <c r="H47" s="15" t="e">
        <v>#N/A</v>
      </c>
      <c r="I47" s="13" t="e">
        <v>#N/A</v>
      </c>
      <c r="J47" s="13" t="e">
        <v>#N/A</v>
      </c>
      <c r="K47" s="13" t="e">
        <v>#N/A</v>
      </c>
      <c r="L47" s="13" t="e">
        <v>#N/A</v>
      </c>
      <c r="M47" s="13" t="e">
        <v>#N/A</v>
      </c>
      <c r="N47" s="13" t="e">
        <v>#N/A</v>
      </c>
      <c r="O47" s="13" t="e">
        <v>#N/A</v>
      </c>
      <c r="P47" s="13" t="e">
        <v>#N/A</v>
      </c>
      <c r="Q47" s="13" t="e">
        <v>#N/A</v>
      </c>
      <c r="R47" s="13" t="e">
        <v>#N/A</v>
      </c>
      <c r="S47" s="13" t="e">
        <v>#N/A</v>
      </c>
      <c r="T47" s="13" t="e">
        <v>#N/A</v>
      </c>
      <c r="U47" s="13" t="e">
        <v>#N/A</v>
      </c>
      <c r="V47" s="13" t="e">
        <v>#N/A</v>
      </c>
      <c r="W47" s="13" t="e">
        <v>#N/A</v>
      </c>
      <c r="X47" s="13" t="e">
        <v>#N/A</v>
      </c>
      <c r="Y47" s="13" t="e">
        <v>#N/A</v>
      </c>
      <c r="Z47" s="13" t="e">
        <v>#N/A</v>
      </c>
      <c r="AA47" s="13" t="e">
        <v>#N/A</v>
      </c>
      <c r="AB47" s="13" t="e">
        <v>#N/A</v>
      </c>
      <c r="AC47" s="13" t="e">
        <v>#N/A</v>
      </c>
      <c r="AD47" s="16" t="e">
        <v>#N/A</v>
      </c>
      <c r="AE47" s="15" t="e">
        <v>#N/A</v>
      </c>
      <c r="AF47" s="13" t="e">
        <v>#N/A</v>
      </c>
      <c r="AG47" s="13" t="e">
        <v>#N/A</v>
      </c>
      <c r="AH47" s="13" t="e">
        <v>#N/A</v>
      </c>
      <c r="AI47" s="13" t="e">
        <v>#N/A</v>
      </c>
      <c r="AJ47" s="13" t="e">
        <v>#N/A</v>
      </c>
      <c r="AK47" s="13" t="e">
        <v>#N/A</v>
      </c>
      <c r="AL47" s="13" t="e">
        <v>#N/A</v>
      </c>
      <c r="AM47" s="13" t="e">
        <v>#N/A</v>
      </c>
      <c r="AN47" s="13" t="e">
        <v>#N/A</v>
      </c>
      <c r="AO47" s="13" t="e">
        <v>#N/A</v>
      </c>
      <c r="AP47" s="13" t="e">
        <v>#N/A</v>
      </c>
      <c r="AQ47" s="13" t="e">
        <v>#N/A</v>
      </c>
      <c r="AR47" s="13" t="e">
        <v>#N/A</v>
      </c>
      <c r="AS47" s="13" t="e">
        <v>#N/A</v>
      </c>
      <c r="AT47" s="13" t="e">
        <v>#N/A</v>
      </c>
      <c r="AU47" s="13" t="e">
        <v>#N/A</v>
      </c>
      <c r="AV47" s="13" t="e">
        <v>#N/A</v>
      </c>
      <c r="AW47" s="13" t="e">
        <v>#N/A</v>
      </c>
      <c r="AX47" s="13" t="e">
        <v>#N/A</v>
      </c>
      <c r="AY47" s="13" t="e">
        <v>#N/A</v>
      </c>
      <c r="AZ47" s="13" t="e">
        <v>#N/A</v>
      </c>
      <c r="BA47" s="13" t="e">
        <v>#N/A</v>
      </c>
      <c r="BB47" s="13" t="e">
        <v>#N/A</v>
      </c>
      <c r="BC47" s="13" t="e">
        <v>#N/A</v>
      </c>
      <c r="BD47" s="16" t="e">
        <v>#N/A</v>
      </c>
      <c r="BE47" s="15" t="e">
        <v>#N/A</v>
      </c>
      <c r="BF47" s="13" t="e">
        <v>#N/A</v>
      </c>
      <c r="BG47" s="13" t="e">
        <v>#N/A</v>
      </c>
      <c r="BH47" s="13" t="e">
        <v>#N/A</v>
      </c>
      <c r="BI47" s="13" t="e">
        <v>#N/A</v>
      </c>
      <c r="BJ47" s="16" t="e">
        <v>#N/A</v>
      </c>
      <c r="BK47" s="15" t="e">
        <v>#N/A</v>
      </c>
      <c r="BL47" s="13" t="e">
        <v>#N/A</v>
      </c>
      <c r="BM47" s="13" t="e">
        <v>#N/A</v>
      </c>
      <c r="BN47" s="13" t="e">
        <v>#N/A</v>
      </c>
      <c r="BO47" s="13" t="e">
        <v>#N/A</v>
      </c>
      <c r="BP47" s="13" t="e">
        <v>#N/A</v>
      </c>
      <c r="BQ47" s="13" t="e">
        <v>#N/A</v>
      </c>
      <c r="BR47" s="13" t="e">
        <v>#N/A</v>
      </c>
      <c r="BS47" s="13" t="e">
        <v>#N/A</v>
      </c>
      <c r="BT47" s="13" t="e">
        <v>#N/A</v>
      </c>
      <c r="BU47" s="13" t="e">
        <v>#N/A</v>
      </c>
      <c r="BV47" s="13" t="e">
        <v>#N/A</v>
      </c>
      <c r="BW47" s="16" t="e">
        <v>#N/A</v>
      </c>
      <c r="BX47" s="15" t="e">
        <v>#N/A</v>
      </c>
      <c r="BY47" s="13" t="e">
        <v>#N/A</v>
      </c>
      <c r="BZ47" s="16" t="e">
        <v>#N/A</v>
      </c>
      <c r="CA47" s="81" t="e">
        <v>#N/A</v>
      </c>
      <c r="CB47" s="13" t="e">
        <v>#N/A</v>
      </c>
      <c r="CC47" s="13" t="e">
        <v>#N/A</v>
      </c>
      <c r="CD47" s="16" t="e">
        <v>#N/A</v>
      </c>
      <c r="CE47" s="16" t="s">
        <v>215</v>
      </c>
    </row>
    <row r="48" spans="5:83" x14ac:dyDescent="0.35">
      <c r="E48" s="79" t="s">
        <v>337</v>
      </c>
      <c r="F48" s="116" t="s">
        <v>281</v>
      </c>
      <c r="G48" s="116" t="s">
        <v>275</v>
      </c>
      <c r="H48" s="15" t="e">
        <v>#N/A</v>
      </c>
      <c r="I48" s="13" t="e">
        <v>#N/A</v>
      </c>
      <c r="J48" s="13" t="e">
        <v>#N/A</v>
      </c>
      <c r="K48" s="13" t="e">
        <v>#N/A</v>
      </c>
      <c r="L48" s="13" t="e">
        <v>#N/A</v>
      </c>
      <c r="M48" s="13" t="e">
        <v>#N/A</v>
      </c>
      <c r="N48" s="13" t="e">
        <v>#N/A</v>
      </c>
      <c r="O48" s="13" t="e">
        <v>#N/A</v>
      </c>
      <c r="P48" s="13" t="e">
        <v>#N/A</v>
      </c>
      <c r="Q48" s="13" t="e">
        <v>#N/A</v>
      </c>
      <c r="R48" s="13" t="e">
        <v>#N/A</v>
      </c>
      <c r="S48" s="13" t="e">
        <v>#N/A</v>
      </c>
      <c r="T48" s="13" t="e">
        <v>#N/A</v>
      </c>
      <c r="U48" s="13" t="e">
        <v>#N/A</v>
      </c>
      <c r="V48" s="13" t="e">
        <v>#N/A</v>
      </c>
      <c r="W48" s="13" t="e">
        <v>#N/A</v>
      </c>
      <c r="X48" s="13" t="e">
        <v>#N/A</v>
      </c>
      <c r="Y48" s="13" t="e">
        <v>#N/A</v>
      </c>
      <c r="Z48" s="13" t="e">
        <v>#N/A</v>
      </c>
      <c r="AA48" s="13" t="e">
        <v>#N/A</v>
      </c>
      <c r="AB48" s="13" t="e">
        <v>#N/A</v>
      </c>
      <c r="AC48" s="13" t="e">
        <v>#N/A</v>
      </c>
      <c r="AD48" s="16" t="e">
        <v>#N/A</v>
      </c>
      <c r="AE48" s="15" t="e">
        <v>#N/A</v>
      </c>
      <c r="AF48" s="13" t="e">
        <v>#N/A</v>
      </c>
      <c r="AG48" s="13" t="e">
        <v>#N/A</v>
      </c>
      <c r="AH48" s="13" t="e">
        <v>#N/A</v>
      </c>
      <c r="AI48" s="13" t="e">
        <v>#N/A</v>
      </c>
      <c r="AJ48" s="13" t="e">
        <v>#N/A</v>
      </c>
      <c r="AK48" s="13" t="e">
        <v>#N/A</v>
      </c>
      <c r="AL48" s="13" t="e">
        <v>#N/A</v>
      </c>
      <c r="AM48" s="13" t="e">
        <v>#N/A</v>
      </c>
      <c r="AN48" s="13" t="e">
        <v>#N/A</v>
      </c>
      <c r="AO48" s="13" t="e">
        <v>#N/A</v>
      </c>
      <c r="AP48" s="13" t="e">
        <v>#N/A</v>
      </c>
      <c r="AQ48" s="13" t="e">
        <v>#N/A</v>
      </c>
      <c r="AR48" s="13" t="e">
        <v>#N/A</v>
      </c>
      <c r="AS48" s="13" t="e">
        <v>#N/A</v>
      </c>
      <c r="AT48" s="13" t="e">
        <v>#N/A</v>
      </c>
      <c r="AU48" s="13" t="e">
        <v>#N/A</v>
      </c>
      <c r="AV48" s="13" t="e">
        <v>#N/A</v>
      </c>
      <c r="AW48" s="13" t="e">
        <v>#N/A</v>
      </c>
      <c r="AX48" s="13" t="e">
        <v>#N/A</v>
      </c>
      <c r="AY48" s="13" t="e">
        <v>#N/A</v>
      </c>
      <c r="AZ48" s="13" t="e">
        <v>#N/A</v>
      </c>
      <c r="BA48" s="13" t="e">
        <v>#N/A</v>
      </c>
      <c r="BB48" s="13" t="e">
        <v>#N/A</v>
      </c>
      <c r="BC48" s="13" t="e">
        <v>#N/A</v>
      </c>
      <c r="BD48" s="16" t="e">
        <v>#N/A</v>
      </c>
      <c r="BE48" s="15" t="e">
        <v>#N/A</v>
      </c>
      <c r="BF48" s="13" t="e">
        <v>#N/A</v>
      </c>
      <c r="BG48" s="13" t="e">
        <v>#N/A</v>
      </c>
      <c r="BH48" s="13" t="e">
        <v>#N/A</v>
      </c>
      <c r="BI48" s="13" t="e">
        <v>#N/A</v>
      </c>
      <c r="BJ48" s="16" t="e">
        <v>#N/A</v>
      </c>
      <c r="BK48" s="15" t="e">
        <v>#N/A</v>
      </c>
      <c r="BL48" s="13" t="e">
        <v>#N/A</v>
      </c>
      <c r="BM48" s="13" t="e">
        <v>#N/A</v>
      </c>
      <c r="BN48" s="13" t="e">
        <v>#N/A</v>
      </c>
      <c r="BO48" s="13" t="e">
        <v>#N/A</v>
      </c>
      <c r="BP48" s="13" t="e">
        <v>#N/A</v>
      </c>
      <c r="BQ48" s="13" t="e">
        <v>#N/A</v>
      </c>
      <c r="BR48" s="13" t="e">
        <v>#N/A</v>
      </c>
      <c r="BS48" s="13" t="e">
        <v>#N/A</v>
      </c>
      <c r="BT48" s="13" t="e">
        <v>#N/A</v>
      </c>
      <c r="BU48" s="13" t="e">
        <v>#N/A</v>
      </c>
      <c r="BV48" s="13" t="e">
        <v>#N/A</v>
      </c>
      <c r="BW48" s="16" t="e">
        <v>#N/A</v>
      </c>
      <c r="BX48" s="15" t="e">
        <v>#N/A</v>
      </c>
      <c r="BY48" s="13" t="e">
        <v>#N/A</v>
      </c>
      <c r="BZ48" s="16" t="e">
        <v>#N/A</v>
      </c>
      <c r="CA48" s="81" t="e">
        <v>#N/A</v>
      </c>
      <c r="CB48" s="13" t="e">
        <v>#N/A</v>
      </c>
      <c r="CC48" s="13" t="e">
        <v>#N/A</v>
      </c>
      <c r="CD48" s="16" t="e">
        <v>#N/A</v>
      </c>
      <c r="CE48" s="16" t="s">
        <v>215</v>
      </c>
    </row>
    <row r="49" spans="5:83" x14ac:dyDescent="0.35">
      <c r="E49" s="79" t="s">
        <v>338</v>
      </c>
      <c r="F49" s="116" t="s">
        <v>281</v>
      </c>
      <c r="G49" s="116" t="s">
        <v>275</v>
      </c>
      <c r="H49" s="15" t="e">
        <v>#N/A</v>
      </c>
      <c r="I49" s="13" t="e">
        <v>#N/A</v>
      </c>
      <c r="J49" s="13" t="e">
        <v>#N/A</v>
      </c>
      <c r="K49" s="13" t="e">
        <v>#N/A</v>
      </c>
      <c r="L49" s="13" t="e">
        <v>#N/A</v>
      </c>
      <c r="M49" s="13" t="e">
        <v>#N/A</v>
      </c>
      <c r="N49" s="13" t="e">
        <v>#N/A</v>
      </c>
      <c r="O49" s="13" t="e">
        <v>#N/A</v>
      </c>
      <c r="P49" s="13" t="e">
        <v>#N/A</v>
      </c>
      <c r="Q49" s="13" t="e">
        <v>#N/A</v>
      </c>
      <c r="R49" s="13" t="e">
        <v>#N/A</v>
      </c>
      <c r="S49" s="13" t="e">
        <v>#N/A</v>
      </c>
      <c r="T49" s="13" t="e">
        <v>#N/A</v>
      </c>
      <c r="U49" s="13" t="e">
        <v>#N/A</v>
      </c>
      <c r="V49" s="13" t="e">
        <v>#N/A</v>
      </c>
      <c r="W49" s="13" t="e">
        <v>#N/A</v>
      </c>
      <c r="X49" s="13" t="e">
        <v>#N/A</v>
      </c>
      <c r="Y49" s="13" t="e">
        <v>#N/A</v>
      </c>
      <c r="Z49" s="13" t="e">
        <v>#N/A</v>
      </c>
      <c r="AA49" s="13" t="e">
        <v>#N/A</v>
      </c>
      <c r="AB49" s="13" t="e">
        <v>#N/A</v>
      </c>
      <c r="AC49" s="13" t="e">
        <v>#N/A</v>
      </c>
      <c r="AD49" s="16" t="e">
        <v>#N/A</v>
      </c>
      <c r="AE49" s="15" t="e">
        <v>#N/A</v>
      </c>
      <c r="AF49" s="13" t="e">
        <v>#N/A</v>
      </c>
      <c r="AG49" s="13" t="e">
        <v>#N/A</v>
      </c>
      <c r="AH49" s="13" t="e">
        <v>#N/A</v>
      </c>
      <c r="AI49" s="13" t="e">
        <v>#N/A</v>
      </c>
      <c r="AJ49" s="13" t="e">
        <v>#N/A</v>
      </c>
      <c r="AK49" s="13" t="e">
        <v>#N/A</v>
      </c>
      <c r="AL49" s="13" t="e">
        <v>#N/A</v>
      </c>
      <c r="AM49" s="13" t="e">
        <v>#N/A</v>
      </c>
      <c r="AN49" s="13" t="e">
        <v>#N/A</v>
      </c>
      <c r="AO49" s="13" t="e">
        <v>#N/A</v>
      </c>
      <c r="AP49" s="13" t="e">
        <v>#N/A</v>
      </c>
      <c r="AQ49" s="13" t="e">
        <v>#N/A</v>
      </c>
      <c r="AR49" s="13" t="e">
        <v>#N/A</v>
      </c>
      <c r="AS49" s="13" t="e">
        <v>#N/A</v>
      </c>
      <c r="AT49" s="13" t="e">
        <v>#N/A</v>
      </c>
      <c r="AU49" s="13" t="e">
        <v>#N/A</v>
      </c>
      <c r="AV49" s="13" t="e">
        <v>#N/A</v>
      </c>
      <c r="AW49" s="13" t="e">
        <v>#N/A</v>
      </c>
      <c r="AX49" s="13" t="e">
        <v>#N/A</v>
      </c>
      <c r="AY49" s="13" t="e">
        <v>#N/A</v>
      </c>
      <c r="AZ49" s="13" t="e">
        <v>#N/A</v>
      </c>
      <c r="BA49" s="13" t="e">
        <v>#N/A</v>
      </c>
      <c r="BB49" s="13" t="e">
        <v>#N/A</v>
      </c>
      <c r="BC49" s="13" t="e">
        <v>#N/A</v>
      </c>
      <c r="BD49" s="16" t="e">
        <v>#N/A</v>
      </c>
      <c r="BE49" s="15" t="e">
        <v>#N/A</v>
      </c>
      <c r="BF49" s="13" t="e">
        <v>#N/A</v>
      </c>
      <c r="BG49" s="13" t="e">
        <v>#N/A</v>
      </c>
      <c r="BH49" s="13" t="e">
        <v>#N/A</v>
      </c>
      <c r="BI49" s="13" t="e">
        <v>#N/A</v>
      </c>
      <c r="BJ49" s="16" t="e">
        <v>#N/A</v>
      </c>
      <c r="BK49" s="15" t="e">
        <v>#N/A</v>
      </c>
      <c r="BL49" s="13" t="e">
        <v>#N/A</v>
      </c>
      <c r="BM49" s="13" t="e">
        <v>#N/A</v>
      </c>
      <c r="BN49" s="13" t="e">
        <v>#N/A</v>
      </c>
      <c r="BO49" s="13" t="e">
        <v>#N/A</v>
      </c>
      <c r="BP49" s="13" t="e">
        <v>#N/A</v>
      </c>
      <c r="BQ49" s="13" t="e">
        <v>#N/A</v>
      </c>
      <c r="BR49" s="13" t="e">
        <v>#N/A</v>
      </c>
      <c r="BS49" s="13" t="e">
        <v>#N/A</v>
      </c>
      <c r="BT49" s="13" t="e">
        <v>#N/A</v>
      </c>
      <c r="BU49" s="13" t="e">
        <v>#N/A</v>
      </c>
      <c r="BV49" s="13" t="e">
        <v>#N/A</v>
      </c>
      <c r="BW49" s="16" t="e">
        <v>#N/A</v>
      </c>
      <c r="BX49" s="15" t="e">
        <v>#N/A</v>
      </c>
      <c r="BY49" s="13" t="e">
        <v>#N/A</v>
      </c>
      <c r="BZ49" s="16" t="e">
        <v>#N/A</v>
      </c>
      <c r="CA49" s="81" t="e">
        <v>#N/A</v>
      </c>
      <c r="CB49" s="13" t="e">
        <v>#N/A</v>
      </c>
      <c r="CC49" s="13" t="e">
        <v>#N/A</v>
      </c>
      <c r="CD49" s="16" t="e">
        <v>#N/A</v>
      </c>
      <c r="CE49" s="16" t="s">
        <v>215</v>
      </c>
    </row>
    <row r="50" spans="5:83" x14ac:dyDescent="0.35">
      <c r="E50" s="79" t="s">
        <v>339</v>
      </c>
      <c r="F50" s="116" t="s">
        <v>104</v>
      </c>
      <c r="G50" s="116" t="s">
        <v>273</v>
      </c>
      <c r="H50" s="15" t="s">
        <v>215</v>
      </c>
      <c r="I50" s="13" t="s">
        <v>215</v>
      </c>
      <c r="J50" s="13" t="s">
        <v>215</v>
      </c>
      <c r="K50" s="13" t="s">
        <v>215</v>
      </c>
      <c r="L50" s="13" t="s">
        <v>215</v>
      </c>
      <c r="M50" s="13" t="s">
        <v>215</v>
      </c>
      <c r="N50" s="13" t="s">
        <v>215</v>
      </c>
      <c r="O50" s="13" t="s">
        <v>215</v>
      </c>
      <c r="P50" s="13" t="s">
        <v>215</v>
      </c>
      <c r="Q50" s="13" t="s">
        <v>215</v>
      </c>
      <c r="R50" s="13" t="s">
        <v>215</v>
      </c>
      <c r="S50" s="13" t="s">
        <v>215</v>
      </c>
      <c r="T50" s="13" t="s">
        <v>215</v>
      </c>
      <c r="U50" s="13" t="s">
        <v>215</v>
      </c>
      <c r="V50" s="13" t="s">
        <v>215</v>
      </c>
      <c r="W50" s="13" t="s">
        <v>215</v>
      </c>
      <c r="X50" s="13" t="s">
        <v>215</v>
      </c>
      <c r="Y50" s="13" t="s">
        <v>215</v>
      </c>
      <c r="Z50" s="13" t="s">
        <v>215</v>
      </c>
      <c r="AA50" s="13" t="s">
        <v>215</v>
      </c>
      <c r="AB50" s="13" t="s">
        <v>215</v>
      </c>
      <c r="AC50" s="13" t="s">
        <v>215</v>
      </c>
      <c r="AD50" s="16" t="s">
        <v>215</v>
      </c>
      <c r="AE50" s="15" t="s">
        <v>215</v>
      </c>
      <c r="AF50" s="13" t="s">
        <v>215</v>
      </c>
      <c r="AG50" s="13" t="s">
        <v>215</v>
      </c>
      <c r="AH50" s="13" t="s">
        <v>215</v>
      </c>
      <c r="AI50" s="13" t="s">
        <v>215</v>
      </c>
      <c r="AJ50" s="13" t="s">
        <v>215</v>
      </c>
      <c r="AK50" s="13" t="s">
        <v>215</v>
      </c>
      <c r="AL50" s="13" t="s">
        <v>215</v>
      </c>
      <c r="AM50" s="13" t="s">
        <v>215</v>
      </c>
      <c r="AN50" s="13" t="s">
        <v>215</v>
      </c>
      <c r="AO50" s="13" t="s">
        <v>215</v>
      </c>
      <c r="AP50" s="13" t="s">
        <v>215</v>
      </c>
      <c r="AQ50" s="13" t="s">
        <v>215</v>
      </c>
      <c r="AR50" s="13" t="s">
        <v>215</v>
      </c>
      <c r="AS50" s="13" t="s">
        <v>215</v>
      </c>
      <c r="AT50" s="13" t="s">
        <v>215</v>
      </c>
      <c r="AU50" s="13" t="s">
        <v>215</v>
      </c>
      <c r="AV50" s="13" t="s">
        <v>215</v>
      </c>
      <c r="AW50" s="13" t="s">
        <v>215</v>
      </c>
      <c r="AX50" s="13" t="s">
        <v>215</v>
      </c>
      <c r="AY50" s="13" t="s">
        <v>215</v>
      </c>
      <c r="AZ50" s="13" t="s">
        <v>215</v>
      </c>
      <c r="BA50" s="13" t="s">
        <v>215</v>
      </c>
      <c r="BB50" s="13" t="s">
        <v>215</v>
      </c>
      <c r="BC50" s="13" t="s">
        <v>215</v>
      </c>
      <c r="BD50" s="16" t="s">
        <v>215</v>
      </c>
      <c r="BE50" s="15" t="s">
        <v>215</v>
      </c>
      <c r="BF50" s="13" t="s">
        <v>215</v>
      </c>
      <c r="BG50" s="13" t="s">
        <v>215</v>
      </c>
      <c r="BH50" s="13" t="s">
        <v>215</v>
      </c>
      <c r="BI50" s="13" t="s">
        <v>215</v>
      </c>
      <c r="BJ50" s="16" t="s">
        <v>215</v>
      </c>
      <c r="BK50" s="15" t="s">
        <v>215</v>
      </c>
      <c r="BL50" s="13" t="s">
        <v>215</v>
      </c>
      <c r="BM50" s="13" t="s">
        <v>215</v>
      </c>
      <c r="BN50" s="13" t="s">
        <v>209</v>
      </c>
      <c r="BO50" s="13" t="s">
        <v>215</v>
      </c>
      <c r="BP50" s="13" t="s">
        <v>215</v>
      </c>
      <c r="BQ50" s="13" t="s">
        <v>215</v>
      </c>
      <c r="BR50" s="13" t="s">
        <v>215</v>
      </c>
      <c r="BS50" s="13" t="s">
        <v>215</v>
      </c>
      <c r="BT50" s="13" t="s">
        <v>215</v>
      </c>
      <c r="BU50" s="13" t="s">
        <v>215</v>
      </c>
      <c r="BV50" s="13" t="s">
        <v>215</v>
      </c>
      <c r="BW50" s="16" t="s">
        <v>209</v>
      </c>
      <c r="BX50" s="15" t="s">
        <v>215</v>
      </c>
      <c r="BY50" s="13" t="s">
        <v>215</v>
      </c>
      <c r="BZ50" s="16" t="s">
        <v>215</v>
      </c>
      <c r="CA50" s="81" t="s">
        <v>215</v>
      </c>
      <c r="CB50" s="13" t="s">
        <v>215</v>
      </c>
      <c r="CC50" s="13" t="s">
        <v>215</v>
      </c>
      <c r="CD50" s="16" t="s">
        <v>215</v>
      </c>
      <c r="CE50" s="16" t="s">
        <v>215</v>
      </c>
    </row>
    <row r="51" spans="5:83" x14ac:dyDescent="0.35">
      <c r="E51" s="79" t="s">
        <v>340</v>
      </c>
      <c r="F51" s="116" t="s">
        <v>61</v>
      </c>
      <c r="G51" s="116" t="s">
        <v>273</v>
      </c>
      <c r="H51" s="15" t="s">
        <v>215</v>
      </c>
      <c r="I51" s="13" t="s">
        <v>215</v>
      </c>
      <c r="J51" s="13" t="s">
        <v>215</v>
      </c>
      <c r="K51" s="13" t="s">
        <v>209</v>
      </c>
      <c r="L51" s="13" t="s">
        <v>215</v>
      </c>
      <c r="M51" s="13" t="s">
        <v>215</v>
      </c>
      <c r="N51" s="13" t="s">
        <v>215</v>
      </c>
      <c r="O51" s="13" t="s">
        <v>215</v>
      </c>
      <c r="P51" s="13" t="s">
        <v>215</v>
      </c>
      <c r="Q51" s="13" t="s">
        <v>215</v>
      </c>
      <c r="R51" s="13" t="s">
        <v>215</v>
      </c>
      <c r="S51" s="13" t="s">
        <v>209</v>
      </c>
      <c r="T51" s="13" t="s">
        <v>215</v>
      </c>
      <c r="U51" s="13" t="s">
        <v>209</v>
      </c>
      <c r="V51" s="13" t="s">
        <v>215</v>
      </c>
      <c r="W51" s="13" t="s">
        <v>215</v>
      </c>
      <c r="X51" s="13" t="s">
        <v>215</v>
      </c>
      <c r="Y51" s="13" t="s">
        <v>215</v>
      </c>
      <c r="Z51" s="13" t="s">
        <v>215</v>
      </c>
      <c r="AA51" s="13" t="s">
        <v>215</v>
      </c>
      <c r="AB51" s="13" t="s">
        <v>215</v>
      </c>
      <c r="AC51" s="13" t="s">
        <v>215</v>
      </c>
      <c r="AD51" s="16" t="s">
        <v>215</v>
      </c>
      <c r="AE51" s="15" t="s">
        <v>215</v>
      </c>
      <c r="AF51" s="13" t="s">
        <v>215</v>
      </c>
      <c r="AG51" s="13" t="s">
        <v>215</v>
      </c>
      <c r="AH51" s="13" t="s">
        <v>215</v>
      </c>
      <c r="AI51" s="13" t="s">
        <v>215</v>
      </c>
      <c r="AJ51" s="13" t="s">
        <v>215</v>
      </c>
      <c r="AK51" s="13" t="s">
        <v>215</v>
      </c>
      <c r="AL51" s="13" t="s">
        <v>215</v>
      </c>
      <c r="AM51" s="13" t="s">
        <v>215</v>
      </c>
      <c r="AN51" s="13" t="s">
        <v>215</v>
      </c>
      <c r="AO51" s="13" t="s">
        <v>209</v>
      </c>
      <c r="AP51" s="13" t="s">
        <v>215</v>
      </c>
      <c r="AQ51" s="13" t="s">
        <v>215</v>
      </c>
      <c r="AR51" s="13" t="s">
        <v>215</v>
      </c>
      <c r="AS51" s="13" t="s">
        <v>209</v>
      </c>
      <c r="AT51" s="13" t="s">
        <v>215</v>
      </c>
      <c r="AU51" s="13" t="s">
        <v>209</v>
      </c>
      <c r="AV51" s="13" t="s">
        <v>215</v>
      </c>
      <c r="AW51" s="13" t="s">
        <v>215</v>
      </c>
      <c r="AX51" s="13" t="s">
        <v>215</v>
      </c>
      <c r="AY51" s="13" t="s">
        <v>215</v>
      </c>
      <c r="AZ51" s="13" t="s">
        <v>215</v>
      </c>
      <c r="BA51" s="13" t="s">
        <v>215</v>
      </c>
      <c r="BB51" s="13" t="s">
        <v>215</v>
      </c>
      <c r="BC51" s="13" t="s">
        <v>215</v>
      </c>
      <c r="BD51" s="16" t="s">
        <v>215</v>
      </c>
      <c r="BE51" s="15" t="s">
        <v>215</v>
      </c>
      <c r="BF51" s="13" t="s">
        <v>215</v>
      </c>
      <c r="BG51" s="13" t="s">
        <v>215</v>
      </c>
      <c r="BH51" s="13" t="s">
        <v>215</v>
      </c>
      <c r="BI51" s="13" t="s">
        <v>215</v>
      </c>
      <c r="BJ51" s="16" t="s">
        <v>215</v>
      </c>
      <c r="BK51" s="15" t="s">
        <v>215</v>
      </c>
      <c r="BL51" s="13" t="s">
        <v>215</v>
      </c>
      <c r="BM51" s="13" t="s">
        <v>209</v>
      </c>
      <c r="BN51" s="13" t="s">
        <v>215</v>
      </c>
      <c r="BO51" s="13" t="s">
        <v>215</v>
      </c>
      <c r="BP51" s="13" t="s">
        <v>215</v>
      </c>
      <c r="BQ51" s="13" t="s">
        <v>215</v>
      </c>
      <c r="BR51" s="13" t="s">
        <v>215</v>
      </c>
      <c r="BS51" s="13" t="s">
        <v>215</v>
      </c>
      <c r="BT51" s="13" t="s">
        <v>215</v>
      </c>
      <c r="BU51" s="13" t="s">
        <v>215</v>
      </c>
      <c r="BV51" s="13" t="s">
        <v>215</v>
      </c>
      <c r="BW51" s="16" t="s">
        <v>215</v>
      </c>
      <c r="BX51" s="15" t="s">
        <v>215</v>
      </c>
      <c r="BY51" s="13" t="s">
        <v>215</v>
      </c>
      <c r="BZ51" s="16" t="s">
        <v>215</v>
      </c>
      <c r="CA51" s="81" t="s">
        <v>215</v>
      </c>
      <c r="CB51" s="13" t="s">
        <v>215</v>
      </c>
      <c r="CC51" s="13" t="s">
        <v>215</v>
      </c>
      <c r="CD51" s="16" t="s">
        <v>215</v>
      </c>
      <c r="CE51" s="16" t="s">
        <v>215</v>
      </c>
    </row>
    <row r="52" spans="5:83" x14ac:dyDescent="0.35">
      <c r="E52" s="79" t="s">
        <v>341</v>
      </c>
      <c r="F52" s="116" t="s">
        <v>76</v>
      </c>
      <c r="G52" s="116" t="s">
        <v>273</v>
      </c>
      <c r="H52" s="15" t="s">
        <v>215</v>
      </c>
      <c r="I52" s="13" t="s">
        <v>215</v>
      </c>
      <c r="J52" s="13" t="s">
        <v>215</v>
      </c>
      <c r="K52" s="13" t="s">
        <v>215</v>
      </c>
      <c r="L52" s="13" t="s">
        <v>215</v>
      </c>
      <c r="M52" s="13" t="s">
        <v>215</v>
      </c>
      <c r="N52" s="13" t="s">
        <v>215</v>
      </c>
      <c r="O52" s="13" t="s">
        <v>215</v>
      </c>
      <c r="P52" s="13" t="s">
        <v>215</v>
      </c>
      <c r="Q52" s="13" t="s">
        <v>215</v>
      </c>
      <c r="R52" s="13" t="s">
        <v>215</v>
      </c>
      <c r="S52" s="13" t="s">
        <v>215</v>
      </c>
      <c r="T52" s="13" t="s">
        <v>215</v>
      </c>
      <c r="U52" s="13" t="s">
        <v>209</v>
      </c>
      <c r="V52" s="13" t="s">
        <v>215</v>
      </c>
      <c r="W52" s="13" t="s">
        <v>215</v>
      </c>
      <c r="X52" s="13" t="s">
        <v>215</v>
      </c>
      <c r="Y52" s="13" t="s">
        <v>215</v>
      </c>
      <c r="Z52" s="13" t="s">
        <v>215</v>
      </c>
      <c r="AA52" s="13" t="s">
        <v>215</v>
      </c>
      <c r="AB52" s="13" t="s">
        <v>215</v>
      </c>
      <c r="AC52" s="13" t="s">
        <v>215</v>
      </c>
      <c r="AD52" s="16" t="s">
        <v>215</v>
      </c>
      <c r="AE52" s="15" t="s">
        <v>215</v>
      </c>
      <c r="AF52" s="13" t="s">
        <v>215</v>
      </c>
      <c r="AG52" s="13" t="s">
        <v>215</v>
      </c>
      <c r="AH52" s="13" t="s">
        <v>215</v>
      </c>
      <c r="AI52" s="13" t="s">
        <v>215</v>
      </c>
      <c r="AJ52" s="13" t="s">
        <v>215</v>
      </c>
      <c r="AK52" s="13" t="s">
        <v>215</v>
      </c>
      <c r="AL52" s="13" t="s">
        <v>215</v>
      </c>
      <c r="AM52" s="13" t="s">
        <v>215</v>
      </c>
      <c r="AN52" s="13" t="s">
        <v>215</v>
      </c>
      <c r="AO52" s="13" t="s">
        <v>215</v>
      </c>
      <c r="AP52" s="13" t="s">
        <v>215</v>
      </c>
      <c r="AQ52" s="13" t="s">
        <v>215</v>
      </c>
      <c r="AR52" s="13" t="s">
        <v>215</v>
      </c>
      <c r="AS52" s="13" t="s">
        <v>215</v>
      </c>
      <c r="AT52" s="13" t="s">
        <v>215</v>
      </c>
      <c r="AU52" s="13" t="s">
        <v>209</v>
      </c>
      <c r="AV52" s="13" t="s">
        <v>215</v>
      </c>
      <c r="AW52" s="13" t="s">
        <v>215</v>
      </c>
      <c r="AX52" s="13" t="s">
        <v>215</v>
      </c>
      <c r="AY52" s="13" t="s">
        <v>215</v>
      </c>
      <c r="AZ52" s="13" t="s">
        <v>215</v>
      </c>
      <c r="BA52" s="13" t="s">
        <v>215</v>
      </c>
      <c r="BB52" s="13" t="s">
        <v>215</v>
      </c>
      <c r="BC52" s="13" t="s">
        <v>209</v>
      </c>
      <c r="BD52" s="16" t="s">
        <v>215</v>
      </c>
      <c r="BE52" s="15" t="s">
        <v>215</v>
      </c>
      <c r="BF52" s="13" t="s">
        <v>215</v>
      </c>
      <c r="BG52" s="13" t="s">
        <v>215</v>
      </c>
      <c r="BH52" s="13" t="s">
        <v>215</v>
      </c>
      <c r="BI52" s="13" t="s">
        <v>215</v>
      </c>
      <c r="BJ52" s="16" t="s">
        <v>215</v>
      </c>
      <c r="BK52" s="15" t="s">
        <v>215</v>
      </c>
      <c r="BL52" s="13" t="s">
        <v>215</v>
      </c>
      <c r="BM52" s="13" t="s">
        <v>209</v>
      </c>
      <c r="BN52" s="13" t="s">
        <v>215</v>
      </c>
      <c r="BO52" s="13" t="s">
        <v>215</v>
      </c>
      <c r="BP52" s="13" t="s">
        <v>215</v>
      </c>
      <c r="BQ52" s="13" t="s">
        <v>215</v>
      </c>
      <c r="BR52" s="13" t="s">
        <v>215</v>
      </c>
      <c r="BS52" s="13" t="s">
        <v>215</v>
      </c>
      <c r="BT52" s="13" t="s">
        <v>215</v>
      </c>
      <c r="BU52" s="13" t="s">
        <v>215</v>
      </c>
      <c r="BV52" s="13" t="s">
        <v>215</v>
      </c>
      <c r="BW52" s="16" t="s">
        <v>209</v>
      </c>
      <c r="BX52" s="15" t="s">
        <v>215</v>
      </c>
      <c r="BY52" s="13" t="s">
        <v>215</v>
      </c>
      <c r="BZ52" s="16" t="s">
        <v>215</v>
      </c>
      <c r="CA52" s="81" t="s">
        <v>215</v>
      </c>
      <c r="CB52" s="13" t="s">
        <v>215</v>
      </c>
      <c r="CC52" s="13" t="s">
        <v>215</v>
      </c>
      <c r="CD52" s="16" t="s">
        <v>215</v>
      </c>
      <c r="CE52" s="16" t="s">
        <v>215</v>
      </c>
    </row>
    <row r="53" spans="5:83" x14ac:dyDescent="0.35">
      <c r="E53" s="79" t="s">
        <v>342</v>
      </c>
      <c r="F53" s="116" t="s">
        <v>90</v>
      </c>
      <c r="G53" s="116" t="s">
        <v>273</v>
      </c>
      <c r="H53" s="15" t="s">
        <v>215</v>
      </c>
      <c r="I53" s="13" t="s">
        <v>215</v>
      </c>
      <c r="J53" s="13" t="s">
        <v>215</v>
      </c>
      <c r="K53" s="13" t="s">
        <v>215</v>
      </c>
      <c r="L53" s="13" t="s">
        <v>215</v>
      </c>
      <c r="M53" s="13" t="s">
        <v>215</v>
      </c>
      <c r="N53" s="13" t="s">
        <v>215</v>
      </c>
      <c r="O53" s="13" t="s">
        <v>215</v>
      </c>
      <c r="P53" s="13" t="s">
        <v>215</v>
      </c>
      <c r="Q53" s="13" t="s">
        <v>215</v>
      </c>
      <c r="R53" s="13" t="s">
        <v>215</v>
      </c>
      <c r="S53" s="13" t="s">
        <v>209</v>
      </c>
      <c r="T53" s="13" t="s">
        <v>215</v>
      </c>
      <c r="U53" s="13" t="s">
        <v>209</v>
      </c>
      <c r="V53" s="13" t="s">
        <v>215</v>
      </c>
      <c r="W53" s="13" t="s">
        <v>215</v>
      </c>
      <c r="X53" s="13" t="s">
        <v>215</v>
      </c>
      <c r="Y53" s="13" t="s">
        <v>215</v>
      </c>
      <c r="Z53" s="13" t="s">
        <v>215</v>
      </c>
      <c r="AA53" s="13" t="s">
        <v>215</v>
      </c>
      <c r="AB53" s="13" t="s">
        <v>215</v>
      </c>
      <c r="AC53" s="13" t="s">
        <v>215</v>
      </c>
      <c r="AD53" s="16" t="s">
        <v>215</v>
      </c>
      <c r="AE53" s="15" t="s">
        <v>215</v>
      </c>
      <c r="AF53" s="13" t="s">
        <v>215</v>
      </c>
      <c r="AG53" s="13" t="s">
        <v>215</v>
      </c>
      <c r="AH53" s="13" t="s">
        <v>215</v>
      </c>
      <c r="AI53" s="13" t="s">
        <v>215</v>
      </c>
      <c r="AJ53" s="13" t="s">
        <v>215</v>
      </c>
      <c r="AK53" s="13" t="s">
        <v>215</v>
      </c>
      <c r="AL53" s="13" t="s">
        <v>215</v>
      </c>
      <c r="AM53" s="13" t="s">
        <v>215</v>
      </c>
      <c r="AN53" s="13" t="s">
        <v>215</v>
      </c>
      <c r="AO53" s="13" t="s">
        <v>209</v>
      </c>
      <c r="AP53" s="13" t="s">
        <v>215</v>
      </c>
      <c r="AQ53" s="13" t="s">
        <v>209</v>
      </c>
      <c r="AR53" s="13" t="s">
        <v>215</v>
      </c>
      <c r="AS53" s="13" t="s">
        <v>209</v>
      </c>
      <c r="AT53" s="13" t="s">
        <v>215</v>
      </c>
      <c r="AU53" s="13" t="s">
        <v>209</v>
      </c>
      <c r="AV53" s="13" t="s">
        <v>215</v>
      </c>
      <c r="AW53" s="13" t="s">
        <v>215</v>
      </c>
      <c r="AX53" s="13" t="s">
        <v>215</v>
      </c>
      <c r="AY53" s="13" t="s">
        <v>215</v>
      </c>
      <c r="AZ53" s="13" t="s">
        <v>215</v>
      </c>
      <c r="BA53" s="13" t="s">
        <v>215</v>
      </c>
      <c r="BB53" s="13" t="s">
        <v>215</v>
      </c>
      <c r="BC53" s="13" t="s">
        <v>215</v>
      </c>
      <c r="BD53" s="16" t="s">
        <v>215</v>
      </c>
      <c r="BE53" s="15" t="s">
        <v>215</v>
      </c>
      <c r="BF53" s="13" t="s">
        <v>215</v>
      </c>
      <c r="BG53" s="13" t="s">
        <v>215</v>
      </c>
      <c r="BH53" s="13" t="s">
        <v>215</v>
      </c>
      <c r="BI53" s="13" t="s">
        <v>215</v>
      </c>
      <c r="BJ53" s="16" t="s">
        <v>215</v>
      </c>
      <c r="BK53" s="15" t="s">
        <v>215</v>
      </c>
      <c r="BL53" s="13" t="s">
        <v>215</v>
      </c>
      <c r="BM53" s="13" t="s">
        <v>209</v>
      </c>
      <c r="BN53" s="13" t="s">
        <v>215</v>
      </c>
      <c r="BO53" s="13" t="s">
        <v>215</v>
      </c>
      <c r="BP53" s="13" t="s">
        <v>215</v>
      </c>
      <c r="BQ53" s="13" t="s">
        <v>215</v>
      </c>
      <c r="BR53" s="13" t="s">
        <v>215</v>
      </c>
      <c r="BS53" s="13" t="s">
        <v>215</v>
      </c>
      <c r="BT53" s="13" t="s">
        <v>215</v>
      </c>
      <c r="BU53" s="13" t="s">
        <v>215</v>
      </c>
      <c r="BV53" s="13" t="s">
        <v>215</v>
      </c>
      <c r="BW53" s="16" t="s">
        <v>215</v>
      </c>
      <c r="BX53" s="15" t="s">
        <v>215</v>
      </c>
      <c r="BY53" s="13" t="s">
        <v>215</v>
      </c>
      <c r="BZ53" s="16" t="s">
        <v>215</v>
      </c>
      <c r="CA53" s="81" t="s">
        <v>215</v>
      </c>
      <c r="CB53" s="13" t="s">
        <v>215</v>
      </c>
      <c r="CC53" s="13" t="s">
        <v>215</v>
      </c>
      <c r="CD53" s="16" t="s">
        <v>215</v>
      </c>
      <c r="CE53" s="16" t="s">
        <v>215</v>
      </c>
    </row>
    <row r="54" spans="5:83" x14ac:dyDescent="0.35">
      <c r="E54" s="79" t="s">
        <v>343</v>
      </c>
      <c r="F54" s="116" t="s">
        <v>281</v>
      </c>
      <c r="G54" s="116" t="s">
        <v>273</v>
      </c>
      <c r="H54" s="15" t="e">
        <v>#N/A</v>
      </c>
      <c r="I54" s="13" t="e">
        <v>#N/A</v>
      </c>
      <c r="J54" s="13" t="e">
        <v>#N/A</v>
      </c>
      <c r="K54" s="13" t="e">
        <v>#N/A</v>
      </c>
      <c r="L54" s="13" t="e">
        <v>#N/A</v>
      </c>
      <c r="M54" s="13" t="e">
        <v>#N/A</v>
      </c>
      <c r="N54" s="13" t="e">
        <v>#N/A</v>
      </c>
      <c r="O54" s="13" t="e">
        <v>#N/A</v>
      </c>
      <c r="P54" s="13" t="e">
        <v>#N/A</v>
      </c>
      <c r="Q54" s="13" t="e">
        <v>#N/A</v>
      </c>
      <c r="R54" s="13" t="e">
        <v>#N/A</v>
      </c>
      <c r="S54" s="13" t="e">
        <v>#N/A</v>
      </c>
      <c r="T54" s="13" t="e">
        <v>#N/A</v>
      </c>
      <c r="U54" s="13" t="e">
        <v>#N/A</v>
      </c>
      <c r="V54" s="13" t="e">
        <v>#N/A</v>
      </c>
      <c r="W54" s="13" t="e">
        <v>#N/A</v>
      </c>
      <c r="X54" s="13" t="e">
        <v>#N/A</v>
      </c>
      <c r="Y54" s="13" t="e">
        <v>#N/A</v>
      </c>
      <c r="Z54" s="13" t="e">
        <v>#N/A</v>
      </c>
      <c r="AA54" s="13" t="e">
        <v>#N/A</v>
      </c>
      <c r="AB54" s="13" t="e">
        <v>#N/A</v>
      </c>
      <c r="AC54" s="13" t="e">
        <v>#N/A</v>
      </c>
      <c r="AD54" s="16" t="e">
        <v>#N/A</v>
      </c>
      <c r="AE54" s="15" t="e">
        <v>#N/A</v>
      </c>
      <c r="AF54" s="13" t="e">
        <v>#N/A</v>
      </c>
      <c r="AG54" s="13" t="e">
        <v>#N/A</v>
      </c>
      <c r="AH54" s="13" t="e">
        <v>#N/A</v>
      </c>
      <c r="AI54" s="13" t="e">
        <v>#N/A</v>
      </c>
      <c r="AJ54" s="13" t="e">
        <v>#N/A</v>
      </c>
      <c r="AK54" s="13" t="e">
        <v>#N/A</v>
      </c>
      <c r="AL54" s="13" t="e">
        <v>#N/A</v>
      </c>
      <c r="AM54" s="13" t="e">
        <v>#N/A</v>
      </c>
      <c r="AN54" s="13" t="e">
        <v>#N/A</v>
      </c>
      <c r="AO54" s="13" t="e">
        <v>#N/A</v>
      </c>
      <c r="AP54" s="13" t="e">
        <v>#N/A</v>
      </c>
      <c r="AQ54" s="13" t="e">
        <v>#N/A</v>
      </c>
      <c r="AR54" s="13" t="e">
        <v>#N/A</v>
      </c>
      <c r="AS54" s="13" t="e">
        <v>#N/A</v>
      </c>
      <c r="AT54" s="13" t="e">
        <v>#N/A</v>
      </c>
      <c r="AU54" s="13" t="e">
        <v>#N/A</v>
      </c>
      <c r="AV54" s="13" t="e">
        <v>#N/A</v>
      </c>
      <c r="AW54" s="13" t="e">
        <v>#N/A</v>
      </c>
      <c r="AX54" s="13" t="e">
        <v>#N/A</v>
      </c>
      <c r="AY54" s="13" t="e">
        <v>#N/A</v>
      </c>
      <c r="AZ54" s="13" t="e">
        <v>#N/A</v>
      </c>
      <c r="BA54" s="13" t="e">
        <v>#N/A</v>
      </c>
      <c r="BB54" s="13" t="e">
        <v>#N/A</v>
      </c>
      <c r="BC54" s="13" t="e">
        <v>#N/A</v>
      </c>
      <c r="BD54" s="16" t="e">
        <v>#N/A</v>
      </c>
      <c r="BE54" s="15" t="e">
        <v>#N/A</v>
      </c>
      <c r="BF54" s="13" t="e">
        <v>#N/A</v>
      </c>
      <c r="BG54" s="13" t="e">
        <v>#N/A</v>
      </c>
      <c r="BH54" s="13" t="e">
        <v>#N/A</v>
      </c>
      <c r="BI54" s="13" t="e">
        <v>#N/A</v>
      </c>
      <c r="BJ54" s="16" t="e">
        <v>#N/A</v>
      </c>
      <c r="BK54" s="15" t="e">
        <v>#N/A</v>
      </c>
      <c r="BL54" s="13" t="e">
        <v>#N/A</v>
      </c>
      <c r="BM54" s="13" t="e">
        <v>#N/A</v>
      </c>
      <c r="BN54" s="13" t="e">
        <v>#N/A</v>
      </c>
      <c r="BO54" s="13" t="e">
        <v>#N/A</v>
      </c>
      <c r="BP54" s="13" t="e">
        <v>#N/A</v>
      </c>
      <c r="BQ54" s="13" t="e">
        <v>#N/A</v>
      </c>
      <c r="BR54" s="13" t="e">
        <v>#N/A</v>
      </c>
      <c r="BS54" s="13" t="e">
        <v>#N/A</v>
      </c>
      <c r="BT54" s="13" t="e">
        <v>#N/A</v>
      </c>
      <c r="BU54" s="13" t="e">
        <v>#N/A</v>
      </c>
      <c r="BV54" s="13" t="e">
        <v>#N/A</v>
      </c>
      <c r="BW54" s="16" t="e">
        <v>#N/A</v>
      </c>
      <c r="BX54" s="15" t="e">
        <v>#N/A</v>
      </c>
      <c r="BY54" s="13" t="e">
        <v>#N/A</v>
      </c>
      <c r="BZ54" s="16" t="e">
        <v>#N/A</v>
      </c>
      <c r="CA54" s="81" t="e">
        <v>#N/A</v>
      </c>
      <c r="CB54" s="13" t="e">
        <v>#N/A</v>
      </c>
      <c r="CC54" s="13" t="e">
        <v>#N/A</v>
      </c>
      <c r="CD54" s="16" t="e">
        <v>#N/A</v>
      </c>
      <c r="CE54" s="16" t="s">
        <v>215</v>
      </c>
    </row>
    <row r="55" spans="5:83" x14ac:dyDescent="0.35">
      <c r="E55" s="79" t="s">
        <v>344</v>
      </c>
      <c r="F55" s="116" t="s">
        <v>281</v>
      </c>
      <c r="G55" s="116" t="s">
        <v>275</v>
      </c>
      <c r="H55" s="15" t="e">
        <v>#N/A</v>
      </c>
      <c r="I55" s="13" t="e">
        <v>#N/A</v>
      </c>
      <c r="J55" s="13" t="e">
        <v>#N/A</v>
      </c>
      <c r="K55" s="13" t="e">
        <v>#N/A</v>
      </c>
      <c r="L55" s="13" t="e">
        <v>#N/A</v>
      </c>
      <c r="M55" s="13" t="e">
        <v>#N/A</v>
      </c>
      <c r="N55" s="13" t="e">
        <v>#N/A</v>
      </c>
      <c r="O55" s="13" t="e">
        <v>#N/A</v>
      </c>
      <c r="P55" s="13" t="e">
        <v>#N/A</v>
      </c>
      <c r="Q55" s="13" t="e">
        <v>#N/A</v>
      </c>
      <c r="R55" s="13" t="e">
        <v>#N/A</v>
      </c>
      <c r="S55" s="13" t="e">
        <v>#N/A</v>
      </c>
      <c r="T55" s="13" t="e">
        <v>#N/A</v>
      </c>
      <c r="U55" s="13" t="e">
        <v>#N/A</v>
      </c>
      <c r="V55" s="13" t="e">
        <v>#N/A</v>
      </c>
      <c r="W55" s="13" t="e">
        <v>#N/A</v>
      </c>
      <c r="X55" s="13" t="e">
        <v>#N/A</v>
      </c>
      <c r="Y55" s="13" t="e">
        <v>#N/A</v>
      </c>
      <c r="Z55" s="13" t="e">
        <v>#N/A</v>
      </c>
      <c r="AA55" s="13" t="e">
        <v>#N/A</v>
      </c>
      <c r="AB55" s="13" t="e">
        <v>#N/A</v>
      </c>
      <c r="AC55" s="13" t="e">
        <v>#N/A</v>
      </c>
      <c r="AD55" s="16" t="e">
        <v>#N/A</v>
      </c>
      <c r="AE55" s="15" t="e">
        <v>#N/A</v>
      </c>
      <c r="AF55" s="13" t="e">
        <v>#N/A</v>
      </c>
      <c r="AG55" s="13" t="e">
        <v>#N/A</v>
      </c>
      <c r="AH55" s="13" t="e">
        <v>#N/A</v>
      </c>
      <c r="AI55" s="13" t="e">
        <v>#N/A</v>
      </c>
      <c r="AJ55" s="13" t="e">
        <v>#N/A</v>
      </c>
      <c r="AK55" s="13" t="e">
        <v>#N/A</v>
      </c>
      <c r="AL55" s="13" t="e">
        <v>#N/A</v>
      </c>
      <c r="AM55" s="13" t="e">
        <v>#N/A</v>
      </c>
      <c r="AN55" s="13" t="e">
        <v>#N/A</v>
      </c>
      <c r="AO55" s="13" t="e">
        <v>#N/A</v>
      </c>
      <c r="AP55" s="13" t="e">
        <v>#N/A</v>
      </c>
      <c r="AQ55" s="13" t="e">
        <v>#N/A</v>
      </c>
      <c r="AR55" s="13" t="e">
        <v>#N/A</v>
      </c>
      <c r="AS55" s="13" t="e">
        <v>#N/A</v>
      </c>
      <c r="AT55" s="13" t="e">
        <v>#N/A</v>
      </c>
      <c r="AU55" s="13" t="e">
        <v>#N/A</v>
      </c>
      <c r="AV55" s="13" t="e">
        <v>#N/A</v>
      </c>
      <c r="AW55" s="13" t="e">
        <v>#N/A</v>
      </c>
      <c r="AX55" s="13" t="e">
        <v>#N/A</v>
      </c>
      <c r="AY55" s="13" t="e">
        <v>#N/A</v>
      </c>
      <c r="AZ55" s="13" t="e">
        <v>#N/A</v>
      </c>
      <c r="BA55" s="13" t="e">
        <v>#N/A</v>
      </c>
      <c r="BB55" s="13" t="e">
        <v>#N/A</v>
      </c>
      <c r="BC55" s="13" t="e">
        <v>#N/A</v>
      </c>
      <c r="BD55" s="16" t="e">
        <v>#N/A</v>
      </c>
      <c r="BE55" s="15" t="e">
        <v>#N/A</v>
      </c>
      <c r="BF55" s="13" t="e">
        <v>#N/A</v>
      </c>
      <c r="BG55" s="13" t="e">
        <v>#N/A</v>
      </c>
      <c r="BH55" s="13" t="e">
        <v>#N/A</v>
      </c>
      <c r="BI55" s="13" t="e">
        <v>#N/A</v>
      </c>
      <c r="BJ55" s="16" t="e">
        <v>#N/A</v>
      </c>
      <c r="BK55" s="15" t="e">
        <v>#N/A</v>
      </c>
      <c r="BL55" s="13" t="e">
        <v>#N/A</v>
      </c>
      <c r="BM55" s="13" t="e">
        <v>#N/A</v>
      </c>
      <c r="BN55" s="13" t="e">
        <v>#N/A</v>
      </c>
      <c r="BO55" s="13" t="e">
        <v>#N/A</v>
      </c>
      <c r="BP55" s="13" t="e">
        <v>#N/A</v>
      </c>
      <c r="BQ55" s="13" t="e">
        <v>#N/A</v>
      </c>
      <c r="BR55" s="13" t="e">
        <v>#N/A</v>
      </c>
      <c r="BS55" s="13" t="e">
        <v>#N/A</v>
      </c>
      <c r="BT55" s="13" t="e">
        <v>#N/A</v>
      </c>
      <c r="BU55" s="13" t="e">
        <v>#N/A</v>
      </c>
      <c r="BV55" s="13" t="e">
        <v>#N/A</v>
      </c>
      <c r="BW55" s="16" t="e">
        <v>#N/A</v>
      </c>
      <c r="BX55" s="15" t="e">
        <v>#N/A</v>
      </c>
      <c r="BY55" s="13" t="e">
        <v>#N/A</v>
      </c>
      <c r="BZ55" s="16" t="e">
        <v>#N/A</v>
      </c>
      <c r="CA55" s="81" t="e">
        <v>#N/A</v>
      </c>
      <c r="CB55" s="13" t="e">
        <v>#N/A</v>
      </c>
      <c r="CC55" s="13" t="e">
        <v>#N/A</v>
      </c>
      <c r="CD55" s="16" t="e">
        <v>#N/A</v>
      </c>
      <c r="CE55" s="16" t="s">
        <v>215</v>
      </c>
    </row>
    <row r="56" spans="5:83" x14ac:dyDescent="0.35">
      <c r="E56" s="79" t="s">
        <v>345</v>
      </c>
      <c r="F56" s="116" t="s">
        <v>118</v>
      </c>
      <c r="G56" s="116" t="s">
        <v>275</v>
      </c>
      <c r="H56" s="15" t="s">
        <v>215</v>
      </c>
      <c r="I56" s="13" t="s">
        <v>215</v>
      </c>
      <c r="J56" s="13" t="s">
        <v>215</v>
      </c>
      <c r="K56" s="13" t="s">
        <v>215</v>
      </c>
      <c r="L56" s="13" t="s">
        <v>215</v>
      </c>
      <c r="M56" s="13" t="s">
        <v>215</v>
      </c>
      <c r="N56" s="13" t="s">
        <v>215</v>
      </c>
      <c r="O56" s="13" t="s">
        <v>215</v>
      </c>
      <c r="P56" s="13" t="s">
        <v>215</v>
      </c>
      <c r="Q56" s="13" t="s">
        <v>215</v>
      </c>
      <c r="R56" s="13" t="s">
        <v>215</v>
      </c>
      <c r="S56" s="13" t="s">
        <v>215</v>
      </c>
      <c r="T56" s="13" t="s">
        <v>215</v>
      </c>
      <c r="U56" s="13" t="s">
        <v>215</v>
      </c>
      <c r="V56" s="13" t="s">
        <v>215</v>
      </c>
      <c r="W56" s="13" t="s">
        <v>215</v>
      </c>
      <c r="X56" s="13" t="s">
        <v>215</v>
      </c>
      <c r="Y56" s="13" t="s">
        <v>215</v>
      </c>
      <c r="Z56" s="13" t="s">
        <v>215</v>
      </c>
      <c r="AA56" s="13" t="s">
        <v>215</v>
      </c>
      <c r="AB56" s="13" t="s">
        <v>215</v>
      </c>
      <c r="AC56" s="13" t="s">
        <v>215</v>
      </c>
      <c r="AD56" s="16" t="s">
        <v>215</v>
      </c>
      <c r="AE56" s="15" t="s">
        <v>215</v>
      </c>
      <c r="AF56" s="13" t="s">
        <v>215</v>
      </c>
      <c r="AG56" s="13" t="s">
        <v>215</v>
      </c>
      <c r="AH56" s="13" t="s">
        <v>215</v>
      </c>
      <c r="AI56" s="13" t="s">
        <v>215</v>
      </c>
      <c r="AJ56" s="13" t="s">
        <v>215</v>
      </c>
      <c r="AK56" s="13" t="s">
        <v>215</v>
      </c>
      <c r="AL56" s="13" t="s">
        <v>215</v>
      </c>
      <c r="AM56" s="13" t="s">
        <v>215</v>
      </c>
      <c r="AN56" s="13" t="s">
        <v>215</v>
      </c>
      <c r="AO56" s="13" t="s">
        <v>215</v>
      </c>
      <c r="AP56" s="13" t="s">
        <v>215</v>
      </c>
      <c r="AQ56" s="13" t="s">
        <v>215</v>
      </c>
      <c r="AR56" s="13" t="s">
        <v>215</v>
      </c>
      <c r="AS56" s="13" t="s">
        <v>215</v>
      </c>
      <c r="AT56" s="13" t="s">
        <v>215</v>
      </c>
      <c r="AU56" s="13" t="s">
        <v>215</v>
      </c>
      <c r="AV56" s="13" t="s">
        <v>215</v>
      </c>
      <c r="AW56" s="13" t="s">
        <v>215</v>
      </c>
      <c r="AX56" s="13" t="s">
        <v>215</v>
      </c>
      <c r="AY56" s="13" t="s">
        <v>215</v>
      </c>
      <c r="AZ56" s="13" t="s">
        <v>215</v>
      </c>
      <c r="BA56" s="13" t="s">
        <v>215</v>
      </c>
      <c r="BB56" s="13" t="s">
        <v>215</v>
      </c>
      <c r="BC56" s="13" t="s">
        <v>215</v>
      </c>
      <c r="BD56" s="16" t="s">
        <v>215</v>
      </c>
      <c r="BE56" s="15" t="s">
        <v>215</v>
      </c>
      <c r="BF56" s="13" t="s">
        <v>215</v>
      </c>
      <c r="BG56" s="13" t="s">
        <v>215</v>
      </c>
      <c r="BH56" s="13" t="s">
        <v>215</v>
      </c>
      <c r="BI56" s="13" t="s">
        <v>215</v>
      </c>
      <c r="BJ56" s="16" t="s">
        <v>215</v>
      </c>
      <c r="BK56" s="15" t="s">
        <v>215</v>
      </c>
      <c r="BL56" s="13" t="s">
        <v>215</v>
      </c>
      <c r="BM56" s="13" t="s">
        <v>215</v>
      </c>
      <c r="BN56" s="13" t="s">
        <v>215</v>
      </c>
      <c r="BO56" s="13" t="s">
        <v>215</v>
      </c>
      <c r="BP56" s="13" t="s">
        <v>215</v>
      </c>
      <c r="BQ56" s="13" t="s">
        <v>215</v>
      </c>
      <c r="BR56" s="13" t="s">
        <v>215</v>
      </c>
      <c r="BS56" s="13" t="s">
        <v>215</v>
      </c>
      <c r="BT56" s="13" t="s">
        <v>215</v>
      </c>
      <c r="BU56" s="13" t="s">
        <v>215</v>
      </c>
      <c r="BV56" s="13" t="s">
        <v>215</v>
      </c>
      <c r="BW56" s="16" t="s">
        <v>215</v>
      </c>
      <c r="BX56" s="15" t="s">
        <v>215</v>
      </c>
      <c r="BY56" s="13" t="s">
        <v>215</v>
      </c>
      <c r="BZ56" s="16" t="s">
        <v>215</v>
      </c>
      <c r="CA56" s="81" t="s">
        <v>215</v>
      </c>
      <c r="CB56" s="13" t="s">
        <v>215</v>
      </c>
      <c r="CC56" s="13" t="s">
        <v>215</v>
      </c>
      <c r="CD56" s="16" t="s">
        <v>215</v>
      </c>
      <c r="CE56" s="16" t="s">
        <v>215</v>
      </c>
    </row>
    <row r="57" spans="5:83" x14ac:dyDescent="0.35">
      <c r="E57" s="79" t="s">
        <v>346</v>
      </c>
      <c r="F57" s="116" t="s">
        <v>281</v>
      </c>
      <c r="G57" s="116" t="s">
        <v>275</v>
      </c>
      <c r="H57" s="15" t="e">
        <v>#N/A</v>
      </c>
      <c r="I57" s="13" t="e">
        <v>#N/A</v>
      </c>
      <c r="J57" s="13" t="e">
        <v>#N/A</v>
      </c>
      <c r="K57" s="13" t="e">
        <v>#N/A</v>
      </c>
      <c r="L57" s="13" t="e">
        <v>#N/A</v>
      </c>
      <c r="M57" s="13" t="e">
        <v>#N/A</v>
      </c>
      <c r="N57" s="13" t="e">
        <v>#N/A</v>
      </c>
      <c r="O57" s="13" t="e">
        <v>#N/A</v>
      </c>
      <c r="P57" s="13" t="e">
        <v>#N/A</v>
      </c>
      <c r="Q57" s="13" t="e">
        <v>#N/A</v>
      </c>
      <c r="R57" s="13" t="e">
        <v>#N/A</v>
      </c>
      <c r="S57" s="13" t="e">
        <v>#N/A</v>
      </c>
      <c r="T57" s="13" t="e">
        <v>#N/A</v>
      </c>
      <c r="U57" s="13" t="e">
        <v>#N/A</v>
      </c>
      <c r="V57" s="13" t="e">
        <v>#N/A</v>
      </c>
      <c r="W57" s="13" t="e">
        <v>#N/A</v>
      </c>
      <c r="X57" s="13" t="e">
        <v>#N/A</v>
      </c>
      <c r="Y57" s="13" t="e">
        <v>#N/A</v>
      </c>
      <c r="Z57" s="13" t="e">
        <v>#N/A</v>
      </c>
      <c r="AA57" s="13" t="e">
        <v>#N/A</v>
      </c>
      <c r="AB57" s="13" t="e">
        <v>#N/A</v>
      </c>
      <c r="AC57" s="13" t="e">
        <v>#N/A</v>
      </c>
      <c r="AD57" s="16" t="e">
        <v>#N/A</v>
      </c>
      <c r="AE57" s="15" t="e">
        <v>#N/A</v>
      </c>
      <c r="AF57" s="13" t="e">
        <v>#N/A</v>
      </c>
      <c r="AG57" s="13" t="e">
        <v>#N/A</v>
      </c>
      <c r="AH57" s="13" t="e">
        <v>#N/A</v>
      </c>
      <c r="AI57" s="13" t="e">
        <v>#N/A</v>
      </c>
      <c r="AJ57" s="13" t="e">
        <v>#N/A</v>
      </c>
      <c r="AK57" s="13" t="e">
        <v>#N/A</v>
      </c>
      <c r="AL57" s="13" t="e">
        <v>#N/A</v>
      </c>
      <c r="AM57" s="13" t="e">
        <v>#N/A</v>
      </c>
      <c r="AN57" s="13" t="e">
        <v>#N/A</v>
      </c>
      <c r="AO57" s="13" t="e">
        <v>#N/A</v>
      </c>
      <c r="AP57" s="13" t="e">
        <v>#N/A</v>
      </c>
      <c r="AQ57" s="13" t="e">
        <v>#N/A</v>
      </c>
      <c r="AR57" s="13" t="e">
        <v>#N/A</v>
      </c>
      <c r="AS57" s="13" t="e">
        <v>#N/A</v>
      </c>
      <c r="AT57" s="13" t="e">
        <v>#N/A</v>
      </c>
      <c r="AU57" s="13" t="e">
        <v>#N/A</v>
      </c>
      <c r="AV57" s="13" t="e">
        <v>#N/A</v>
      </c>
      <c r="AW57" s="13" t="e">
        <v>#N/A</v>
      </c>
      <c r="AX57" s="13" t="e">
        <v>#N/A</v>
      </c>
      <c r="AY57" s="13" t="e">
        <v>#N/A</v>
      </c>
      <c r="AZ57" s="13" t="e">
        <v>#N/A</v>
      </c>
      <c r="BA57" s="13" t="e">
        <v>#N/A</v>
      </c>
      <c r="BB57" s="13" t="e">
        <v>#N/A</v>
      </c>
      <c r="BC57" s="13" t="e">
        <v>#N/A</v>
      </c>
      <c r="BD57" s="16" t="e">
        <v>#N/A</v>
      </c>
      <c r="BE57" s="15" t="e">
        <v>#N/A</v>
      </c>
      <c r="BF57" s="13" t="e">
        <v>#N/A</v>
      </c>
      <c r="BG57" s="13" t="e">
        <v>#N/A</v>
      </c>
      <c r="BH57" s="13" t="e">
        <v>#N/A</v>
      </c>
      <c r="BI57" s="13" t="e">
        <v>#N/A</v>
      </c>
      <c r="BJ57" s="16" t="e">
        <v>#N/A</v>
      </c>
      <c r="BK57" s="15" t="e">
        <v>#N/A</v>
      </c>
      <c r="BL57" s="13" t="e">
        <v>#N/A</v>
      </c>
      <c r="BM57" s="13" t="e">
        <v>#N/A</v>
      </c>
      <c r="BN57" s="13" t="e">
        <v>#N/A</v>
      </c>
      <c r="BO57" s="13" t="e">
        <v>#N/A</v>
      </c>
      <c r="BP57" s="13" t="e">
        <v>#N/A</v>
      </c>
      <c r="BQ57" s="13" t="e">
        <v>#N/A</v>
      </c>
      <c r="BR57" s="13" t="e">
        <v>#N/A</v>
      </c>
      <c r="BS57" s="13" t="e">
        <v>#N/A</v>
      </c>
      <c r="BT57" s="13" t="e">
        <v>#N/A</v>
      </c>
      <c r="BU57" s="13" t="e">
        <v>#N/A</v>
      </c>
      <c r="BV57" s="13" t="e">
        <v>#N/A</v>
      </c>
      <c r="BW57" s="16" t="e">
        <v>#N/A</v>
      </c>
      <c r="BX57" s="15" t="e">
        <v>#N/A</v>
      </c>
      <c r="BY57" s="13" t="e">
        <v>#N/A</v>
      </c>
      <c r="BZ57" s="16" t="e">
        <v>#N/A</v>
      </c>
      <c r="CA57" s="81" t="e">
        <v>#N/A</v>
      </c>
      <c r="CB57" s="13" t="e">
        <v>#N/A</v>
      </c>
      <c r="CC57" s="13" t="e">
        <v>#N/A</v>
      </c>
      <c r="CD57" s="16" t="e">
        <v>#N/A</v>
      </c>
      <c r="CE57" s="16" t="s">
        <v>215</v>
      </c>
    </row>
    <row r="58" spans="5:83" x14ac:dyDescent="0.35">
      <c r="E58" s="79" t="s">
        <v>347</v>
      </c>
      <c r="F58" s="116" t="s">
        <v>53</v>
      </c>
      <c r="G58" s="116" t="s">
        <v>274</v>
      </c>
      <c r="H58" s="15" t="s">
        <v>206</v>
      </c>
      <c r="I58" s="13" t="s">
        <v>215</v>
      </c>
      <c r="J58" s="13" t="s">
        <v>215</v>
      </c>
      <c r="K58" s="13" t="s">
        <v>206</v>
      </c>
      <c r="L58" s="13" t="s">
        <v>215</v>
      </c>
      <c r="M58" s="13" t="s">
        <v>215</v>
      </c>
      <c r="N58" s="13" t="s">
        <v>215</v>
      </c>
      <c r="O58" s="13" t="s">
        <v>215</v>
      </c>
      <c r="P58" s="13" t="s">
        <v>215</v>
      </c>
      <c r="Q58" s="13" t="s">
        <v>215</v>
      </c>
      <c r="R58" s="13" t="s">
        <v>209</v>
      </c>
      <c r="S58" s="13" t="s">
        <v>215</v>
      </c>
      <c r="T58" s="13" t="s">
        <v>215</v>
      </c>
      <c r="U58" s="13" t="s">
        <v>215</v>
      </c>
      <c r="V58" s="13" t="s">
        <v>215</v>
      </c>
      <c r="W58" s="13" t="s">
        <v>209</v>
      </c>
      <c r="X58" s="13" t="s">
        <v>215</v>
      </c>
      <c r="Y58" s="13" t="s">
        <v>215</v>
      </c>
      <c r="Z58" s="13" t="s">
        <v>215</v>
      </c>
      <c r="AA58" s="13" t="s">
        <v>215</v>
      </c>
      <c r="AB58" s="13" t="s">
        <v>215</v>
      </c>
      <c r="AC58" s="13" t="s">
        <v>215</v>
      </c>
      <c r="AD58" s="16" t="s">
        <v>215</v>
      </c>
      <c r="AE58" s="15" t="s">
        <v>215</v>
      </c>
      <c r="AF58" s="13" t="s">
        <v>215</v>
      </c>
      <c r="AG58" s="13" t="s">
        <v>215</v>
      </c>
      <c r="AH58" s="13" t="s">
        <v>215</v>
      </c>
      <c r="AI58" s="13" t="s">
        <v>215</v>
      </c>
      <c r="AJ58" s="13" t="s">
        <v>215</v>
      </c>
      <c r="AK58" s="13" t="s">
        <v>215</v>
      </c>
      <c r="AL58" s="13" t="s">
        <v>215</v>
      </c>
      <c r="AM58" s="13" t="s">
        <v>215</v>
      </c>
      <c r="AN58" s="13" t="s">
        <v>215</v>
      </c>
      <c r="AO58" s="13" t="s">
        <v>206</v>
      </c>
      <c r="AP58" s="13" t="s">
        <v>215</v>
      </c>
      <c r="AQ58" s="13" t="s">
        <v>215</v>
      </c>
      <c r="AR58" s="13" t="s">
        <v>215</v>
      </c>
      <c r="AS58" s="13" t="s">
        <v>215</v>
      </c>
      <c r="AT58" s="13" t="s">
        <v>215</v>
      </c>
      <c r="AU58" s="13" t="s">
        <v>206</v>
      </c>
      <c r="AV58" s="13" t="s">
        <v>215</v>
      </c>
      <c r="AW58" s="13" t="s">
        <v>215</v>
      </c>
      <c r="AX58" s="13" t="s">
        <v>215</v>
      </c>
      <c r="AY58" s="13" t="s">
        <v>215</v>
      </c>
      <c r="AZ58" s="13" t="s">
        <v>215</v>
      </c>
      <c r="BA58" s="13" t="s">
        <v>215</v>
      </c>
      <c r="BB58" s="13" t="s">
        <v>215</v>
      </c>
      <c r="BC58" s="13" t="s">
        <v>215</v>
      </c>
      <c r="BD58" s="16" t="s">
        <v>215</v>
      </c>
      <c r="BE58" s="15" t="s">
        <v>215</v>
      </c>
      <c r="BF58" s="13" t="s">
        <v>215</v>
      </c>
      <c r="BG58" s="13" t="s">
        <v>215</v>
      </c>
      <c r="BH58" s="13" t="s">
        <v>215</v>
      </c>
      <c r="BI58" s="13" t="s">
        <v>215</v>
      </c>
      <c r="BJ58" s="16" t="s">
        <v>215</v>
      </c>
      <c r="BK58" s="15" t="s">
        <v>215</v>
      </c>
      <c r="BL58" s="13" t="s">
        <v>215</v>
      </c>
      <c r="BM58" s="13" t="s">
        <v>215</v>
      </c>
      <c r="BN58" s="13" t="s">
        <v>215</v>
      </c>
      <c r="BO58" s="13" t="s">
        <v>215</v>
      </c>
      <c r="BP58" s="13" t="s">
        <v>215</v>
      </c>
      <c r="BQ58" s="13" t="s">
        <v>215</v>
      </c>
      <c r="BR58" s="13" t="s">
        <v>215</v>
      </c>
      <c r="BS58" s="13" t="s">
        <v>215</v>
      </c>
      <c r="BT58" s="13" t="s">
        <v>215</v>
      </c>
      <c r="BU58" s="13" t="s">
        <v>215</v>
      </c>
      <c r="BV58" s="13" t="s">
        <v>215</v>
      </c>
      <c r="BW58" s="16" t="s">
        <v>215</v>
      </c>
      <c r="BX58" s="15" t="s">
        <v>215</v>
      </c>
      <c r="BY58" s="13" t="s">
        <v>206</v>
      </c>
      <c r="BZ58" s="16" t="s">
        <v>206</v>
      </c>
      <c r="CA58" s="81" t="s">
        <v>215</v>
      </c>
      <c r="CB58" s="13" t="s">
        <v>209</v>
      </c>
      <c r="CC58" s="13" t="s">
        <v>215</v>
      </c>
      <c r="CD58" s="16" t="s">
        <v>215</v>
      </c>
      <c r="CE58" s="16" t="s">
        <v>215</v>
      </c>
    </row>
    <row r="59" spans="5:83" x14ac:dyDescent="0.35">
      <c r="E59" s="79" t="s">
        <v>348</v>
      </c>
      <c r="F59" s="116" t="s">
        <v>124</v>
      </c>
      <c r="G59" s="116" t="s">
        <v>274</v>
      </c>
      <c r="H59" s="15" t="s">
        <v>215</v>
      </c>
      <c r="I59" s="13" t="s">
        <v>215</v>
      </c>
      <c r="J59" s="13" t="s">
        <v>215</v>
      </c>
      <c r="K59" s="13" t="s">
        <v>215</v>
      </c>
      <c r="L59" s="13" t="s">
        <v>215</v>
      </c>
      <c r="M59" s="13" t="s">
        <v>215</v>
      </c>
      <c r="N59" s="13" t="s">
        <v>215</v>
      </c>
      <c r="O59" s="13" t="s">
        <v>215</v>
      </c>
      <c r="P59" s="13" t="s">
        <v>215</v>
      </c>
      <c r="Q59" s="13" t="s">
        <v>215</v>
      </c>
      <c r="R59" s="13" t="s">
        <v>215</v>
      </c>
      <c r="S59" s="13" t="s">
        <v>215</v>
      </c>
      <c r="T59" s="13" t="s">
        <v>215</v>
      </c>
      <c r="U59" s="13" t="s">
        <v>215</v>
      </c>
      <c r="V59" s="13" t="s">
        <v>215</v>
      </c>
      <c r="W59" s="13" t="s">
        <v>215</v>
      </c>
      <c r="X59" s="13" t="s">
        <v>215</v>
      </c>
      <c r="Y59" s="13" t="s">
        <v>215</v>
      </c>
      <c r="Z59" s="13" t="s">
        <v>215</v>
      </c>
      <c r="AA59" s="13" t="s">
        <v>215</v>
      </c>
      <c r="AB59" s="13" t="s">
        <v>215</v>
      </c>
      <c r="AC59" s="13" t="s">
        <v>215</v>
      </c>
      <c r="AD59" s="16" t="s">
        <v>215</v>
      </c>
      <c r="AE59" s="15" t="s">
        <v>215</v>
      </c>
      <c r="AF59" s="13" t="s">
        <v>206</v>
      </c>
      <c r="AG59" s="13" t="s">
        <v>215</v>
      </c>
      <c r="AH59" s="13" t="s">
        <v>215</v>
      </c>
      <c r="AI59" s="13" t="s">
        <v>215</v>
      </c>
      <c r="AJ59" s="13" t="s">
        <v>215</v>
      </c>
      <c r="AK59" s="13" t="s">
        <v>209</v>
      </c>
      <c r="AL59" s="13" t="s">
        <v>215</v>
      </c>
      <c r="AM59" s="13" t="s">
        <v>215</v>
      </c>
      <c r="AN59" s="13" t="s">
        <v>215</v>
      </c>
      <c r="AO59" s="13" t="s">
        <v>215</v>
      </c>
      <c r="AP59" s="13" t="s">
        <v>215</v>
      </c>
      <c r="AQ59" s="13" t="s">
        <v>209</v>
      </c>
      <c r="AR59" s="13" t="s">
        <v>215</v>
      </c>
      <c r="AS59" s="13" t="s">
        <v>215</v>
      </c>
      <c r="AT59" s="13" t="s">
        <v>215</v>
      </c>
      <c r="AU59" s="13" t="s">
        <v>215</v>
      </c>
      <c r="AV59" s="13" t="s">
        <v>215</v>
      </c>
      <c r="AW59" s="13" t="s">
        <v>215</v>
      </c>
      <c r="AX59" s="13" t="s">
        <v>215</v>
      </c>
      <c r="AY59" s="13" t="s">
        <v>215</v>
      </c>
      <c r="AZ59" s="13" t="s">
        <v>215</v>
      </c>
      <c r="BA59" s="13" t="s">
        <v>215</v>
      </c>
      <c r="BB59" s="13" t="s">
        <v>215</v>
      </c>
      <c r="BC59" s="13" t="s">
        <v>215</v>
      </c>
      <c r="BD59" s="16" t="s">
        <v>215</v>
      </c>
      <c r="BE59" s="15" t="s">
        <v>215</v>
      </c>
      <c r="BF59" s="13" t="s">
        <v>215</v>
      </c>
      <c r="BG59" s="13" t="s">
        <v>215</v>
      </c>
      <c r="BH59" s="13" t="s">
        <v>215</v>
      </c>
      <c r="BI59" s="13" t="s">
        <v>215</v>
      </c>
      <c r="BJ59" s="16" t="s">
        <v>215</v>
      </c>
      <c r="BK59" s="15" t="s">
        <v>215</v>
      </c>
      <c r="BL59" s="13" t="s">
        <v>215</v>
      </c>
      <c r="BM59" s="13" t="s">
        <v>215</v>
      </c>
      <c r="BN59" s="13" t="s">
        <v>215</v>
      </c>
      <c r="BO59" s="13" t="s">
        <v>209</v>
      </c>
      <c r="BP59" s="13" t="s">
        <v>215</v>
      </c>
      <c r="BQ59" s="13" t="s">
        <v>215</v>
      </c>
      <c r="BR59" s="13" t="s">
        <v>215</v>
      </c>
      <c r="BS59" s="13" t="s">
        <v>215</v>
      </c>
      <c r="BT59" s="13" t="s">
        <v>215</v>
      </c>
      <c r="BU59" s="13" t="s">
        <v>215</v>
      </c>
      <c r="BV59" s="13" t="s">
        <v>215</v>
      </c>
      <c r="BW59" s="16" t="s">
        <v>215</v>
      </c>
      <c r="BX59" s="15" t="s">
        <v>215</v>
      </c>
      <c r="BY59" s="13" t="s">
        <v>215</v>
      </c>
      <c r="BZ59" s="16" t="s">
        <v>215</v>
      </c>
      <c r="CA59" s="81" t="s">
        <v>215</v>
      </c>
      <c r="CB59" s="13" t="s">
        <v>215</v>
      </c>
      <c r="CC59" s="13" t="s">
        <v>215</v>
      </c>
      <c r="CD59" s="16" t="s">
        <v>215</v>
      </c>
      <c r="CE59" s="16" t="s">
        <v>215</v>
      </c>
    </row>
    <row r="60" spans="5:83" x14ac:dyDescent="0.35">
      <c r="E60" s="79" t="s">
        <v>349</v>
      </c>
      <c r="F60" s="116" t="s">
        <v>153</v>
      </c>
      <c r="G60" s="116" t="s">
        <v>273</v>
      </c>
      <c r="H60" s="15" t="s">
        <v>215</v>
      </c>
      <c r="I60" s="13" t="s">
        <v>215</v>
      </c>
      <c r="J60" s="13" t="s">
        <v>215</v>
      </c>
      <c r="K60" s="13" t="s">
        <v>215</v>
      </c>
      <c r="L60" s="13" t="s">
        <v>215</v>
      </c>
      <c r="M60" s="13" t="s">
        <v>215</v>
      </c>
      <c r="N60" s="13" t="s">
        <v>215</v>
      </c>
      <c r="O60" s="13" t="s">
        <v>215</v>
      </c>
      <c r="P60" s="13" t="s">
        <v>215</v>
      </c>
      <c r="Q60" s="13" t="s">
        <v>215</v>
      </c>
      <c r="R60" s="13" t="s">
        <v>215</v>
      </c>
      <c r="S60" s="13" t="s">
        <v>206</v>
      </c>
      <c r="T60" s="13" t="s">
        <v>215</v>
      </c>
      <c r="U60" s="13" t="s">
        <v>206</v>
      </c>
      <c r="V60" s="13" t="s">
        <v>215</v>
      </c>
      <c r="W60" s="13" t="s">
        <v>215</v>
      </c>
      <c r="X60" s="13" t="s">
        <v>215</v>
      </c>
      <c r="Y60" s="13" t="s">
        <v>215</v>
      </c>
      <c r="Z60" s="13" t="s">
        <v>215</v>
      </c>
      <c r="AA60" s="13" t="s">
        <v>215</v>
      </c>
      <c r="AB60" s="13" t="s">
        <v>215</v>
      </c>
      <c r="AC60" s="13" t="s">
        <v>215</v>
      </c>
      <c r="AD60" s="16" t="s">
        <v>215</v>
      </c>
      <c r="AE60" s="15" t="s">
        <v>215</v>
      </c>
      <c r="AF60" s="13" t="s">
        <v>206</v>
      </c>
      <c r="AG60" s="13" t="s">
        <v>215</v>
      </c>
      <c r="AH60" s="13" t="s">
        <v>215</v>
      </c>
      <c r="AI60" s="13" t="s">
        <v>215</v>
      </c>
      <c r="AJ60" s="13" t="s">
        <v>215</v>
      </c>
      <c r="AK60" s="13" t="s">
        <v>215</v>
      </c>
      <c r="AL60" s="13" t="s">
        <v>215</v>
      </c>
      <c r="AM60" s="13" t="s">
        <v>215</v>
      </c>
      <c r="AN60" s="13" t="s">
        <v>215</v>
      </c>
      <c r="AO60" s="13" t="s">
        <v>206</v>
      </c>
      <c r="AP60" s="13" t="s">
        <v>209</v>
      </c>
      <c r="AQ60" s="13" t="s">
        <v>215</v>
      </c>
      <c r="AR60" s="13" t="s">
        <v>215</v>
      </c>
      <c r="AS60" s="13" t="s">
        <v>206</v>
      </c>
      <c r="AT60" s="13" t="s">
        <v>215</v>
      </c>
      <c r="AU60" s="13" t="s">
        <v>209</v>
      </c>
      <c r="AV60" s="13" t="s">
        <v>209</v>
      </c>
      <c r="AW60" s="13" t="s">
        <v>215</v>
      </c>
      <c r="AX60" s="13" t="s">
        <v>215</v>
      </c>
      <c r="AY60" s="13" t="s">
        <v>215</v>
      </c>
      <c r="AZ60" s="13" t="s">
        <v>215</v>
      </c>
      <c r="BA60" s="13" t="s">
        <v>215</v>
      </c>
      <c r="BB60" s="13" t="s">
        <v>215</v>
      </c>
      <c r="BC60" s="13" t="s">
        <v>215</v>
      </c>
      <c r="BD60" s="16" t="s">
        <v>215</v>
      </c>
      <c r="BE60" s="15" t="s">
        <v>215</v>
      </c>
      <c r="BF60" s="13" t="s">
        <v>215</v>
      </c>
      <c r="BG60" s="13" t="s">
        <v>215</v>
      </c>
      <c r="BH60" s="13" t="s">
        <v>215</v>
      </c>
      <c r="BI60" s="13" t="s">
        <v>215</v>
      </c>
      <c r="BJ60" s="16" t="s">
        <v>215</v>
      </c>
      <c r="BK60" s="15" t="s">
        <v>215</v>
      </c>
      <c r="BL60" s="13" t="s">
        <v>215</v>
      </c>
      <c r="BM60" s="13" t="s">
        <v>215</v>
      </c>
      <c r="BN60" s="13" t="s">
        <v>215</v>
      </c>
      <c r="BO60" s="13" t="s">
        <v>215</v>
      </c>
      <c r="BP60" s="13" t="s">
        <v>215</v>
      </c>
      <c r="BQ60" s="13" t="s">
        <v>215</v>
      </c>
      <c r="BR60" s="13" t="s">
        <v>215</v>
      </c>
      <c r="BS60" s="13" t="s">
        <v>215</v>
      </c>
      <c r="BT60" s="13" t="s">
        <v>215</v>
      </c>
      <c r="BU60" s="13" t="s">
        <v>215</v>
      </c>
      <c r="BV60" s="13" t="s">
        <v>215</v>
      </c>
      <c r="BW60" s="16" t="s">
        <v>215</v>
      </c>
      <c r="BX60" s="15" t="s">
        <v>215</v>
      </c>
      <c r="BY60" s="13" t="s">
        <v>209</v>
      </c>
      <c r="BZ60" s="16" t="s">
        <v>209</v>
      </c>
      <c r="CA60" s="81" t="s">
        <v>215</v>
      </c>
      <c r="CB60" s="13" t="s">
        <v>215</v>
      </c>
      <c r="CC60" s="13" t="s">
        <v>215</v>
      </c>
      <c r="CD60" s="16" t="s">
        <v>215</v>
      </c>
      <c r="CE60" s="16" t="s">
        <v>215</v>
      </c>
    </row>
    <row r="61" spans="5:83" x14ac:dyDescent="0.35">
      <c r="E61" s="79" t="s">
        <v>350</v>
      </c>
      <c r="F61" s="116" t="s">
        <v>68</v>
      </c>
      <c r="G61" s="116" t="s">
        <v>274</v>
      </c>
      <c r="H61" s="15" t="s">
        <v>206</v>
      </c>
      <c r="I61" s="13" t="s">
        <v>215</v>
      </c>
      <c r="J61" s="13" t="s">
        <v>215</v>
      </c>
      <c r="K61" s="13" t="s">
        <v>215</v>
      </c>
      <c r="L61" s="13" t="s">
        <v>215</v>
      </c>
      <c r="M61" s="13" t="s">
        <v>215</v>
      </c>
      <c r="N61" s="13" t="s">
        <v>215</v>
      </c>
      <c r="O61" s="13" t="s">
        <v>215</v>
      </c>
      <c r="P61" s="13" t="s">
        <v>215</v>
      </c>
      <c r="Q61" s="13" t="s">
        <v>215</v>
      </c>
      <c r="R61" s="13" t="s">
        <v>215</v>
      </c>
      <c r="S61" s="13" t="s">
        <v>215</v>
      </c>
      <c r="T61" s="13" t="s">
        <v>215</v>
      </c>
      <c r="U61" s="13" t="s">
        <v>215</v>
      </c>
      <c r="V61" s="13" t="s">
        <v>215</v>
      </c>
      <c r="W61" s="13" t="s">
        <v>215</v>
      </c>
      <c r="X61" s="13" t="s">
        <v>215</v>
      </c>
      <c r="Y61" s="13" t="s">
        <v>215</v>
      </c>
      <c r="Z61" s="13" t="s">
        <v>215</v>
      </c>
      <c r="AA61" s="13" t="s">
        <v>215</v>
      </c>
      <c r="AB61" s="13" t="s">
        <v>215</v>
      </c>
      <c r="AC61" s="13" t="s">
        <v>215</v>
      </c>
      <c r="AD61" s="16" t="s">
        <v>215</v>
      </c>
      <c r="AE61" s="15" t="s">
        <v>209</v>
      </c>
      <c r="AF61" s="13" t="s">
        <v>206</v>
      </c>
      <c r="AG61" s="13" t="s">
        <v>215</v>
      </c>
      <c r="AH61" s="13" t="s">
        <v>215</v>
      </c>
      <c r="AI61" s="13" t="s">
        <v>215</v>
      </c>
      <c r="AJ61" s="13" t="s">
        <v>215</v>
      </c>
      <c r="AK61" s="13" t="s">
        <v>209</v>
      </c>
      <c r="AL61" s="13" t="s">
        <v>215</v>
      </c>
      <c r="AM61" s="13" t="s">
        <v>215</v>
      </c>
      <c r="AN61" s="13" t="s">
        <v>215</v>
      </c>
      <c r="AO61" s="13" t="s">
        <v>206</v>
      </c>
      <c r="AP61" s="13" t="s">
        <v>209</v>
      </c>
      <c r="AQ61" s="13" t="s">
        <v>215</v>
      </c>
      <c r="AR61" s="13" t="s">
        <v>215</v>
      </c>
      <c r="AS61" s="13" t="s">
        <v>215</v>
      </c>
      <c r="AT61" s="13" t="s">
        <v>215</v>
      </c>
      <c r="AU61" s="13" t="s">
        <v>206</v>
      </c>
      <c r="AV61" s="13" t="s">
        <v>215</v>
      </c>
      <c r="AW61" s="13" t="s">
        <v>215</v>
      </c>
      <c r="AX61" s="13" t="s">
        <v>215</v>
      </c>
      <c r="AY61" s="13" t="s">
        <v>215</v>
      </c>
      <c r="AZ61" s="13" t="s">
        <v>215</v>
      </c>
      <c r="BA61" s="13" t="s">
        <v>215</v>
      </c>
      <c r="BB61" s="13" t="s">
        <v>215</v>
      </c>
      <c r="BC61" s="13" t="s">
        <v>215</v>
      </c>
      <c r="BD61" s="16" t="s">
        <v>215</v>
      </c>
      <c r="BE61" s="15" t="s">
        <v>215</v>
      </c>
      <c r="BF61" s="13" t="s">
        <v>215</v>
      </c>
      <c r="BG61" s="13" t="s">
        <v>215</v>
      </c>
      <c r="BH61" s="13" t="s">
        <v>215</v>
      </c>
      <c r="BI61" s="13" t="s">
        <v>215</v>
      </c>
      <c r="BJ61" s="16" t="s">
        <v>215</v>
      </c>
      <c r="BK61" s="15" t="s">
        <v>215</v>
      </c>
      <c r="BL61" s="13" t="s">
        <v>215</v>
      </c>
      <c r="BM61" s="13" t="s">
        <v>215</v>
      </c>
      <c r="BN61" s="13" t="s">
        <v>215</v>
      </c>
      <c r="BO61" s="13" t="s">
        <v>209</v>
      </c>
      <c r="BP61" s="13" t="s">
        <v>215</v>
      </c>
      <c r="BQ61" s="13" t="s">
        <v>215</v>
      </c>
      <c r="BR61" s="13" t="s">
        <v>215</v>
      </c>
      <c r="BS61" s="13" t="s">
        <v>215</v>
      </c>
      <c r="BT61" s="13" t="s">
        <v>215</v>
      </c>
      <c r="BU61" s="13" t="s">
        <v>215</v>
      </c>
      <c r="BV61" s="13" t="s">
        <v>215</v>
      </c>
      <c r="BW61" s="16" t="s">
        <v>215</v>
      </c>
      <c r="BX61" s="15" t="s">
        <v>215</v>
      </c>
      <c r="BY61" s="13" t="s">
        <v>215</v>
      </c>
      <c r="BZ61" s="16" t="s">
        <v>215</v>
      </c>
      <c r="CA61" s="81" t="s">
        <v>215</v>
      </c>
      <c r="CB61" s="13" t="s">
        <v>215</v>
      </c>
      <c r="CC61" s="13" t="s">
        <v>215</v>
      </c>
      <c r="CD61" s="16" t="s">
        <v>215</v>
      </c>
      <c r="CE61" s="16" t="s">
        <v>215</v>
      </c>
    </row>
    <row r="62" spans="5:83" x14ac:dyDescent="0.35">
      <c r="E62" s="79" t="s">
        <v>351</v>
      </c>
      <c r="F62" s="116" t="s">
        <v>83</v>
      </c>
      <c r="G62" s="116" t="s">
        <v>274</v>
      </c>
      <c r="H62" s="15" t="s">
        <v>215</v>
      </c>
      <c r="I62" s="13" t="s">
        <v>215</v>
      </c>
      <c r="J62" s="13" t="s">
        <v>215</v>
      </c>
      <c r="K62" s="13" t="s">
        <v>215</v>
      </c>
      <c r="L62" s="13" t="s">
        <v>215</v>
      </c>
      <c r="M62" s="13" t="s">
        <v>215</v>
      </c>
      <c r="N62" s="13" t="s">
        <v>215</v>
      </c>
      <c r="O62" s="13" t="s">
        <v>215</v>
      </c>
      <c r="P62" s="13" t="s">
        <v>215</v>
      </c>
      <c r="Q62" s="13" t="s">
        <v>215</v>
      </c>
      <c r="R62" s="13" t="s">
        <v>215</v>
      </c>
      <c r="S62" s="13" t="s">
        <v>215</v>
      </c>
      <c r="T62" s="13" t="s">
        <v>215</v>
      </c>
      <c r="U62" s="13" t="s">
        <v>215</v>
      </c>
      <c r="V62" s="13" t="s">
        <v>215</v>
      </c>
      <c r="W62" s="13" t="s">
        <v>215</v>
      </c>
      <c r="X62" s="13" t="s">
        <v>215</v>
      </c>
      <c r="Y62" s="13" t="s">
        <v>215</v>
      </c>
      <c r="Z62" s="13" t="s">
        <v>209</v>
      </c>
      <c r="AA62" s="13" t="s">
        <v>215</v>
      </c>
      <c r="AB62" s="13" t="s">
        <v>215</v>
      </c>
      <c r="AC62" s="13" t="s">
        <v>215</v>
      </c>
      <c r="AD62" s="16" t="s">
        <v>215</v>
      </c>
      <c r="AE62" s="15" t="s">
        <v>215</v>
      </c>
      <c r="AF62" s="13" t="s">
        <v>209</v>
      </c>
      <c r="AG62" s="13" t="s">
        <v>215</v>
      </c>
      <c r="AH62" s="13" t="s">
        <v>215</v>
      </c>
      <c r="AI62" s="13" t="s">
        <v>215</v>
      </c>
      <c r="AJ62" s="13" t="s">
        <v>215</v>
      </c>
      <c r="AK62" s="13" t="s">
        <v>215</v>
      </c>
      <c r="AL62" s="13" t="s">
        <v>215</v>
      </c>
      <c r="AM62" s="13" t="s">
        <v>215</v>
      </c>
      <c r="AN62" s="13" t="s">
        <v>215</v>
      </c>
      <c r="AO62" s="13" t="s">
        <v>209</v>
      </c>
      <c r="AP62" s="13" t="s">
        <v>215</v>
      </c>
      <c r="AQ62" s="13" t="s">
        <v>209</v>
      </c>
      <c r="AR62" s="13" t="s">
        <v>215</v>
      </c>
      <c r="AS62" s="13" t="s">
        <v>206</v>
      </c>
      <c r="AT62" s="13" t="s">
        <v>215</v>
      </c>
      <c r="AU62" s="13" t="s">
        <v>215</v>
      </c>
      <c r="AV62" s="13" t="s">
        <v>215</v>
      </c>
      <c r="AW62" s="13" t="s">
        <v>215</v>
      </c>
      <c r="AX62" s="13" t="s">
        <v>215</v>
      </c>
      <c r="AY62" s="13" t="s">
        <v>215</v>
      </c>
      <c r="AZ62" s="13" t="s">
        <v>215</v>
      </c>
      <c r="BA62" s="13" t="s">
        <v>215</v>
      </c>
      <c r="BB62" s="13" t="s">
        <v>215</v>
      </c>
      <c r="BC62" s="13" t="s">
        <v>215</v>
      </c>
      <c r="BD62" s="16" t="s">
        <v>215</v>
      </c>
      <c r="BE62" s="15" t="s">
        <v>215</v>
      </c>
      <c r="BF62" s="13" t="s">
        <v>215</v>
      </c>
      <c r="BG62" s="13" t="s">
        <v>215</v>
      </c>
      <c r="BH62" s="13" t="s">
        <v>215</v>
      </c>
      <c r="BI62" s="13" t="s">
        <v>215</v>
      </c>
      <c r="BJ62" s="16" t="s">
        <v>215</v>
      </c>
      <c r="BK62" s="15" t="s">
        <v>215</v>
      </c>
      <c r="BL62" s="13" t="s">
        <v>215</v>
      </c>
      <c r="BM62" s="13" t="s">
        <v>215</v>
      </c>
      <c r="BN62" s="13" t="s">
        <v>206</v>
      </c>
      <c r="BO62" s="13" t="s">
        <v>215</v>
      </c>
      <c r="BP62" s="13" t="s">
        <v>215</v>
      </c>
      <c r="BQ62" s="13" t="s">
        <v>215</v>
      </c>
      <c r="BR62" s="13" t="s">
        <v>215</v>
      </c>
      <c r="BS62" s="13" t="s">
        <v>215</v>
      </c>
      <c r="BT62" s="13" t="s">
        <v>215</v>
      </c>
      <c r="BU62" s="13" t="s">
        <v>215</v>
      </c>
      <c r="BV62" s="13" t="s">
        <v>215</v>
      </c>
      <c r="BW62" s="16" t="s">
        <v>215</v>
      </c>
      <c r="BX62" s="15" t="s">
        <v>215</v>
      </c>
      <c r="BY62" s="13" t="s">
        <v>206</v>
      </c>
      <c r="BZ62" s="16" t="s">
        <v>206</v>
      </c>
      <c r="CA62" s="81" t="s">
        <v>215</v>
      </c>
      <c r="CB62" s="13" t="s">
        <v>215</v>
      </c>
      <c r="CC62" s="13" t="s">
        <v>215</v>
      </c>
      <c r="CD62" s="16" t="s">
        <v>215</v>
      </c>
      <c r="CE62" s="16" t="s">
        <v>215</v>
      </c>
    </row>
    <row r="63" spans="5:83" x14ac:dyDescent="0.35">
      <c r="E63" s="79" t="s">
        <v>352</v>
      </c>
      <c r="F63" s="116" t="s">
        <v>97</v>
      </c>
      <c r="G63" s="116" t="s">
        <v>274</v>
      </c>
      <c r="H63" s="15" t="s">
        <v>215</v>
      </c>
      <c r="I63" s="13" t="s">
        <v>215</v>
      </c>
      <c r="J63" s="13" t="s">
        <v>215</v>
      </c>
      <c r="K63" s="13" t="s">
        <v>215</v>
      </c>
      <c r="L63" s="13" t="s">
        <v>206</v>
      </c>
      <c r="M63" s="13" t="s">
        <v>215</v>
      </c>
      <c r="N63" s="13" t="s">
        <v>215</v>
      </c>
      <c r="O63" s="13" t="s">
        <v>215</v>
      </c>
      <c r="P63" s="13" t="s">
        <v>215</v>
      </c>
      <c r="Q63" s="13" t="s">
        <v>215</v>
      </c>
      <c r="R63" s="13" t="s">
        <v>215</v>
      </c>
      <c r="S63" s="13" t="s">
        <v>215</v>
      </c>
      <c r="T63" s="13" t="s">
        <v>215</v>
      </c>
      <c r="U63" s="13" t="s">
        <v>215</v>
      </c>
      <c r="V63" s="13" t="s">
        <v>215</v>
      </c>
      <c r="W63" s="13" t="s">
        <v>215</v>
      </c>
      <c r="X63" s="13" t="s">
        <v>215</v>
      </c>
      <c r="Y63" s="13" t="s">
        <v>215</v>
      </c>
      <c r="Z63" s="13" t="s">
        <v>215</v>
      </c>
      <c r="AA63" s="13" t="s">
        <v>215</v>
      </c>
      <c r="AB63" s="13" t="s">
        <v>215</v>
      </c>
      <c r="AC63" s="13" t="s">
        <v>215</v>
      </c>
      <c r="AD63" s="16" t="s">
        <v>215</v>
      </c>
      <c r="AE63" s="15" t="s">
        <v>215</v>
      </c>
      <c r="AF63" s="13" t="s">
        <v>215</v>
      </c>
      <c r="AG63" s="13" t="s">
        <v>215</v>
      </c>
      <c r="AH63" s="13" t="s">
        <v>215</v>
      </c>
      <c r="AI63" s="13" t="s">
        <v>215</v>
      </c>
      <c r="AJ63" s="13" t="s">
        <v>215</v>
      </c>
      <c r="AK63" s="13" t="s">
        <v>215</v>
      </c>
      <c r="AL63" s="13" t="s">
        <v>215</v>
      </c>
      <c r="AM63" s="13" t="s">
        <v>215</v>
      </c>
      <c r="AN63" s="13" t="s">
        <v>215</v>
      </c>
      <c r="AO63" s="13" t="s">
        <v>209</v>
      </c>
      <c r="AP63" s="13" t="s">
        <v>215</v>
      </c>
      <c r="AQ63" s="13" t="s">
        <v>215</v>
      </c>
      <c r="AR63" s="13" t="s">
        <v>206</v>
      </c>
      <c r="AS63" s="13" t="s">
        <v>215</v>
      </c>
      <c r="AT63" s="13" t="s">
        <v>215</v>
      </c>
      <c r="AU63" s="13" t="s">
        <v>215</v>
      </c>
      <c r="AV63" s="13" t="s">
        <v>215</v>
      </c>
      <c r="AW63" s="13" t="s">
        <v>215</v>
      </c>
      <c r="AX63" s="13" t="s">
        <v>215</v>
      </c>
      <c r="AY63" s="13" t="s">
        <v>215</v>
      </c>
      <c r="AZ63" s="13" t="s">
        <v>215</v>
      </c>
      <c r="BA63" s="13" t="s">
        <v>215</v>
      </c>
      <c r="BB63" s="13" t="s">
        <v>215</v>
      </c>
      <c r="BC63" s="13" t="s">
        <v>215</v>
      </c>
      <c r="BD63" s="16" t="s">
        <v>215</v>
      </c>
      <c r="BE63" s="15" t="s">
        <v>215</v>
      </c>
      <c r="BF63" s="13" t="s">
        <v>215</v>
      </c>
      <c r="BG63" s="13" t="s">
        <v>215</v>
      </c>
      <c r="BH63" s="13" t="s">
        <v>215</v>
      </c>
      <c r="BI63" s="13" t="s">
        <v>215</v>
      </c>
      <c r="BJ63" s="16" t="s">
        <v>215</v>
      </c>
      <c r="BK63" s="15" t="s">
        <v>215</v>
      </c>
      <c r="BL63" s="13" t="s">
        <v>215</v>
      </c>
      <c r="BM63" s="13" t="s">
        <v>215</v>
      </c>
      <c r="BN63" s="13" t="s">
        <v>215</v>
      </c>
      <c r="BO63" s="13" t="s">
        <v>215</v>
      </c>
      <c r="BP63" s="13" t="s">
        <v>215</v>
      </c>
      <c r="BQ63" s="13" t="s">
        <v>215</v>
      </c>
      <c r="BR63" s="13" t="s">
        <v>215</v>
      </c>
      <c r="BS63" s="13" t="s">
        <v>215</v>
      </c>
      <c r="BT63" s="13" t="s">
        <v>215</v>
      </c>
      <c r="BU63" s="13" t="s">
        <v>215</v>
      </c>
      <c r="BV63" s="13" t="s">
        <v>215</v>
      </c>
      <c r="BW63" s="16" t="s">
        <v>215</v>
      </c>
      <c r="BX63" s="15" t="s">
        <v>215</v>
      </c>
      <c r="BY63" s="13" t="s">
        <v>206</v>
      </c>
      <c r="BZ63" s="16" t="s">
        <v>206</v>
      </c>
      <c r="CA63" s="81" t="s">
        <v>215</v>
      </c>
      <c r="CB63" s="13" t="s">
        <v>215</v>
      </c>
      <c r="CC63" s="13" t="s">
        <v>215</v>
      </c>
      <c r="CD63" s="16" t="s">
        <v>215</v>
      </c>
      <c r="CE63" s="16" t="s">
        <v>215</v>
      </c>
    </row>
    <row r="64" spans="5:83" x14ac:dyDescent="0.35">
      <c r="E64" s="79" t="s">
        <v>353</v>
      </c>
      <c r="F64" s="116" t="s">
        <v>111</v>
      </c>
      <c r="G64" s="116" t="s">
        <v>274</v>
      </c>
      <c r="H64" s="15" t="s">
        <v>215</v>
      </c>
      <c r="I64" s="13" t="s">
        <v>215</v>
      </c>
      <c r="J64" s="13" t="s">
        <v>215</v>
      </c>
      <c r="K64" s="13" t="s">
        <v>215</v>
      </c>
      <c r="L64" s="13" t="s">
        <v>215</v>
      </c>
      <c r="M64" s="13" t="s">
        <v>215</v>
      </c>
      <c r="N64" s="13" t="s">
        <v>215</v>
      </c>
      <c r="O64" s="13" t="s">
        <v>209</v>
      </c>
      <c r="P64" s="13" t="s">
        <v>215</v>
      </c>
      <c r="Q64" s="13" t="s">
        <v>215</v>
      </c>
      <c r="R64" s="13" t="s">
        <v>215</v>
      </c>
      <c r="S64" s="13" t="s">
        <v>215</v>
      </c>
      <c r="T64" s="13" t="s">
        <v>206</v>
      </c>
      <c r="U64" s="13" t="s">
        <v>215</v>
      </c>
      <c r="V64" s="13" t="s">
        <v>215</v>
      </c>
      <c r="W64" s="13" t="s">
        <v>215</v>
      </c>
      <c r="X64" s="13" t="s">
        <v>209</v>
      </c>
      <c r="Y64" s="13" t="s">
        <v>215</v>
      </c>
      <c r="Z64" s="13" t="s">
        <v>215</v>
      </c>
      <c r="AA64" s="13" t="s">
        <v>215</v>
      </c>
      <c r="AB64" s="13" t="s">
        <v>209</v>
      </c>
      <c r="AC64" s="13" t="s">
        <v>209</v>
      </c>
      <c r="AD64" s="16" t="s">
        <v>215</v>
      </c>
      <c r="AE64" s="15" t="s">
        <v>215</v>
      </c>
      <c r="AF64" s="13" t="s">
        <v>206</v>
      </c>
      <c r="AG64" s="13" t="s">
        <v>215</v>
      </c>
      <c r="AH64" s="13" t="s">
        <v>215</v>
      </c>
      <c r="AI64" s="13" t="s">
        <v>215</v>
      </c>
      <c r="AJ64" s="13" t="s">
        <v>215</v>
      </c>
      <c r="AK64" s="13" t="s">
        <v>209</v>
      </c>
      <c r="AL64" s="13" t="s">
        <v>215</v>
      </c>
      <c r="AM64" s="13" t="s">
        <v>215</v>
      </c>
      <c r="AN64" s="13" t="s">
        <v>215</v>
      </c>
      <c r="AO64" s="13" t="s">
        <v>209</v>
      </c>
      <c r="AP64" s="13" t="s">
        <v>209</v>
      </c>
      <c r="AQ64" s="13" t="s">
        <v>215</v>
      </c>
      <c r="AR64" s="13" t="s">
        <v>215</v>
      </c>
      <c r="AS64" s="13" t="s">
        <v>215</v>
      </c>
      <c r="AT64" s="13" t="s">
        <v>215</v>
      </c>
      <c r="AU64" s="13" t="s">
        <v>215</v>
      </c>
      <c r="AV64" s="13" t="s">
        <v>215</v>
      </c>
      <c r="AW64" s="13" t="s">
        <v>215</v>
      </c>
      <c r="AX64" s="13" t="s">
        <v>215</v>
      </c>
      <c r="AY64" s="13" t="s">
        <v>215</v>
      </c>
      <c r="AZ64" s="13" t="s">
        <v>215</v>
      </c>
      <c r="BA64" s="13" t="s">
        <v>215</v>
      </c>
      <c r="BB64" s="13" t="s">
        <v>215</v>
      </c>
      <c r="BC64" s="13" t="s">
        <v>215</v>
      </c>
      <c r="BD64" s="16" t="s">
        <v>215</v>
      </c>
      <c r="BE64" s="15" t="s">
        <v>215</v>
      </c>
      <c r="BF64" s="13" t="s">
        <v>215</v>
      </c>
      <c r="BG64" s="13" t="s">
        <v>215</v>
      </c>
      <c r="BH64" s="13" t="s">
        <v>215</v>
      </c>
      <c r="BI64" s="13" t="s">
        <v>215</v>
      </c>
      <c r="BJ64" s="16" t="s">
        <v>215</v>
      </c>
      <c r="BK64" s="15" t="s">
        <v>209</v>
      </c>
      <c r="BL64" s="13" t="s">
        <v>215</v>
      </c>
      <c r="BM64" s="13" t="s">
        <v>215</v>
      </c>
      <c r="BN64" s="13" t="s">
        <v>206</v>
      </c>
      <c r="BO64" s="13" t="s">
        <v>209</v>
      </c>
      <c r="BP64" s="13" t="s">
        <v>215</v>
      </c>
      <c r="BQ64" s="13" t="s">
        <v>215</v>
      </c>
      <c r="BR64" s="13" t="s">
        <v>215</v>
      </c>
      <c r="BS64" s="13" t="s">
        <v>215</v>
      </c>
      <c r="BT64" s="13" t="s">
        <v>215</v>
      </c>
      <c r="BU64" s="13" t="s">
        <v>215</v>
      </c>
      <c r="BV64" s="13" t="s">
        <v>215</v>
      </c>
      <c r="BW64" s="16" t="s">
        <v>215</v>
      </c>
      <c r="BX64" s="15" t="s">
        <v>215</v>
      </c>
      <c r="BY64" s="13" t="s">
        <v>206</v>
      </c>
      <c r="BZ64" s="16" t="s">
        <v>206</v>
      </c>
      <c r="CA64" s="81" t="s">
        <v>215</v>
      </c>
      <c r="CB64" s="13" t="s">
        <v>215</v>
      </c>
      <c r="CC64" s="13" t="s">
        <v>215</v>
      </c>
      <c r="CD64" s="16" t="s">
        <v>215</v>
      </c>
      <c r="CE64" s="16" t="s">
        <v>215</v>
      </c>
    </row>
    <row r="65" spans="5:83" x14ac:dyDescent="0.35">
      <c r="E65" s="79" t="s">
        <v>354</v>
      </c>
      <c r="F65" s="116" t="s">
        <v>137</v>
      </c>
      <c r="G65" s="116" t="s">
        <v>273</v>
      </c>
      <c r="H65" s="15" t="s">
        <v>215</v>
      </c>
      <c r="I65" s="13" t="s">
        <v>215</v>
      </c>
      <c r="J65" s="13" t="s">
        <v>215</v>
      </c>
      <c r="K65" s="13" t="s">
        <v>209</v>
      </c>
      <c r="L65" s="13" t="s">
        <v>215</v>
      </c>
      <c r="M65" s="13" t="s">
        <v>215</v>
      </c>
      <c r="N65" s="13" t="s">
        <v>215</v>
      </c>
      <c r="O65" s="13" t="s">
        <v>206</v>
      </c>
      <c r="P65" s="13" t="s">
        <v>215</v>
      </c>
      <c r="Q65" s="13" t="s">
        <v>215</v>
      </c>
      <c r="R65" s="13" t="s">
        <v>215</v>
      </c>
      <c r="S65" s="13" t="s">
        <v>215</v>
      </c>
      <c r="T65" s="13" t="s">
        <v>215</v>
      </c>
      <c r="U65" s="13" t="s">
        <v>215</v>
      </c>
      <c r="V65" s="13" t="s">
        <v>215</v>
      </c>
      <c r="W65" s="13" t="s">
        <v>215</v>
      </c>
      <c r="X65" s="13" t="s">
        <v>206</v>
      </c>
      <c r="Y65" s="13" t="s">
        <v>215</v>
      </c>
      <c r="Z65" s="13" t="s">
        <v>215</v>
      </c>
      <c r="AA65" s="13" t="s">
        <v>215</v>
      </c>
      <c r="AB65" s="13" t="s">
        <v>206</v>
      </c>
      <c r="AC65" s="13" t="s">
        <v>215</v>
      </c>
      <c r="AD65" s="16" t="s">
        <v>215</v>
      </c>
      <c r="AE65" s="15" t="s">
        <v>209</v>
      </c>
      <c r="AF65" s="13" t="s">
        <v>206</v>
      </c>
      <c r="AG65" s="13" t="s">
        <v>215</v>
      </c>
      <c r="AH65" s="13" t="s">
        <v>215</v>
      </c>
      <c r="AI65" s="13" t="s">
        <v>215</v>
      </c>
      <c r="AJ65" s="13" t="s">
        <v>215</v>
      </c>
      <c r="AK65" s="13" t="s">
        <v>209</v>
      </c>
      <c r="AL65" s="13" t="s">
        <v>215</v>
      </c>
      <c r="AM65" s="13" t="s">
        <v>215</v>
      </c>
      <c r="AN65" s="13" t="s">
        <v>215</v>
      </c>
      <c r="AO65" s="13" t="s">
        <v>206</v>
      </c>
      <c r="AP65" s="13" t="s">
        <v>215</v>
      </c>
      <c r="AQ65" s="13" t="s">
        <v>209</v>
      </c>
      <c r="AR65" s="13" t="s">
        <v>215</v>
      </c>
      <c r="AS65" s="13" t="s">
        <v>215</v>
      </c>
      <c r="AT65" s="13" t="s">
        <v>215</v>
      </c>
      <c r="AU65" s="13" t="s">
        <v>215</v>
      </c>
      <c r="AV65" s="13" t="s">
        <v>215</v>
      </c>
      <c r="AW65" s="13" t="s">
        <v>215</v>
      </c>
      <c r="AX65" s="13" t="s">
        <v>215</v>
      </c>
      <c r="AY65" s="13" t="s">
        <v>215</v>
      </c>
      <c r="AZ65" s="13" t="s">
        <v>215</v>
      </c>
      <c r="BA65" s="13" t="s">
        <v>215</v>
      </c>
      <c r="BB65" s="13" t="s">
        <v>215</v>
      </c>
      <c r="BC65" s="13" t="s">
        <v>215</v>
      </c>
      <c r="BD65" s="16" t="s">
        <v>215</v>
      </c>
      <c r="BE65" s="15" t="s">
        <v>215</v>
      </c>
      <c r="BF65" s="13" t="s">
        <v>215</v>
      </c>
      <c r="BG65" s="13" t="s">
        <v>215</v>
      </c>
      <c r="BH65" s="13" t="s">
        <v>215</v>
      </c>
      <c r="BI65" s="13" t="s">
        <v>215</v>
      </c>
      <c r="BJ65" s="16" t="s">
        <v>215</v>
      </c>
      <c r="BK65" s="15" t="s">
        <v>215</v>
      </c>
      <c r="BL65" s="13" t="s">
        <v>215</v>
      </c>
      <c r="BM65" s="13" t="s">
        <v>215</v>
      </c>
      <c r="BN65" s="13" t="s">
        <v>215</v>
      </c>
      <c r="BO65" s="13" t="s">
        <v>209</v>
      </c>
      <c r="BP65" s="13" t="s">
        <v>215</v>
      </c>
      <c r="BQ65" s="13" t="s">
        <v>215</v>
      </c>
      <c r="BR65" s="13" t="s">
        <v>215</v>
      </c>
      <c r="BS65" s="13" t="s">
        <v>215</v>
      </c>
      <c r="BT65" s="13" t="s">
        <v>215</v>
      </c>
      <c r="BU65" s="13" t="s">
        <v>215</v>
      </c>
      <c r="BV65" s="13" t="s">
        <v>215</v>
      </c>
      <c r="BW65" s="16" t="s">
        <v>215</v>
      </c>
      <c r="BX65" s="15" t="s">
        <v>215</v>
      </c>
      <c r="BY65" s="13" t="s">
        <v>215</v>
      </c>
      <c r="BZ65" s="16" t="s">
        <v>215</v>
      </c>
      <c r="CA65" s="81" t="s">
        <v>215</v>
      </c>
      <c r="CB65" s="13" t="s">
        <v>215</v>
      </c>
      <c r="CC65" s="13" t="s">
        <v>215</v>
      </c>
      <c r="CD65" s="16" t="s">
        <v>215</v>
      </c>
      <c r="CE65" s="16" t="s">
        <v>209</v>
      </c>
    </row>
    <row r="66" spans="5:83" x14ac:dyDescent="0.35">
      <c r="E66" s="79" t="s">
        <v>355</v>
      </c>
      <c r="F66" s="116" t="s">
        <v>145</v>
      </c>
      <c r="G66" s="116" t="s">
        <v>274</v>
      </c>
      <c r="H66" s="15" t="s">
        <v>215</v>
      </c>
      <c r="I66" s="13" t="s">
        <v>215</v>
      </c>
      <c r="J66" s="13" t="s">
        <v>215</v>
      </c>
      <c r="K66" s="13" t="s">
        <v>215</v>
      </c>
      <c r="L66" s="13" t="s">
        <v>215</v>
      </c>
      <c r="M66" s="13" t="s">
        <v>215</v>
      </c>
      <c r="N66" s="13" t="s">
        <v>215</v>
      </c>
      <c r="O66" s="13" t="s">
        <v>209</v>
      </c>
      <c r="P66" s="13" t="s">
        <v>215</v>
      </c>
      <c r="Q66" s="13" t="s">
        <v>215</v>
      </c>
      <c r="R66" s="13" t="s">
        <v>215</v>
      </c>
      <c r="S66" s="13" t="s">
        <v>215</v>
      </c>
      <c r="T66" s="13" t="s">
        <v>215</v>
      </c>
      <c r="U66" s="13" t="s">
        <v>215</v>
      </c>
      <c r="V66" s="13" t="s">
        <v>215</v>
      </c>
      <c r="W66" s="13" t="s">
        <v>206</v>
      </c>
      <c r="X66" s="13" t="s">
        <v>209</v>
      </c>
      <c r="Y66" s="13" t="s">
        <v>215</v>
      </c>
      <c r="Z66" s="13" t="s">
        <v>215</v>
      </c>
      <c r="AA66" s="13" t="s">
        <v>215</v>
      </c>
      <c r="AB66" s="13" t="s">
        <v>209</v>
      </c>
      <c r="AC66" s="13" t="s">
        <v>215</v>
      </c>
      <c r="AD66" s="16" t="s">
        <v>215</v>
      </c>
      <c r="AE66" s="15" t="s">
        <v>215</v>
      </c>
      <c r="AF66" s="13" t="s">
        <v>215</v>
      </c>
      <c r="AG66" s="13" t="s">
        <v>215</v>
      </c>
      <c r="AH66" s="13" t="s">
        <v>215</v>
      </c>
      <c r="AI66" s="13" t="s">
        <v>215</v>
      </c>
      <c r="AJ66" s="13" t="s">
        <v>215</v>
      </c>
      <c r="AK66" s="13" t="s">
        <v>209</v>
      </c>
      <c r="AL66" s="13" t="s">
        <v>215</v>
      </c>
      <c r="AM66" s="13" t="s">
        <v>215</v>
      </c>
      <c r="AN66" s="13" t="s">
        <v>215</v>
      </c>
      <c r="AO66" s="13" t="s">
        <v>206</v>
      </c>
      <c r="AP66" s="13" t="s">
        <v>215</v>
      </c>
      <c r="AQ66" s="13" t="s">
        <v>215</v>
      </c>
      <c r="AR66" s="13" t="s">
        <v>215</v>
      </c>
      <c r="AS66" s="13" t="s">
        <v>206</v>
      </c>
      <c r="AT66" s="13" t="s">
        <v>215</v>
      </c>
      <c r="AU66" s="13" t="s">
        <v>209</v>
      </c>
      <c r="AV66" s="13" t="s">
        <v>215</v>
      </c>
      <c r="AW66" s="13" t="s">
        <v>206</v>
      </c>
      <c r="AX66" s="13" t="s">
        <v>215</v>
      </c>
      <c r="AY66" s="13" t="s">
        <v>215</v>
      </c>
      <c r="AZ66" s="13" t="s">
        <v>215</v>
      </c>
      <c r="BA66" s="13" t="s">
        <v>215</v>
      </c>
      <c r="BB66" s="13" t="s">
        <v>215</v>
      </c>
      <c r="BC66" s="13" t="s">
        <v>215</v>
      </c>
      <c r="BD66" s="16" t="s">
        <v>215</v>
      </c>
      <c r="BE66" s="15" t="s">
        <v>215</v>
      </c>
      <c r="BF66" s="13" t="s">
        <v>215</v>
      </c>
      <c r="BG66" s="13" t="s">
        <v>215</v>
      </c>
      <c r="BH66" s="13" t="s">
        <v>215</v>
      </c>
      <c r="BI66" s="13" t="s">
        <v>215</v>
      </c>
      <c r="BJ66" s="16" t="s">
        <v>215</v>
      </c>
      <c r="BK66" s="15" t="s">
        <v>215</v>
      </c>
      <c r="BL66" s="13" t="s">
        <v>215</v>
      </c>
      <c r="BM66" s="13" t="s">
        <v>215</v>
      </c>
      <c r="BN66" s="13" t="s">
        <v>215</v>
      </c>
      <c r="BO66" s="13" t="s">
        <v>209</v>
      </c>
      <c r="BP66" s="13" t="s">
        <v>215</v>
      </c>
      <c r="BQ66" s="13" t="s">
        <v>215</v>
      </c>
      <c r="BR66" s="13" t="s">
        <v>215</v>
      </c>
      <c r="BS66" s="13" t="s">
        <v>215</v>
      </c>
      <c r="BT66" s="13" t="s">
        <v>215</v>
      </c>
      <c r="BU66" s="13" t="s">
        <v>215</v>
      </c>
      <c r="BV66" s="13" t="s">
        <v>215</v>
      </c>
      <c r="BW66" s="16" t="s">
        <v>215</v>
      </c>
      <c r="BX66" s="15" t="s">
        <v>215</v>
      </c>
      <c r="BY66" s="13" t="s">
        <v>209</v>
      </c>
      <c r="BZ66" s="16" t="s">
        <v>209</v>
      </c>
      <c r="CA66" s="81" t="s">
        <v>215</v>
      </c>
      <c r="CB66" s="13" t="s">
        <v>215</v>
      </c>
      <c r="CC66" s="13" t="s">
        <v>215</v>
      </c>
      <c r="CD66" s="16" t="s">
        <v>215</v>
      </c>
      <c r="CE66" s="16" t="s">
        <v>215</v>
      </c>
    </row>
    <row r="67" spans="5:83" x14ac:dyDescent="0.35">
      <c r="E67" s="79" t="s">
        <v>356</v>
      </c>
      <c r="F67" s="116" t="s">
        <v>160</v>
      </c>
      <c r="G67" s="116" t="s">
        <v>275</v>
      </c>
      <c r="H67" s="15" t="s">
        <v>215</v>
      </c>
      <c r="I67" s="13" t="s">
        <v>215</v>
      </c>
      <c r="J67" s="13" t="s">
        <v>215</v>
      </c>
      <c r="K67" s="13" t="s">
        <v>215</v>
      </c>
      <c r="L67" s="13" t="s">
        <v>215</v>
      </c>
      <c r="M67" s="13" t="s">
        <v>215</v>
      </c>
      <c r="N67" s="13" t="s">
        <v>215</v>
      </c>
      <c r="O67" s="13" t="s">
        <v>209</v>
      </c>
      <c r="P67" s="13" t="s">
        <v>215</v>
      </c>
      <c r="Q67" s="13" t="s">
        <v>215</v>
      </c>
      <c r="R67" s="13" t="s">
        <v>215</v>
      </c>
      <c r="S67" s="13" t="s">
        <v>215</v>
      </c>
      <c r="T67" s="13" t="s">
        <v>215</v>
      </c>
      <c r="U67" s="13" t="s">
        <v>215</v>
      </c>
      <c r="V67" s="13" t="s">
        <v>215</v>
      </c>
      <c r="W67" s="13" t="s">
        <v>206</v>
      </c>
      <c r="X67" s="13" t="s">
        <v>209</v>
      </c>
      <c r="Y67" s="13" t="s">
        <v>215</v>
      </c>
      <c r="Z67" s="13" t="s">
        <v>215</v>
      </c>
      <c r="AA67" s="13" t="s">
        <v>215</v>
      </c>
      <c r="AB67" s="13" t="s">
        <v>209</v>
      </c>
      <c r="AC67" s="13" t="s">
        <v>215</v>
      </c>
      <c r="AD67" s="16" t="s">
        <v>215</v>
      </c>
      <c r="AE67" s="15" t="s">
        <v>215</v>
      </c>
      <c r="AF67" s="13" t="s">
        <v>215</v>
      </c>
      <c r="AG67" s="13" t="s">
        <v>215</v>
      </c>
      <c r="AH67" s="13" t="s">
        <v>215</v>
      </c>
      <c r="AI67" s="13" t="s">
        <v>215</v>
      </c>
      <c r="AJ67" s="13" t="s">
        <v>215</v>
      </c>
      <c r="AK67" s="13" t="s">
        <v>209</v>
      </c>
      <c r="AL67" s="13" t="s">
        <v>215</v>
      </c>
      <c r="AM67" s="13" t="s">
        <v>215</v>
      </c>
      <c r="AN67" s="13" t="s">
        <v>215</v>
      </c>
      <c r="AO67" s="13" t="s">
        <v>206</v>
      </c>
      <c r="AP67" s="13" t="s">
        <v>215</v>
      </c>
      <c r="AQ67" s="13" t="s">
        <v>215</v>
      </c>
      <c r="AR67" s="13" t="s">
        <v>215</v>
      </c>
      <c r="AS67" s="13" t="s">
        <v>206</v>
      </c>
      <c r="AT67" s="13" t="s">
        <v>215</v>
      </c>
      <c r="AU67" s="13" t="s">
        <v>209</v>
      </c>
      <c r="AV67" s="13" t="s">
        <v>215</v>
      </c>
      <c r="AW67" s="13" t="s">
        <v>206</v>
      </c>
      <c r="AX67" s="13" t="s">
        <v>215</v>
      </c>
      <c r="AY67" s="13" t="s">
        <v>215</v>
      </c>
      <c r="AZ67" s="13" t="s">
        <v>215</v>
      </c>
      <c r="BA67" s="13" t="s">
        <v>215</v>
      </c>
      <c r="BB67" s="13" t="s">
        <v>215</v>
      </c>
      <c r="BC67" s="13" t="s">
        <v>215</v>
      </c>
      <c r="BD67" s="16" t="s">
        <v>215</v>
      </c>
      <c r="BE67" s="15" t="s">
        <v>215</v>
      </c>
      <c r="BF67" s="13" t="s">
        <v>215</v>
      </c>
      <c r="BG67" s="13" t="s">
        <v>215</v>
      </c>
      <c r="BH67" s="13" t="s">
        <v>215</v>
      </c>
      <c r="BI67" s="13" t="s">
        <v>215</v>
      </c>
      <c r="BJ67" s="16" t="s">
        <v>215</v>
      </c>
      <c r="BK67" s="15" t="s">
        <v>215</v>
      </c>
      <c r="BL67" s="13" t="s">
        <v>215</v>
      </c>
      <c r="BM67" s="13" t="s">
        <v>215</v>
      </c>
      <c r="BN67" s="13" t="s">
        <v>215</v>
      </c>
      <c r="BO67" s="13" t="s">
        <v>209</v>
      </c>
      <c r="BP67" s="13" t="s">
        <v>215</v>
      </c>
      <c r="BQ67" s="13" t="s">
        <v>215</v>
      </c>
      <c r="BR67" s="13" t="s">
        <v>215</v>
      </c>
      <c r="BS67" s="13" t="s">
        <v>215</v>
      </c>
      <c r="BT67" s="13" t="s">
        <v>215</v>
      </c>
      <c r="BU67" s="13" t="s">
        <v>215</v>
      </c>
      <c r="BV67" s="13" t="s">
        <v>215</v>
      </c>
      <c r="BW67" s="16" t="s">
        <v>215</v>
      </c>
      <c r="BX67" s="15" t="s">
        <v>215</v>
      </c>
      <c r="BY67" s="13" t="s">
        <v>209</v>
      </c>
      <c r="BZ67" s="16" t="s">
        <v>209</v>
      </c>
      <c r="CA67" s="81" t="s">
        <v>215</v>
      </c>
      <c r="CB67" s="13" t="s">
        <v>215</v>
      </c>
      <c r="CC67" s="13" t="s">
        <v>215</v>
      </c>
      <c r="CD67" s="16" t="s">
        <v>215</v>
      </c>
      <c r="CE67" s="16" t="s">
        <v>215</v>
      </c>
    </row>
    <row r="68" spans="5:83" x14ac:dyDescent="0.35">
      <c r="E68" s="79" t="s">
        <v>357</v>
      </c>
      <c r="F68" s="116" t="s">
        <v>165</v>
      </c>
      <c r="G68" s="116" t="s">
        <v>275</v>
      </c>
      <c r="H68" s="15" t="s">
        <v>215</v>
      </c>
      <c r="I68" s="13" t="s">
        <v>215</v>
      </c>
      <c r="J68" s="13" t="s">
        <v>215</v>
      </c>
      <c r="K68" s="13" t="s">
        <v>215</v>
      </c>
      <c r="L68" s="13" t="s">
        <v>215</v>
      </c>
      <c r="M68" s="13" t="s">
        <v>215</v>
      </c>
      <c r="N68" s="13" t="s">
        <v>215</v>
      </c>
      <c r="O68" s="13" t="s">
        <v>215</v>
      </c>
      <c r="P68" s="13" t="s">
        <v>215</v>
      </c>
      <c r="Q68" s="13" t="s">
        <v>215</v>
      </c>
      <c r="R68" s="13" t="s">
        <v>215</v>
      </c>
      <c r="S68" s="13" t="s">
        <v>215</v>
      </c>
      <c r="T68" s="13" t="s">
        <v>215</v>
      </c>
      <c r="U68" s="13" t="s">
        <v>215</v>
      </c>
      <c r="V68" s="13" t="s">
        <v>215</v>
      </c>
      <c r="W68" s="13" t="s">
        <v>215</v>
      </c>
      <c r="X68" s="13" t="s">
        <v>215</v>
      </c>
      <c r="Y68" s="13" t="s">
        <v>215</v>
      </c>
      <c r="Z68" s="13" t="s">
        <v>215</v>
      </c>
      <c r="AA68" s="13" t="s">
        <v>215</v>
      </c>
      <c r="AB68" s="13" t="s">
        <v>215</v>
      </c>
      <c r="AC68" s="13" t="s">
        <v>215</v>
      </c>
      <c r="AD68" s="16" t="s">
        <v>215</v>
      </c>
      <c r="AE68" s="15" t="s">
        <v>215</v>
      </c>
      <c r="AF68" s="13" t="s">
        <v>215</v>
      </c>
      <c r="AG68" s="13" t="s">
        <v>215</v>
      </c>
      <c r="AH68" s="13" t="s">
        <v>215</v>
      </c>
      <c r="AI68" s="13" t="s">
        <v>215</v>
      </c>
      <c r="AJ68" s="13" t="s">
        <v>215</v>
      </c>
      <c r="AK68" s="13" t="s">
        <v>215</v>
      </c>
      <c r="AL68" s="13" t="s">
        <v>215</v>
      </c>
      <c r="AM68" s="13" t="s">
        <v>215</v>
      </c>
      <c r="AN68" s="13" t="s">
        <v>215</v>
      </c>
      <c r="AO68" s="13" t="s">
        <v>215</v>
      </c>
      <c r="AP68" s="13" t="s">
        <v>215</v>
      </c>
      <c r="AQ68" s="13" t="s">
        <v>215</v>
      </c>
      <c r="AR68" s="13" t="s">
        <v>215</v>
      </c>
      <c r="AS68" s="13" t="s">
        <v>215</v>
      </c>
      <c r="AT68" s="13" t="s">
        <v>215</v>
      </c>
      <c r="AU68" s="13" t="s">
        <v>215</v>
      </c>
      <c r="AV68" s="13" t="s">
        <v>215</v>
      </c>
      <c r="AW68" s="13" t="s">
        <v>215</v>
      </c>
      <c r="AX68" s="13" t="s">
        <v>215</v>
      </c>
      <c r="AY68" s="13" t="s">
        <v>215</v>
      </c>
      <c r="AZ68" s="13" t="s">
        <v>215</v>
      </c>
      <c r="BA68" s="13" t="s">
        <v>215</v>
      </c>
      <c r="BB68" s="13" t="s">
        <v>215</v>
      </c>
      <c r="BC68" s="13" t="s">
        <v>215</v>
      </c>
      <c r="BD68" s="16" t="s">
        <v>215</v>
      </c>
      <c r="BE68" s="15" t="s">
        <v>215</v>
      </c>
      <c r="BF68" s="13" t="s">
        <v>215</v>
      </c>
      <c r="BG68" s="13" t="s">
        <v>215</v>
      </c>
      <c r="BH68" s="13" t="s">
        <v>215</v>
      </c>
      <c r="BI68" s="13" t="s">
        <v>215</v>
      </c>
      <c r="BJ68" s="16" t="s">
        <v>215</v>
      </c>
      <c r="BK68" s="15" t="s">
        <v>215</v>
      </c>
      <c r="BL68" s="13" t="s">
        <v>215</v>
      </c>
      <c r="BM68" s="13" t="s">
        <v>215</v>
      </c>
      <c r="BN68" s="13" t="s">
        <v>215</v>
      </c>
      <c r="BO68" s="13" t="s">
        <v>215</v>
      </c>
      <c r="BP68" s="13" t="s">
        <v>215</v>
      </c>
      <c r="BQ68" s="13" t="s">
        <v>215</v>
      </c>
      <c r="BR68" s="13" t="s">
        <v>215</v>
      </c>
      <c r="BS68" s="13" t="s">
        <v>215</v>
      </c>
      <c r="BT68" s="13" t="s">
        <v>215</v>
      </c>
      <c r="BU68" s="13" t="s">
        <v>215</v>
      </c>
      <c r="BV68" s="13" t="s">
        <v>215</v>
      </c>
      <c r="BW68" s="16" t="s">
        <v>215</v>
      </c>
      <c r="BX68" s="15" t="s">
        <v>215</v>
      </c>
      <c r="BY68" s="13" t="s">
        <v>215</v>
      </c>
      <c r="BZ68" s="16" t="s">
        <v>215</v>
      </c>
      <c r="CA68" s="81" t="s">
        <v>215</v>
      </c>
      <c r="CB68" s="13" t="s">
        <v>215</v>
      </c>
      <c r="CC68" s="13" t="s">
        <v>215</v>
      </c>
      <c r="CD68" s="16" t="s">
        <v>215</v>
      </c>
      <c r="CE68" s="16" t="s">
        <v>215</v>
      </c>
    </row>
    <row r="69" spans="5:83" x14ac:dyDescent="0.35">
      <c r="E69" s="79" t="s">
        <v>358</v>
      </c>
      <c r="F69" s="116" t="s">
        <v>54</v>
      </c>
      <c r="G69" s="116" t="s">
        <v>273</v>
      </c>
      <c r="H69" s="15" t="s">
        <v>215</v>
      </c>
      <c r="I69" s="13" t="s">
        <v>215</v>
      </c>
      <c r="J69" s="13" t="s">
        <v>215</v>
      </c>
      <c r="K69" s="13" t="s">
        <v>215</v>
      </c>
      <c r="L69" s="13" t="s">
        <v>215</v>
      </c>
      <c r="M69" s="13" t="s">
        <v>215</v>
      </c>
      <c r="N69" s="13" t="s">
        <v>215</v>
      </c>
      <c r="O69" s="13" t="s">
        <v>215</v>
      </c>
      <c r="P69" s="13" t="s">
        <v>215</v>
      </c>
      <c r="Q69" s="13" t="s">
        <v>215</v>
      </c>
      <c r="R69" s="13" t="s">
        <v>215</v>
      </c>
      <c r="S69" s="13" t="s">
        <v>215</v>
      </c>
      <c r="T69" s="13" t="s">
        <v>215</v>
      </c>
      <c r="U69" s="13" t="s">
        <v>215</v>
      </c>
      <c r="V69" s="13" t="s">
        <v>215</v>
      </c>
      <c r="W69" s="13" t="s">
        <v>215</v>
      </c>
      <c r="X69" s="13" t="s">
        <v>215</v>
      </c>
      <c r="Y69" s="13" t="s">
        <v>215</v>
      </c>
      <c r="Z69" s="13" t="s">
        <v>215</v>
      </c>
      <c r="AA69" s="13" t="s">
        <v>215</v>
      </c>
      <c r="AB69" s="13" t="s">
        <v>209</v>
      </c>
      <c r="AC69" s="13" t="s">
        <v>215</v>
      </c>
      <c r="AD69" s="16" t="s">
        <v>215</v>
      </c>
      <c r="AE69" s="15" t="s">
        <v>215</v>
      </c>
      <c r="AF69" s="13" t="s">
        <v>206</v>
      </c>
      <c r="AG69" s="13" t="s">
        <v>215</v>
      </c>
      <c r="AH69" s="13" t="s">
        <v>209</v>
      </c>
      <c r="AI69" s="13" t="s">
        <v>215</v>
      </c>
      <c r="AJ69" s="13" t="s">
        <v>215</v>
      </c>
      <c r="AK69" s="13" t="s">
        <v>215</v>
      </c>
      <c r="AL69" s="13" t="s">
        <v>215</v>
      </c>
      <c r="AM69" s="13" t="s">
        <v>215</v>
      </c>
      <c r="AN69" s="13" t="s">
        <v>215</v>
      </c>
      <c r="AO69" s="13" t="s">
        <v>206</v>
      </c>
      <c r="AP69" s="13" t="s">
        <v>215</v>
      </c>
      <c r="AQ69" s="13" t="s">
        <v>215</v>
      </c>
      <c r="AR69" s="13" t="s">
        <v>215</v>
      </c>
      <c r="AS69" s="13" t="s">
        <v>215</v>
      </c>
      <c r="AT69" s="13" t="s">
        <v>215</v>
      </c>
      <c r="AU69" s="13" t="s">
        <v>215</v>
      </c>
      <c r="AV69" s="13" t="s">
        <v>215</v>
      </c>
      <c r="AW69" s="13" t="s">
        <v>215</v>
      </c>
      <c r="AX69" s="13" t="s">
        <v>215</v>
      </c>
      <c r="AY69" s="13" t="s">
        <v>215</v>
      </c>
      <c r="AZ69" s="13" t="s">
        <v>215</v>
      </c>
      <c r="BA69" s="13" t="s">
        <v>215</v>
      </c>
      <c r="BB69" s="13" t="s">
        <v>215</v>
      </c>
      <c r="BC69" s="13" t="s">
        <v>215</v>
      </c>
      <c r="BD69" s="16" t="s">
        <v>215</v>
      </c>
      <c r="BE69" s="15" t="s">
        <v>215</v>
      </c>
      <c r="BF69" s="13" t="s">
        <v>215</v>
      </c>
      <c r="BG69" s="13" t="s">
        <v>215</v>
      </c>
      <c r="BH69" s="13" t="s">
        <v>215</v>
      </c>
      <c r="BI69" s="13" t="s">
        <v>215</v>
      </c>
      <c r="BJ69" s="16" t="s">
        <v>215</v>
      </c>
      <c r="BK69" s="15" t="s">
        <v>215</v>
      </c>
      <c r="BL69" s="13" t="s">
        <v>209</v>
      </c>
      <c r="BM69" s="13" t="s">
        <v>215</v>
      </c>
      <c r="BN69" s="13" t="s">
        <v>215</v>
      </c>
      <c r="BO69" s="13" t="s">
        <v>215</v>
      </c>
      <c r="BP69" s="13" t="s">
        <v>215</v>
      </c>
      <c r="BQ69" s="13" t="s">
        <v>215</v>
      </c>
      <c r="BR69" s="13" t="s">
        <v>215</v>
      </c>
      <c r="BS69" s="13" t="s">
        <v>215</v>
      </c>
      <c r="BT69" s="13" t="s">
        <v>215</v>
      </c>
      <c r="BU69" s="13" t="s">
        <v>215</v>
      </c>
      <c r="BV69" s="13" t="s">
        <v>215</v>
      </c>
      <c r="BW69" s="16" t="s">
        <v>215</v>
      </c>
      <c r="BX69" s="15" t="s">
        <v>215</v>
      </c>
      <c r="BY69" s="13" t="s">
        <v>215</v>
      </c>
      <c r="BZ69" s="16" t="s">
        <v>215</v>
      </c>
      <c r="CA69" s="81" t="s">
        <v>215</v>
      </c>
      <c r="CB69" s="13" t="s">
        <v>215</v>
      </c>
      <c r="CC69" s="13" t="s">
        <v>215</v>
      </c>
      <c r="CD69" s="16" t="s">
        <v>215</v>
      </c>
      <c r="CE69" s="16" t="s">
        <v>215</v>
      </c>
    </row>
    <row r="70" spans="5:83" x14ac:dyDescent="0.35">
      <c r="E70" s="79" t="s">
        <v>359</v>
      </c>
      <c r="F70" s="116" t="s">
        <v>69</v>
      </c>
      <c r="G70" s="116" t="s">
        <v>273</v>
      </c>
      <c r="H70" s="15" t="s">
        <v>215</v>
      </c>
      <c r="I70" s="13" t="s">
        <v>215</v>
      </c>
      <c r="J70" s="13" t="s">
        <v>215</v>
      </c>
      <c r="K70" s="13" t="s">
        <v>215</v>
      </c>
      <c r="L70" s="13" t="s">
        <v>215</v>
      </c>
      <c r="M70" s="13" t="s">
        <v>215</v>
      </c>
      <c r="N70" s="13" t="s">
        <v>215</v>
      </c>
      <c r="O70" s="13" t="s">
        <v>215</v>
      </c>
      <c r="P70" s="13" t="s">
        <v>215</v>
      </c>
      <c r="Q70" s="13" t="s">
        <v>215</v>
      </c>
      <c r="R70" s="13" t="s">
        <v>215</v>
      </c>
      <c r="S70" s="13" t="s">
        <v>215</v>
      </c>
      <c r="T70" s="13" t="s">
        <v>215</v>
      </c>
      <c r="U70" s="13" t="s">
        <v>215</v>
      </c>
      <c r="V70" s="13" t="s">
        <v>215</v>
      </c>
      <c r="W70" s="13" t="s">
        <v>215</v>
      </c>
      <c r="X70" s="13" t="s">
        <v>215</v>
      </c>
      <c r="Y70" s="13" t="s">
        <v>215</v>
      </c>
      <c r="Z70" s="13" t="s">
        <v>215</v>
      </c>
      <c r="AA70" s="13" t="s">
        <v>215</v>
      </c>
      <c r="AB70" s="13" t="s">
        <v>215</v>
      </c>
      <c r="AC70" s="13" t="s">
        <v>215</v>
      </c>
      <c r="AD70" s="16" t="s">
        <v>215</v>
      </c>
      <c r="AE70" s="15" t="s">
        <v>215</v>
      </c>
      <c r="AF70" s="13" t="s">
        <v>206</v>
      </c>
      <c r="AG70" s="13" t="s">
        <v>215</v>
      </c>
      <c r="AH70" s="13" t="s">
        <v>209</v>
      </c>
      <c r="AI70" s="13" t="s">
        <v>206</v>
      </c>
      <c r="AJ70" s="13" t="s">
        <v>215</v>
      </c>
      <c r="AK70" s="13" t="s">
        <v>206</v>
      </c>
      <c r="AL70" s="13" t="s">
        <v>209</v>
      </c>
      <c r="AM70" s="13" t="s">
        <v>215</v>
      </c>
      <c r="AN70" s="13" t="s">
        <v>215</v>
      </c>
      <c r="AO70" s="13" t="s">
        <v>206</v>
      </c>
      <c r="AP70" s="13" t="s">
        <v>209</v>
      </c>
      <c r="AQ70" s="13" t="s">
        <v>215</v>
      </c>
      <c r="AR70" s="13" t="s">
        <v>215</v>
      </c>
      <c r="AS70" s="13" t="s">
        <v>215</v>
      </c>
      <c r="AT70" s="13" t="s">
        <v>215</v>
      </c>
      <c r="AU70" s="13" t="s">
        <v>215</v>
      </c>
      <c r="AV70" s="13" t="s">
        <v>215</v>
      </c>
      <c r="AW70" s="13" t="s">
        <v>215</v>
      </c>
      <c r="AX70" s="13" t="s">
        <v>215</v>
      </c>
      <c r="AY70" s="13" t="s">
        <v>215</v>
      </c>
      <c r="AZ70" s="13" t="s">
        <v>215</v>
      </c>
      <c r="BA70" s="13" t="s">
        <v>215</v>
      </c>
      <c r="BB70" s="13" t="s">
        <v>215</v>
      </c>
      <c r="BC70" s="13" t="s">
        <v>215</v>
      </c>
      <c r="BD70" s="16" t="s">
        <v>215</v>
      </c>
      <c r="BE70" s="15" t="s">
        <v>215</v>
      </c>
      <c r="BF70" s="13" t="s">
        <v>215</v>
      </c>
      <c r="BG70" s="13" t="s">
        <v>215</v>
      </c>
      <c r="BH70" s="13" t="s">
        <v>215</v>
      </c>
      <c r="BI70" s="13" t="s">
        <v>215</v>
      </c>
      <c r="BJ70" s="16" t="s">
        <v>215</v>
      </c>
      <c r="BK70" s="15" t="s">
        <v>215</v>
      </c>
      <c r="BL70" s="13" t="s">
        <v>215</v>
      </c>
      <c r="BM70" s="13" t="s">
        <v>215</v>
      </c>
      <c r="BN70" s="13" t="s">
        <v>215</v>
      </c>
      <c r="BO70" s="13" t="s">
        <v>206</v>
      </c>
      <c r="BP70" s="13" t="s">
        <v>215</v>
      </c>
      <c r="BQ70" s="13" t="s">
        <v>215</v>
      </c>
      <c r="BR70" s="13" t="s">
        <v>215</v>
      </c>
      <c r="BS70" s="13" t="s">
        <v>215</v>
      </c>
      <c r="BT70" s="13" t="s">
        <v>215</v>
      </c>
      <c r="BU70" s="13" t="s">
        <v>215</v>
      </c>
      <c r="BV70" s="13" t="s">
        <v>215</v>
      </c>
      <c r="BW70" s="16" t="s">
        <v>215</v>
      </c>
      <c r="BX70" s="15" t="s">
        <v>215</v>
      </c>
      <c r="BY70" s="13" t="s">
        <v>215</v>
      </c>
      <c r="BZ70" s="16" t="s">
        <v>215</v>
      </c>
      <c r="CA70" s="81" t="s">
        <v>215</v>
      </c>
      <c r="CB70" s="13" t="s">
        <v>215</v>
      </c>
      <c r="CC70" s="13" t="s">
        <v>215</v>
      </c>
      <c r="CD70" s="16" t="s">
        <v>215</v>
      </c>
      <c r="CE70" s="16" t="s">
        <v>215</v>
      </c>
    </row>
    <row r="71" spans="5:83" x14ac:dyDescent="0.35">
      <c r="E71" s="79" t="s">
        <v>360</v>
      </c>
      <c r="F71" s="116" t="s">
        <v>138</v>
      </c>
      <c r="G71" s="116" t="s">
        <v>273</v>
      </c>
      <c r="H71" s="15" t="s">
        <v>215</v>
      </c>
      <c r="I71" s="13" t="s">
        <v>215</v>
      </c>
      <c r="J71" s="13" t="s">
        <v>215</v>
      </c>
      <c r="K71" s="13" t="s">
        <v>215</v>
      </c>
      <c r="L71" s="13" t="s">
        <v>215</v>
      </c>
      <c r="M71" s="13" t="s">
        <v>215</v>
      </c>
      <c r="N71" s="13" t="s">
        <v>215</v>
      </c>
      <c r="O71" s="13" t="s">
        <v>215</v>
      </c>
      <c r="P71" s="13" t="s">
        <v>215</v>
      </c>
      <c r="Q71" s="13" t="s">
        <v>215</v>
      </c>
      <c r="R71" s="13" t="s">
        <v>215</v>
      </c>
      <c r="S71" s="13" t="s">
        <v>215</v>
      </c>
      <c r="T71" s="13" t="s">
        <v>215</v>
      </c>
      <c r="U71" s="13" t="s">
        <v>215</v>
      </c>
      <c r="V71" s="13" t="s">
        <v>215</v>
      </c>
      <c r="W71" s="13" t="s">
        <v>215</v>
      </c>
      <c r="X71" s="13" t="s">
        <v>215</v>
      </c>
      <c r="Y71" s="13" t="s">
        <v>215</v>
      </c>
      <c r="Z71" s="13" t="s">
        <v>215</v>
      </c>
      <c r="AA71" s="13" t="s">
        <v>215</v>
      </c>
      <c r="AB71" s="13" t="s">
        <v>215</v>
      </c>
      <c r="AC71" s="13" t="s">
        <v>215</v>
      </c>
      <c r="AD71" s="16" t="s">
        <v>215</v>
      </c>
      <c r="AE71" s="15" t="s">
        <v>215</v>
      </c>
      <c r="AF71" s="13" t="s">
        <v>206</v>
      </c>
      <c r="AG71" s="13" t="s">
        <v>215</v>
      </c>
      <c r="AH71" s="13" t="s">
        <v>215</v>
      </c>
      <c r="AI71" s="13" t="s">
        <v>215</v>
      </c>
      <c r="AJ71" s="13" t="s">
        <v>215</v>
      </c>
      <c r="AK71" s="13" t="s">
        <v>209</v>
      </c>
      <c r="AL71" s="13" t="s">
        <v>215</v>
      </c>
      <c r="AM71" s="13" t="s">
        <v>215</v>
      </c>
      <c r="AN71" s="13" t="s">
        <v>215</v>
      </c>
      <c r="AO71" s="13" t="s">
        <v>209</v>
      </c>
      <c r="AP71" s="13" t="s">
        <v>215</v>
      </c>
      <c r="AQ71" s="13" t="s">
        <v>215</v>
      </c>
      <c r="AR71" s="13" t="s">
        <v>215</v>
      </c>
      <c r="AS71" s="13" t="s">
        <v>215</v>
      </c>
      <c r="AT71" s="13" t="s">
        <v>215</v>
      </c>
      <c r="AU71" s="13" t="s">
        <v>215</v>
      </c>
      <c r="AV71" s="13" t="s">
        <v>215</v>
      </c>
      <c r="AW71" s="13" t="s">
        <v>215</v>
      </c>
      <c r="AX71" s="13" t="s">
        <v>215</v>
      </c>
      <c r="AY71" s="13" t="s">
        <v>209</v>
      </c>
      <c r="AZ71" s="13" t="s">
        <v>215</v>
      </c>
      <c r="BA71" s="13" t="s">
        <v>215</v>
      </c>
      <c r="BB71" s="13" t="s">
        <v>215</v>
      </c>
      <c r="BC71" s="13" t="s">
        <v>215</v>
      </c>
      <c r="BD71" s="16" t="s">
        <v>215</v>
      </c>
      <c r="BE71" s="15" t="s">
        <v>215</v>
      </c>
      <c r="BF71" s="13" t="s">
        <v>215</v>
      </c>
      <c r="BG71" s="13" t="s">
        <v>215</v>
      </c>
      <c r="BH71" s="13" t="s">
        <v>215</v>
      </c>
      <c r="BI71" s="13" t="s">
        <v>215</v>
      </c>
      <c r="BJ71" s="16" t="s">
        <v>215</v>
      </c>
      <c r="BK71" s="15" t="s">
        <v>215</v>
      </c>
      <c r="BL71" s="13" t="s">
        <v>215</v>
      </c>
      <c r="BM71" s="13" t="s">
        <v>215</v>
      </c>
      <c r="BN71" s="13" t="s">
        <v>215</v>
      </c>
      <c r="BO71" s="13" t="s">
        <v>209</v>
      </c>
      <c r="BP71" s="13" t="s">
        <v>215</v>
      </c>
      <c r="BQ71" s="13" t="s">
        <v>215</v>
      </c>
      <c r="BR71" s="13" t="s">
        <v>215</v>
      </c>
      <c r="BS71" s="13" t="s">
        <v>215</v>
      </c>
      <c r="BT71" s="13" t="s">
        <v>215</v>
      </c>
      <c r="BU71" s="13" t="s">
        <v>215</v>
      </c>
      <c r="BV71" s="13" t="s">
        <v>215</v>
      </c>
      <c r="BW71" s="16" t="s">
        <v>215</v>
      </c>
      <c r="BX71" s="15" t="s">
        <v>215</v>
      </c>
      <c r="BY71" s="13" t="s">
        <v>215</v>
      </c>
      <c r="BZ71" s="16" t="s">
        <v>215</v>
      </c>
      <c r="CA71" s="81" t="s">
        <v>215</v>
      </c>
      <c r="CB71" s="13" t="s">
        <v>215</v>
      </c>
      <c r="CC71" s="13" t="s">
        <v>215</v>
      </c>
      <c r="CD71" s="16" t="s">
        <v>215</v>
      </c>
      <c r="CE71" s="16" t="s">
        <v>215</v>
      </c>
    </row>
    <row r="72" spans="5:83" x14ac:dyDescent="0.35">
      <c r="E72" s="79" t="s">
        <v>361</v>
      </c>
      <c r="F72" s="116" t="s">
        <v>146</v>
      </c>
      <c r="G72" s="116" t="s">
        <v>273</v>
      </c>
      <c r="H72" s="15" t="s">
        <v>215</v>
      </c>
      <c r="I72" s="13" t="s">
        <v>215</v>
      </c>
      <c r="J72" s="13" t="s">
        <v>215</v>
      </c>
      <c r="K72" s="13" t="s">
        <v>215</v>
      </c>
      <c r="L72" s="13" t="s">
        <v>215</v>
      </c>
      <c r="M72" s="13" t="s">
        <v>215</v>
      </c>
      <c r="N72" s="13" t="s">
        <v>215</v>
      </c>
      <c r="O72" s="13" t="s">
        <v>215</v>
      </c>
      <c r="P72" s="13" t="s">
        <v>215</v>
      </c>
      <c r="Q72" s="13" t="s">
        <v>215</v>
      </c>
      <c r="R72" s="13" t="s">
        <v>215</v>
      </c>
      <c r="S72" s="13" t="s">
        <v>215</v>
      </c>
      <c r="T72" s="13" t="s">
        <v>215</v>
      </c>
      <c r="U72" s="13" t="s">
        <v>215</v>
      </c>
      <c r="V72" s="13" t="s">
        <v>215</v>
      </c>
      <c r="W72" s="13" t="s">
        <v>215</v>
      </c>
      <c r="X72" s="13" t="s">
        <v>215</v>
      </c>
      <c r="Y72" s="13" t="s">
        <v>215</v>
      </c>
      <c r="Z72" s="13" t="s">
        <v>215</v>
      </c>
      <c r="AA72" s="13" t="s">
        <v>215</v>
      </c>
      <c r="AB72" s="13" t="s">
        <v>215</v>
      </c>
      <c r="AC72" s="13" t="s">
        <v>215</v>
      </c>
      <c r="AD72" s="16" t="s">
        <v>215</v>
      </c>
      <c r="AE72" s="15" t="s">
        <v>215</v>
      </c>
      <c r="AF72" s="13" t="s">
        <v>206</v>
      </c>
      <c r="AG72" s="13" t="s">
        <v>215</v>
      </c>
      <c r="AH72" s="13" t="s">
        <v>215</v>
      </c>
      <c r="AI72" s="13" t="s">
        <v>215</v>
      </c>
      <c r="AJ72" s="13" t="s">
        <v>215</v>
      </c>
      <c r="AK72" s="13" t="s">
        <v>209</v>
      </c>
      <c r="AL72" s="13" t="s">
        <v>215</v>
      </c>
      <c r="AM72" s="13" t="s">
        <v>215</v>
      </c>
      <c r="AN72" s="13" t="s">
        <v>215</v>
      </c>
      <c r="AO72" s="13" t="s">
        <v>209</v>
      </c>
      <c r="AP72" s="13" t="s">
        <v>215</v>
      </c>
      <c r="AQ72" s="13" t="s">
        <v>215</v>
      </c>
      <c r="AR72" s="13" t="s">
        <v>215</v>
      </c>
      <c r="AS72" s="13" t="s">
        <v>215</v>
      </c>
      <c r="AT72" s="13" t="s">
        <v>215</v>
      </c>
      <c r="AU72" s="13" t="s">
        <v>215</v>
      </c>
      <c r="AV72" s="13" t="s">
        <v>215</v>
      </c>
      <c r="AW72" s="13" t="s">
        <v>215</v>
      </c>
      <c r="AX72" s="13" t="s">
        <v>215</v>
      </c>
      <c r="AY72" s="13" t="s">
        <v>209</v>
      </c>
      <c r="AZ72" s="13" t="s">
        <v>215</v>
      </c>
      <c r="BA72" s="13" t="s">
        <v>215</v>
      </c>
      <c r="BB72" s="13" t="s">
        <v>215</v>
      </c>
      <c r="BC72" s="13" t="s">
        <v>215</v>
      </c>
      <c r="BD72" s="16" t="s">
        <v>215</v>
      </c>
      <c r="BE72" s="15" t="s">
        <v>215</v>
      </c>
      <c r="BF72" s="13" t="s">
        <v>215</v>
      </c>
      <c r="BG72" s="13" t="s">
        <v>215</v>
      </c>
      <c r="BH72" s="13" t="s">
        <v>215</v>
      </c>
      <c r="BI72" s="13" t="s">
        <v>215</v>
      </c>
      <c r="BJ72" s="16" t="s">
        <v>215</v>
      </c>
      <c r="BK72" s="15" t="s">
        <v>215</v>
      </c>
      <c r="BL72" s="13" t="s">
        <v>215</v>
      </c>
      <c r="BM72" s="13" t="s">
        <v>215</v>
      </c>
      <c r="BN72" s="13" t="s">
        <v>215</v>
      </c>
      <c r="BO72" s="13" t="s">
        <v>209</v>
      </c>
      <c r="BP72" s="13" t="s">
        <v>215</v>
      </c>
      <c r="BQ72" s="13" t="s">
        <v>215</v>
      </c>
      <c r="BR72" s="13" t="s">
        <v>215</v>
      </c>
      <c r="BS72" s="13" t="s">
        <v>215</v>
      </c>
      <c r="BT72" s="13" t="s">
        <v>215</v>
      </c>
      <c r="BU72" s="13" t="s">
        <v>215</v>
      </c>
      <c r="BV72" s="13" t="s">
        <v>215</v>
      </c>
      <c r="BW72" s="16" t="s">
        <v>215</v>
      </c>
      <c r="BX72" s="15" t="s">
        <v>215</v>
      </c>
      <c r="BY72" s="13" t="s">
        <v>215</v>
      </c>
      <c r="BZ72" s="16" t="s">
        <v>215</v>
      </c>
      <c r="CA72" s="81" t="s">
        <v>215</v>
      </c>
      <c r="CB72" s="13" t="s">
        <v>215</v>
      </c>
      <c r="CC72" s="13" t="s">
        <v>215</v>
      </c>
      <c r="CD72" s="16" t="s">
        <v>215</v>
      </c>
      <c r="CE72" s="16" t="s">
        <v>215</v>
      </c>
    </row>
    <row r="73" spans="5:83" x14ac:dyDescent="0.35">
      <c r="E73" s="79" t="s">
        <v>362</v>
      </c>
      <c r="F73" s="116" t="s">
        <v>154</v>
      </c>
      <c r="G73" s="116" t="s">
        <v>274</v>
      </c>
      <c r="H73" s="15" t="s">
        <v>215</v>
      </c>
      <c r="I73" s="13" t="s">
        <v>215</v>
      </c>
      <c r="J73" s="13" t="s">
        <v>215</v>
      </c>
      <c r="K73" s="13" t="s">
        <v>215</v>
      </c>
      <c r="L73" s="13" t="s">
        <v>215</v>
      </c>
      <c r="M73" s="13" t="s">
        <v>215</v>
      </c>
      <c r="N73" s="13" t="s">
        <v>215</v>
      </c>
      <c r="O73" s="13" t="s">
        <v>215</v>
      </c>
      <c r="P73" s="13" t="s">
        <v>215</v>
      </c>
      <c r="Q73" s="13" t="s">
        <v>215</v>
      </c>
      <c r="R73" s="13" t="s">
        <v>215</v>
      </c>
      <c r="S73" s="13" t="s">
        <v>215</v>
      </c>
      <c r="T73" s="13" t="s">
        <v>215</v>
      </c>
      <c r="U73" s="13" t="s">
        <v>215</v>
      </c>
      <c r="V73" s="13" t="s">
        <v>215</v>
      </c>
      <c r="W73" s="13" t="s">
        <v>215</v>
      </c>
      <c r="X73" s="13" t="s">
        <v>215</v>
      </c>
      <c r="Y73" s="13" t="s">
        <v>215</v>
      </c>
      <c r="Z73" s="13" t="s">
        <v>215</v>
      </c>
      <c r="AA73" s="13" t="s">
        <v>215</v>
      </c>
      <c r="AB73" s="13" t="s">
        <v>215</v>
      </c>
      <c r="AC73" s="13" t="s">
        <v>215</v>
      </c>
      <c r="AD73" s="16" t="s">
        <v>215</v>
      </c>
      <c r="AE73" s="15" t="s">
        <v>215</v>
      </c>
      <c r="AF73" s="13" t="s">
        <v>206</v>
      </c>
      <c r="AG73" s="13" t="s">
        <v>215</v>
      </c>
      <c r="AH73" s="13" t="s">
        <v>215</v>
      </c>
      <c r="AI73" s="13" t="s">
        <v>215</v>
      </c>
      <c r="AJ73" s="13" t="s">
        <v>215</v>
      </c>
      <c r="AK73" s="13" t="s">
        <v>215</v>
      </c>
      <c r="AL73" s="13" t="s">
        <v>215</v>
      </c>
      <c r="AM73" s="13" t="s">
        <v>215</v>
      </c>
      <c r="AN73" s="13" t="s">
        <v>215</v>
      </c>
      <c r="AO73" s="13" t="s">
        <v>215</v>
      </c>
      <c r="AP73" s="13" t="s">
        <v>215</v>
      </c>
      <c r="AQ73" s="13" t="s">
        <v>215</v>
      </c>
      <c r="AR73" s="13" t="s">
        <v>215</v>
      </c>
      <c r="AS73" s="13" t="s">
        <v>215</v>
      </c>
      <c r="AT73" s="13" t="s">
        <v>215</v>
      </c>
      <c r="AU73" s="13" t="s">
        <v>215</v>
      </c>
      <c r="AV73" s="13" t="s">
        <v>215</v>
      </c>
      <c r="AW73" s="13" t="s">
        <v>215</v>
      </c>
      <c r="AX73" s="13" t="s">
        <v>215</v>
      </c>
      <c r="AY73" s="13" t="s">
        <v>215</v>
      </c>
      <c r="AZ73" s="13" t="s">
        <v>215</v>
      </c>
      <c r="BA73" s="13" t="s">
        <v>215</v>
      </c>
      <c r="BB73" s="13" t="s">
        <v>215</v>
      </c>
      <c r="BC73" s="13" t="s">
        <v>215</v>
      </c>
      <c r="BD73" s="16" t="s">
        <v>215</v>
      </c>
      <c r="BE73" s="15" t="s">
        <v>215</v>
      </c>
      <c r="BF73" s="13" t="s">
        <v>215</v>
      </c>
      <c r="BG73" s="13" t="s">
        <v>215</v>
      </c>
      <c r="BH73" s="13" t="s">
        <v>215</v>
      </c>
      <c r="BI73" s="13" t="s">
        <v>215</v>
      </c>
      <c r="BJ73" s="16" t="s">
        <v>215</v>
      </c>
      <c r="BK73" s="15" t="s">
        <v>215</v>
      </c>
      <c r="BL73" s="13" t="s">
        <v>215</v>
      </c>
      <c r="BM73" s="13" t="s">
        <v>215</v>
      </c>
      <c r="BN73" s="13" t="s">
        <v>215</v>
      </c>
      <c r="BO73" s="13" t="s">
        <v>215</v>
      </c>
      <c r="BP73" s="13" t="s">
        <v>215</v>
      </c>
      <c r="BQ73" s="13" t="s">
        <v>215</v>
      </c>
      <c r="BR73" s="13" t="s">
        <v>215</v>
      </c>
      <c r="BS73" s="13" t="s">
        <v>215</v>
      </c>
      <c r="BT73" s="13" t="s">
        <v>215</v>
      </c>
      <c r="BU73" s="13" t="s">
        <v>215</v>
      </c>
      <c r="BV73" s="13" t="s">
        <v>215</v>
      </c>
      <c r="BW73" s="16" t="s">
        <v>215</v>
      </c>
      <c r="BX73" s="15" t="s">
        <v>215</v>
      </c>
      <c r="BY73" s="13" t="s">
        <v>215</v>
      </c>
      <c r="BZ73" s="16" t="s">
        <v>215</v>
      </c>
      <c r="CA73" s="81" t="s">
        <v>215</v>
      </c>
      <c r="CB73" s="13" t="s">
        <v>215</v>
      </c>
      <c r="CC73" s="13" t="s">
        <v>215</v>
      </c>
      <c r="CD73" s="16" t="s">
        <v>215</v>
      </c>
      <c r="CE73" s="16" t="s">
        <v>215</v>
      </c>
    </row>
    <row r="74" spans="5:83" x14ac:dyDescent="0.35">
      <c r="E74" s="79" t="s">
        <v>363</v>
      </c>
      <c r="F74" s="116" t="s">
        <v>161</v>
      </c>
      <c r="G74" s="116" t="s">
        <v>273</v>
      </c>
      <c r="H74" s="15" t="s">
        <v>215</v>
      </c>
      <c r="I74" s="13" t="s">
        <v>215</v>
      </c>
      <c r="J74" s="13" t="s">
        <v>215</v>
      </c>
      <c r="K74" s="13" t="s">
        <v>215</v>
      </c>
      <c r="L74" s="13" t="s">
        <v>215</v>
      </c>
      <c r="M74" s="13" t="s">
        <v>215</v>
      </c>
      <c r="N74" s="13" t="s">
        <v>215</v>
      </c>
      <c r="O74" s="13" t="s">
        <v>215</v>
      </c>
      <c r="P74" s="13" t="s">
        <v>215</v>
      </c>
      <c r="Q74" s="13" t="s">
        <v>206</v>
      </c>
      <c r="R74" s="13" t="s">
        <v>215</v>
      </c>
      <c r="S74" s="13" t="s">
        <v>215</v>
      </c>
      <c r="T74" s="13" t="s">
        <v>215</v>
      </c>
      <c r="U74" s="13" t="s">
        <v>215</v>
      </c>
      <c r="V74" s="13" t="s">
        <v>215</v>
      </c>
      <c r="W74" s="13" t="s">
        <v>206</v>
      </c>
      <c r="X74" s="13" t="s">
        <v>215</v>
      </c>
      <c r="Y74" s="13" t="s">
        <v>215</v>
      </c>
      <c r="Z74" s="13" t="s">
        <v>215</v>
      </c>
      <c r="AA74" s="13" t="s">
        <v>206</v>
      </c>
      <c r="AB74" s="13" t="s">
        <v>215</v>
      </c>
      <c r="AC74" s="13" t="s">
        <v>215</v>
      </c>
      <c r="AD74" s="16" t="s">
        <v>215</v>
      </c>
      <c r="AE74" s="15" t="s">
        <v>215</v>
      </c>
      <c r="AF74" s="13" t="s">
        <v>209</v>
      </c>
      <c r="AG74" s="13" t="s">
        <v>215</v>
      </c>
      <c r="AH74" s="13" t="s">
        <v>215</v>
      </c>
      <c r="AI74" s="13" t="s">
        <v>215</v>
      </c>
      <c r="AJ74" s="13" t="s">
        <v>215</v>
      </c>
      <c r="AK74" s="13" t="s">
        <v>209</v>
      </c>
      <c r="AL74" s="13" t="s">
        <v>215</v>
      </c>
      <c r="AM74" s="13" t="s">
        <v>215</v>
      </c>
      <c r="AN74" s="13" t="s">
        <v>215</v>
      </c>
      <c r="AO74" s="13" t="s">
        <v>206</v>
      </c>
      <c r="AP74" s="13" t="s">
        <v>215</v>
      </c>
      <c r="AQ74" s="13" t="s">
        <v>215</v>
      </c>
      <c r="AR74" s="13" t="s">
        <v>215</v>
      </c>
      <c r="AS74" s="13" t="s">
        <v>209</v>
      </c>
      <c r="AT74" s="13" t="s">
        <v>215</v>
      </c>
      <c r="AU74" s="13" t="s">
        <v>209</v>
      </c>
      <c r="AV74" s="13" t="s">
        <v>215</v>
      </c>
      <c r="AW74" s="13" t="s">
        <v>215</v>
      </c>
      <c r="AX74" s="13" t="s">
        <v>215</v>
      </c>
      <c r="AY74" s="13" t="s">
        <v>215</v>
      </c>
      <c r="AZ74" s="13" t="s">
        <v>215</v>
      </c>
      <c r="BA74" s="13" t="s">
        <v>215</v>
      </c>
      <c r="BB74" s="13" t="s">
        <v>215</v>
      </c>
      <c r="BC74" s="13" t="s">
        <v>215</v>
      </c>
      <c r="BD74" s="16" t="s">
        <v>215</v>
      </c>
      <c r="BE74" s="15" t="s">
        <v>215</v>
      </c>
      <c r="BF74" s="13" t="s">
        <v>215</v>
      </c>
      <c r="BG74" s="13" t="s">
        <v>215</v>
      </c>
      <c r="BH74" s="13" t="s">
        <v>215</v>
      </c>
      <c r="BI74" s="13" t="s">
        <v>215</v>
      </c>
      <c r="BJ74" s="16" t="s">
        <v>215</v>
      </c>
      <c r="BK74" s="15" t="s">
        <v>215</v>
      </c>
      <c r="BL74" s="13" t="s">
        <v>215</v>
      </c>
      <c r="BM74" s="13" t="s">
        <v>215</v>
      </c>
      <c r="BN74" s="13" t="s">
        <v>215</v>
      </c>
      <c r="BO74" s="13" t="s">
        <v>209</v>
      </c>
      <c r="BP74" s="13" t="s">
        <v>215</v>
      </c>
      <c r="BQ74" s="13" t="s">
        <v>215</v>
      </c>
      <c r="BR74" s="13" t="s">
        <v>215</v>
      </c>
      <c r="BS74" s="13" t="s">
        <v>215</v>
      </c>
      <c r="BT74" s="13" t="s">
        <v>215</v>
      </c>
      <c r="BU74" s="13" t="s">
        <v>215</v>
      </c>
      <c r="BV74" s="13" t="s">
        <v>215</v>
      </c>
      <c r="BW74" s="16" t="s">
        <v>215</v>
      </c>
      <c r="BX74" s="15" t="s">
        <v>215</v>
      </c>
      <c r="BY74" s="13" t="s">
        <v>215</v>
      </c>
      <c r="BZ74" s="16" t="s">
        <v>215</v>
      </c>
      <c r="CA74" s="81" t="s">
        <v>215</v>
      </c>
      <c r="CB74" s="13" t="s">
        <v>215</v>
      </c>
      <c r="CC74" s="13" t="s">
        <v>215</v>
      </c>
      <c r="CD74" s="16" t="s">
        <v>215</v>
      </c>
      <c r="CE74" s="16" t="s">
        <v>215</v>
      </c>
    </row>
    <row r="75" spans="5:83" x14ac:dyDescent="0.35">
      <c r="E75" s="79" t="s">
        <v>364</v>
      </c>
      <c r="F75" s="116" t="s">
        <v>166</v>
      </c>
      <c r="G75" s="116" t="s">
        <v>273</v>
      </c>
      <c r="H75" s="15" t="s">
        <v>215</v>
      </c>
      <c r="I75" s="13" t="s">
        <v>209</v>
      </c>
      <c r="J75" s="13" t="s">
        <v>215</v>
      </c>
      <c r="K75" s="13" t="s">
        <v>215</v>
      </c>
      <c r="L75" s="13" t="s">
        <v>215</v>
      </c>
      <c r="M75" s="13" t="s">
        <v>215</v>
      </c>
      <c r="N75" s="13" t="s">
        <v>215</v>
      </c>
      <c r="O75" s="13" t="s">
        <v>215</v>
      </c>
      <c r="P75" s="13" t="s">
        <v>215</v>
      </c>
      <c r="Q75" s="13" t="s">
        <v>215</v>
      </c>
      <c r="R75" s="13" t="s">
        <v>215</v>
      </c>
      <c r="S75" s="13" t="s">
        <v>215</v>
      </c>
      <c r="T75" s="13" t="s">
        <v>215</v>
      </c>
      <c r="U75" s="13" t="s">
        <v>215</v>
      </c>
      <c r="V75" s="13" t="s">
        <v>215</v>
      </c>
      <c r="W75" s="13" t="s">
        <v>209</v>
      </c>
      <c r="X75" s="13" t="s">
        <v>215</v>
      </c>
      <c r="Y75" s="13" t="s">
        <v>215</v>
      </c>
      <c r="Z75" s="13" t="s">
        <v>215</v>
      </c>
      <c r="AA75" s="13" t="s">
        <v>209</v>
      </c>
      <c r="AB75" s="13" t="s">
        <v>215</v>
      </c>
      <c r="AC75" s="13" t="s">
        <v>215</v>
      </c>
      <c r="AD75" s="16" t="s">
        <v>215</v>
      </c>
      <c r="AE75" s="15" t="s">
        <v>215</v>
      </c>
      <c r="AF75" s="13" t="s">
        <v>206</v>
      </c>
      <c r="AG75" s="13" t="s">
        <v>215</v>
      </c>
      <c r="AH75" s="13" t="s">
        <v>215</v>
      </c>
      <c r="AI75" s="13" t="s">
        <v>215</v>
      </c>
      <c r="AJ75" s="13" t="s">
        <v>215</v>
      </c>
      <c r="AK75" s="13" t="s">
        <v>215</v>
      </c>
      <c r="AL75" s="13" t="s">
        <v>215</v>
      </c>
      <c r="AM75" s="13" t="s">
        <v>215</v>
      </c>
      <c r="AN75" s="13" t="s">
        <v>215</v>
      </c>
      <c r="AO75" s="13" t="s">
        <v>209</v>
      </c>
      <c r="AP75" s="13" t="s">
        <v>215</v>
      </c>
      <c r="AQ75" s="13" t="s">
        <v>215</v>
      </c>
      <c r="AR75" s="13" t="s">
        <v>215</v>
      </c>
      <c r="AS75" s="13" t="s">
        <v>215</v>
      </c>
      <c r="AT75" s="13" t="s">
        <v>215</v>
      </c>
      <c r="AU75" s="13" t="s">
        <v>215</v>
      </c>
      <c r="AV75" s="13" t="s">
        <v>215</v>
      </c>
      <c r="AW75" s="13" t="s">
        <v>215</v>
      </c>
      <c r="AX75" s="13" t="s">
        <v>215</v>
      </c>
      <c r="AY75" s="13" t="s">
        <v>215</v>
      </c>
      <c r="AZ75" s="13" t="s">
        <v>215</v>
      </c>
      <c r="BA75" s="13" t="s">
        <v>215</v>
      </c>
      <c r="BB75" s="13" t="s">
        <v>215</v>
      </c>
      <c r="BC75" s="13" t="s">
        <v>215</v>
      </c>
      <c r="BD75" s="16" t="s">
        <v>215</v>
      </c>
      <c r="BE75" s="15" t="s">
        <v>215</v>
      </c>
      <c r="BF75" s="13" t="s">
        <v>215</v>
      </c>
      <c r="BG75" s="13" t="s">
        <v>215</v>
      </c>
      <c r="BH75" s="13" t="s">
        <v>215</v>
      </c>
      <c r="BI75" s="13" t="s">
        <v>215</v>
      </c>
      <c r="BJ75" s="16" t="s">
        <v>215</v>
      </c>
      <c r="BK75" s="15" t="s">
        <v>215</v>
      </c>
      <c r="BL75" s="13" t="s">
        <v>215</v>
      </c>
      <c r="BM75" s="13" t="s">
        <v>215</v>
      </c>
      <c r="BN75" s="13" t="s">
        <v>215</v>
      </c>
      <c r="BO75" s="13" t="s">
        <v>215</v>
      </c>
      <c r="BP75" s="13" t="s">
        <v>215</v>
      </c>
      <c r="BQ75" s="13" t="s">
        <v>215</v>
      </c>
      <c r="BR75" s="13" t="s">
        <v>215</v>
      </c>
      <c r="BS75" s="13" t="s">
        <v>215</v>
      </c>
      <c r="BT75" s="13" t="s">
        <v>215</v>
      </c>
      <c r="BU75" s="13" t="s">
        <v>215</v>
      </c>
      <c r="BV75" s="13" t="s">
        <v>215</v>
      </c>
      <c r="BW75" s="16" t="s">
        <v>215</v>
      </c>
      <c r="BX75" s="15" t="s">
        <v>215</v>
      </c>
      <c r="BY75" s="13" t="s">
        <v>215</v>
      </c>
      <c r="BZ75" s="16" t="s">
        <v>215</v>
      </c>
      <c r="CA75" s="81" t="s">
        <v>215</v>
      </c>
      <c r="CB75" s="13" t="s">
        <v>215</v>
      </c>
      <c r="CC75" s="13" t="s">
        <v>215</v>
      </c>
      <c r="CD75" s="16" t="s">
        <v>215</v>
      </c>
      <c r="CE75" s="16" t="s">
        <v>215</v>
      </c>
    </row>
    <row r="76" spans="5:83" x14ac:dyDescent="0.35">
      <c r="E76" s="79" t="s">
        <v>365</v>
      </c>
      <c r="F76" s="116" t="s">
        <v>84</v>
      </c>
      <c r="G76" s="116" t="s">
        <v>273</v>
      </c>
      <c r="H76" s="15" t="s">
        <v>215</v>
      </c>
      <c r="I76" s="13" t="s">
        <v>209</v>
      </c>
      <c r="J76" s="13" t="s">
        <v>215</v>
      </c>
      <c r="K76" s="13" t="s">
        <v>215</v>
      </c>
      <c r="L76" s="13" t="s">
        <v>215</v>
      </c>
      <c r="M76" s="13" t="s">
        <v>215</v>
      </c>
      <c r="N76" s="13" t="s">
        <v>215</v>
      </c>
      <c r="O76" s="13" t="s">
        <v>215</v>
      </c>
      <c r="P76" s="13" t="s">
        <v>215</v>
      </c>
      <c r="Q76" s="13" t="s">
        <v>215</v>
      </c>
      <c r="R76" s="13" t="s">
        <v>215</v>
      </c>
      <c r="S76" s="13" t="s">
        <v>215</v>
      </c>
      <c r="T76" s="13" t="s">
        <v>215</v>
      </c>
      <c r="U76" s="13" t="s">
        <v>215</v>
      </c>
      <c r="V76" s="13" t="s">
        <v>215</v>
      </c>
      <c r="W76" s="13" t="s">
        <v>215</v>
      </c>
      <c r="X76" s="13" t="s">
        <v>215</v>
      </c>
      <c r="Y76" s="13" t="s">
        <v>215</v>
      </c>
      <c r="Z76" s="13" t="s">
        <v>215</v>
      </c>
      <c r="AA76" s="13" t="s">
        <v>209</v>
      </c>
      <c r="AB76" s="13" t="s">
        <v>215</v>
      </c>
      <c r="AC76" s="13" t="s">
        <v>215</v>
      </c>
      <c r="AD76" s="16" t="s">
        <v>209</v>
      </c>
      <c r="AE76" s="15" t="s">
        <v>215</v>
      </c>
      <c r="AF76" s="13" t="s">
        <v>209</v>
      </c>
      <c r="AG76" s="13" t="s">
        <v>215</v>
      </c>
      <c r="AH76" s="13" t="s">
        <v>209</v>
      </c>
      <c r="AI76" s="13" t="s">
        <v>206</v>
      </c>
      <c r="AJ76" s="13" t="s">
        <v>215</v>
      </c>
      <c r="AK76" s="13" t="s">
        <v>209</v>
      </c>
      <c r="AL76" s="13" t="s">
        <v>215</v>
      </c>
      <c r="AM76" s="13" t="s">
        <v>215</v>
      </c>
      <c r="AN76" s="13" t="s">
        <v>215</v>
      </c>
      <c r="AO76" s="13" t="s">
        <v>209</v>
      </c>
      <c r="AP76" s="13" t="s">
        <v>215</v>
      </c>
      <c r="AQ76" s="13" t="s">
        <v>215</v>
      </c>
      <c r="AR76" s="13" t="s">
        <v>215</v>
      </c>
      <c r="AS76" s="13" t="s">
        <v>215</v>
      </c>
      <c r="AT76" s="13" t="s">
        <v>215</v>
      </c>
      <c r="AU76" s="13" t="s">
        <v>215</v>
      </c>
      <c r="AV76" s="13" t="s">
        <v>215</v>
      </c>
      <c r="AW76" s="13" t="s">
        <v>215</v>
      </c>
      <c r="AX76" s="13" t="s">
        <v>215</v>
      </c>
      <c r="AY76" s="13" t="s">
        <v>215</v>
      </c>
      <c r="AZ76" s="13" t="s">
        <v>215</v>
      </c>
      <c r="BA76" s="13" t="s">
        <v>215</v>
      </c>
      <c r="BB76" s="13" t="s">
        <v>215</v>
      </c>
      <c r="BC76" s="13" t="s">
        <v>215</v>
      </c>
      <c r="BD76" s="16" t="s">
        <v>215</v>
      </c>
      <c r="BE76" s="15" t="s">
        <v>215</v>
      </c>
      <c r="BF76" s="13" t="s">
        <v>215</v>
      </c>
      <c r="BG76" s="13" t="s">
        <v>215</v>
      </c>
      <c r="BH76" s="13" t="s">
        <v>215</v>
      </c>
      <c r="BI76" s="13" t="s">
        <v>215</v>
      </c>
      <c r="BJ76" s="16" t="s">
        <v>215</v>
      </c>
      <c r="BK76" s="15" t="s">
        <v>215</v>
      </c>
      <c r="BL76" s="13" t="s">
        <v>215</v>
      </c>
      <c r="BM76" s="13" t="s">
        <v>215</v>
      </c>
      <c r="BN76" s="13" t="s">
        <v>215</v>
      </c>
      <c r="BO76" s="13" t="s">
        <v>209</v>
      </c>
      <c r="BP76" s="13" t="s">
        <v>215</v>
      </c>
      <c r="BQ76" s="13" t="s">
        <v>215</v>
      </c>
      <c r="BR76" s="13" t="s">
        <v>215</v>
      </c>
      <c r="BS76" s="13" t="s">
        <v>215</v>
      </c>
      <c r="BT76" s="13" t="s">
        <v>215</v>
      </c>
      <c r="BU76" s="13" t="s">
        <v>215</v>
      </c>
      <c r="BV76" s="13" t="s">
        <v>215</v>
      </c>
      <c r="BW76" s="16" t="s">
        <v>215</v>
      </c>
      <c r="BX76" s="15" t="s">
        <v>215</v>
      </c>
      <c r="BY76" s="13" t="s">
        <v>209</v>
      </c>
      <c r="BZ76" s="16" t="s">
        <v>209</v>
      </c>
      <c r="CA76" s="81" t="s">
        <v>215</v>
      </c>
      <c r="CB76" s="13" t="s">
        <v>215</v>
      </c>
      <c r="CC76" s="13" t="s">
        <v>215</v>
      </c>
      <c r="CD76" s="16" t="s">
        <v>215</v>
      </c>
      <c r="CE76" s="16" t="s">
        <v>215</v>
      </c>
    </row>
    <row r="77" spans="5:83" x14ac:dyDescent="0.35">
      <c r="E77" s="79" t="s">
        <v>366</v>
      </c>
      <c r="F77" s="116" t="s">
        <v>98</v>
      </c>
      <c r="G77" s="116" t="s">
        <v>273</v>
      </c>
      <c r="H77" s="15" t="s">
        <v>215</v>
      </c>
      <c r="I77" s="13" t="s">
        <v>215</v>
      </c>
      <c r="J77" s="13" t="s">
        <v>215</v>
      </c>
      <c r="K77" s="13" t="s">
        <v>215</v>
      </c>
      <c r="L77" s="13" t="s">
        <v>215</v>
      </c>
      <c r="M77" s="13" t="s">
        <v>215</v>
      </c>
      <c r="N77" s="13" t="s">
        <v>215</v>
      </c>
      <c r="O77" s="13" t="s">
        <v>215</v>
      </c>
      <c r="P77" s="13" t="s">
        <v>215</v>
      </c>
      <c r="Q77" s="13" t="s">
        <v>215</v>
      </c>
      <c r="R77" s="13" t="s">
        <v>215</v>
      </c>
      <c r="S77" s="13" t="s">
        <v>215</v>
      </c>
      <c r="T77" s="13" t="s">
        <v>215</v>
      </c>
      <c r="U77" s="13" t="s">
        <v>215</v>
      </c>
      <c r="V77" s="13" t="s">
        <v>215</v>
      </c>
      <c r="W77" s="13" t="s">
        <v>215</v>
      </c>
      <c r="X77" s="13" t="s">
        <v>215</v>
      </c>
      <c r="Y77" s="13" t="s">
        <v>215</v>
      </c>
      <c r="Z77" s="13" t="s">
        <v>215</v>
      </c>
      <c r="AA77" s="13" t="s">
        <v>206</v>
      </c>
      <c r="AB77" s="13" t="s">
        <v>215</v>
      </c>
      <c r="AC77" s="13" t="s">
        <v>215</v>
      </c>
      <c r="AD77" s="16" t="s">
        <v>215</v>
      </c>
      <c r="AE77" s="15" t="s">
        <v>215</v>
      </c>
      <c r="AF77" s="13" t="s">
        <v>206</v>
      </c>
      <c r="AG77" s="13" t="s">
        <v>215</v>
      </c>
      <c r="AH77" s="13" t="s">
        <v>209</v>
      </c>
      <c r="AI77" s="13" t="s">
        <v>206</v>
      </c>
      <c r="AJ77" s="13" t="s">
        <v>215</v>
      </c>
      <c r="AK77" s="13" t="s">
        <v>209</v>
      </c>
      <c r="AL77" s="13" t="s">
        <v>215</v>
      </c>
      <c r="AM77" s="13" t="s">
        <v>215</v>
      </c>
      <c r="AN77" s="13" t="s">
        <v>215</v>
      </c>
      <c r="AO77" s="13" t="s">
        <v>206</v>
      </c>
      <c r="AP77" s="13" t="s">
        <v>215</v>
      </c>
      <c r="AQ77" s="13" t="s">
        <v>215</v>
      </c>
      <c r="AR77" s="13" t="s">
        <v>215</v>
      </c>
      <c r="AS77" s="13" t="s">
        <v>215</v>
      </c>
      <c r="AT77" s="13" t="s">
        <v>215</v>
      </c>
      <c r="AU77" s="13" t="s">
        <v>215</v>
      </c>
      <c r="AV77" s="13" t="s">
        <v>215</v>
      </c>
      <c r="AW77" s="13" t="s">
        <v>215</v>
      </c>
      <c r="AX77" s="13" t="s">
        <v>215</v>
      </c>
      <c r="AY77" s="13" t="s">
        <v>215</v>
      </c>
      <c r="AZ77" s="13" t="s">
        <v>215</v>
      </c>
      <c r="BA77" s="13" t="s">
        <v>215</v>
      </c>
      <c r="BB77" s="13" t="s">
        <v>215</v>
      </c>
      <c r="BC77" s="13" t="s">
        <v>215</v>
      </c>
      <c r="BD77" s="16" t="s">
        <v>206</v>
      </c>
      <c r="BE77" s="15" t="s">
        <v>215</v>
      </c>
      <c r="BF77" s="13" t="s">
        <v>215</v>
      </c>
      <c r="BG77" s="13" t="s">
        <v>215</v>
      </c>
      <c r="BH77" s="13" t="s">
        <v>215</v>
      </c>
      <c r="BI77" s="13" t="s">
        <v>215</v>
      </c>
      <c r="BJ77" s="16" t="s">
        <v>215</v>
      </c>
      <c r="BK77" s="15" t="s">
        <v>215</v>
      </c>
      <c r="BL77" s="13" t="s">
        <v>215</v>
      </c>
      <c r="BM77" s="13" t="s">
        <v>215</v>
      </c>
      <c r="BN77" s="13" t="s">
        <v>215</v>
      </c>
      <c r="BO77" s="13" t="s">
        <v>209</v>
      </c>
      <c r="BP77" s="13" t="s">
        <v>215</v>
      </c>
      <c r="BQ77" s="13" t="s">
        <v>215</v>
      </c>
      <c r="BR77" s="13" t="s">
        <v>215</v>
      </c>
      <c r="BS77" s="13" t="s">
        <v>215</v>
      </c>
      <c r="BT77" s="13" t="s">
        <v>215</v>
      </c>
      <c r="BU77" s="13" t="s">
        <v>215</v>
      </c>
      <c r="BV77" s="13" t="s">
        <v>215</v>
      </c>
      <c r="BW77" s="16" t="s">
        <v>215</v>
      </c>
      <c r="BX77" s="15" t="s">
        <v>215</v>
      </c>
      <c r="BY77" s="13" t="s">
        <v>215</v>
      </c>
      <c r="BZ77" s="16" t="s">
        <v>215</v>
      </c>
      <c r="CA77" s="81" t="s">
        <v>215</v>
      </c>
      <c r="CB77" s="13" t="s">
        <v>215</v>
      </c>
      <c r="CC77" s="13" t="s">
        <v>215</v>
      </c>
      <c r="CD77" s="16" t="s">
        <v>215</v>
      </c>
      <c r="CE77" s="16" t="s">
        <v>215</v>
      </c>
    </row>
    <row r="78" spans="5:83" x14ac:dyDescent="0.35">
      <c r="E78" s="79" t="s">
        <v>367</v>
      </c>
      <c r="F78" s="116" t="s">
        <v>112</v>
      </c>
      <c r="G78" s="116" t="s">
        <v>273</v>
      </c>
      <c r="H78" s="15" t="s">
        <v>215</v>
      </c>
      <c r="I78" s="13" t="s">
        <v>215</v>
      </c>
      <c r="J78" s="13" t="s">
        <v>215</v>
      </c>
      <c r="K78" s="13" t="s">
        <v>215</v>
      </c>
      <c r="L78" s="13" t="s">
        <v>215</v>
      </c>
      <c r="M78" s="13" t="s">
        <v>215</v>
      </c>
      <c r="N78" s="13" t="s">
        <v>215</v>
      </c>
      <c r="O78" s="13" t="s">
        <v>215</v>
      </c>
      <c r="P78" s="13" t="s">
        <v>215</v>
      </c>
      <c r="Q78" s="13" t="s">
        <v>215</v>
      </c>
      <c r="R78" s="13" t="s">
        <v>215</v>
      </c>
      <c r="S78" s="13" t="s">
        <v>215</v>
      </c>
      <c r="T78" s="13" t="s">
        <v>215</v>
      </c>
      <c r="U78" s="13" t="s">
        <v>215</v>
      </c>
      <c r="V78" s="13" t="s">
        <v>215</v>
      </c>
      <c r="W78" s="13" t="s">
        <v>215</v>
      </c>
      <c r="X78" s="13" t="s">
        <v>215</v>
      </c>
      <c r="Y78" s="13" t="s">
        <v>215</v>
      </c>
      <c r="Z78" s="13" t="s">
        <v>215</v>
      </c>
      <c r="AA78" s="13" t="s">
        <v>215</v>
      </c>
      <c r="AB78" s="13" t="s">
        <v>215</v>
      </c>
      <c r="AC78" s="13" t="s">
        <v>215</v>
      </c>
      <c r="AD78" s="16" t="s">
        <v>215</v>
      </c>
      <c r="AE78" s="15" t="s">
        <v>215</v>
      </c>
      <c r="AF78" s="13" t="s">
        <v>206</v>
      </c>
      <c r="AG78" s="13" t="s">
        <v>215</v>
      </c>
      <c r="AH78" s="13" t="s">
        <v>215</v>
      </c>
      <c r="AI78" s="13" t="s">
        <v>215</v>
      </c>
      <c r="AJ78" s="13" t="s">
        <v>215</v>
      </c>
      <c r="AK78" s="13" t="s">
        <v>209</v>
      </c>
      <c r="AL78" s="13" t="s">
        <v>215</v>
      </c>
      <c r="AM78" s="13" t="s">
        <v>215</v>
      </c>
      <c r="AN78" s="13" t="s">
        <v>215</v>
      </c>
      <c r="AO78" s="13" t="s">
        <v>209</v>
      </c>
      <c r="AP78" s="13" t="s">
        <v>215</v>
      </c>
      <c r="AQ78" s="13" t="s">
        <v>215</v>
      </c>
      <c r="AR78" s="13" t="s">
        <v>215</v>
      </c>
      <c r="AS78" s="13" t="s">
        <v>215</v>
      </c>
      <c r="AT78" s="13" t="s">
        <v>215</v>
      </c>
      <c r="AU78" s="13" t="s">
        <v>215</v>
      </c>
      <c r="AV78" s="13" t="s">
        <v>215</v>
      </c>
      <c r="AW78" s="13" t="s">
        <v>215</v>
      </c>
      <c r="AX78" s="13" t="s">
        <v>215</v>
      </c>
      <c r="AY78" s="13" t="s">
        <v>215</v>
      </c>
      <c r="AZ78" s="13" t="s">
        <v>215</v>
      </c>
      <c r="BA78" s="13" t="s">
        <v>215</v>
      </c>
      <c r="BB78" s="13" t="s">
        <v>215</v>
      </c>
      <c r="BC78" s="13" t="s">
        <v>215</v>
      </c>
      <c r="BD78" s="16" t="s">
        <v>215</v>
      </c>
      <c r="BE78" s="15" t="s">
        <v>215</v>
      </c>
      <c r="BF78" s="13" t="s">
        <v>215</v>
      </c>
      <c r="BG78" s="13" t="s">
        <v>215</v>
      </c>
      <c r="BH78" s="13" t="s">
        <v>215</v>
      </c>
      <c r="BI78" s="13" t="s">
        <v>215</v>
      </c>
      <c r="BJ78" s="16" t="s">
        <v>215</v>
      </c>
      <c r="BK78" s="15" t="s">
        <v>215</v>
      </c>
      <c r="BL78" s="13" t="s">
        <v>215</v>
      </c>
      <c r="BM78" s="13" t="s">
        <v>215</v>
      </c>
      <c r="BN78" s="13" t="s">
        <v>215</v>
      </c>
      <c r="BO78" s="13" t="s">
        <v>209</v>
      </c>
      <c r="BP78" s="13" t="s">
        <v>206</v>
      </c>
      <c r="BQ78" s="13" t="s">
        <v>215</v>
      </c>
      <c r="BR78" s="13" t="s">
        <v>215</v>
      </c>
      <c r="BS78" s="13" t="s">
        <v>215</v>
      </c>
      <c r="BT78" s="13" t="s">
        <v>215</v>
      </c>
      <c r="BU78" s="13" t="s">
        <v>215</v>
      </c>
      <c r="BV78" s="13" t="s">
        <v>215</v>
      </c>
      <c r="BW78" s="16" t="s">
        <v>215</v>
      </c>
      <c r="BX78" s="15" t="s">
        <v>215</v>
      </c>
      <c r="BY78" s="13" t="s">
        <v>215</v>
      </c>
      <c r="BZ78" s="16" t="s">
        <v>215</v>
      </c>
      <c r="CA78" s="81" t="s">
        <v>215</v>
      </c>
      <c r="CB78" s="13" t="s">
        <v>215</v>
      </c>
      <c r="CC78" s="13" t="s">
        <v>215</v>
      </c>
      <c r="CD78" s="16" t="s">
        <v>215</v>
      </c>
      <c r="CE78" s="16" t="s">
        <v>215</v>
      </c>
    </row>
    <row r="79" spans="5:83" x14ac:dyDescent="0.35">
      <c r="E79" s="79" t="s">
        <v>368</v>
      </c>
      <c r="F79" s="116" t="s">
        <v>125</v>
      </c>
      <c r="G79" s="116" t="s">
        <v>273</v>
      </c>
      <c r="H79" s="15" t="s">
        <v>215</v>
      </c>
      <c r="I79" s="13" t="s">
        <v>215</v>
      </c>
      <c r="J79" s="13" t="s">
        <v>215</v>
      </c>
      <c r="K79" s="13" t="s">
        <v>215</v>
      </c>
      <c r="L79" s="13" t="s">
        <v>215</v>
      </c>
      <c r="M79" s="13" t="s">
        <v>215</v>
      </c>
      <c r="N79" s="13" t="s">
        <v>215</v>
      </c>
      <c r="O79" s="13" t="s">
        <v>215</v>
      </c>
      <c r="P79" s="13" t="s">
        <v>215</v>
      </c>
      <c r="Q79" s="13" t="s">
        <v>215</v>
      </c>
      <c r="R79" s="13" t="s">
        <v>215</v>
      </c>
      <c r="S79" s="13" t="s">
        <v>215</v>
      </c>
      <c r="T79" s="13" t="s">
        <v>215</v>
      </c>
      <c r="U79" s="13" t="s">
        <v>215</v>
      </c>
      <c r="V79" s="13" t="s">
        <v>215</v>
      </c>
      <c r="W79" s="13" t="s">
        <v>215</v>
      </c>
      <c r="X79" s="13" t="s">
        <v>215</v>
      </c>
      <c r="Y79" s="13" t="s">
        <v>215</v>
      </c>
      <c r="Z79" s="13" t="s">
        <v>215</v>
      </c>
      <c r="AA79" s="13" t="s">
        <v>215</v>
      </c>
      <c r="AB79" s="13" t="s">
        <v>215</v>
      </c>
      <c r="AC79" s="13" t="s">
        <v>215</v>
      </c>
      <c r="AD79" s="16" t="s">
        <v>215</v>
      </c>
      <c r="AE79" s="15" t="s">
        <v>215</v>
      </c>
      <c r="AF79" s="13" t="s">
        <v>206</v>
      </c>
      <c r="AG79" s="13" t="s">
        <v>215</v>
      </c>
      <c r="AH79" s="13" t="s">
        <v>215</v>
      </c>
      <c r="AI79" s="13" t="s">
        <v>215</v>
      </c>
      <c r="AJ79" s="13" t="s">
        <v>215</v>
      </c>
      <c r="AK79" s="13" t="s">
        <v>209</v>
      </c>
      <c r="AL79" s="13" t="s">
        <v>215</v>
      </c>
      <c r="AM79" s="13" t="s">
        <v>215</v>
      </c>
      <c r="AN79" s="13" t="s">
        <v>215</v>
      </c>
      <c r="AO79" s="13" t="s">
        <v>209</v>
      </c>
      <c r="AP79" s="13" t="s">
        <v>215</v>
      </c>
      <c r="AQ79" s="13" t="s">
        <v>215</v>
      </c>
      <c r="AR79" s="13" t="s">
        <v>215</v>
      </c>
      <c r="AS79" s="13" t="s">
        <v>209</v>
      </c>
      <c r="AT79" s="13" t="s">
        <v>215</v>
      </c>
      <c r="AU79" s="13" t="s">
        <v>215</v>
      </c>
      <c r="AV79" s="13" t="s">
        <v>206</v>
      </c>
      <c r="AW79" s="13" t="s">
        <v>215</v>
      </c>
      <c r="AX79" s="13" t="s">
        <v>215</v>
      </c>
      <c r="AY79" s="13" t="s">
        <v>215</v>
      </c>
      <c r="AZ79" s="13" t="s">
        <v>215</v>
      </c>
      <c r="BA79" s="13" t="s">
        <v>215</v>
      </c>
      <c r="BB79" s="13" t="s">
        <v>215</v>
      </c>
      <c r="BC79" s="13" t="s">
        <v>215</v>
      </c>
      <c r="BD79" s="16" t="s">
        <v>215</v>
      </c>
      <c r="BE79" s="15" t="s">
        <v>215</v>
      </c>
      <c r="BF79" s="13" t="s">
        <v>215</v>
      </c>
      <c r="BG79" s="13" t="s">
        <v>215</v>
      </c>
      <c r="BH79" s="13" t="s">
        <v>215</v>
      </c>
      <c r="BI79" s="13" t="s">
        <v>215</v>
      </c>
      <c r="BJ79" s="16" t="s">
        <v>215</v>
      </c>
      <c r="BK79" s="15" t="s">
        <v>215</v>
      </c>
      <c r="BL79" s="13" t="s">
        <v>215</v>
      </c>
      <c r="BM79" s="13" t="s">
        <v>215</v>
      </c>
      <c r="BN79" s="13" t="s">
        <v>215</v>
      </c>
      <c r="BO79" s="13" t="s">
        <v>209</v>
      </c>
      <c r="BP79" s="13" t="s">
        <v>206</v>
      </c>
      <c r="BQ79" s="13" t="s">
        <v>215</v>
      </c>
      <c r="BR79" s="13" t="s">
        <v>215</v>
      </c>
      <c r="BS79" s="13" t="s">
        <v>215</v>
      </c>
      <c r="BT79" s="13" t="s">
        <v>215</v>
      </c>
      <c r="BU79" s="13" t="s">
        <v>215</v>
      </c>
      <c r="BV79" s="13" t="s">
        <v>215</v>
      </c>
      <c r="BW79" s="16" t="s">
        <v>215</v>
      </c>
      <c r="BX79" s="15" t="s">
        <v>215</v>
      </c>
      <c r="BY79" s="13" t="s">
        <v>215</v>
      </c>
      <c r="BZ79" s="16" t="s">
        <v>215</v>
      </c>
      <c r="CA79" s="81" t="s">
        <v>215</v>
      </c>
      <c r="CB79" s="13" t="s">
        <v>215</v>
      </c>
      <c r="CC79" s="13" t="s">
        <v>215</v>
      </c>
      <c r="CD79" s="16" t="s">
        <v>215</v>
      </c>
      <c r="CE79" s="16" t="s">
        <v>215</v>
      </c>
    </row>
    <row r="80" spans="5:83" x14ac:dyDescent="0.35">
      <c r="E80" s="79" t="s">
        <v>369</v>
      </c>
      <c r="F80" s="116" t="s">
        <v>55</v>
      </c>
      <c r="G80" s="116" t="s">
        <v>274</v>
      </c>
      <c r="H80" s="15" t="s">
        <v>215</v>
      </c>
      <c r="I80" s="13" t="s">
        <v>215</v>
      </c>
      <c r="J80" s="13" t="s">
        <v>215</v>
      </c>
      <c r="K80" s="13" t="s">
        <v>209</v>
      </c>
      <c r="L80" s="13" t="s">
        <v>215</v>
      </c>
      <c r="M80" s="13" t="s">
        <v>215</v>
      </c>
      <c r="N80" s="13" t="s">
        <v>215</v>
      </c>
      <c r="O80" s="13" t="s">
        <v>215</v>
      </c>
      <c r="P80" s="13" t="s">
        <v>215</v>
      </c>
      <c r="Q80" s="13" t="s">
        <v>215</v>
      </c>
      <c r="R80" s="13" t="s">
        <v>215</v>
      </c>
      <c r="S80" s="13" t="s">
        <v>215</v>
      </c>
      <c r="T80" s="13" t="s">
        <v>215</v>
      </c>
      <c r="U80" s="13" t="s">
        <v>206</v>
      </c>
      <c r="V80" s="13" t="s">
        <v>215</v>
      </c>
      <c r="W80" s="13" t="s">
        <v>215</v>
      </c>
      <c r="X80" s="13" t="s">
        <v>215</v>
      </c>
      <c r="Y80" s="13" t="s">
        <v>215</v>
      </c>
      <c r="Z80" s="13" t="s">
        <v>215</v>
      </c>
      <c r="AA80" s="13" t="s">
        <v>215</v>
      </c>
      <c r="AB80" s="13" t="s">
        <v>215</v>
      </c>
      <c r="AC80" s="13" t="s">
        <v>215</v>
      </c>
      <c r="AD80" s="16" t="s">
        <v>215</v>
      </c>
      <c r="AE80" s="15" t="s">
        <v>215</v>
      </c>
      <c r="AF80" s="13" t="s">
        <v>209</v>
      </c>
      <c r="AG80" s="13" t="s">
        <v>215</v>
      </c>
      <c r="AH80" s="13" t="s">
        <v>215</v>
      </c>
      <c r="AI80" s="13" t="s">
        <v>215</v>
      </c>
      <c r="AJ80" s="13" t="s">
        <v>215</v>
      </c>
      <c r="AK80" s="13" t="s">
        <v>215</v>
      </c>
      <c r="AL80" s="13" t="s">
        <v>215</v>
      </c>
      <c r="AM80" s="13" t="s">
        <v>215</v>
      </c>
      <c r="AN80" s="13" t="s">
        <v>215</v>
      </c>
      <c r="AO80" s="13" t="s">
        <v>215</v>
      </c>
      <c r="AP80" s="13" t="s">
        <v>215</v>
      </c>
      <c r="AQ80" s="13" t="s">
        <v>209</v>
      </c>
      <c r="AR80" s="13" t="s">
        <v>215</v>
      </c>
      <c r="AS80" s="13" t="s">
        <v>206</v>
      </c>
      <c r="AT80" s="13" t="s">
        <v>215</v>
      </c>
      <c r="AU80" s="13" t="s">
        <v>209</v>
      </c>
      <c r="AV80" s="13" t="s">
        <v>215</v>
      </c>
      <c r="AW80" s="13" t="s">
        <v>215</v>
      </c>
      <c r="AX80" s="13" t="s">
        <v>215</v>
      </c>
      <c r="AY80" s="13" t="s">
        <v>215</v>
      </c>
      <c r="AZ80" s="13" t="s">
        <v>215</v>
      </c>
      <c r="BA80" s="13" t="s">
        <v>215</v>
      </c>
      <c r="BB80" s="13" t="s">
        <v>215</v>
      </c>
      <c r="BC80" s="13" t="s">
        <v>215</v>
      </c>
      <c r="BD80" s="16" t="s">
        <v>215</v>
      </c>
      <c r="BE80" s="15" t="s">
        <v>215</v>
      </c>
      <c r="BF80" s="13" t="s">
        <v>215</v>
      </c>
      <c r="BG80" s="13" t="s">
        <v>209</v>
      </c>
      <c r="BH80" s="13" t="s">
        <v>215</v>
      </c>
      <c r="BI80" s="13" t="s">
        <v>215</v>
      </c>
      <c r="BJ80" s="16" t="s">
        <v>215</v>
      </c>
      <c r="BK80" s="15" t="s">
        <v>215</v>
      </c>
      <c r="BL80" s="13" t="s">
        <v>209</v>
      </c>
      <c r="BM80" s="13" t="s">
        <v>215</v>
      </c>
      <c r="BN80" s="13" t="s">
        <v>215</v>
      </c>
      <c r="BO80" s="13" t="s">
        <v>215</v>
      </c>
      <c r="BP80" s="13" t="s">
        <v>215</v>
      </c>
      <c r="BQ80" s="13" t="s">
        <v>215</v>
      </c>
      <c r="BR80" s="13" t="s">
        <v>215</v>
      </c>
      <c r="BS80" s="13" t="s">
        <v>215</v>
      </c>
      <c r="BT80" s="13" t="s">
        <v>209</v>
      </c>
      <c r="BU80" s="13" t="s">
        <v>215</v>
      </c>
      <c r="BV80" s="13" t="s">
        <v>215</v>
      </c>
      <c r="BW80" s="16" t="s">
        <v>215</v>
      </c>
      <c r="BX80" s="15" t="s">
        <v>215</v>
      </c>
      <c r="BY80" s="13" t="s">
        <v>215</v>
      </c>
      <c r="BZ80" s="16" t="s">
        <v>215</v>
      </c>
      <c r="CA80" s="81" t="s">
        <v>215</v>
      </c>
      <c r="CB80" s="13" t="s">
        <v>215</v>
      </c>
      <c r="CC80" s="13" t="s">
        <v>215</v>
      </c>
      <c r="CD80" s="16" t="s">
        <v>215</v>
      </c>
      <c r="CE80" s="16" t="s">
        <v>215</v>
      </c>
    </row>
    <row r="81" spans="5:83" x14ac:dyDescent="0.35">
      <c r="E81" s="79" t="s">
        <v>370</v>
      </c>
      <c r="F81" s="116" t="s">
        <v>281</v>
      </c>
      <c r="G81" s="116" t="s">
        <v>273</v>
      </c>
      <c r="H81" s="15" t="e">
        <v>#N/A</v>
      </c>
      <c r="I81" s="13" t="e">
        <v>#N/A</v>
      </c>
      <c r="J81" s="13" t="e">
        <v>#N/A</v>
      </c>
      <c r="K81" s="13" t="e">
        <v>#N/A</v>
      </c>
      <c r="L81" s="13" t="e">
        <v>#N/A</v>
      </c>
      <c r="M81" s="13" t="e">
        <v>#N/A</v>
      </c>
      <c r="N81" s="13" t="e">
        <v>#N/A</v>
      </c>
      <c r="O81" s="13" t="e">
        <v>#N/A</v>
      </c>
      <c r="P81" s="13" t="e">
        <v>#N/A</v>
      </c>
      <c r="Q81" s="13" t="e">
        <v>#N/A</v>
      </c>
      <c r="R81" s="13" t="e">
        <v>#N/A</v>
      </c>
      <c r="S81" s="13" t="e">
        <v>#N/A</v>
      </c>
      <c r="T81" s="13" t="e">
        <v>#N/A</v>
      </c>
      <c r="U81" s="13" t="e">
        <v>#N/A</v>
      </c>
      <c r="V81" s="13" t="e">
        <v>#N/A</v>
      </c>
      <c r="W81" s="13" t="e">
        <v>#N/A</v>
      </c>
      <c r="X81" s="13" t="e">
        <v>#N/A</v>
      </c>
      <c r="Y81" s="13" t="e">
        <v>#N/A</v>
      </c>
      <c r="Z81" s="13" t="e">
        <v>#N/A</v>
      </c>
      <c r="AA81" s="13" t="e">
        <v>#N/A</v>
      </c>
      <c r="AB81" s="13" t="e">
        <v>#N/A</v>
      </c>
      <c r="AC81" s="13" t="e">
        <v>#N/A</v>
      </c>
      <c r="AD81" s="16" t="e">
        <v>#N/A</v>
      </c>
      <c r="AE81" s="15" t="e">
        <v>#N/A</v>
      </c>
      <c r="AF81" s="13" t="e">
        <v>#N/A</v>
      </c>
      <c r="AG81" s="13" t="e">
        <v>#N/A</v>
      </c>
      <c r="AH81" s="13" t="e">
        <v>#N/A</v>
      </c>
      <c r="AI81" s="13" t="e">
        <v>#N/A</v>
      </c>
      <c r="AJ81" s="13" t="e">
        <v>#N/A</v>
      </c>
      <c r="AK81" s="13" t="e">
        <v>#N/A</v>
      </c>
      <c r="AL81" s="13" t="e">
        <v>#N/A</v>
      </c>
      <c r="AM81" s="13" t="e">
        <v>#N/A</v>
      </c>
      <c r="AN81" s="13" t="e">
        <v>#N/A</v>
      </c>
      <c r="AO81" s="13" t="e">
        <v>#N/A</v>
      </c>
      <c r="AP81" s="13" t="e">
        <v>#N/A</v>
      </c>
      <c r="AQ81" s="13" t="e">
        <v>#N/A</v>
      </c>
      <c r="AR81" s="13" t="e">
        <v>#N/A</v>
      </c>
      <c r="AS81" s="13" t="e">
        <v>#N/A</v>
      </c>
      <c r="AT81" s="13" t="e">
        <v>#N/A</v>
      </c>
      <c r="AU81" s="13" t="e">
        <v>#N/A</v>
      </c>
      <c r="AV81" s="13" t="e">
        <v>#N/A</v>
      </c>
      <c r="AW81" s="13" t="e">
        <v>#N/A</v>
      </c>
      <c r="AX81" s="13" t="e">
        <v>#N/A</v>
      </c>
      <c r="AY81" s="13" t="e">
        <v>#N/A</v>
      </c>
      <c r="AZ81" s="13" t="e">
        <v>#N/A</v>
      </c>
      <c r="BA81" s="13" t="e">
        <v>#N/A</v>
      </c>
      <c r="BB81" s="13" t="e">
        <v>#N/A</v>
      </c>
      <c r="BC81" s="13" t="e">
        <v>#N/A</v>
      </c>
      <c r="BD81" s="16" t="e">
        <v>#N/A</v>
      </c>
      <c r="BE81" s="15" t="e">
        <v>#N/A</v>
      </c>
      <c r="BF81" s="13" t="e">
        <v>#N/A</v>
      </c>
      <c r="BG81" s="13" t="e">
        <v>#N/A</v>
      </c>
      <c r="BH81" s="13" t="e">
        <v>#N/A</v>
      </c>
      <c r="BI81" s="13" t="e">
        <v>#N/A</v>
      </c>
      <c r="BJ81" s="16" t="e">
        <v>#N/A</v>
      </c>
      <c r="BK81" s="15" t="e">
        <v>#N/A</v>
      </c>
      <c r="BL81" s="13" t="e">
        <v>#N/A</v>
      </c>
      <c r="BM81" s="13" t="e">
        <v>#N/A</v>
      </c>
      <c r="BN81" s="13" t="e">
        <v>#N/A</v>
      </c>
      <c r="BO81" s="13" t="e">
        <v>#N/A</v>
      </c>
      <c r="BP81" s="13" t="e">
        <v>#N/A</v>
      </c>
      <c r="BQ81" s="13" t="e">
        <v>#N/A</v>
      </c>
      <c r="BR81" s="13" t="e">
        <v>#N/A</v>
      </c>
      <c r="BS81" s="13" t="e">
        <v>#N/A</v>
      </c>
      <c r="BT81" s="13" t="e">
        <v>#N/A</v>
      </c>
      <c r="BU81" s="13" t="e">
        <v>#N/A</v>
      </c>
      <c r="BV81" s="13" t="e">
        <v>#N/A</v>
      </c>
      <c r="BW81" s="16" t="e">
        <v>#N/A</v>
      </c>
      <c r="BX81" s="15" t="e">
        <v>#N/A</v>
      </c>
      <c r="BY81" s="13" t="e">
        <v>#N/A</v>
      </c>
      <c r="BZ81" s="16" t="e">
        <v>#N/A</v>
      </c>
      <c r="CA81" s="81" t="e">
        <v>#N/A</v>
      </c>
      <c r="CB81" s="13" t="e">
        <v>#N/A</v>
      </c>
      <c r="CC81" s="13" t="e">
        <v>#N/A</v>
      </c>
      <c r="CD81" s="16" t="e">
        <v>#N/A</v>
      </c>
      <c r="CE81" s="16" t="s">
        <v>215</v>
      </c>
    </row>
    <row r="82" spans="5:83" x14ac:dyDescent="0.35">
      <c r="E82" s="79" t="s">
        <v>371</v>
      </c>
      <c r="F82" s="116" t="s">
        <v>281</v>
      </c>
      <c r="G82" s="116" t="s">
        <v>273</v>
      </c>
      <c r="H82" s="15" t="e">
        <v>#N/A</v>
      </c>
      <c r="I82" s="13" t="e">
        <v>#N/A</v>
      </c>
      <c r="J82" s="13" t="e">
        <v>#N/A</v>
      </c>
      <c r="K82" s="13" t="e">
        <v>#N/A</v>
      </c>
      <c r="L82" s="13" t="e">
        <v>#N/A</v>
      </c>
      <c r="M82" s="13" t="e">
        <v>#N/A</v>
      </c>
      <c r="N82" s="13" t="e">
        <v>#N/A</v>
      </c>
      <c r="O82" s="13" t="e">
        <v>#N/A</v>
      </c>
      <c r="P82" s="13" t="e">
        <v>#N/A</v>
      </c>
      <c r="Q82" s="13" t="e">
        <v>#N/A</v>
      </c>
      <c r="R82" s="13" t="e">
        <v>#N/A</v>
      </c>
      <c r="S82" s="13" t="e">
        <v>#N/A</v>
      </c>
      <c r="T82" s="13" t="e">
        <v>#N/A</v>
      </c>
      <c r="U82" s="13" t="e">
        <v>#N/A</v>
      </c>
      <c r="V82" s="13" t="e">
        <v>#N/A</v>
      </c>
      <c r="W82" s="13" t="e">
        <v>#N/A</v>
      </c>
      <c r="X82" s="13" t="e">
        <v>#N/A</v>
      </c>
      <c r="Y82" s="13" t="e">
        <v>#N/A</v>
      </c>
      <c r="Z82" s="13" t="e">
        <v>#N/A</v>
      </c>
      <c r="AA82" s="13" t="e">
        <v>#N/A</v>
      </c>
      <c r="AB82" s="13" t="e">
        <v>#N/A</v>
      </c>
      <c r="AC82" s="13" t="e">
        <v>#N/A</v>
      </c>
      <c r="AD82" s="16" t="e">
        <v>#N/A</v>
      </c>
      <c r="AE82" s="15" t="e">
        <v>#N/A</v>
      </c>
      <c r="AF82" s="13" t="e">
        <v>#N/A</v>
      </c>
      <c r="AG82" s="13" t="e">
        <v>#N/A</v>
      </c>
      <c r="AH82" s="13" t="e">
        <v>#N/A</v>
      </c>
      <c r="AI82" s="13" t="e">
        <v>#N/A</v>
      </c>
      <c r="AJ82" s="13" t="e">
        <v>#N/A</v>
      </c>
      <c r="AK82" s="13" t="e">
        <v>#N/A</v>
      </c>
      <c r="AL82" s="13" t="e">
        <v>#N/A</v>
      </c>
      <c r="AM82" s="13" t="e">
        <v>#N/A</v>
      </c>
      <c r="AN82" s="13" t="e">
        <v>#N/A</v>
      </c>
      <c r="AO82" s="13" t="e">
        <v>#N/A</v>
      </c>
      <c r="AP82" s="13" t="e">
        <v>#N/A</v>
      </c>
      <c r="AQ82" s="13" t="e">
        <v>#N/A</v>
      </c>
      <c r="AR82" s="13" t="e">
        <v>#N/A</v>
      </c>
      <c r="AS82" s="13" t="e">
        <v>#N/A</v>
      </c>
      <c r="AT82" s="13" t="e">
        <v>#N/A</v>
      </c>
      <c r="AU82" s="13" t="e">
        <v>#N/A</v>
      </c>
      <c r="AV82" s="13" t="e">
        <v>#N/A</v>
      </c>
      <c r="AW82" s="13" t="e">
        <v>#N/A</v>
      </c>
      <c r="AX82" s="13" t="e">
        <v>#N/A</v>
      </c>
      <c r="AY82" s="13" t="e">
        <v>#N/A</v>
      </c>
      <c r="AZ82" s="13" t="e">
        <v>#N/A</v>
      </c>
      <c r="BA82" s="13" t="e">
        <v>#N/A</v>
      </c>
      <c r="BB82" s="13" t="e">
        <v>#N/A</v>
      </c>
      <c r="BC82" s="13" t="e">
        <v>#N/A</v>
      </c>
      <c r="BD82" s="16" t="e">
        <v>#N/A</v>
      </c>
      <c r="BE82" s="15" t="e">
        <v>#N/A</v>
      </c>
      <c r="BF82" s="13" t="e">
        <v>#N/A</v>
      </c>
      <c r="BG82" s="13" t="e">
        <v>#N/A</v>
      </c>
      <c r="BH82" s="13" t="e">
        <v>#N/A</v>
      </c>
      <c r="BI82" s="13" t="e">
        <v>#N/A</v>
      </c>
      <c r="BJ82" s="16" t="e">
        <v>#N/A</v>
      </c>
      <c r="BK82" s="15" t="e">
        <v>#N/A</v>
      </c>
      <c r="BL82" s="13" t="e">
        <v>#N/A</v>
      </c>
      <c r="BM82" s="13" t="e">
        <v>#N/A</v>
      </c>
      <c r="BN82" s="13" t="e">
        <v>#N/A</v>
      </c>
      <c r="BO82" s="13" t="e">
        <v>#N/A</v>
      </c>
      <c r="BP82" s="13" t="e">
        <v>#N/A</v>
      </c>
      <c r="BQ82" s="13" t="e">
        <v>#N/A</v>
      </c>
      <c r="BR82" s="13" t="e">
        <v>#N/A</v>
      </c>
      <c r="BS82" s="13" t="e">
        <v>#N/A</v>
      </c>
      <c r="BT82" s="13" t="e">
        <v>#N/A</v>
      </c>
      <c r="BU82" s="13" t="e">
        <v>#N/A</v>
      </c>
      <c r="BV82" s="13" t="e">
        <v>#N/A</v>
      </c>
      <c r="BW82" s="16" t="e">
        <v>#N/A</v>
      </c>
      <c r="BX82" s="15" t="e">
        <v>#N/A</v>
      </c>
      <c r="BY82" s="13" t="e">
        <v>#N/A</v>
      </c>
      <c r="BZ82" s="16" t="e">
        <v>#N/A</v>
      </c>
      <c r="CA82" s="81" t="e">
        <v>#N/A</v>
      </c>
      <c r="CB82" s="13" t="e">
        <v>#N/A</v>
      </c>
      <c r="CC82" s="13" t="e">
        <v>#N/A</v>
      </c>
      <c r="CD82" s="16" t="e">
        <v>#N/A</v>
      </c>
      <c r="CE82" s="16" t="s">
        <v>215</v>
      </c>
    </row>
    <row r="83" spans="5:83" x14ac:dyDescent="0.35">
      <c r="E83" s="79" t="s">
        <v>372</v>
      </c>
      <c r="F83" s="116" t="s">
        <v>281</v>
      </c>
      <c r="G83" s="116" t="s">
        <v>274</v>
      </c>
      <c r="H83" s="15" t="e">
        <v>#N/A</v>
      </c>
      <c r="I83" s="13" t="e">
        <v>#N/A</v>
      </c>
      <c r="J83" s="13" t="e">
        <v>#N/A</v>
      </c>
      <c r="K83" s="13" t="e">
        <v>#N/A</v>
      </c>
      <c r="L83" s="13" t="e">
        <v>#N/A</v>
      </c>
      <c r="M83" s="13" t="e">
        <v>#N/A</v>
      </c>
      <c r="N83" s="13" t="e">
        <v>#N/A</v>
      </c>
      <c r="O83" s="13" t="e">
        <v>#N/A</v>
      </c>
      <c r="P83" s="13" t="e">
        <v>#N/A</v>
      </c>
      <c r="Q83" s="13" t="e">
        <v>#N/A</v>
      </c>
      <c r="R83" s="13" t="e">
        <v>#N/A</v>
      </c>
      <c r="S83" s="13" t="e">
        <v>#N/A</v>
      </c>
      <c r="T83" s="13" t="e">
        <v>#N/A</v>
      </c>
      <c r="U83" s="13" t="e">
        <v>#N/A</v>
      </c>
      <c r="V83" s="13" t="e">
        <v>#N/A</v>
      </c>
      <c r="W83" s="13" t="e">
        <v>#N/A</v>
      </c>
      <c r="X83" s="13" t="e">
        <v>#N/A</v>
      </c>
      <c r="Y83" s="13" t="e">
        <v>#N/A</v>
      </c>
      <c r="Z83" s="13" t="e">
        <v>#N/A</v>
      </c>
      <c r="AA83" s="13" t="e">
        <v>#N/A</v>
      </c>
      <c r="AB83" s="13" t="e">
        <v>#N/A</v>
      </c>
      <c r="AC83" s="13" t="e">
        <v>#N/A</v>
      </c>
      <c r="AD83" s="16" t="e">
        <v>#N/A</v>
      </c>
      <c r="AE83" s="15" t="e">
        <v>#N/A</v>
      </c>
      <c r="AF83" s="13" t="e">
        <v>#N/A</v>
      </c>
      <c r="AG83" s="13" t="e">
        <v>#N/A</v>
      </c>
      <c r="AH83" s="13" t="e">
        <v>#N/A</v>
      </c>
      <c r="AI83" s="13" t="e">
        <v>#N/A</v>
      </c>
      <c r="AJ83" s="13" t="e">
        <v>#N/A</v>
      </c>
      <c r="AK83" s="13" t="e">
        <v>#N/A</v>
      </c>
      <c r="AL83" s="13" t="e">
        <v>#N/A</v>
      </c>
      <c r="AM83" s="13" t="e">
        <v>#N/A</v>
      </c>
      <c r="AN83" s="13" t="e">
        <v>#N/A</v>
      </c>
      <c r="AO83" s="13" t="e">
        <v>#N/A</v>
      </c>
      <c r="AP83" s="13" t="e">
        <v>#N/A</v>
      </c>
      <c r="AQ83" s="13" t="e">
        <v>#N/A</v>
      </c>
      <c r="AR83" s="13" t="e">
        <v>#N/A</v>
      </c>
      <c r="AS83" s="13" t="e">
        <v>#N/A</v>
      </c>
      <c r="AT83" s="13" t="e">
        <v>#N/A</v>
      </c>
      <c r="AU83" s="13" t="e">
        <v>#N/A</v>
      </c>
      <c r="AV83" s="13" t="e">
        <v>#N/A</v>
      </c>
      <c r="AW83" s="13" t="e">
        <v>#N/A</v>
      </c>
      <c r="AX83" s="13" t="e">
        <v>#N/A</v>
      </c>
      <c r="AY83" s="13" t="e">
        <v>#N/A</v>
      </c>
      <c r="AZ83" s="13" t="e">
        <v>#N/A</v>
      </c>
      <c r="BA83" s="13" t="e">
        <v>#N/A</v>
      </c>
      <c r="BB83" s="13" t="e">
        <v>#N/A</v>
      </c>
      <c r="BC83" s="13" t="e">
        <v>#N/A</v>
      </c>
      <c r="BD83" s="16" t="e">
        <v>#N/A</v>
      </c>
      <c r="BE83" s="15" t="e">
        <v>#N/A</v>
      </c>
      <c r="BF83" s="13" t="e">
        <v>#N/A</v>
      </c>
      <c r="BG83" s="13" t="e">
        <v>#N/A</v>
      </c>
      <c r="BH83" s="13" t="e">
        <v>#N/A</v>
      </c>
      <c r="BI83" s="13" t="e">
        <v>#N/A</v>
      </c>
      <c r="BJ83" s="16" t="e">
        <v>#N/A</v>
      </c>
      <c r="BK83" s="15" t="e">
        <v>#N/A</v>
      </c>
      <c r="BL83" s="13" t="e">
        <v>#N/A</v>
      </c>
      <c r="BM83" s="13" t="e">
        <v>#N/A</v>
      </c>
      <c r="BN83" s="13" t="e">
        <v>#N/A</v>
      </c>
      <c r="BO83" s="13" t="e">
        <v>#N/A</v>
      </c>
      <c r="BP83" s="13" t="e">
        <v>#N/A</v>
      </c>
      <c r="BQ83" s="13" t="e">
        <v>#N/A</v>
      </c>
      <c r="BR83" s="13" t="e">
        <v>#N/A</v>
      </c>
      <c r="BS83" s="13" t="e">
        <v>#N/A</v>
      </c>
      <c r="BT83" s="13" t="e">
        <v>#N/A</v>
      </c>
      <c r="BU83" s="13" t="e">
        <v>#N/A</v>
      </c>
      <c r="BV83" s="13" t="e">
        <v>#N/A</v>
      </c>
      <c r="BW83" s="16" t="e">
        <v>#N/A</v>
      </c>
      <c r="BX83" s="15" t="e">
        <v>#N/A</v>
      </c>
      <c r="BY83" s="13" t="e">
        <v>#N/A</v>
      </c>
      <c r="BZ83" s="16" t="e">
        <v>#N/A</v>
      </c>
      <c r="CA83" s="81" t="e">
        <v>#N/A</v>
      </c>
      <c r="CB83" s="13" t="e">
        <v>#N/A</v>
      </c>
      <c r="CC83" s="13" t="e">
        <v>#N/A</v>
      </c>
      <c r="CD83" s="16" t="e">
        <v>#N/A</v>
      </c>
      <c r="CE83" s="16" t="s">
        <v>215</v>
      </c>
    </row>
    <row r="84" spans="5:83" x14ac:dyDescent="0.35">
      <c r="E84" s="79" t="s">
        <v>373</v>
      </c>
      <c r="F84" s="116" t="s">
        <v>281</v>
      </c>
      <c r="G84" s="116" t="s">
        <v>273</v>
      </c>
      <c r="H84" s="15" t="e">
        <v>#N/A</v>
      </c>
      <c r="I84" s="13" t="e">
        <v>#N/A</v>
      </c>
      <c r="J84" s="13" t="e">
        <v>#N/A</v>
      </c>
      <c r="K84" s="13" t="e">
        <v>#N/A</v>
      </c>
      <c r="L84" s="13" t="e">
        <v>#N/A</v>
      </c>
      <c r="M84" s="13" t="e">
        <v>#N/A</v>
      </c>
      <c r="N84" s="13" t="e">
        <v>#N/A</v>
      </c>
      <c r="O84" s="13" t="e">
        <v>#N/A</v>
      </c>
      <c r="P84" s="13" t="e">
        <v>#N/A</v>
      </c>
      <c r="Q84" s="13" t="e">
        <v>#N/A</v>
      </c>
      <c r="R84" s="13" t="e">
        <v>#N/A</v>
      </c>
      <c r="S84" s="13" t="e">
        <v>#N/A</v>
      </c>
      <c r="T84" s="13" t="e">
        <v>#N/A</v>
      </c>
      <c r="U84" s="13" t="e">
        <v>#N/A</v>
      </c>
      <c r="V84" s="13" t="e">
        <v>#N/A</v>
      </c>
      <c r="W84" s="13" t="e">
        <v>#N/A</v>
      </c>
      <c r="X84" s="13" t="e">
        <v>#N/A</v>
      </c>
      <c r="Y84" s="13" t="e">
        <v>#N/A</v>
      </c>
      <c r="Z84" s="13" t="e">
        <v>#N/A</v>
      </c>
      <c r="AA84" s="13" t="e">
        <v>#N/A</v>
      </c>
      <c r="AB84" s="13" t="e">
        <v>#N/A</v>
      </c>
      <c r="AC84" s="13" t="e">
        <v>#N/A</v>
      </c>
      <c r="AD84" s="16" t="e">
        <v>#N/A</v>
      </c>
      <c r="AE84" s="15" t="e">
        <v>#N/A</v>
      </c>
      <c r="AF84" s="13" t="e">
        <v>#N/A</v>
      </c>
      <c r="AG84" s="13" t="e">
        <v>#N/A</v>
      </c>
      <c r="AH84" s="13" t="e">
        <v>#N/A</v>
      </c>
      <c r="AI84" s="13" t="e">
        <v>#N/A</v>
      </c>
      <c r="AJ84" s="13" t="e">
        <v>#N/A</v>
      </c>
      <c r="AK84" s="13" t="e">
        <v>#N/A</v>
      </c>
      <c r="AL84" s="13" t="e">
        <v>#N/A</v>
      </c>
      <c r="AM84" s="13" t="e">
        <v>#N/A</v>
      </c>
      <c r="AN84" s="13" t="e">
        <v>#N/A</v>
      </c>
      <c r="AO84" s="13" t="e">
        <v>#N/A</v>
      </c>
      <c r="AP84" s="13" t="e">
        <v>#N/A</v>
      </c>
      <c r="AQ84" s="13" t="e">
        <v>#N/A</v>
      </c>
      <c r="AR84" s="13" t="e">
        <v>#N/A</v>
      </c>
      <c r="AS84" s="13" t="e">
        <v>#N/A</v>
      </c>
      <c r="AT84" s="13" t="e">
        <v>#N/A</v>
      </c>
      <c r="AU84" s="13" t="e">
        <v>#N/A</v>
      </c>
      <c r="AV84" s="13" t="e">
        <v>#N/A</v>
      </c>
      <c r="AW84" s="13" t="e">
        <v>#N/A</v>
      </c>
      <c r="AX84" s="13" t="e">
        <v>#N/A</v>
      </c>
      <c r="AY84" s="13" t="e">
        <v>#N/A</v>
      </c>
      <c r="AZ84" s="13" t="e">
        <v>#N/A</v>
      </c>
      <c r="BA84" s="13" t="e">
        <v>#N/A</v>
      </c>
      <c r="BB84" s="13" t="e">
        <v>#N/A</v>
      </c>
      <c r="BC84" s="13" t="e">
        <v>#N/A</v>
      </c>
      <c r="BD84" s="16" t="e">
        <v>#N/A</v>
      </c>
      <c r="BE84" s="15" t="e">
        <v>#N/A</v>
      </c>
      <c r="BF84" s="13" t="e">
        <v>#N/A</v>
      </c>
      <c r="BG84" s="13" t="e">
        <v>#N/A</v>
      </c>
      <c r="BH84" s="13" t="e">
        <v>#N/A</v>
      </c>
      <c r="BI84" s="13" t="e">
        <v>#N/A</v>
      </c>
      <c r="BJ84" s="16" t="e">
        <v>#N/A</v>
      </c>
      <c r="BK84" s="15" t="e">
        <v>#N/A</v>
      </c>
      <c r="BL84" s="13" t="e">
        <v>#N/A</v>
      </c>
      <c r="BM84" s="13" t="e">
        <v>#N/A</v>
      </c>
      <c r="BN84" s="13" t="e">
        <v>#N/A</v>
      </c>
      <c r="BO84" s="13" t="e">
        <v>#N/A</v>
      </c>
      <c r="BP84" s="13" t="e">
        <v>#N/A</v>
      </c>
      <c r="BQ84" s="13" t="e">
        <v>#N/A</v>
      </c>
      <c r="BR84" s="13" t="e">
        <v>#N/A</v>
      </c>
      <c r="BS84" s="13" t="e">
        <v>#N/A</v>
      </c>
      <c r="BT84" s="13" t="e">
        <v>#N/A</v>
      </c>
      <c r="BU84" s="13" t="e">
        <v>#N/A</v>
      </c>
      <c r="BV84" s="13" t="e">
        <v>#N/A</v>
      </c>
      <c r="BW84" s="16" t="e">
        <v>#N/A</v>
      </c>
      <c r="BX84" s="15" t="e">
        <v>#N/A</v>
      </c>
      <c r="BY84" s="13" t="e">
        <v>#N/A</v>
      </c>
      <c r="BZ84" s="16" t="e">
        <v>#N/A</v>
      </c>
      <c r="CA84" s="81" t="e">
        <v>#N/A</v>
      </c>
      <c r="CB84" s="13" t="e">
        <v>#N/A</v>
      </c>
      <c r="CC84" s="13" t="e">
        <v>#N/A</v>
      </c>
      <c r="CD84" s="16" t="e">
        <v>#N/A</v>
      </c>
      <c r="CE84" s="16" t="s">
        <v>215</v>
      </c>
    </row>
    <row r="85" spans="5:83" x14ac:dyDescent="0.35">
      <c r="E85" s="79" t="s">
        <v>374</v>
      </c>
      <c r="F85" s="116" t="s">
        <v>70</v>
      </c>
      <c r="G85" s="116" t="s">
        <v>273</v>
      </c>
      <c r="H85" s="15" t="s">
        <v>215</v>
      </c>
      <c r="I85" s="13" t="s">
        <v>215</v>
      </c>
      <c r="J85" s="13" t="s">
        <v>215</v>
      </c>
      <c r="K85" s="13" t="s">
        <v>215</v>
      </c>
      <c r="L85" s="13" t="s">
        <v>215</v>
      </c>
      <c r="M85" s="13" t="s">
        <v>215</v>
      </c>
      <c r="N85" s="13" t="s">
        <v>215</v>
      </c>
      <c r="O85" s="13" t="s">
        <v>215</v>
      </c>
      <c r="P85" s="13" t="s">
        <v>215</v>
      </c>
      <c r="Q85" s="13" t="s">
        <v>215</v>
      </c>
      <c r="R85" s="13" t="s">
        <v>215</v>
      </c>
      <c r="S85" s="13" t="s">
        <v>215</v>
      </c>
      <c r="T85" s="13" t="s">
        <v>215</v>
      </c>
      <c r="U85" s="13" t="s">
        <v>206</v>
      </c>
      <c r="V85" s="13" t="s">
        <v>215</v>
      </c>
      <c r="W85" s="13" t="s">
        <v>215</v>
      </c>
      <c r="X85" s="13" t="s">
        <v>215</v>
      </c>
      <c r="Y85" s="13" t="s">
        <v>215</v>
      </c>
      <c r="Z85" s="13" t="s">
        <v>215</v>
      </c>
      <c r="AA85" s="13" t="s">
        <v>215</v>
      </c>
      <c r="AB85" s="13" t="s">
        <v>215</v>
      </c>
      <c r="AC85" s="13" t="s">
        <v>215</v>
      </c>
      <c r="AD85" s="16" t="s">
        <v>215</v>
      </c>
      <c r="AE85" s="15" t="s">
        <v>215</v>
      </c>
      <c r="AF85" s="13" t="s">
        <v>206</v>
      </c>
      <c r="AG85" s="13" t="s">
        <v>215</v>
      </c>
      <c r="AH85" s="13" t="s">
        <v>215</v>
      </c>
      <c r="AI85" s="13" t="s">
        <v>215</v>
      </c>
      <c r="AJ85" s="13" t="s">
        <v>215</v>
      </c>
      <c r="AK85" s="13" t="s">
        <v>215</v>
      </c>
      <c r="AL85" s="13" t="s">
        <v>215</v>
      </c>
      <c r="AM85" s="13" t="s">
        <v>215</v>
      </c>
      <c r="AN85" s="13" t="s">
        <v>215</v>
      </c>
      <c r="AO85" s="13" t="s">
        <v>209</v>
      </c>
      <c r="AP85" s="13" t="s">
        <v>215</v>
      </c>
      <c r="AQ85" s="13" t="s">
        <v>209</v>
      </c>
      <c r="AR85" s="13" t="s">
        <v>215</v>
      </c>
      <c r="AS85" s="13" t="s">
        <v>209</v>
      </c>
      <c r="AT85" s="13" t="s">
        <v>215</v>
      </c>
      <c r="AU85" s="13" t="s">
        <v>215</v>
      </c>
      <c r="AV85" s="13" t="s">
        <v>215</v>
      </c>
      <c r="AW85" s="13" t="s">
        <v>215</v>
      </c>
      <c r="AX85" s="13" t="s">
        <v>215</v>
      </c>
      <c r="AY85" s="13" t="s">
        <v>215</v>
      </c>
      <c r="AZ85" s="13" t="s">
        <v>215</v>
      </c>
      <c r="BA85" s="13" t="s">
        <v>215</v>
      </c>
      <c r="BB85" s="13" t="s">
        <v>215</v>
      </c>
      <c r="BC85" s="13" t="s">
        <v>215</v>
      </c>
      <c r="BD85" s="16" t="s">
        <v>215</v>
      </c>
      <c r="BE85" s="15" t="s">
        <v>215</v>
      </c>
      <c r="BF85" s="13" t="s">
        <v>215</v>
      </c>
      <c r="BG85" s="13" t="s">
        <v>215</v>
      </c>
      <c r="BH85" s="13" t="s">
        <v>215</v>
      </c>
      <c r="BI85" s="13" t="s">
        <v>215</v>
      </c>
      <c r="BJ85" s="16" t="s">
        <v>209</v>
      </c>
      <c r="BK85" s="15" t="s">
        <v>215</v>
      </c>
      <c r="BL85" s="13" t="s">
        <v>215</v>
      </c>
      <c r="BM85" s="13" t="s">
        <v>215</v>
      </c>
      <c r="BN85" s="13" t="s">
        <v>215</v>
      </c>
      <c r="BO85" s="13" t="s">
        <v>215</v>
      </c>
      <c r="BP85" s="13" t="s">
        <v>215</v>
      </c>
      <c r="BQ85" s="13" t="s">
        <v>215</v>
      </c>
      <c r="BR85" s="13" t="s">
        <v>215</v>
      </c>
      <c r="BS85" s="13" t="s">
        <v>215</v>
      </c>
      <c r="BT85" s="13" t="s">
        <v>215</v>
      </c>
      <c r="BU85" s="13" t="s">
        <v>215</v>
      </c>
      <c r="BV85" s="13" t="s">
        <v>215</v>
      </c>
      <c r="BW85" s="16" t="s">
        <v>215</v>
      </c>
      <c r="BX85" s="15" t="s">
        <v>215</v>
      </c>
      <c r="BY85" s="13" t="s">
        <v>215</v>
      </c>
      <c r="BZ85" s="16" t="s">
        <v>215</v>
      </c>
      <c r="CA85" s="81" t="s">
        <v>206</v>
      </c>
      <c r="CB85" s="13" t="s">
        <v>215</v>
      </c>
      <c r="CC85" s="13" t="s">
        <v>215</v>
      </c>
      <c r="CD85" s="16" t="s">
        <v>215</v>
      </c>
      <c r="CE85" s="16" t="s">
        <v>215</v>
      </c>
    </row>
    <row r="86" spans="5:83" x14ac:dyDescent="0.35">
      <c r="E86" s="79" t="s">
        <v>375</v>
      </c>
      <c r="F86" s="116" t="s">
        <v>85</v>
      </c>
      <c r="G86" s="116" t="s">
        <v>274</v>
      </c>
      <c r="H86" s="15" t="s">
        <v>215</v>
      </c>
      <c r="I86" s="13" t="s">
        <v>215</v>
      </c>
      <c r="J86" s="13" t="s">
        <v>215</v>
      </c>
      <c r="K86" s="13" t="s">
        <v>215</v>
      </c>
      <c r="L86" s="13" t="s">
        <v>215</v>
      </c>
      <c r="M86" s="13" t="s">
        <v>215</v>
      </c>
      <c r="N86" s="13" t="s">
        <v>215</v>
      </c>
      <c r="O86" s="13" t="s">
        <v>215</v>
      </c>
      <c r="P86" s="13" t="s">
        <v>215</v>
      </c>
      <c r="Q86" s="13" t="s">
        <v>215</v>
      </c>
      <c r="R86" s="13" t="s">
        <v>215</v>
      </c>
      <c r="S86" s="13" t="s">
        <v>215</v>
      </c>
      <c r="T86" s="13" t="s">
        <v>215</v>
      </c>
      <c r="U86" s="13" t="s">
        <v>209</v>
      </c>
      <c r="V86" s="13" t="s">
        <v>215</v>
      </c>
      <c r="W86" s="13" t="s">
        <v>215</v>
      </c>
      <c r="X86" s="13" t="s">
        <v>215</v>
      </c>
      <c r="Y86" s="13" t="s">
        <v>215</v>
      </c>
      <c r="Z86" s="13" t="s">
        <v>215</v>
      </c>
      <c r="AA86" s="13" t="s">
        <v>215</v>
      </c>
      <c r="AB86" s="13" t="s">
        <v>215</v>
      </c>
      <c r="AC86" s="13" t="s">
        <v>215</v>
      </c>
      <c r="AD86" s="16" t="s">
        <v>215</v>
      </c>
      <c r="AE86" s="15" t="s">
        <v>215</v>
      </c>
      <c r="AF86" s="13" t="s">
        <v>215</v>
      </c>
      <c r="AG86" s="13" t="s">
        <v>215</v>
      </c>
      <c r="AH86" s="13" t="s">
        <v>215</v>
      </c>
      <c r="AI86" s="13" t="s">
        <v>215</v>
      </c>
      <c r="AJ86" s="13" t="s">
        <v>215</v>
      </c>
      <c r="AK86" s="13" t="s">
        <v>215</v>
      </c>
      <c r="AL86" s="13" t="s">
        <v>215</v>
      </c>
      <c r="AM86" s="13" t="s">
        <v>215</v>
      </c>
      <c r="AN86" s="13" t="s">
        <v>215</v>
      </c>
      <c r="AO86" s="13" t="s">
        <v>215</v>
      </c>
      <c r="AP86" s="13" t="s">
        <v>215</v>
      </c>
      <c r="AQ86" s="13" t="s">
        <v>209</v>
      </c>
      <c r="AR86" s="13" t="s">
        <v>215</v>
      </c>
      <c r="AS86" s="13" t="s">
        <v>215</v>
      </c>
      <c r="AT86" s="13" t="s">
        <v>215</v>
      </c>
      <c r="AU86" s="13" t="s">
        <v>215</v>
      </c>
      <c r="AV86" s="13" t="s">
        <v>215</v>
      </c>
      <c r="AW86" s="13" t="s">
        <v>215</v>
      </c>
      <c r="AX86" s="13" t="s">
        <v>215</v>
      </c>
      <c r="AY86" s="13" t="s">
        <v>215</v>
      </c>
      <c r="AZ86" s="13" t="s">
        <v>215</v>
      </c>
      <c r="BA86" s="13" t="s">
        <v>215</v>
      </c>
      <c r="BB86" s="13" t="s">
        <v>215</v>
      </c>
      <c r="BC86" s="13" t="s">
        <v>215</v>
      </c>
      <c r="BD86" s="16" t="s">
        <v>215</v>
      </c>
      <c r="BE86" s="15" t="s">
        <v>215</v>
      </c>
      <c r="BF86" s="13" t="s">
        <v>215</v>
      </c>
      <c r="BG86" s="13" t="s">
        <v>215</v>
      </c>
      <c r="BH86" s="13" t="s">
        <v>215</v>
      </c>
      <c r="BI86" s="13" t="s">
        <v>215</v>
      </c>
      <c r="BJ86" s="16" t="s">
        <v>215</v>
      </c>
      <c r="BK86" s="15" t="s">
        <v>215</v>
      </c>
      <c r="BL86" s="13" t="s">
        <v>215</v>
      </c>
      <c r="BM86" s="13" t="s">
        <v>215</v>
      </c>
      <c r="BN86" s="13" t="s">
        <v>215</v>
      </c>
      <c r="BO86" s="13" t="s">
        <v>215</v>
      </c>
      <c r="BP86" s="13" t="s">
        <v>215</v>
      </c>
      <c r="BQ86" s="13" t="s">
        <v>215</v>
      </c>
      <c r="BR86" s="13" t="s">
        <v>215</v>
      </c>
      <c r="BS86" s="13" t="s">
        <v>215</v>
      </c>
      <c r="BT86" s="13" t="s">
        <v>215</v>
      </c>
      <c r="BU86" s="13" t="s">
        <v>215</v>
      </c>
      <c r="BV86" s="13" t="s">
        <v>215</v>
      </c>
      <c r="BW86" s="16" t="s">
        <v>215</v>
      </c>
      <c r="BX86" s="15" t="s">
        <v>215</v>
      </c>
      <c r="BY86" s="13" t="s">
        <v>215</v>
      </c>
      <c r="BZ86" s="16" t="s">
        <v>215</v>
      </c>
      <c r="CA86" s="81" t="s">
        <v>215</v>
      </c>
      <c r="CB86" s="13" t="s">
        <v>215</v>
      </c>
      <c r="CC86" s="13" t="s">
        <v>215</v>
      </c>
      <c r="CD86" s="16" t="s">
        <v>215</v>
      </c>
      <c r="CE86" s="16" t="s">
        <v>215</v>
      </c>
    </row>
    <row r="87" spans="5:83" x14ac:dyDescent="0.35">
      <c r="E87" s="79" t="s">
        <v>376</v>
      </c>
      <c r="F87" s="116" t="s">
        <v>281</v>
      </c>
      <c r="G87" s="116" t="s">
        <v>275</v>
      </c>
      <c r="H87" s="15" t="e">
        <v>#N/A</v>
      </c>
      <c r="I87" s="13" t="e">
        <v>#N/A</v>
      </c>
      <c r="J87" s="13" t="e">
        <v>#N/A</v>
      </c>
      <c r="K87" s="13" t="e">
        <v>#N/A</v>
      </c>
      <c r="L87" s="13" t="e">
        <v>#N/A</v>
      </c>
      <c r="M87" s="13" t="e">
        <v>#N/A</v>
      </c>
      <c r="N87" s="13" t="e">
        <v>#N/A</v>
      </c>
      <c r="O87" s="13" t="e">
        <v>#N/A</v>
      </c>
      <c r="P87" s="13" t="e">
        <v>#N/A</v>
      </c>
      <c r="Q87" s="13" t="e">
        <v>#N/A</v>
      </c>
      <c r="R87" s="13" t="e">
        <v>#N/A</v>
      </c>
      <c r="S87" s="13" t="e">
        <v>#N/A</v>
      </c>
      <c r="T87" s="13" t="e">
        <v>#N/A</v>
      </c>
      <c r="U87" s="13" t="e">
        <v>#N/A</v>
      </c>
      <c r="V87" s="13" t="e">
        <v>#N/A</v>
      </c>
      <c r="W87" s="13" t="e">
        <v>#N/A</v>
      </c>
      <c r="X87" s="13" t="e">
        <v>#N/A</v>
      </c>
      <c r="Y87" s="13" t="e">
        <v>#N/A</v>
      </c>
      <c r="Z87" s="13" t="e">
        <v>#N/A</v>
      </c>
      <c r="AA87" s="13" t="e">
        <v>#N/A</v>
      </c>
      <c r="AB87" s="13" t="e">
        <v>#N/A</v>
      </c>
      <c r="AC87" s="13" t="e">
        <v>#N/A</v>
      </c>
      <c r="AD87" s="16" t="e">
        <v>#N/A</v>
      </c>
      <c r="AE87" s="15" t="e">
        <v>#N/A</v>
      </c>
      <c r="AF87" s="13" t="e">
        <v>#N/A</v>
      </c>
      <c r="AG87" s="13" t="e">
        <v>#N/A</v>
      </c>
      <c r="AH87" s="13" t="e">
        <v>#N/A</v>
      </c>
      <c r="AI87" s="13" t="e">
        <v>#N/A</v>
      </c>
      <c r="AJ87" s="13" t="e">
        <v>#N/A</v>
      </c>
      <c r="AK87" s="13" t="e">
        <v>#N/A</v>
      </c>
      <c r="AL87" s="13" t="e">
        <v>#N/A</v>
      </c>
      <c r="AM87" s="13" t="e">
        <v>#N/A</v>
      </c>
      <c r="AN87" s="13" t="e">
        <v>#N/A</v>
      </c>
      <c r="AO87" s="13" t="e">
        <v>#N/A</v>
      </c>
      <c r="AP87" s="13" t="e">
        <v>#N/A</v>
      </c>
      <c r="AQ87" s="13" t="e">
        <v>#N/A</v>
      </c>
      <c r="AR87" s="13" t="e">
        <v>#N/A</v>
      </c>
      <c r="AS87" s="13" t="e">
        <v>#N/A</v>
      </c>
      <c r="AT87" s="13" t="e">
        <v>#N/A</v>
      </c>
      <c r="AU87" s="13" t="e">
        <v>#N/A</v>
      </c>
      <c r="AV87" s="13" t="e">
        <v>#N/A</v>
      </c>
      <c r="AW87" s="13" t="e">
        <v>#N/A</v>
      </c>
      <c r="AX87" s="13" t="e">
        <v>#N/A</v>
      </c>
      <c r="AY87" s="13" t="e">
        <v>#N/A</v>
      </c>
      <c r="AZ87" s="13" t="e">
        <v>#N/A</v>
      </c>
      <c r="BA87" s="13" t="e">
        <v>#N/A</v>
      </c>
      <c r="BB87" s="13" t="e">
        <v>#N/A</v>
      </c>
      <c r="BC87" s="13" t="e">
        <v>#N/A</v>
      </c>
      <c r="BD87" s="16" t="e">
        <v>#N/A</v>
      </c>
      <c r="BE87" s="15" t="e">
        <v>#N/A</v>
      </c>
      <c r="BF87" s="13" t="e">
        <v>#N/A</v>
      </c>
      <c r="BG87" s="13" t="e">
        <v>#N/A</v>
      </c>
      <c r="BH87" s="13" t="e">
        <v>#N/A</v>
      </c>
      <c r="BI87" s="13" t="e">
        <v>#N/A</v>
      </c>
      <c r="BJ87" s="16" t="e">
        <v>#N/A</v>
      </c>
      <c r="BK87" s="15" t="e">
        <v>#N/A</v>
      </c>
      <c r="BL87" s="13" t="e">
        <v>#N/A</v>
      </c>
      <c r="BM87" s="13" t="e">
        <v>#N/A</v>
      </c>
      <c r="BN87" s="13" t="e">
        <v>#N/A</v>
      </c>
      <c r="BO87" s="13" t="e">
        <v>#N/A</v>
      </c>
      <c r="BP87" s="13" t="e">
        <v>#N/A</v>
      </c>
      <c r="BQ87" s="13" t="e">
        <v>#N/A</v>
      </c>
      <c r="BR87" s="13" t="e">
        <v>#N/A</v>
      </c>
      <c r="BS87" s="13" t="e">
        <v>#N/A</v>
      </c>
      <c r="BT87" s="13" t="e">
        <v>#N/A</v>
      </c>
      <c r="BU87" s="13" t="e">
        <v>#N/A</v>
      </c>
      <c r="BV87" s="13" t="e">
        <v>#N/A</v>
      </c>
      <c r="BW87" s="16" t="e">
        <v>#N/A</v>
      </c>
      <c r="BX87" s="15" t="e">
        <v>#N/A</v>
      </c>
      <c r="BY87" s="13" t="e">
        <v>#N/A</v>
      </c>
      <c r="BZ87" s="16" t="e">
        <v>#N/A</v>
      </c>
      <c r="CA87" s="81" t="e">
        <v>#N/A</v>
      </c>
      <c r="CB87" s="13" t="e">
        <v>#N/A</v>
      </c>
      <c r="CC87" s="13" t="e">
        <v>#N/A</v>
      </c>
      <c r="CD87" s="16" t="e">
        <v>#N/A</v>
      </c>
      <c r="CE87" s="16" t="s">
        <v>215</v>
      </c>
    </row>
    <row r="88" spans="5:83" x14ac:dyDescent="0.35">
      <c r="E88" s="79" t="s">
        <v>377</v>
      </c>
      <c r="F88" s="116" t="s">
        <v>99</v>
      </c>
      <c r="G88" s="116" t="s">
        <v>275</v>
      </c>
      <c r="H88" s="15" t="s">
        <v>215</v>
      </c>
      <c r="I88" s="13" t="s">
        <v>215</v>
      </c>
      <c r="J88" s="13" t="s">
        <v>215</v>
      </c>
      <c r="K88" s="13" t="s">
        <v>215</v>
      </c>
      <c r="L88" s="13" t="s">
        <v>215</v>
      </c>
      <c r="M88" s="13" t="s">
        <v>215</v>
      </c>
      <c r="N88" s="13" t="s">
        <v>215</v>
      </c>
      <c r="O88" s="13" t="s">
        <v>215</v>
      </c>
      <c r="P88" s="13" t="s">
        <v>215</v>
      </c>
      <c r="Q88" s="13" t="s">
        <v>215</v>
      </c>
      <c r="R88" s="13" t="s">
        <v>215</v>
      </c>
      <c r="S88" s="13" t="s">
        <v>215</v>
      </c>
      <c r="T88" s="13" t="s">
        <v>215</v>
      </c>
      <c r="U88" s="13" t="s">
        <v>215</v>
      </c>
      <c r="V88" s="13" t="s">
        <v>215</v>
      </c>
      <c r="W88" s="13" t="s">
        <v>215</v>
      </c>
      <c r="X88" s="13" t="s">
        <v>215</v>
      </c>
      <c r="Y88" s="13" t="s">
        <v>215</v>
      </c>
      <c r="Z88" s="13" t="s">
        <v>215</v>
      </c>
      <c r="AA88" s="13" t="s">
        <v>215</v>
      </c>
      <c r="AB88" s="13" t="s">
        <v>215</v>
      </c>
      <c r="AC88" s="13" t="s">
        <v>215</v>
      </c>
      <c r="AD88" s="16" t="s">
        <v>215</v>
      </c>
      <c r="AE88" s="15" t="s">
        <v>215</v>
      </c>
      <c r="AF88" s="13" t="s">
        <v>215</v>
      </c>
      <c r="AG88" s="13" t="s">
        <v>215</v>
      </c>
      <c r="AH88" s="13" t="s">
        <v>215</v>
      </c>
      <c r="AI88" s="13" t="s">
        <v>215</v>
      </c>
      <c r="AJ88" s="13" t="s">
        <v>215</v>
      </c>
      <c r="AK88" s="13" t="s">
        <v>215</v>
      </c>
      <c r="AL88" s="13" t="s">
        <v>215</v>
      </c>
      <c r="AM88" s="13" t="s">
        <v>215</v>
      </c>
      <c r="AN88" s="13" t="s">
        <v>215</v>
      </c>
      <c r="AO88" s="13" t="s">
        <v>215</v>
      </c>
      <c r="AP88" s="13" t="s">
        <v>215</v>
      </c>
      <c r="AQ88" s="13" t="s">
        <v>215</v>
      </c>
      <c r="AR88" s="13" t="s">
        <v>215</v>
      </c>
      <c r="AS88" s="13" t="s">
        <v>215</v>
      </c>
      <c r="AT88" s="13" t="s">
        <v>215</v>
      </c>
      <c r="AU88" s="13" t="s">
        <v>215</v>
      </c>
      <c r="AV88" s="13" t="s">
        <v>215</v>
      </c>
      <c r="AW88" s="13" t="s">
        <v>215</v>
      </c>
      <c r="AX88" s="13" t="s">
        <v>215</v>
      </c>
      <c r="AY88" s="13" t="s">
        <v>215</v>
      </c>
      <c r="AZ88" s="13" t="s">
        <v>215</v>
      </c>
      <c r="BA88" s="13" t="s">
        <v>215</v>
      </c>
      <c r="BB88" s="13" t="s">
        <v>215</v>
      </c>
      <c r="BC88" s="13" t="s">
        <v>215</v>
      </c>
      <c r="BD88" s="16" t="s">
        <v>215</v>
      </c>
      <c r="BE88" s="15" t="s">
        <v>215</v>
      </c>
      <c r="BF88" s="13" t="s">
        <v>215</v>
      </c>
      <c r="BG88" s="13" t="s">
        <v>215</v>
      </c>
      <c r="BH88" s="13" t="s">
        <v>215</v>
      </c>
      <c r="BI88" s="13" t="s">
        <v>215</v>
      </c>
      <c r="BJ88" s="16" t="s">
        <v>215</v>
      </c>
      <c r="BK88" s="15" t="s">
        <v>215</v>
      </c>
      <c r="BL88" s="13" t="s">
        <v>215</v>
      </c>
      <c r="BM88" s="13" t="s">
        <v>215</v>
      </c>
      <c r="BN88" s="13" t="s">
        <v>215</v>
      </c>
      <c r="BO88" s="13" t="s">
        <v>215</v>
      </c>
      <c r="BP88" s="13" t="s">
        <v>215</v>
      </c>
      <c r="BQ88" s="13" t="s">
        <v>215</v>
      </c>
      <c r="BR88" s="13" t="s">
        <v>215</v>
      </c>
      <c r="BS88" s="13" t="s">
        <v>215</v>
      </c>
      <c r="BT88" s="13" t="s">
        <v>215</v>
      </c>
      <c r="BU88" s="13" t="s">
        <v>215</v>
      </c>
      <c r="BV88" s="13" t="s">
        <v>215</v>
      </c>
      <c r="BW88" s="16" t="s">
        <v>215</v>
      </c>
      <c r="BX88" s="15" t="s">
        <v>215</v>
      </c>
      <c r="BY88" s="13" t="s">
        <v>215</v>
      </c>
      <c r="BZ88" s="16" t="s">
        <v>215</v>
      </c>
      <c r="CA88" s="81" t="s">
        <v>215</v>
      </c>
      <c r="CB88" s="13" t="s">
        <v>215</v>
      </c>
      <c r="CC88" s="13" t="s">
        <v>215</v>
      </c>
      <c r="CD88" s="16" t="s">
        <v>215</v>
      </c>
      <c r="CE88" s="16" t="s">
        <v>215</v>
      </c>
    </row>
    <row r="89" spans="5:83" x14ac:dyDescent="0.35">
      <c r="E89" s="79" t="s">
        <v>378</v>
      </c>
      <c r="F89" s="116" t="s">
        <v>281</v>
      </c>
      <c r="G89" s="116" t="s">
        <v>275</v>
      </c>
      <c r="H89" s="15" t="e">
        <v>#N/A</v>
      </c>
      <c r="I89" s="13" t="e">
        <v>#N/A</v>
      </c>
      <c r="J89" s="13" t="e">
        <v>#N/A</v>
      </c>
      <c r="K89" s="13" t="e">
        <v>#N/A</v>
      </c>
      <c r="L89" s="13" t="e">
        <v>#N/A</v>
      </c>
      <c r="M89" s="13" t="e">
        <v>#N/A</v>
      </c>
      <c r="N89" s="13" t="e">
        <v>#N/A</v>
      </c>
      <c r="O89" s="13" t="e">
        <v>#N/A</v>
      </c>
      <c r="P89" s="13" t="e">
        <v>#N/A</v>
      </c>
      <c r="Q89" s="13" t="e">
        <v>#N/A</v>
      </c>
      <c r="R89" s="13" t="e">
        <v>#N/A</v>
      </c>
      <c r="S89" s="13" t="e">
        <v>#N/A</v>
      </c>
      <c r="T89" s="13" t="e">
        <v>#N/A</v>
      </c>
      <c r="U89" s="13" t="e">
        <v>#N/A</v>
      </c>
      <c r="V89" s="13" t="e">
        <v>#N/A</v>
      </c>
      <c r="W89" s="13" t="e">
        <v>#N/A</v>
      </c>
      <c r="X89" s="13" t="e">
        <v>#N/A</v>
      </c>
      <c r="Y89" s="13" t="e">
        <v>#N/A</v>
      </c>
      <c r="Z89" s="13" t="e">
        <v>#N/A</v>
      </c>
      <c r="AA89" s="13" t="e">
        <v>#N/A</v>
      </c>
      <c r="AB89" s="13" t="e">
        <v>#N/A</v>
      </c>
      <c r="AC89" s="13" t="e">
        <v>#N/A</v>
      </c>
      <c r="AD89" s="16" t="e">
        <v>#N/A</v>
      </c>
      <c r="AE89" s="15" t="e">
        <v>#N/A</v>
      </c>
      <c r="AF89" s="13" t="e">
        <v>#N/A</v>
      </c>
      <c r="AG89" s="13" t="e">
        <v>#N/A</v>
      </c>
      <c r="AH89" s="13" t="e">
        <v>#N/A</v>
      </c>
      <c r="AI89" s="13" t="e">
        <v>#N/A</v>
      </c>
      <c r="AJ89" s="13" t="e">
        <v>#N/A</v>
      </c>
      <c r="AK89" s="13" t="e">
        <v>#N/A</v>
      </c>
      <c r="AL89" s="13" t="e">
        <v>#N/A</v>
      </c>
      <c r="AM89" s="13" t="e">
        <v>#N/A</v>
      </c>
      <c r="AN89" s="13" t="e">
        <v>#N/A</v>
      </c>
      <c r="AO89" s="13" t="e">
        <v>#N/A</v>
      </c>
      <c r="AP89" s="13" t="e">
        <v>#N/A</v>
      </c>
      <c r="AQ89" s="13" t="e">
        <v>#N/A</v>
      </c>
      <c r="AR89" s="13" t="e">
        <v>#N/A</v>
      </c>
      <c r="AS89" s="13" t="e">
        <v>#N/A</v>
      </c>
      <c r="AT89" s="13" t="e">
        <v>#N/A</v>
      </c>
      <c r="AU89" s="13" t="e">
        <v>#N/A</v>
      </c>
      <c r="AV89" s="13" t="e">
        <v>#N/A</v>
      </c>
      <c r="AW89" s="13" t="e">
        <v>#N/A</v>
      </c>
      <c r="AX89" s="13" t="e">
        <v>#N/A</v>
      </c>
      <c r="AY89" s="13" t="e">
        <v>#N/A</v>
      </c>
      <c r="AZ89" s="13" t="e">
        <v>#N/A</v>
      </c>
      <c r="BA89" s="13" t="e">
        <v>#N/A</v>
      </c>
      <c r="BB89" s="13" t="e">
        <v>#N/A</v>
      </c>
      <c r="BC89" s="13" t="e">
        <v>#N/A</v>
      </c>
      <c r="BD89" s="16" t="e">
        <v>#N/A</v>
      </c>
      <c r="BE89" s="15" t="e">
        <v>#N/A</v>
      </c>
      <c r="BF89" s="13" t="e">
        <v>#N/A</v>
      </c>
      <c r="BG89" s="13" t="e">
        <v>#N/A</v>
      </c>
      <c r="BH89" s="13" t="e">
        <v>#N/A</v>
      </c>
      <c r="BI89" s="13" t="e">
        <v>#N/A</v>
      </c>
      <c r="BJ89" s="16" t="e">
        <v>#N/A</v>
      </c>
      <c r="BK89" s="15" t="e">
        <v>#N/A</v>
      </c>
      <c r="BL89" s="13" t="e">
        <v>#N/A</v>
      </c>
      <c r="BM89" s="13" t="e">
        <v>#N/A</v>
      </c>
      <c r="BN89" s="13" t="e">
        <v>#N/A</v>
      </c>
      <c r="BO89" s="13" t="e">
        <v>#N/A</v>
      </c>
      <c r="BP89" s="13" t="e">
        <v>#N/A</v>
      </c>
      <c r="BQ89" s="13" t="e">
        <v>#N/A</v>
      </c>
      <c r="BR89" s="13" t="e">
        <v>#N/A</v>
      </c>
      <c r="BS89" s="13" t="e">
        <v>#N/A</v>
      </c>
      <c r="BT89" s="13" t="e">
        <v>#N/A</v>
      </c>
      <c r="BU89" s="13" t="e">
        <v>#N/A</v>
      </c>
      <c r="BV89" s="13" t="e">
        <v>#N/A</v>
      </c>
      <c r="BW89" s="16" t="e">
        <v>#N/A</v>
      </c>
      <c r="BX89" s="15" t="e">
        <v>#N/A</v>
      </c>
      <c r="BY89" s="13" t="e">
        <v>#N/A</v>
      </c>
      <c r="BZ89" s="16" t="e">
        <v>#N/A</v>
      </c>
      <c r="CA89" s="81" t="e">
        <v>#N/A</v>
      </c>
      <c r="CB89" s="13" t="e">
        <v>#N/A</v>
      </c>
      <c r="CC89" s="13" t="e">
        <v>#N/A</v>
      </c>
      <c r="CD89" s="16" t="e">
        <v>#N/A</v>
      </c>
      <c r="CE89" s="16" t="s">
        <v>215</v>
      </c>
    </row>
    <row r="90" spans="5:83" x14ac:dyDescent="0.35">
      <c r="E90" s="79" t="s">
        <v>379</v>
      </c>
      <c r="F90" s="116" t="s">
        <v>281</v>
      </c>
      <c r="G90" s="116" t="s">
        <v>275</v>
      </c>
      <c r="H90" s="15" t="e">
        <v>#N/A</v>
      </c>
      <c r="I90" s="13" t="e">
        <v>#N/A</v>
      </c>
      <c r="J90" s="13" t="e">
        <v>#N/A</v>
      </c>
      <c r="K90" s="13" t="e">
        <v>#N/A</v>
      </c>
      <c r="L90" s="13" t="e">
        <v>#N/A</v>
      </c>
      <c r="M90" s="13" t="e">
        <v>#N/A</v>
      </c>
      <c r="N90" s="13" t="e">
        <v>#N/A</v>
      </c>
      <c r="O90" s="13" t="e">
        <v>#N/A</v>
      </c>
      <c r="P90" s="13" t="e">
        <v>#N/A</v>
      </c>
      <c r="Q90" s="13" t="e">
        <v>#N/A</v>
      </c>
      <c r="R90" s="13" t="e">
        <v>#N/A</v>
      </c>
      <c r="S90" s="13" t="e">
        <v>#N/A</v>
      </c>
      <c r="T90" s="13" t="e">
        <v>#N/A</v>
      </c>
      <c r="U90" s="13" t="e">
        <v>#N/A</v>
      </c>
      <c r="V90" s="13" t="e">
        <v>#N/A</v>
      </c>
      <c r="W90" s="13" t="e">
        <v>#N/A</v>
      </c>
      <c r="X90" s="13" t="e">
        <v>#N/A</v>
      </c>
      <c r="Y90" s="13" t="e">
        <v>#N/A</v>
      </c>
      <c r="Z90" s="13" t="e">
        <v>#N/A</v>
      </c>
      <c r="AA90" s="13" t="e">
        <v>#N/A</v>
      </c>
      <c r="AB90" s="13" t="e">
        <v>#N/A</v>
      </c>
      <c r="AC90" s="13" t="e">
        <v>#N/A</v>
      </c>
      <c r="AD90" s="16" t="e">
        <v>#N/A</v>
      </c>
      <c r="AE90" s="15" t="e">
        <v>#N/A</v>
      </c>
      <c r="AF90" s="13" t="e">
        <v>#N/A</v>
      </c>
      <c r="AG90" s="13" t="e">
        <v>#N/A</v>
      </c>
      <c r="AH90" s="13" t="e">
        <v>#N/A</v>
      </c>
      <c r="AI90" s="13" t="e">
        <v>#N/A</v>
      </c>
      <c r="AJ90" s="13" t="e">
        <v>#N/A</v>
      </c>
      <c r="AK90" s="13" t="e">
        <v>#N/A</v>
      </c>
      <c r="AL90" s="13" t="e">
        <v>#N/A</v>
      </c>
      <c r="AM90" s="13" t="e">
        <v>#N/A</v>
      </c>
      <c r="AN90" s="13" t="e">
        <v>#N/A</v>
      </c>
      <c r="AO90" s="13" t="e">
        <v>#N/A</v>
      </c>
      <c r="AP90" s="13" t="e">
        <v>#N/A</v>
      </c>
      <c r="AQ90" s="13" t="e">
        <v>#N/A</v>
      </c>
      <c r="AR90" s="13" t="e">
        <v>#N/A</v>
      </c>
      <c r="AS90" s="13" t="e">
        <v>#N/A</v>
      </c>
      <c r="AT90" s="13" t="e">
        <v>#N/A</v>
      </c>
      <c r="AU90" s="13" t="e">
        <v>#N/A</v>
      </c>
      <c r="AV90" s="13" t="e">
        <v>#N/A</v>
      </c>
      <c r="AW90" s="13" t="e">
        <v>#N/A</v>
      </c>
      <c r="AX90" s="13" t="e">
        <v>#N/A</v>
      </c>
      <c r="AY90" s="13" t="e">
        <v>#N/A</v>
      </c>
      <c r="AZ90" s="13" t="e">
        <v>#N/A</v>
      </c>
      <c r="BA90" s="13" t="e">
        <v>#N/A</v>
      </c>
      <c r="BB90" s="13" t="e">
        <v>#N/A</v>
      </c>
      <c r="BC90" s="13" t="e">
        <v>#N/A</v>
      </c>
      <c r="BD90" s="16" t="e">
        <v>#N/A</v>
      </c>
      <c r="BE90" s="15" t="e">
        <v>#N/A</v>
      </c>
      <c r="BF90" s="13" t="e">
        <v>#N/A</v>
      </c>
      <c r="BG90" s="13" t="e">
        <v>#N/A</v>
      </c>
      <c r="BH90" s="13" t="e">
        <v>#N/A</v>
      </c>
      <c r="BI90" s="13" t="e">
        <v>#N/A</v>
      </c>
      <c r="BJ90" s="16" t="e">
        <v>#N/A</v>
      </c>
      <c r="BK90" s="15" t="e">
        <v>#N/A</v>
      </c>
      <c r="BL90" s="13" t="e">
        <v>#N/A</v>
      </c>
      <c r="BM90" s="13" t="e">
        <v>#N/A</v>
      </c>
      <c r="BN90" s="13" t="e">
        <v>#N/A</v>
      </c>
      <c r="BO90" s="13" t="e">
        <v>#N/A</v>
      </c>
      <c r="BP90" s="13" t="e">
        <v>#N/A</v>
      </c>
      <c r="BQ90" s="13" t="e">
        <v>#N/A</v>
      </c>
      <c r="BR90" s="13" t="e">
        <v>#N/A</v>
      </c>
      <c r="BS90" s="13" t="e">
        <v>#N/A</v>
      </c>
      <c r="BT90" s="13" t="e">
        <v>#N/A</v>
      </c>
      <c r="BU90" s="13" t="e">
        <v>#N/A</v>
      </c>
      <c r="BV90" s="13" t="e">
        <v>#N/A</v>
      </c>
      <c r="BW90" s="16" t="e">
        <v>#N/A</v>
      </c>
      <c r="BX90" s="15" t="e">
        <v>#N/A</v>
      </c>
      <c r="BY90" s="13" t="e">
        <v>#N/A</v>
      </c>
      <c r="BZ90" s="16" t="e">
        <v>#N/A</v>
      </c>
      <c r="CA90" s="81" t="e">
        <v>#N/A</v>
      </c>
      <c r="CB90" s="13" t="e">
        <v>#N/A</v>
      </c>
      <c r="CC90" s="13" t="e">
        <v>#N/A</v>
      </c>
      <c r="CD90" s="16" t="e">
        <v>#N/A</v>
      </c>
      <c r="CE90" s="16" t="s">
        <v>215</v>
      </c>
    </row>
    <row r="91" spans="5:83" x14ac:dyDescent="0.35">
      <c r="E91" s="79" t="s">
        <v>380</v>
      </c>
      <c r="F91" s="116" t="s">
        <v>113</v>
      </c>
      <c r="G91" s="116" t="s">
        <v>275</v>
      </c>
      <c r="H91" s="15" t="s">
        <v>215</v>
      </c>
      <c r="I91" s="13" t="s">
        <v>215</v>
      </c>
      <c r="J91" s="13" t="s">
        <v>215</v>
      </c>
      <c r="K91" s="13" t="s">
        <v>215</v>
      </c>
      <c r="L91" s="13" t="s">
        <v>215</v>
      </c>
      <c r="M91" s="13" t="s">
        <v>215</v>
      </c>
      <c r="N91" s="13" t="s">
        <v>215</v>
      </c>
      <c r="O91" s="13" t="s">
        <v>215</v>
      </c>
      <c r="P91" s="13" t="s">
        <v>215</v>
      </c>
      <c r="Q91" s="13" t="s">
        <v>215</v>
      </c>
      <c r="R91" s="13" t="s">
        <v>215</v>
      </c>
      <c r="S91" s="13" t="s">
        <v>215</v>
      </c>
      <c r="T91" s="13" t="s">
        <v>215</v>
      </c>
      <c r="U91" s="13" t="s">
        <v>215</v>
      </c>
      <c r="V91" s="13" t="s">
        <v>215</v>
      </c>
      <c r="W91" s="13" t="s">
        <v>215</v>
      </c>
      <c r="X91" s="13" t="s">
        <v>215</v>
      </c>
      <c r="Y91" s="13" t="s">
        <v>215</v>
      </c>
      <c r="Z91" s="13" t="s">
        <v>215</v>
      </c>
      <c r="AA91" s="13" t="s">
        <v>215</v>
      </c>
      <c r="AB91" s="13" t="s">
        <v>215</v>
      </c>
      <c r="AC91" s="13" t="s">
        <v>215</v>
      </c>
      <c r="AD91" s="16" t="s">
        <v>215</v>
      </c>
      <c r="AE91" s="15" t="s">
        <v>215</v>
      </c>
      <c r="AF91" s="13" t="s">
        <v>215</v>
      </c>
      <c r="AG91" s="13" t="s">
        <v>215</v>
      </c>
      <c r="AH91" s="13" t="s">
        <v>215</v>
      </c>
      <c r="AI91" s="13" t="s">
        <v>215</v>
      </c>
      <c r="AJ91" s="13" t="s">
        <v>215</v>
      </c>
      <c r="AK91" s="13" t="s">
        <v>215</v>
      </c>
      <c r="AL91" s="13" t="s">
        <v>215</v>
      </c>
      <c r="AM91" s="13" t="s">
        <v>215</v>
      </c>
      <c r="AN91" s="13" t="s">
        <v>215</v>
      </c>
      <c r="AO91" s="13" t="s">
        <v>215</v>
      </c>
      <c r="AP91" s="13" t="s">
        <v>215</v>
      </c>
      <c r="AQ91" s="13" t="s">
        <v>215</v>
      </c>
      <c r="AR91" s="13" t="s">
        <v>215</v>
      </c>
      <c r="AS91" s="13" t="s">
        <v>215</v>
      </c>
      <c r="AT91" s="13" t="s">
        <v>215</v>
      </c>
      <c r="AU91" s="13" t="s">
        <v>215</v>
      </c>
      <c r="AV91" s="13" t="s">
        <v>215</v>
      </c>
      <c r="AW91" s="13" t="s">
        <v>215</v>
      </c>
      <c r="AX91" s="13" t="s">
        <v>215</v>
      </c>
      <c r="AY91" s="13" t="s">
        <v>215</v>
      </c>
      <c r="AZ91" s="13" t="s">
        <v>215</v>
      </c>
      <c r="BA91" s="13" t="s">
        <v>215</v>
      </c>
      <c r="BB91" s="13" t="s">
        <v>215</v>
      </c>
      <c r="BC91" s="13" t="s">
        <v>215</v>
      </c>
      <c r="BD91" s="16" t="s">
        <v>215</v>
      </c>
      <c r="BE91" s="15" t="s">
        <v>215</v>
      </c>
      <c r="BF91" s="13" t="s">
        <v>215</v>
      </c>
      <c r="BG91" s="13" t="s">
        <v>215</v>
      </c>
      <c r="BH91" s="13" t="s">
        <v>215</v>
      </c>
      <c r="BI91" s="13" t="s">
        <v>215</v>
      </c>
      <c r="BJ91" s="16" t="s">
        <v>215</v>
      </c>
      <c r="BK91" s="15" t="s">
        <v>215</v>
      </c>
      <c r="BL91" s="13" t="s">
        <v>215</v>
      </c>
      <c r="BM91" s="13" t="s">
        <v>215</v>
      </c>
      <c r="BN91" s="13" t="s">
        <v>215</v>
      </c>
      <c r="BO91" s="13" t="s">
        <v>215</v>
      </c>
      <c r="BP91" s="13" t="s">
        <v>215</v>
      </c>
      <c r="BQ91" s="13" t="s">
        <v>215</v>
      </c>
      <c r="BR91" s="13" t="s">
        <v>215</v>
      </c>
      <c r="BS91" s="13" t="s">
        <v>215</v>
      </c>
      <c r="BT91" s="13" t="s">
        <v>215</v>
      </c>
      <c r="BU91" s="13" t="s">
        <v>215</v>
      </c>
      <c r="BV91" s="13" t="s">
        <v>215</v>
      </c>
      <c r="BW91" s="16" t="s">
        <v>215</v>
      </c>
      <c r="BX91" s="15" t="s">
        <v>215</v>
      </c>
      <c r="BY91" s="13" t="s">
        <v>215</v>
      </c>
      <c r="BZ91" s="16" t="s">
        <v>215</v>
      </c>
      <c r="CA91" s="81" t="s">
        <v>215</v>
      </c>
      <c r="CB91" s="13" t="s">
        <v>215</v>
      </c>
      <c r="CC91" s="13" t="s">
        <v>215</v>
      </c>
      <c r="CD91" s="16" t="s">
        <v>215</v>
      </c>
      <c r="CE91" s="16" t="s">
        <v>215</v>
      </c>
    </row>
    <row r="92" spans="5:83" x14ac:dyDescent="0.35">
      <c r="E92" s="79" t="s">
        <v>381</v>
      </c>
      <c r="F92" s="116" t="s">
        <v>126</v>
      </c>
      <c r="G92" s="116" t="s">
        <v>275</v>
      </c>
      <c r="H92" s="15" t="s">
        <v>215</v>
      </c>
      <c r="I92" s="13" t="s">
        <v>215</v>
      </c>
      <c r="J92" s="13" t="s">
        <v>215</v>
      </c>
      <c r="K92" s="13" t="s">
        <v>215</v>
      </c>
      <c r="L92" s="13" t="s">
        <v>215</v>
      </c>
      <c r="M92" s="13" t="s">
        <v>215</v>
      </c>
      <c r="N92" s="13" t="s">
        <v>215</v>
      </c>
      <c r="O92" s="13" t="s">
        <v>215</v>
      </c>
      <c r="P92" s="13" t="s">
        <v>215</v>
      </c>
      <c r="Q92" s="13" t="s">
        <v>215</v>
      </c>
      <c r="R92" s="13" t="s">
        <v>215</v>
      </c>
      <c r="S92" s="13" t="s">
        <v>215</v>
      </c>
      <c r="T92" s="13" t="s">
        <v>215</v>
      </c>
      <c r="U92" s="13" t="s">
        <v>215</v>
      </c>
      <c r="V92" s="13" t="s">
        <v>215</v>
      </c>
      <c r="W92" s="13" t="s">
        <v>215</v>
      </c>
      <c r="X92" s="13" t="s">
        <v>215</v>
      </c>
      <c r="Y92" s="13" t="s">
        <v>215</v>
      </c>
      <c r="Z92" s="13" t="s">
        <v>215</v>
      </c>
      <c r="AA92" s="13" t="s">
        <v>215</v>
      </c>
      <c r="AB92" s="13" t="s">
        <v>215</v>
      </c>
      <c r="AC92" s="13" t="s">
        <v>215</v>
      </c>
      <c r="AD92" s="16" t="s">
        <v>215</v>
      </c>
      <c r="AE92" s="15" t="s">
        <v>215</v>
      </c>
      <c r="AF92" s="13" t="s">
        <v>215</v>
      </c>
      <c r="AG92" s="13" t="s">
        <v>215</v>
      </c>
      <c r="AH92" s="13" t="s">
        <v>215</v>
      </c>
      <c r="AI92" s="13" t="s">
        <v>215</v>
      </c>
      <c r="AJ92" s="13" t="s">
        <v>215</v>
      </c>
      <c r="AK92" s="13" t="s">
        <v>215</v>
      </c>
      <c r="AL92" s="13" t="s">
        <v>215</v>
      </c>
      <c r="AM92" s="13" t="s">
        <v>215</v>
      </c>
      <c r="AN92" s="13" t="s">
        <v>215</v>
      </c>
      <c r="AO92" s="13" t="s">
        <v>215</v>
      </c>
      <c r="AP92" s="13" t="s">
        <v>215</v>
      </c>
      <c r="AQ92" s="13" t="s">
        <v>215</v>
      </c>
      <c r="AR92" s="13" t="s">
        <v>215</v>
      </c>
      <c r="AS92" s="13" t="s">
        <v>215</v>
      </c>
      <c r="AT92" s="13" t="s">
        <v>215</v>
      </c>
      <c r="AU92" s="13" t="s">
        <v>215</v>
      </c>
      <c r="AV92" s="13" t="s">
        <v>215</v>
      </c>
      <c r="AW92" s="13" t="s">
        <v>215</v>
      </c>
      <c r="AX92" s="13" t="s">
        <v>215</v>
      </c>
      <c r="AY92" s="13" t="s">
        <v>215</v>
      </c>
      <c r="AZ92" s="13" t="s">
        <v>215</v>
      </c>
      <c r="BA92" s="13" t="s">
        <v>215</v>
      </c>
      <c r="BB92" s="13" t="s">
        <v>215</v>
      </c>
      <c r="BC92" s="13" t="s">
        <v>215</v>
      </c>
      <c r="BD92" s="16" t="s">
        <v>215</v>
      </c>
      <c r="BE92" s="15" t="s">
        <v>215</v>
      </c>
      <c r="BF92" s="13" t="s">
        <v>215</v>
      </c>
      <c r="BG92" s="13" t="s">
        <v>215</v>
      </c>
      <c r="BH92" s="13" t="s">
        <v>215</v>
      </c>
      <c r="BI92" s="13" t="s">
        <v>215</v>
      </c>
      <c r="BJ92" s="16" t="s">
        <v>215</v>
      </c>
      <c r="BK92" s="15" t="s">
        <v>215</v>
      </c>
      <c r="BL92" s="13" t="s">
        <v>215</v>
      </c>
      <c r="BM92" s="13" t="s">
        <v>215</v>
      </c>
      <c r="BN92" s="13" t="s">
        <v>215</v>
      </c>
      <c r="BO92" s="13" t="s">
        <v>215</v>
      </c>
      <c r="BP92" s="13" t="s">
        <v>215</v>
      </c>
      <c r="BQ92" s="13" t="s">
        <v>215</v>
      </c>
      <c r="BR92" s="13" t="s">
        <v>215</v>
      </c>
      <c r="BS92" s="13" t="s">
        <v>215</v>
      </c>
      <c r="BT92" s="13" t="s">
        <v>215</v>
      </c>
      <c r="BU92" s="13" t="s">
        <v>215</v>
      </c>
      <c r="BV92" s="13" t="s">
        <v>215</v>
      </c>
      <c r="BW92" s="16" t="s">
        <v>215</v>
      </c>
      <c r="BX92" s="15" t="s">
        <v>215</v>
      </c>
      <c r="BY92" s="13" t="s">
        <v>215</v>
      </c>
      <c r="BZ92" s="16" t="s">
        <v>215</v>
      </c>
      <c r="CA92" s="81" t="s">
        <v>215</v>
      </c>
      <c r="CB92" s="13" t="s">
        <v>215</v>
      </c>
      <c r="CC92" s="13" t="s">
        <v>215</v>
      </c>
      <c r="CD92" s="16" t="s">
        <v>215</v>
      </c>
      <c r="CE92" s="16" t="s">
        <v>215</v>
      </c>
    </row>
    <row r="93" spans="5:83" x14ac:dyDescent="0.35">
      <c r="E93" s="79" t="s">
        <v>382</v>
      </c>
      <c r="F93" s="116" t="s">
        <v>56</v>
      </c>
      <c r="G93" s="116" t="s">
        <v>273</v>
      </c>
      <c r="H93" s="15" t="s">
        <v>215</v>
      </c>
      <c r="I93" s="13" t="s">
        <v>215</v>
      </c>
      <c r="J93" s="13" t="s">
        <v>215</v>
      </c>
      <c r="K93" s="13" t="s">
        <v>215</v>
      </c>
      <c r="L93" s="13" t="s">
        <v>215</v>
      </c>
      <c r="M93" s="13" t="s">
        <v>215</v>
      </c>
      <c r="N93" s="13" t="s">
        <v>215</v>
      </c>
      <c r="O93" s="13" t="s">
        <v>215</v>
      </c>
      <c r="P93" s="13" t="s">
        <v>215</v>
      </c>
      <c r="Q93" s="13" t="s">
        <v>215</v>
      </c>
      <c r="R93" s="13" t="s">
        <v>215</v>
      </c>
      <c r="S93" s="13" t="s">
        <v>215</v>
      </c>
      <c r="T93" s="13" t="s">
        <v>215</v>
      </c>
      <c r="U93" s="13" t="s">
        <v>215</v>
      </c>
      <c r="V93" s="13" t="s">
        <v>215</v>
      </c>
      <c r="W93" s="13" t="s">
        <v>209</v>
      </c>
      <c r="X93" s="13" t="s">
        <v>215</v>
      </c>
      <c r="Y93" s="13" t="s">
        <v>215</v>
      </c>
      <c r="Z93" s="13" t="s">
        <v>215</v>
      </c>
      <c r="AA93" s="13" t="s">
        <v>209</v>
      </c>
      <c r="AB93" s="13" t="s">
        <v>215</v>
      </c>
      <c r="AC93" s="13" t="s">
        <v>215</v>
      </c>
      <c r="AD93" s="16" t="s">
        <v>215</v>
      </c>
      <c r="AE93" s="15" t="s">
        <v>215</v>
      </c>
      <c r="AF93" s="13" t="s">
        <v>215</v>
      </c>
      <c r="AG93" s="13" t="s">
        <v>215</v>
      </c>
      <c r="AH93" s="13" t="s">
        <v>209</v>
      </c>
      <c r="AI93" s="13" t="s">
        <v>215</v>
      </c>
      <c r="AJ93" s="13" t="s">
        <v>215</v>
      </c>
      <c r="AK93" s="13" t="s">
        <v>215</v>
      </c>
      <c r="AL93" s="13" t="s">
        <v>215</v>
      </c>
      <c r="AM93" s="13" t="s">
        <v>215</v>
      </c>
      <c r="AN93" s="13" t="s">
        <v>215</v>
      </c>
      <c r="AO93" s="13" t="s">
        <v>209</v>
      </c>
      <c r="AP93" s="13" t="s">
        <v>215</v>
      </c>
      <c r="AQ93" s="13" t="s">
        <v>215</v>
      </c>
      <c r="AR93" s="13" t="s">
        <v>215</v>
      </c>
      <c r="AS93" s="13" t="s">
        <v>215</v>
      </c>
      <c r="AT93" s="13" t="s">
        <v>215</v>
      </c>
      <c r="AU93" s="13" t="s">
        <v>209</v>
      </c>
      <c r="AV93" s="13" t="s">
        <v>215</v>
      </c>
      <c r="AW93" s="13" t="s">
        <v>215</v>
      </c>
      <c r="AX93" s="13" t="s">
        <v>215</v>
      </c>
      <c r="AY93" s="13" t="s">
        <v>215</v>
      </c>
      <c r="AZ93" s="13" t="s">
        <v>215</v>
      </c>
      <c r="BA93" s="13" t="s">
        <v>215</v>
      </c>
      <c r="BB93" s="13" t="s">
        <v>215</v>
      </c>
      <c r="BC93" s="13" t="s">
        <v>215</v>
      </c>
      <c r="BD93" s="16" t="s">
        <v>215</v>
      </c>
      <c r="BE93" s="15" t="s">
        <v>215</v>
      </c>
      <c r="BF93" s="13" t="s">
        <v>215</v>
      </c>
      <c r="BG93" s="13" t="s">
        <v>215</v>
      </c>
      <c r="BH93" s="13" t="s">
        <v>215</v>
      </c>
      <c r="BI93" s="13" t="s">
        <v>215</v>
      </c>
      <c r="BJ93" s="16" t="s">
        <v>215</v>
      </c>
      <c r="BK93" s="15" t="s">
        <v>215</v>
      </c>
      <c r="BL93" s="13" t="s">
        <v>215</v>
      </c>
      <c r="BM93" s="13" t="s">
        <v>215</v>
      </c>
      <c r="BN93" s="13" t="s">
        <v>215</v>
      </c>
      <c r="BO93" s="13" t="s">
        <v>215</v>
      </c>
      <c r="BP93" s="13" t="s">
        <v>215</v>
      </c>
      <c r="BQ93" s="13" t="s">
        <v>215</v>
      </c>
      <c r="BR93" s="13" t="s">
        <v>215</v>
      </c>
      <c r="BS93" s="13" t="s">
        <v>215</v>
      </c>
      <c r="BT93" s="13" t="s">
        <v>215</v>
      </c>
      <c r="BU93" s="13" t="s">
        <v>215</v>
      </c>
      <c r="BV93" s="13" t="s">
        <v>215</v>
      </c>
      <c r="BW93" s="16" t="s">
        <v>215</v>
      </c>
      <c r="BX93" s="15" t="s">
        <v>215</v>
      </c>
      <c r="BY93" s="13" t="s">
        <v>215</v>
      </c>
      <c r="BZ93" s="16" t="s">
        <v>215</v>
      </c>
      <c r="CA93" s="81" t="s">
        <v>215</v>
      </c>
      <c r="CB93" s="13" t="s">
        <v>215</v>
      </c>
      <c r="CC93" s="13" t="s">
        <v>215</v>
      </c>
      <c r="CD93" s="16" t="s">
        <v>215</v>
      </c>
      <c r="CE93" s="16" t="s">
        <v>215</v>
      </c>
    </row>
    <row r="94" spans="5:83" x14ac:dyDescent="0.35">
      <c r="E94" s="79" t="s">
        <v>383</v>
      </c>
      <c r="F94" s="116" t="s">
        <v>71</v>
      </c>
      <c r="G94" s="116" t="s">
        <v>273</v>
      </c>
      <c r="H94" s="15" t="s">
        <v>215</v>
      </c>
      <c r="I94" s="13" t="s">
        <v>209</v>
      </c>
      <c r="J94" s="13" t="s">
        <v>215</v>
      </c>
      <c r="K94" s="13" t="s">
        <v>215</v>
      </c>
      <c r="L94" s="13" t="s">
        <v>215</v>
      </c>
      <c r="M94" s="13" t="s">
        <v>215</v>
      </c>
      <c r="N94" s="13" t="s">
        <v>215</v>
      </c>
      <c r="O94" s="13" t="s">
        <v>215</v>
      </c>
      <c r="P94" s="13" t="s">
        <v>215</v>
      </c>
      <c r="Q94" s="13" t="s">
        <v>215</v>
      </c>
      <c r="R94" s="13" t="s">
        <v>215</v>
      </c>
      <c r="S94" s="13" t="s">
        <v>215</v>
      </c>
      <c r="T94" s="13" t="s">
        <v>206</v>
      </c>
      <c r="U94" s="13" t="s">
        <v>215</v>
      </c>
      <c r="V94" s="13" t="s">
        <v>215</v>
      </c>
      <c r="W94" s="13" t="s">
        <v>215</v>
      </c>
      <c r="X94" s="13" t="s">
        <v>215</v>
      </c>
      <c r="Y94" s="13" t="s">
        <v>215</v>
      </c>
      <c r="Z94" s="13" t="s">
        <v>215</v>
      </c>
      <c r="AA94" s="13" t="s">
        <v>215</v>
      </c>
      <c r="AB94" s="13" t="s">
        <v>209</v>
      </c>
      <c r="AC94" s="13" t="s">
        <v>215</v>
      </c>
      <c r="AD94" s="16" t="s">
        <v>215</v>
      </c>
      <c r="AE94" s="15" t="s">
        <v>215</v>
      </c>
      <c r="AF94" s="13" t="s">
        <v>206</v>
      </c>
      <c r="AG94" s="13" t="s">
        <v>215</v>
      </c>
      <c r="AH94" s="13" t="s">
        <v>206</v>
      </c>
      <c r="AI94" s="13" t="s">
        <v>215</v>
      </c>
      <c r="AJ94" s="13" t="s">
        <v>215</v>
      </c>
      <c r="AK94" s="13" t="s">
        <v>209</v>
      </c>
      <c r="AL94" s="13" t="s">
        <v>215</v>
      </c>
      <c r="AM94" s="13" t="s">
        <v>215</v>
      </c>
      <c r="AN94" s="13" t="s">
        <v>215</v>
      </c>
      <c r="AO94" s="13" t="s">
        <v>209</v>
      </c>
      <c r="AP94" s="13" t="s">
        <v>215</v>
      </c>
      <c r="AQ94" s="13" t="s">
        <v>215</v>
      </c>
      <c r="AR94" s="13" t="s">
        <v>215</v>
      </c>
      <c r="AS94" s="13" t="s">
        <v>215</v>
      </c>
      <c r="AT94" s="13" t="s">
        <v>215</v>
      </c>
      <c r="AU94" s="13" t="s">
        <v>215</v>
      </c>
      <c r="AV94" s="13" t="s">
        <v>215</v>
      </c>
      <c r="AW94" s="13" t="s">
        <v>215</v>
      </c>
      <c r="AX94" s="13" t="s">
        <v>215</v>
      </c>
      <c r="AY94" s="13" t="s">
        <v>215</v>
      </c>
      <c r="AZ94" s="13" t="s">
        <v>215</v>
      </c>
      <c r="BA94" s="13" t="s">
        <v>215</v>
      </c>
      <c r="BB94" s="13" t="s">
        <v>215</v>
      </c>
      <c r="BC94" s="13" t="s">
        <v>215</v>
      </c>
      <c r="BD94" s="16" t="s">
        <v>215</v>
      </c>
      <c r="BE94" s="15" t="s">
        <v>215</v>
      </c>
      <c r="BF94" s="13" t="s">
        <v>215</v>
      </c>
      <c r="BG94" s="13" t="s">
        <v>215</v>
      </c>
      <c r="BH94" s="13" t="s">
        <v>215</v>
      </c>
      <c r="BI94" s="13" t="s">
        <v>215</v>
      </c>
      <c r="BJ94" s="16" t="s">
        <v>215</v>
      </c>
      <c r="BK94" s="15" t="s">
        <v>215</v>
      </c>
      <c r="BL94" s="13" t="s">
        <v>215</v>
      </c>
      <c r="BM94" s="13" t="s">
        <v>215</v>
      </c>
      <c r="BN94" s="13" t="s">
        <v>215</v>
      </c>
      <c r="BO94" s="13" t="s">
        <v>209</v>
      </c>
      <c r="BP94" s="13" t="s">
        <v>215</v>
      </c>
      <c r="BQ94" s="13" t="s">
        <v>215</v>
      </c>
      <c r="BR94" s="13" t="s">
        <v>215</v>
      </c>
      <c r="BS94" s="13" t="s">
        <v>215</v>
      </c>
      <c r="BT94" s="13" t="s">
        <v>215</v>
      </c>
      <c r="BU94" s="13" t="s">
        <v>215</v>
      </c>
      <c r="BV94" s="13" t="s">
        <v>215</v>
      </c>
      <c r="BW94" s="16" t="s">
        <v>215</v>
      </c>
      <c r="BX94" s="15" t="s">
        <v>215</v>
      </c>
      <c r="BY94" s="13" t="s">
        <v>215</v>
      </c>
      <c r="BZ94" s="16" t="s">
        <v>215</v>
      </c>
      <c r="CA94" s="81" t="s">
        <v>215</v>
      </c>
      <c r="CB94" s="13" t="s">
        <v>215</v>
      </c>
      <c r="CC94" s="13" t="s">
        <v>215</v>
      </c>
      <c r="CD94" s="16" t="s">
        <v>215</v>
      </c>
      <c r="CE94" s="16" t="s">
        <v>215</v>
      </c>
    </row>
    <row r="95" spans="5:83" x14ac:dyDescent="0.35">
      <c r="E95" s="79" t="s">
        <v>384</v>
      </c>
      <c r="F95" s="116" t="s">
        <v>114</v>
      </c>
      <c r="G95" s="116" t="s">
        <v>273</v>
      </c>
      <c r="H95" s="15" t="s">
        <v>215</v>
      </c>
      <c r="I95" s="13" t="s">
        <v>215</v>
      </c>
      <c r="J95" s="13" t="s">
        <v>215</v>
      </c>
      <c r="K95" s="13" t="s">
        <v>215</v>
      </c>
      <c r="L95" s="13" t="s">
        <v>215</v>
      </c>
      <c r="M95" s="13" t="s">
        <v>215</v>
      </c>
      <c r="N95" s="13" t="s">
        <v>215</v>
      </c>
      <c r="O95" s="13" t="s">
        <v>215</v>
      </c>
      <c r="P95" s="13" t="s">
        <v>215</v>
      </c>
      <c r="Q95" s="13" t="s">
        <v>215</v>
      </c>
      <c r="R95" s="13" t="s">
        <v>215</v>
      </c>
      <c r="S95" s="13" t="s">
        <v>215</v>
      </c>
      <c r="T95" s="13" t="s">
        <v>209</v>
      </c>
      <c r="U95" s="13" t="s">
        <v>215</v>
      </c>
      <c r="V95" s="13" t="s">
        <v>215</v>
      </c>
      <c r="W95" s="13" t="s">
        <v>215</v>
      </c>
      <c r="X95" s="13" t="s">
        <v>215</v>
      </c>
      <c r="Y95" s="13" t="s">
        <v>215</v>
      </c>
      <c r="Z95" s="13" t="s">
        <v>215</v>
      </c>
      <c r="AA95" s="13" t="s">
        <v>209</v>
      </c>
      <c r="AB95" s="13" t="s">
        <v>215</v>
      </c>
      <c r="AC95" s="13" t="s">
        <v>215</v>
      </c>
      <c r="AD95" s="16" t="s">
        <v>215</v>
      </c>
      <c r="AE95" s="15" t="s">
        <v>215</v>
      </c>
      <c r="AF95" s="13" t="s">
        <v>206</v>
      </c>
      <c r="AG95" s="13" t="s">
        <v>215</v>
      </c>
      <c r="AH95" s="13" t="s">
        <v>209</v>
      </c>
      <c r="AI95" s="13" t="s">
        <v>206</v>
      </c>
      <c r="AJ95" s="13" t="s">
        <v>215</v>
      </c>
      <c r="AK95" s="13" t="s">
        <v>206</v>
      </c>
      <c r="AL95" s="13" t="s">
        <v>215</v>
      </c>
      <c r="AM95" s="13" t="s">
        <v>215</v>
      </c>
      <c r="AN95" s="13" t="s">
        <v>215</v>
      </c>
      <c r="AO95" s="13" t="s">
        <v>206</v>
      </c>
      <c r="AP95" s="13" t="s">
        <v>215</v>
      </c>
      <c r="AQ95" s="13" t="s">
        <v>215</v>
      </c>
      <c r="AR95" s="13" t="s">
        <v>215</v>
      </c>
      <c r="AS95" s="13" t="s">
        <v>215</v>
      </c>
      <c r="AT95" s="13" t="s">
        <v>215</v>
      </c>
      <c r="AU95" s="13" t="s">
        <v>215</v>
      </c>
      <c r="AV95" s="13" t="s">
        <v>215</v>
      </c>
      <c r="AW95" s="13" t="s">
        <v>215</v>
      </c>
      <c r="AX95" s="13" t="s">
        <v>215</v>
      </c>
      <c r="AY95" s="13" t="s">
        <v>215</v>
      </c>
      <c r="AZ95" s="13" t="s">
        <v>215</v>
      </c>
      <c r="BA95" s="13" t="s">
        <v>215</v>
      </c>
      <c r="BB95" s="13" t="s">
        <v>215</v>
      </c>
      <c r="BC95" s="13" t="s">
        <v>215</v>
      </c>
      <c r="BD95" s="16" t="s">
        <v>215</v>
      </c>
      <c r="BE95" s="15" t="s">
        <v>215</v>
      </c>
      <c r="BF95" s="13" t="s">
        <v>215</v>
      </c>
      <c r="BG95" s="13" t="s">
        <v>215</v>
      </c>
      <c r="BH95" s="13" t="s">
        <v>215</v>
      </c>
      <c r="BI95" s="13" t="s">
        <v>215</v>
      </c>
      <c r="BJ95" s="16" t="s">
        <v>215</v>
      </c>
      <c r="BK95" s="15" t="s">
        <v>215</v>
      </c>
      <c r="BL95" s="13" t="s">
        <v>215</v>
      </c>
      <c r="BM95" s="13" t="s">
        <v>215</v>
      </c>
      <c r="BN95" s="13" t="s">
        <v>215</v>
      </c>
      <c r="BO95" s="13" t="s">
        <v>206</v>
      </c>
      <c r="BP95" s="13" t="s">
        <v>215</v>
      </c>
      <c r="BQ95" s="13" t="s">
        <v>215</v>
      </c>
      <c r="BR95" s="13" t="s">
        <v>215</v>
      </c>
      <c r="BS95" s="13" t="s">
        <v>215</v>
      </c>
      <c r="BT95" s="13" t="s">
        <v>215</v>
      </c>
      <c r="BU95" s="13" t="s">
        <v>215</v>
      </c>
      <c r="BV95" s="13" t="s">
        <v>215</v>
      </c>
      <c r="BW95" s="16" t="s">
        <v>215</v>
      </c>
      <c r="BX95" s="15" t="s">
        <v>215</v>
      </c>
      <c r="BY95" s="13" t="s">
        <v>215</v>
      </c>
      <c r="BZ95" s="16" t="s">
        <v>215</v>
      </c>
      <c r="CA95" s="81" t="s">
        <v>215</v>
      </c>
      <c r="CB95" s="13" t="s">
        <v>215</v>
      </c>
      <c r="CC95" s="13" t="s">
        <v>215</v>
      </c>
      <c r="CD95" s="16" t="s">
        <v>215</v>
      </c>
      <c r="CE95" s="16" t="s">
        <v>215</v>
      </c>
    </row>
    <row r="96" spans="5:83" x14ac:dyDescent="0.35">
      <c r="E96" s="79" t="s">
        <v>385</v>
      </c>
      <c r="F96" s="116" t="s">
        <v>127</v>
      </c>
      <c r="G96" s="116" t="s">
        <v>273</v>
      </c>
      <c r="H96" s="15" t="s">
        <v>215</v>
      </c>
      <c r="I96" s="13" t="s">
        <v>206</v>
      </c>
      <c r="J96" s="13" t="s">
        <v>215</v>
      </c>
      <c r="K96" s="13" t="s">
        <v>215</v>
      </c>
      <c r="L96" s="13" t="s">
        <v>215</v>
      </c>
      <c r="M96" s="13" t="s">
        <v>215</v>
      </c>
      <c r="N96" s="13" t="s">
        <v>215</v>
      </c>
      <c r="O96" s="13" t="s">
        <v>215</v>
      </c>
      <c r="P96" s="13" t="s">
        <v>215</v>
      </c>
      <c r="Q96" s="13" t="s">
        <v>215</v>
      </c>
      <c r="R96" s="13" t="s">
        <v>215</v>
      </c>
      <c r="S96" s="13" t="s">
        <v>215</v>
      </c>
      <c r="T96" s="13" t="s">
        <v>215</v>
      </c>
      <c r="U96" s="13" t="s">
        <v>215</v>
      </c>
      <c r="V96" s="13" t="s">
        <v>215</v>
      </c>
      <c r="W96" s="13" t="s">
        <v>215</v>
      </c>
      <c r="X96" s="13" t="s">
        <v>215</v>
      </c>
      <c r="Y96" s="13" t="s">
        <v>215</v>
      </c>
      <c r="Z96" s="13" t="s">
        <v>215</v>
      </c>
      <c r="AA96" s="13" t="s">
        <v>215</v>
      </c>
      <c r="AB96" s="13" t="s">
        <v>215</v>
      </c>
      <c r="AC96" s="13" t="s">
        <v>215</v>
      </c>
      <c r="AD96" s="16" t="s">
        <v>215</v>
      </c>
      <c r="AE96" s="15" t="s">
        <v>215</v>
      </c>
      <c r="AF96" s="13" t="s">
        <v>215</v>
      </c>
      <c r="AG96" s="13" t="s">
        <v>215</v>
      </c>
      <c r="AH96" s="13" t="s">
        <v>206</v>
      </c>
      <c r="AI96" s="13" t="s">
        <v>215</v>
      </c>
      <c r="AJ96" s="13" t="s">
        <v>215</v>
      </c>
      <c r="AK96" s="13" t="s">
        <v>215</v>
      </c>
      <c r="AL96" s="13" t="s">
        <v>209</v>
      </c>
      <c r="AM96" s="13" t="s">
        <v>215</v>
      </c>
      <c r="AN96" s="13" t="s">
        <v>215</v>
      </c>
      <c r="AO96" s="13" t="s">
        <v>215</v>
      </c>
      <c r="AP96" s="13" t="s">
        <v>215</v>
      </c>
      <c r="AQ96" s="13" t="s">
        <v>215</v>
      </c>
      <c r="AR96" s="13" t="s">
        <v>215</v>
      </c>
      <c r="AS96" s="13" t="s">
        <v>215</v>
      </c>
      <c r="AT96" s="13" t="s">
        <v>215</v>
      </c>
      <c r="AU96" s="13" t="s">
        <v>215</v>
      </c>
      <c r="AV96" s="13" t="s">
        <v>215</v>
      </c>
      <c r="AW96" s="13" t="s">
        <v>215</v>
      </c>
      <c r="AX96" s="13" t="s">
        <v>215</v>
      </c>
      <c r="AY96" s="13" t="s">
        <v>215</v>
      </c>
      <c r="AZ96" s="13" t="s">
        <v>215</v>
      </c>
      <c r="BA96" s="13" t="s">
        <v>215</v>
      </c>
      <c r="BB96" s="13" t="s">
        <v>215</v>
      </c>
      <c r="BC96" s="13" t="s">
        <v>215</v>
      </c>
      <c r="BD96" s="16" t="s">
        <v>215</v>
      </c>
      <c r="BE96" s="15" t="s">
        <v>215</v>
      </c>
      <c r="BF96" s="13" t="s">
        <v>215</v>
      </c>
      <c r="BG96" s="13" t="s">
        <v>215</v>
      </c>
      <c r="BH96" s="13" t="s">
        <v>215</v>
      </c>
      <c r="BI96" s="13" t="s">
        <v>215</v>
      </c>
      <c r="BJ96" s="16" t="s">
        <v>215</v>
      </c>
      <c r="BK96" s="15" t="s">
        <v>215</v>
      </c>
      <c r="BL96" s="13" t="s">
        <v>215</v>
      </c>
      <c r="BM96" s="13" t="s">
        <v>215</v>
      </c>
      <c r="BN96" s="13" t="s">
        <v>215</v>
      </c>
      <c r="BO96" s="13" t="s">
        <v>215</v>
      </c>
      <c r="BP96" s="13" t="s">
        <v>215</v>
      </c>
      <c r="BQ96" s="13" t="s">
        <v>215</v>
      </c>
      <c r="BR96" s="13" t="s">
        <v>215</v>
      </c>
      <c r="BS96" s="13" t="s">
        <v>215</v>
      </c>
      <c r="BT96" s="13" t="s">
        <v>215</v>
      </c>
      <c r="BU96" s="13" t="s">
        <v>215</v>
      </c>
      <c r="BV96" s="13" t="s">
        <v>215</v>
      </c>
      <c r="BW96" s="16" t="s">
        <v>215</v>
      </c>
      <c r="BX96" s="15" t="s">
        <v>215</v>
      </c>
      <c r="BY96" s="13" t="s">
        <v>215</v>
      </c>
      <c r="BZ96" s="16" t="s">
        <v>215</v>
      </c>
      <c r="CA96" s="81" t="s">
        <v>215</v>
      </c>
      <c r="CB96" s="13" t="s">
        <v>215</v>
      </c>
      <c r="CC96" s="13" t="s">
        <v>215</v>
      </c>
      <c r="CD96" s="16" t="s">
        <v>215</v>
      </c>
      <c r="CE96" s="16" t="s">
        <v>215</v>
      </c>
    </row>
    <row r="97" spans="5:83" x14ac:dyDescent="0.35">
      <c r="E97" s="79" t="s">
        <v>386</v>
      </c>
      <c r="F97" s="116" t="s">
        <v>86</v>
      </c>
      <c r="G97" s="116" t="s">
        <v>273</v>
      </c>
      <c r="H97" s="15" t="s">
        <v>215</v>
      </c>
      <c r="I97" s="13" t="s">
        <v>215</v>
      </c>
      <c r="J97" s="13" t="s">
        <v>215</v>
      </c>
      <c r="K97" s="13" t="s">
        <v>215</v>
      </c>
      <c r="L97" s="13" t="s">
        <v>215</v>
      </c>
      <c r="M97" s="13" t="s">
        <v>215</v>
      </c>
      <c r="N97" s="13" t="s">
        <v>215</v>
      </c>
      <c r="O97" s="13" t="s">
        <v>215</v>
      </c>
      <c r="P97" s="13" t="s">
        <v>215</v>
      </c>
      <c r="Q97" s="13" t="s">
        <v>215</v>
      </c>
      <c r="R97" s="13" t="s">
        <v>215</v>
      </c>
      <c r="S97" s="13" t="s">
        <v>215</v>
      </c>
      <c r="T97" s="13" t="s">
        <v>215</v>
      </c>
      <c r="U97" s="13" t="s">
        <v>215</v>
      </c>
      <c r="V97" s="13" t="s">
        <v>215</v>
      </c>
      <c r="W97" s="13" t="s">
        <v>215</v>
      </c>
      <c r="X97" s="13" t="s">
        <v>215</v>
      </c>
      <c r="Y97" s="13" t="s">
        <v>215</v>
      </c>
      <c r="Z97" s="13" t="s">
        <v>215</v>
      </c>
      <c r="AA97" s="13" t="s">
        <v>215</v>
      </c>
      <c r="AB97" s="13" t="s">
        <v>215</v>
      </c>
      <c r="AC97" s="13" t="s">
        <v>215</v>
      </c>
      <c r="AD97" s="16" t="s">
        <v>215</v>
      </c>
      <c r="AE97" s="15" t="s">
        <v>215</v>
      </c>
      <c r="AF97" s="13" t="s">
        <v>215</v>
      </c>
      <c r="AG97" s="13" t="s">
        <v>215</v>
      </c>
      <c r="AH97" s="13" t="s">
        <v>215</v>
      </c>
      <c r="AI97" s="13" t="s">
        <v>215</v>
      </c>
      <c r="AJ97" s="13" t="s">
        <v>215</v>
      </c>
      <c r="AK97" s="13" t="s">
        <v>215</v>
      </c>
      <c r="AL97" s="13" t="s">
        <v>215</v>
      </c>
      <c r="AM97" s="13" t="s">
        <v>215</v>
      </c>
      <c r="AN97" s="13" t="s">
        <v>215</v>
      </c>
      <c r="AO97" s="13" t="s">
        <v>215</v>
      </c>
      <c r="AP97" s="13" t="s">
        <v>215</v>
      </c>
      <c r="AQ97" s="13" t="s">
        <v>215</v>
      </c>
      <c r="AR97" s="13" t="s">
        <v>215</v>
      </c>
      <c r="AS97" s="13" t="s">
        <v>215</v>
      </c>
      <c r="AT97" s="13" t="s">
        <v>215</v>
      </c>
      <c r="AU97" s="13" t="s">
        <v>215</v>
      </c>
      <c r="AV97" s="13" t="s">
        <v>215</v>
      </c>
      <c r="AW97" s="13" t="s">
        <v>215</v>
      </c>
      <c r="AX97" s="13" t="s">
        <v>215</v>
      </c>
      <c r="AY97" s="13" t="s">
        <v>215</v>
      </c>
      <c r="AZ97" s="13" t="s">
        <v>215</v>
      </c>
      <c r="BA97" s="13" t="s">
        <v>215</v>
      </c>
      <c r="BB97" s="13" t="s">
        <v>215</v>
      </c>
      <c r="BC97" s="13" t="s">
        <v>215</v>
      </c>
      <c r="BD97" s="16" t="s">
        <v>215</v>
      </c>
      <c r="BE97" s="15" t="s">
        <v>215</v>
      </c>
      <c r="BF97" s="13" t="s">
        <v>215</v>
      </c>
      <c r="BG97" s="13" t="s">
        <v>215</v>
      </c>
      <c r="BH97" s="13" t="s">
        <v>209</v>
      </c>
      <c r="BI97" s="13" t="s">
        <v>215</v>
      </c>
      <c r="BJ97" s="16" t="s">
        <v>215</v>
      </c>
      <c r="BK97" s="15" t="s">
        <v>215</v>
      </c>
      <c r="BL97" s="13" t="s">
        <v>215</v>
      </c>
      <c r="BM97" s="13" t="s">
        <v>215</v>
      </c>
      <c r="BN97" s="13" t="s">
        <v>215</v>
      </c>
      <c r="BO97" s="13" t="s">
        <v>215</v>
      </c>
      <c r="BP97" s="13" t="s">
        <v>215</v>
      </c>
      <c r="BQ97" s="13" t="s">
        <v>215</v>
      </c>
      <c r="BR97" s="13" t="s">
        <v>215</v>
      </c>
      <c r="BS97" s="13" t="s">
        <v>215</v>
      </c>
      <c r="BT97" s="13" t="s">
        <v>215</v>
      </c>
      <c r="BU97" s="13" t="s">
        <v>215</v>
      </c>
      <c r="BV97" s="13" t="s">
        <v>215</v>
      </c>
      <c r="BW97" s="16" t="s">
        <v>215</v>
      </c>
      <c r="BX97" s="15" t="s">
        <v>215</v>
      </c>
      <c r="BY97" s="13" t="s">
        <v>215</v>
      </c>
      <c r="BZ97" s="16" t="s">
        <v>215</v>
      </c>
      <c r="CA97" s="81" t="s">
        <v>215</v>
      </c>
      <c r="CB97" s="13" t="s">
        <v>215</v>
      </c>
      <c r="CC97" s="13" t="s">
        <v>215</v>
      </c>
      <c r="CD97" s="16" t="s">
        <v>215</v>
      </c>
      <c r="CE97" s="16" t="s">
        <v>215</v>
      </c>
    </row>
    <row r="98" spans="5:83" x14ac:dyDescent="0.35">
      <c r="E98" s="79" t="s">
        <v>387</v>
      </c>
      <c r="F98" s="116" t="s">
        <v>100</v>
      </c>
      <c r="G98" s="116" t="s">
        <v>273</v>
      </c>
      <c r="H98" s="15" t="s">
        <v>215</v>
      </c>
      <c r="I98" s="13" t="s">
        <v>215</v>
      </c>
      <c r="J98" s="13" t="s">
        <v>215</v>
      </c>
      <c r="K98" s="13" t="s">
        <v>215</v>
      </c>
      <c r="L98" s="13" t="s">
        <v>215</v>
      </c>
      <c r="M98" s="13" t="s">
        <v>215</v>
      </c>
      <c r="N98" s="13" t="s">
        <v>215</v>
      </c>
      <c r="O98" s="13" t="s">
        <v>215</v>
      </c>
      <c r="P98" s="13" t="s">
        <v>215</v>
      </c>
      <c r="Q98" s="13" t="s">
        <v>215</v>
      </c>
      <c r="R98" s="13" t="s">
        <v>215</v>
      </c>
      <c r="S98" s="13" t="s">
        <v>215</v>
      </c>
      <c r="T98" s="13" t="s">
        <v>215</v>
      </c>
      <c r="U98" s="13" t="s">
        <v>215</v>
      </c>
      <c r="V98" s="13" t="s">
        <v>215</v>
      </c>
      <c r="W98" s="13" t="s">
        <v>215</v>
      </c>
      <c r="X98" s="13" t="s">
        <v>215</v>
      </c>
      <c r="Y98" s="13" t="s">
        <v>215</v>
      </c>
      <c r="Z98" s="13" t="s">
        <v>215</v>
      </c>
      <c r="AA98" s="13" t="s">
        <v>215</v>
      </c>
      <c r="AB98" s="13" t="s">
        <v>215</v>
      </c>
      <c r="AC98" s="13" t="s">
        <v>215</v>
      </c>
      <c r="AD98" s="16" t="s">
        <v>215</v>
      </c>
      <c r="AE98" s="15" t="s">
        <v>215</v>
      </c>
      <c r="AF98" s="13" t="s">
        <v>215</v>
      </c>
      <c r="AG98" s="13" t="s">
        <v>215</v>
      </c>
      <c r="AH98" s="13" t="s">
        <v>215</v>
      </c>
      <c r="AI98" s="13" t="s">
        <v>215</v>
      </c>
      <c r="AJ98" s="13" t="s">
        <v>215</v>
      </c>
      <c r="AK98" s="13" t="s">
        <v>215</v>
      </c>
      <c r="AL98" s="13" t="s">
        <v>215</v>
      </c>
      <c r="AM98" s="13" t="s">
        <v>215</v>
      </c>
      <c r="AN98" s="13" t="s">
        <v>215</v>
      </c>
      <c r="AO98" s="13" t="s">
        <v>215</v>
      </c>
      <c r="AP98" s="13" t="s">
        <v>215</v>
      </c>
      <c r="AQ98" s="13" t="s">
        <v>215</v>
      </c>
      <c r="AR98" s="13" t="s">
        <v>215</v>
      </c>
      <c r="AS98" s="13" t="s">
        <v>215</v>
      </c>
      <c r="AT98" s="13" t="s">
        <v>215</v>
      </c>
      <c r="AU98" s="13" t="s">
        <v>209</v>
      </c>
      <c r="AV98" s="13" t="s">
        <v>215</v>
      </c>
      <c r="AW98" s="13" t="s">
        <v>215</v>
      </c>
      <c r="AX98" s="13" t="s">
        <v>215</v>
      </c>
      <c r="AY98" s="13" t="s">
        <v>215</v>
      </c>
      <c r="AZ98" s="13" t="s">
        <v>215</v>
      </c>
      <c r="BA98" s="13" t="s">
        <v>215</v>
      </c>
      <c r="BB98" s="13" t="s">
        <v>215</v>
      </c>
      <c r="BC98" s="13" t="s">
        <v>215</v>
      </c>
      <c r="BD98" s="16" t="s">
        <v>215</v>
      </c>
      <c r="BE98" s="15" t="s">
        <v>215</v>
      </c>
      <c r="BF98" s="13" t="s">
        <v>215</v>
      </c>
      <c r="BG98" s="13" t="s">
        <v>215</v>
      </c>
      <c r="BH98" s="13" t="s">
        <v>215</v>
      </c>
      <c r="BI98" s="13" t="s">
        <v>215</v>
      </c>
      <c r="BJ98" s="16" t="s">
        <v>215</v>
      </c>
      <c r="BK98" s="15" t="s">
        <v>215</v>
      </c>
      <c r="BL98" s="13" t="s">
        <v>215</v>
      </c>
      <c r="BM98" s="13" t="s">
        <v>215</v>
      </c>
      <c r="BN98" s="13" t="s">
        <v>215</v>
      </c>
      <c r="BO98" s="13" t="s">
        <v>215</v>
      </c>
      <c r="BP98" s="13" t="s">
        <v>215</v>
      </c>
      <c r="BQ98" s="13" t="s">
        <v>215</v>
      </c>
      <c r="BR98" s="13" t="s">
        <v>215</v>
      </c>
      <c r="BS98" s="13" t="s">
        <v>215</v>
      </c>
      <c r="BT98" s="13" t="s">
        <v>215</v>
      </c>
      <c r="BU98" s="13" t="s">
        <v>215</v>
      </c>
      <c r="BV98" s="13" t="s">
        <v>215</v>
      </c>
      <c r="BW98" s="16" t="s">
        <v>215</v>
      </c>
      <c r="BX98" s="15" t="s">
        <v>215</v>
      </c>
      <c r="BY98" s="13" t="s">
        <v>215</v>
      </c>
      <c r="BZ98" s="16" t="s">
        <v>215</v>
      </c>
      <c r="CA98" s="81" t="s">
        <v>215</v>
      </c>
      <c r="CB98" s="13" t="s">
        <v>215</v>
      </c>
      <c r="CC98" s="13" t="s">
        <v>215</v>
      </c>
      <c r="CD98" s="16" t="s">
        <v>215</v>
      </c>
      <c r="CE98" s="16" t="s">
        <v>215</v>
      </c>
    </row>
    <row r="99" spans="5:83" x14ac:dyDescent="0.35">
      <c r="E99" s="79" t="s">
        <v>388</v>
      </c>
      <c r="F99" s="116" t="s">
        <v>57</v>
      </c>
      <c r="G99" s="116" t="s">
        <v>273</v>
      </c>
      <c r="H99" s="15" t="s">
        <v>215</v>
      </c>
      <c r="I99" s="13" t="s">
        <v>215</v>
      </c>
      <c r="J99" s="13" t="s">
        <v>215</v>
      </c>
      <c r="K99" s="13" t="s">
        <v>215</v>
      </c>
      <c r="L99" s="13" t="s">
        <v>215</v>
      </c>
      <c r="M99" s="13" t="s">
        <v>215</v>
      </c>
      <c r="N99" s="13" t="s">
        <v>215</v>
      </c>
      <c r="O99" s="13" t="s">
        <v>215</v>
      </c>
      <c r="P99" s="13" t="s">
        <v>215</v>
      </c>
      <c r="Q99" s="13" t="s">
        <v>209</v>
      </c>
      <c r="R99" s="13" t="s">
        <v>215</v>
      </c>
      <c r="S99" s="13" t="s">
        <v>215</v>
      </c>
      <c r="T99" s="13" t="s">
        <v>215</v>
      </c>
      <c r="U99" s="13" t="s">
        <v>215</v>
      </c>
      <c r="V99" s="13" t="s">
        <v>215</v>
      </c>
      <c r="W99" s="13" t="s">
        <v>215</v>
      </c>
      <c r="X99" s="13" t="s">
        <v>215</v>
      </c>
      <c r="Y99" s="13" t="s">
        <v>215</v>
      </c>
      <c r="Z99" s="13" t="s">
        <v>215</v>
      </c>
      <c r="AA99" s="13" t="s">
        <v>215</v>
      </c>
      <c r="AB99" s="13" t="s">
        <v>215</v>
      </c>
      <c r="AC99" s="13" t="s">
        <v>215</v>
      </c>
      <c r="AD99" s="16" t="s">
        <v>215</v>
      </c>
      <c r="AE99" s="15" t="s">
        <v>215</v>
      </c>
      <c r="AF99" s="13" t="s">
        <v>215</v>
      </c>
      <c r="AG99" s="13" t="s">
        <v>215</v>
      </c>
      <c r="AH99" s="13" t="s">
        <v>215</v>
      </c>
      <c r="AI99" s="13" t="s">
        <v>215</v>
      </c>
      <c r="AJ99" s="13" t="s">
        <v>215</v>
      </c>
      <c r="AK99" s="13" t="s">
        <v>215</v>
      </c>
      <c r="AL99" s="13" t="s">
        <v>215</v>
      </c>
      <c r="AM99" s="13" t="s">
        <v>215</v>
      </c>
      <c r="AN99" s="13" t="s">
        <v>215</v>
      </c>
      <c r="AO99" s="13" t="s">
        <v>215</v>
      </c>
      <c r="AP99" s="13" t="s">
        <v>215</v>
      </c>
      <c r="AQ99" s="13" t="s">
        <v>215</v>
      </c>
      <c r="AR99" s="13" t="s">
        <v>215</v>
      </c>
      <c r="AS99" s="13" t="s">
        <v>215</v>
      </c>
      <c r="AT99" s="13" t="s">
        <v>215</v>
      </c>
      <c r="AU99" s="13" t="s">
        <v>215</v>
      </c>
      <c r="AV99" s="13" t="s">
        <v>215</v>
      </c>
      <c r="AW99" s="13" t="s">
        <v>215</v>
      </c>
      <c r="AX99" s="13" t="s">
        <v>215</v>
      </c>
      <c r="AY99" s="13" t="s">
        <v>215</v>
      </c>
      <c r="AZ99" s="13" t="s">
        <v>215</v>
      </c>
      <c r="BA99" s="13" t="s">
        <v>215</v>
      </c>
      <c r="BB99" s="13" t="s">
        <v>215</v>
      </c>
      <c r="BC99" s="13" t="s">
        <v>215</v>
      </c>
      <c r="BD99" s="16" t="s">
        <v>215</v>
      </c>
      <c r="BE99" s="15" t="s">
        <v>215</v>
      </c>
      <c r="BF99" s="13" t="s">
        <v>215</v>
      </c>
      <c r="BG99" s="13" t="s">
        <v>215</v>
      </c>
      <c r="BH99" s="13" t="s">
        <v>209</v>
      </c>
      <c r="BI99" s="13" t="s">
        <v>215</v>
      </c>
      <c r="BJ99" s="16" t="s">
        <v>215</v>
      </c>
      <c r="BK99" s="15" t="s">
        <v>215</v>
      </c>
      <c r="BL99" s="13" t="s">
        <v>215</v>
      </c>
      <c r="BM99" s="13" t="s">
        <v>215</v>
      </c>
      <c r="BN99" s="13" t="s">
        <v>215</v>
      </c>
      <c r="BO99" s="13" t="s">
        <v>215</v>
      </c>
      <c r="BP99" s="13" t="s">
        <v>215</v>
      </c>
      <c r="BQ99" s="13" t="s">
        <v>215</v>
      </c>
      <c r="BR99" s="13" t="s">
        <v>215</v>
      </c>
      <c r="BS99" s="13" t="s">
        <v>215</v>
      </c>
      <c r="BT99" s="13" t="s">
        <v>215</v>
      </c>
      <c r="BU99" s="13" t="s">
        <v>215</v>
      </c>
      <c r="BV99" s="13" t="s">
        <v>215</v>
      </c>
      <c r="BW99" s="16" t="s">
        <v>215</v>
      </c>
      <c r="BX99" s="15" t="s">
        <v>215</v>
      </c>
      <c r="BY99" s="13" t="s">
        <v>215</v>
      </c>
      <c r="BZ99" s="16" t="s">
        <v>215</v>
      </c>
      <c r="CA99" s="81" t="s">
        <v>215</v>
      </c>
      <c r="CB99" s="13" t="s">
        <v>215</v>
      </c>
      <c r="CC99" s="13" t="s">
        <v>215</v>
      </c>
      <c r="CD99" s="16" t="s">
        <v>215</v>
      </c>
      <c r="CE99" s="16" t="s">
        <v>215</v>
      </c>
    </row>
    <row r="100" spans="5:83" x14ac:dyDescent="0.35">
      <c r="E100" s="79" t="s">
        <v>389</v>
      </c>
      <c r="F100" s="116" t="s">
        <v>72</v>
      </c>
      <c r="G100" s="116" t="s">
        <v>273</v>
      </c>
      <c r="H100" s="15" t="s">
        <v>215</v>
      </c>
      <c r="I100" s="13" t="s">
        <v>215</v>
      </c>
      <c r="J100" s="13" t="s">
        <v>215</v>
      </c>
      <c r="K100" s="13" t="s">
        <v>215</v>
      </c>
      <c r="L100" s="13" t="s">
        <v>215</v>
      </c>
      <c r="M100" s="13" t="s">
        <v>215</v>
      </c>
      <c r="N100" s="13" t="s">
        <v>215</v>
      </c>
      <c r="O100" s="13" t="s">
        <v>215</v>
      </c>
      <c r="P100" s="13" t="s">
        <v>215</v>
      </c>
      <c r="Q100" s="13" t="s">
        <v>206</v>
      </c>
      <c r="R100" s="13" t="s">
        <v>215</v>
      </c>
      <c r="S100" s="13" t="s">
        <v>215</v>
      </c>
      <c r="T100" s="13" t="s">
        <v>209</v>
      </c>
      <c r="U100" s="13" t="s">
        <v>215</v>
      </c>
      <c r="V100" s="13" t="s">
        <v>215</v>
      </c>
      <c r="W100" s="13" t="s">
        <v>209</v>
      </c>
      <c r="X100" s="13" t="s">
        <v>215</v>
      </c>
      <c r="Y100" s="13" t="s">
        <v>215</v>
      </c>
      <c r="Z100" s="13" t="s">
        <v>215</v>
      </c>
      <c r="AA100" s="13" t="s">
        <v>215</v>
      </c>
      <c r="AB100" s="13" t="s">
        <v>215</v>
      </c>
      <c r="AC100" s="13" t="s">
        <v>215</v>
      </c>
      <c r="AD100" s="16" t="s">
        <v>215</v>
      </c>
      <c r="AE100" s="15" t="s">
        <v>215</v>
      </c>
      <c r="AF100" s="13" t="s">
        <v>215</v>
      </c>
      <c r="AG100" s="13" t="s">
        <v>215</v>
      </c>
      <c r="AH100" s="13" t="s">
        <v>215</v>
      </c>
      <c r="AI100" s="13" t="s">
        <v>215</v>
      </c>
      <c r="AJ100" s="13" t="s">
        <v>209</v>
      </c>
      <c r="AK100" s="13" t="s">
        <v>209</v>
      </c>
      <c r="AL100" s="13" t="s">
        <v>215</v>
      </c>
      <c r="AM100" s="13" t="s">
        <v>215</v>
      </c>
      <c r="AN100" s="13" t="s">
        <v>215</v>
      </c>
      <c r="AO100" s="13" t="s">
        <v>206</v>
      </c>
      <c r="AP100" s="13" t="s">
        <v>215</v>
      </c>
      <c r="AQ100" s="13" t="s">
        <v>215</v>
      </c>
      <c r="AR100" s="13" t="s">
        <v>215</v>
      </c>
      <c r="AS100" s="13" t="s">
        <v>215</v>
      </c>
      <c r="AT100" s="13" t="s">
        <v>215</v>
      </c>
      <c r="AU100" s="13" t="s">
        <v>215</v>
      </c>
      <c r="AV100" s="13" t="s">
        <v>215</v>
      </c>
      <c r="AW100" s="13" t="s">
        <v>215</v>
      </c>
      <c r="AX100" s="13" t="s">
        <v>215</v>
      </c>
      <c r="AY100" s="13" t="s">
        <v>215</v>
      </c>
      <c r="AZ100" s="13" t="s">
        <v>215</v>
      </c>
      <c r="BA100" s="13" t="s">
        <v>215</v>
      </c>
      <c r="BB100" s="13" t="s">
        <v>215</v>
      </c>
      <c r="BC100" s="13" t="s">
        <v>215</v>
      </c>
      <c r="BD100" s="16" t="s">
        <v>215</v>
      </c>
      <c r="BE100" s="15" t="s">
        <v>215</v>
      </c>
      <c r="BF100" s="13" t="s">
        <v>215</v>
      </c>
      <c r="BG100" s="13" t="s">
        <v>215</v>
      </c>
      <c r="BH100" s="13" t="s">
        <v>206</v>
      </c>
      <c r="BI100" s="13" t="s">
        <v>215</v>
      </c>
      <c r="BJ100" s="16" t="s">
        <v>215</v>
      </c>
      <c r="BK100" s="15" t="s">
        <v>215</v>
      </c>
      <c r="BL100" s="13" t="s">
        <v>215</v>
      </c>
      <c r="BM100" s="13" t="s">
        <v>215</v>
      </c>
      <c r="BN100" s="13" t="s">
        <v>215</v>
      </c>
      <c r="BO100" s="13" t="s">
        <v>209</v>
      </c>
      <c r="BP100" s="13" t="s">
        <v>215</v>
      </c>
      <c r="BQ100" s="13" t="s">
        <v>215</v>
      </c>
      <c r="BR100" s="13" t="s">
        <v>215</v>
      </c>
      <c r="BS100" s="13" t="s">
        <v>215</v>
      </c>
      <c r="BT100" s="13" t="s">
        <v>215</v>
      </c>
      <c r="BU100" s="13" t="s">
        <v>215</v>
      </c>
      <c r="BV100" s="13" t="s">
        <v>215</v>
      </c>
      <c r="BW100" s="16" t="s">
        <v>215</v>
      </c>
      <c r="BX100" s="15" t="s">
        <v>215</v>
      </c>
      <c r="BY100" s="13" t="s">
        <v>215</v>
      </c>
      <c r="BZ100" s="16" t="s">
        <v>215</v>
      </c>
      <c r="CA100" s="81" t="s">
        <v>215</v>
      </c>
      <c r="CB100" s="13" t="s">
        <v>215</v>
      </c>
      <c r="CC100" s="13" t="s">
        <v>215</v>
      </c>
      <c r="CD100" s="16" t="s">
        <v>215</v>
      </c>
      <c r="CE100" s="16" t="s">
        <v>215</v>
      </c>
    </row>
    <row r="101" spans="5:83" x14ac:dyDescent="0.35">
      <c r="E101" s="79" t="s">
        <v>390</v>
      </c>
      <c r="F101" s="116" t="s">
        <v>87</v>
      </c>
      <c r="G101" s="116" t="s">
        <v>274</v>
      </c>
      <c r="H101" s="15" t="s">
        <v>215</v>
      </c>
      <c r="I101" s="13" t="s">
        <v>215</v>
      </c>
      <c r="J101" s="13" t="s">
        <v>215</v>
      </c>
      <c r="K101" s="13" t="s">
        <v>215</v>
      </c>
      <c r="L101" s="13" t="s">
        <v>215</v>
      </c>
      <c r="M101" s="13" t="s">
        <v>215</v>
      </c>
      <c r="N101" s="13" t="s">
        <v>215</v>
      </c>
      <c r="O101" s="13" t="s">
        <v>215</v>
      </c>
      <c r="P101" s="13" t="s">
        <v>215</v>
      </c>
      <c r="Q101" s="13" t="s">
        <v>215</v>
      </c>
      <c r="R101" s="13" t="s">
        <v>215</v>
      </c>
      <c r="S101" s="13" t="s">
        <v>215</v>
      </c>
      <c r="T101" s="13" t="s">
        <v>206</v>
      </c>
      <c r="U101" s="13" t="s">
        <v>215</v>
      </c>
      <c r="V101" s="13" t="s">
        <v>215</v>
      </c>
      <c r="W101" s="13" t="s">
        <v>215</v>
      </c>
      <c r="X101" s="13" t="s">
        <v>215</v>
      </c>
      <c r="Y101" s="13" t="s">
        <v>215</v>
      </c>
      <c r="Z101" s="13" t="s">
        <v>215</v>
      </c>
      <c r="AA101" s="13" t="s">
        <v>215</v>
      </c>
      <c r="AB101" s="13" t="s">
        <v>209</v>
      </c>
      <c r="AC101" s="13" t="s">
        <v>215</v>
      </c>
      <c r="AD101" s="16" t="s">
        <v>215</v>
      </c>
      <c r="AE101" s="15" t="s">
        <v>215</v>
      </c>
      <c r="AF101" s="13" t="s">
        <v>215</v>
      </c>
      <c r="AG101" s="13" t="s">
        <v>215</v>
      </c>
      <c r="AH101" s="13" t="s">
        <v>215</v>
      </c>
      <c r="AI101" s="13" t="s">
        <v>209</v>
      </c>
      <c r="AJ101" s="13" t="s">
        <v>215</v>
      </c>
      <c r="AK101" s="13" t="s">
        <v>206</v>
      </c>
      <c r="AL101" s="13" t="s">
        <v>215</v>
      </c>
      <c r="AM101" s="13" t="s">
        <v>215</v>
      </c>
      <c r="AN101" s="13" t="s">
        <v>215</v>
      </c>
      <c r="AO101" s="13" t="s">
        <v>206</v>
      </c>
      <c r="AP101" s="13" t="s">
        <v>215</v>
      </c>
      <c r="AQ101" s="13" t="s">
        <v>215</v>
      </c>
      <c r="AR101" s="13" t="s">
        <v>215</v>
      </c>
      <c r="AS101" s="13" t="s">
        <v>215</v>
      </c>
      <c r="AT101" s="13" t="s">
        <v>215</v>
      </c>
      <c r="AU101" s="13" t="s">
        <v>209</v>
      </c>
      <c r="AV101" s="13" t="s">
        <v>215</v>
      </c>
      <c r="AW101" s="13" t="s">
        <v>215</v>
      </c>
      <c r="AX101" s="13" t="s">
        <v>215</v>
      </c>
      <c r="AY101" s="13" t="s">
        <v>215</v>
      </c>
      <c r="AZ101" s="13" t="s">
        <v>215</v>
      </c>
      <c r="BA101" s="13" t="s">
        <v>215</v>
      </c>
      <c r="BB101" s="13" t="s">
        <v>215</v>
      </c>
      <c r="BC101" s="13" t="s">
        <v>215</v>
      </c>
      <c r="BD101" s="16" t="s">
        <v>215</v>
      </c>
      <c r="BE101" s="15" t="s">
        <v>215</v>
      </c>
      <c r="BF101" s="13" t="s">
        <v>215</v>
      </c>
      <c r="BG101" s="13" t="s">
        <v>215</v>
      </c>
      <c r="BH101" s="13" t="s">
        <v>206</v>
      </c>
      <c r="BI101" s="13" t="s">
        <v>209</v>
      </c>
      <c r="BJ101" s="16" t="s">
        <v>215</v>
      </c>
      <c r="BK101" s="15" t="s">
        <v>215</v>
      </c>
      <c r="BL101" s="13" t="s">
        <v>215</v>
      </c>
      <c r="BM101" s="13" t="s">
        <v>215</v>
      </c>
      <c r="BN101" s="13" t="s">
        <v>215</v>
      </c>
      <c r="BO101" s="13" t="s">
        <v>206</v>
      </c>
      <c r="BP101" s="13" t="s">
        <v>215</v>
      </c>
      <c r="BQ101" s="13" t="s">
        <v>215</v>
      </c>
      <c r="BR101" s="13" t="s">
        <v>215</v>
      </c>
      <c r="BS101" s="13" t="s">
        <v>215</v>
      </c>
      <c r="BT101" s="13" t="s">
        <v>215</v>
      </c>
      <c r="BU101" s="13" t="s">
        <v>215</v>
      </c>
      <c r="BV101" s="13" t="s">
        <v>215</v>
      </c>
      <c r="BW101" s="16" t="s">
        <v>215</v>
      </c>
      <c r="BX101" s="15" t="s">
        <v>215</v>
      </c>
      <c r="BY101" s="13" t="s">
        <v>215</v>
      </c>
      <c r="BZ101" s="16" t="s">
        <v>215</v>
      </c>
      <c r="CA101" s="81" t="s">
        <v>215</v>
      </c>
      <c r="CB101" s="13" t="s">
        <v>215</v>
      </c>
      <c r="CC101" s="13" t="s">
        <v>215</v>
      </c>
      <c r="CD101" s="16" t="s">
        <v>215</v>
      </c>
      <c r="CE101" s="16" t="s">
        <v>215</v>
      </c>
    </row>
    <row r="102" spans="5:83" x14ac:dyDescent="0.35">
      <c r="E102" s="79" t="s">
        <v>391</v>
      </c>
      <c r="F102" s="116" t="s">
        <v>139</v>
      </c>
      <c r="G102" s="116" t="s">
        <v>273</v>
      </c>
      <c r="H102" s="15" t="s">
        <v>215</v>
      </c>
      <c r="I102" s="13" t="s">
        <v>215</v>
      </c>
      <c r="J102" s="13" t="s">
        <v>215</v>
      </c>
      <c r="K102" s="13" t="s">
        <v>215</v>
      </c>
      <c r="L102" s="13" t="s">
        <v>215</v>
      </c>
      <c r="M102" s="13" t="s">
        <v>215</v>
      </c>
      <c r="N102" s="13" t="s">
        <v>215</v>
      </c>
      <c r="O102" s="13" t="s">
        <v>215</v>
      </c>
      <c r="P102" s="13" t="s">
        <v>215</v>
      </c>
      <c r="Q102" s="13" t="s">
        <v>215</v>
      </c>
      <c r="R102" s="13" t="s">
        <v>215</v>
      </c>
      <c r="S102" s="13" t="s">
        <v>215</v>
      </c>
      <c r="T102" s="13" t="s">
        <v>215</v>
      </c>
      <c r="U102" s="13" t="s">
        <v>215</v>
      </c>
      <c r="V102" s="13" t="s">
        <v>215</v>
      </c>
      <c r="W102" s="13" t="s">
        <v>215</v>
      </c>
      <c r="X102" s="13" t="s">
        <v>215</v>
      </c>
      <c r="Y102" s="13" t="s">
        <v>215</v>
      </c>
      <c r="Z102" s="13" t="s">
        <v>215</v>
      </c>
      <c r="AA102" s="13" t="s">
        <v>215</v>
      </c>
      <c r="AB102" s="13" t="s">
        <v>215</v>
      </c>
      <c r="AC102" s="13" t="s">
        <v>215</v>
      </c>
      <c r="AD102" s="16" t="s">
        <v>215</v>
      </c>
      <c r="AE102" s="15" t="s">
        <v>215</v>
      </c>
      <c r="AF102" s="13" t="s">
        <v>215</v>
      </c>
      <c r="AG102" s="13" t="s">
        <v>215</v>
      </c>
      <c r="AH102" s="13" t="s">
        <v>215</v>
      </c>
      <c r="AI102" s="13" t="s">
        <v>215</v>
      </c>
      <c r="AJ102" s="13" t="s">
        <v>215</v>
      </c>
      <c r="AK102" s="13" t="s">
        <v>215</v>
      </c>
      <c r="AL102" s="13" t="s">
        <v>215</v>
      </c>
      <c r="AM102" s="13" t="s">
        <v>215</v>
      </c>
      <c r="AN102" s="13" t="s">
        <v>215</v>
      </c>
      <c r="AO102" s="13" t="s">
        <v>206</v>
      </c>
      <c r="AP102" s="13" t="s">
        <v>215</v>
      </c>
      <c r="AQ102" s="13" t="s">
        <v>215</v>
      </c>
      <c r="AR102" s="13" t="s">
        <v>215</v>
      </c>
      <c r="AS102" s="13" t="s">
        <v>215</v>
      </c>
      <c r="AT102" s="13" t="s">
        <v>215</v>
      </c>
      <c r="AU102" s="13" t="s">
        <v>206</v>
      </c>
      <c r="AV102" s="13" t="s">
        <v>215</v>
      </c>
      <c r="AW102" s="13" t="s">
        <v>215</v>
      </c>
      <c r="AX102" s="13" t="s">
        <v>215</v>
      </c>
      <c r="AY102" s="13" t="s">
        <v>215</v>
      </c>
      <c r="AZ102" s="13" t="s">
        <v>215</v>
      </c>
      <c r="BA102" s="13" t="s">
        <v>215</v>
      </c>
      <c r="BB102" s="13" t="s">
        <v>215</v>
      </c>
      <c r="BC102" s="13" t="s">
        <v>215</v>
      </c>
      <c r="BD102" s="16" t="s">
        <v>215</v>
      </c>
      <c r="BE102" s="15" t="s">
        <v>215</v>
      </c>
      <c r="BF102" s="13" t="s">
        <v>215</v>
      </c>
      <c r="BG102" s="13" t="s">
        <v>215</v>
      </c>
      <c r="BH102" s="13" t="s">
        <v>215</v>
      </c>
      <c r="BI102" s="13" t="s">
        <v>215</v>
      </c>
      <c r="BJ102" s="16" t="s">
        <v>215</v>
      </c>
      <c r="BK102" s="15" t="s">
        <v>215</v>
      </c>
      <c r="BL102" s="13" t="s">
        <v>215</v>
      </c>
      <c r="BM102" s="13" t="s">
        <v>215</v>
      </c>
      <c r="BN102" s="13" t="s">
        <v>215</v>
      </c>
      <c r="BO102" s="13" t="s">
        <v>215</v>
      </c>
      <c r="BP102" s="13" t="s">
        <v>215</v>
      </c>
      <c r="BQ102" s="13" t="s">
        <v>215</v>
      </c>
      <c r="BR102" s="13" t="s">
        <v>215</v>
      </c>
      <c r="BS102" s="13" t="s">
        <v>215</v>
      </c>
      <c r="BT102" s="13" t="s">
        <v>215</v>
      </c>
      <c r="BU102" s="13" t="s">
        <v>215</v>
      </c>
      <c r="BV102" s="13" t="s">
        <v>215</v>
      </c>
      <c r="BW102" s="16" t="s">
        <v>215</v>
      </c>
      <c r="BX102" s="15" t="s">
        <v>215</v>
      </c>
      <c r="BY102" s="13" t="s">
        <v>215</v>
      </c>
      <c r="BZ102" s="16" t="s">
        <v>215</v>
      </c>
      <c r="CA102" s="81" t="s">
        <v>215</v>
      </c>
      <c r="CB102" s="13" t="s">
        <v>215</v>
      </c>
      <c r="CC102" s="13" t="s">
        <v>215</v>
      </c>
      <c r="CD102" s="16" t="s">
        <v>215</v>
      </c>
      <c r="CE102" s="16" t="s">
        <v>215</v>
      </c>
    </row>
    <row r="103" spans="5:83" x14ac:dyDescent="0.35">
      <c r="E103" s="79" t="s">
        <v>392</v>
      </c>
      <c r="F103" s="116" t="s">
        <v>101</v>
      </c>
      <c r="G103" s="116" t="s">
        <v>274</v>
      </c>
      <c r="H103" s="15" t="s">
        <v>215</v>
      </c>
      <c r="I103" s="13" t="s">
        <v>215</v>
      </c>
      <c r="J103" s="13" t="s">
        <v>215</v>
      </c>
      <c r="K103" s="13" t="s">
        <v>215</v>
      </c>
      <c r="L103" s="13" t="s">
        <v>215</v>
      </c>
      <c r="M103" s="13" t="s">
        <v>215</v>
      </c>
      <c r="N103" s="13" t="s">
        <v>215</v>
      </c>
      <c r="O103" s="13" t="s">
        <v>215</v>
      </c>
      <c r="P103" s="13" t="s">
        <v>215</v>
      </c>
      <c r="Q103" s="13" t="s">
        <v>215</v>
      </c>
      <c r="R103" s="13" t="s">
        <v>215</v>
      </c>
      <c r="S103" s="13" t="s">
        <v>215</v>
      </c>
      <c r="T103" s="13" t="s">
        <v>215</v>
      </c>
      <c r="U103" s="13" t="s">
        <v>215</v>
      </c>
      <c r="V103" s="13" t="s">
        <v>215</v>
      </c>
      <c r="W103" s="13" t="s">
        <v>215</v>
      </c>
      <c r="X103" s="13" t="s">
        <v>215</v>
      </c>
      <c r="Y103" s="13" t="s">
        <v>215</v>
      </c>
      <c r="Z103" s="13" t="s">
        <v>215</v>
      </c>
      <c r="AA103" s="13" t="s">
        <v>215</v>
      </c>
      <c r="AB103" s="13" t="s">
        <v>215</v>
      </c>
      <c r="AC103" s="13" t="s">
        <v>215</v>
      </c>
      <c r="AD103" s="16" t="s">
        <v>215</v>
      </c>
      <c r="AE103" s="15" t="s">
        <v>215</v>
      </c>
      <c r="AF103" s="13" t="s">
        <v>215</v>
      </c>
      <c r="AG103" s="13" t="s">
        <v>215</v>
      </c>
      <c r="AH103" s="13" t="s">
        <v>215</v>
      </c>
      <c r="AI103" s="13" t="s">
        <v>215</v>
      </c>
      <c r="AJ103" s="13" t="s">
        <v>215</v>
      </c>
      <c r="AK103" s="13" t="s">
        <v>215</v>
      </c>
      <c r="AL103" s="13" t="s">
        <v>215</v>
      </c>
      <c r="AM103" s="13" t="s">
        <v>215</v>
      </c>
      <c r="AN103" s="13" t="s">
        <v>215</v>
      </c>
      <c r="AO103" s="13" t="s">
        <v>215</v>
      </c>
      <c r="AP103" s="13" t="s">
        <v>215</v>
      </c>
      <c r="AQ103" s="13" t="s">
        <v>215</v>
      </c>
      <c r="AR103" s="13" t="s">
        <v>215</v>
      </c>
      <c r="AS103" s="13" t="s">
        <v>215</v>
      </c>
      <c r="AT103" s="13" t="s">
        <v>215</v>
      </c>
      <c r="AU103" s="13" t="s">
        <v>215</v>
      </c>
      <c r="AV103" s="13" t="s">
        <v>215</v>
      </c>
      <c r="AW103" s="13" t="s">
        <v>215</v>
      </c>
      <c r="AX103" s="13" t="s">
        <v>215</v>
      </c>
      <c r="AY103" s="13" t="s">
        <v>215</v>
      </c>
      <c r="AZ103" s="13" t="s">
        <v>215</v>
      </c>
      <c r="BA103" s="13" t="s">
        <v>215</v>
      </c>
      <c r="BB103" s="13" t="s">
        <v>215</v>
      </c>
      <c r="BC103" s="13" t="s">
        <v>215</v>
      </c>
      <c r="BD103" s="16" t="s">
        <v>215</v>
      </c>
      <c r="BE103" s="15" t="s">
        <v>215</v>
      </c>
      <c r="BF103" s="13" t="s">
        <v>215</v>
      </c>
      <c r="BG103" s="13" t="s">
        <v>215</v>
      </c>
      <c r="BH103" s="13" t="s">
        <v>206</v>
      </c>
      <c r="BI103" s="13" t="s">
        <v>215</v>
      </c>
      <c r="BJ103" s="16" t="s">
        <v>215</v>
      </c>
      <c r="BK103" s="15" t="s">
        <v>215</v>
      </c>
      <c r="BL103" s="13" t="s">
        <v>215</v>
      </c>
      <c r="BM103" s="13" t="s">
        <v>215</v>
      </c>
      <c r="BN103" s="13" t="s">
        <v>215</v>
      </c>
      <c r="BO103" s="13" t="s">
        <v>215</v>
      </c>
      <c r="BP103" s="13" t="s">
        <v>215</v>
      </c>
      <c r="BQ103" s="13" t="s">
        <v>215</v>
      </c>
      <c r="BR103" s="13" t="s">
        <v>215</v>
      </c>
      <c r="BS103" s="13" t="s">
        <v>215</v>
      </c>
      <c r="BT103" s="13" t="s">
        <v>215</v>
      </c>
      <c r="BU103" s="13" t="s">
        <v>215</v>
      </c>
      <c r="BV103" s="13" t="s">
        <v>215</v>
      </c>
      <c r="BW103" s="16" t="s">
        <v>215</v>
      </c>
      <c r="BX103" s="15" t="s">
        <v>215</v>
      </c>
      <c r="BY103" s="13" t="s">
        <v>215</v>
      </c>
      <c r="BZ103" s="16" t="s">
        <v>215</v>
      </c>
      <c r="CA103" s="81" t="s">
        <v>215</v>
      </c>
      <c r="CB103" s="13" t="s">
        <v>215</v>
      </c>
      <c r="CC103" s="13" t="s">
        <v>215</v>
      </c>
      <c r="CD103" s="16" t="s">
        <v>215</v>
      </c>
      <c r="CE103" s="16" t="s">
        <v>215</v>
      </c>
    </row>
    <row r="104" spans="5:83" x14ac:dyDescent="0.35">
      <c r="E104" s="79" t="s">
        <v>393</v>
      </c>
      <c r="F104" s="116" t="s">
        <v>147</v>
      </c>
      <c r="G104" s="116" t="s">
        <v>273</v>
      </c>
      <c r="H104" s="15" t="s">
        <v>215</v>
      </c>
      <c r="I104" s="13" t="s">
        <v>215</v>
      </c>
      <c r="J104" s="13" t="s">
        <v>215</v>
      </c>
      <c r="K104" s="13" t="s">
        <v>215</v>
      </c>
      <c r="L104" s="13" t="s">
        <v>215</v>
      </c>
      <c r="M104" s="13" t="s">
        <v>215</v>
      </c>
      <c r="N104" s="13" t="s">
        <v>215</v>
      </c>
      <c r="O104" s="13" t="s">
        <v>215</v>
      </c>
      <c r="P104" s="13" t="s">
        <v>215</v>
      </c>
      <c r="Q104" s="13" t="s">
        <v>215</v>
      </c>
      <c r="R104" s="13" t="s">
        <v>215</v>
      </c>
      <c r="S104" s="13" t="s">
        <v>215</v>
      </c>
      <c r="T104" s="13" t="s">
        <v>215</v>
      </c>
      <c r="U104" s="13" t="s">
        <v>215</v>
      </c>
      <c r="V104" s="13" t="s">
        <v>215</v>
      </c>
      <c r="W104" s="13" t="s">
        <v>215</v>
      </c>
      <c r="X104" s="13" t="s">
        <v>215</v>
      </c>
      <c r="Y104" s="13" t="s">
        <v>215</v>
      </c>
      <c r="Z104" s="13" t="s">
        <v>215</v>
      </c>
      <c r="AA104" s="13" t="s">
        <v>215</v>
      </c>
      <c r="AB104" s="13" t="s">
        <v>215</v>
      </c>
      <c r="AC104" s="13" t="s">
        <v>215</v>
      </c>
      <c r="AD104" s="16" t="s">
        <v>215</v>
      </c>
      <c r="AE104" s="15" t="s">
        <v>215</v>
      </c>
      <c r="AF104" s="13" t="s">
        <v>215</v>
      </c>
      <c r="AG104" s="13" t="s">
        <v>215</v>
      </c>
      <c r="AH104" s="13" t="s">
        <v>215</v>
      </c>
      <c r="AI104" s="13" t="s">
        <v>215</v>
      </c>
      <c r="AJ104" s="13" t="s">
        <v>215</v>
      </c>
      <c r="AK104" s="13" t="s">
        <v>209</v>
      </c>
      <c r="AL104" s="13" t="s">
        <v>215</v>
      </c>
      <c r="AM104" s="13" t="s">
        <v>215</v>
      </c>
      <c r="AN104" s="13" t="s">
        <v>215</v>
      </c>
      <c r="AO104" s="13" t="s">
        <v>206</v>
      </c>
      <c r="AP104" s="13" t="s">
        <v>215</v>
      </c>
      <c r="AQ104" s="13" t="s">
        <v>215</v>
      </c>
      <c r="AR104" s="13" t="s">
        <v>215</v>
      </c>
      <c r="AS104" s="13" t="s">
        <v>215</v>
      </c>
      <c r="AT104" s="13" t="s">
        <v>215</v>
      </c>
      <c r="AU104" s="13" t="s">
        <v>206</v>
      </c>
      <c r="AV104" s="13" t="s">
        <v>215</v>
      </c>
      <c r="AW104" s="13" t="s">
        <v>215</v>
      </c>
      <c r="AX104" s="13" t="s">
        <v>215</v>
      </c>
      <c r="AY104" s="13" t="s">
        <v>215</v>
      </c>
      <c r="AZ104" s="13" t="s">
        <v>215</v>
      </c>
      <c r="BA104" s="13" t="s">
        <v>215</v>
      </c>
      <c r="BB104" s="13" t="s">
        <v>215</v>
      </c>
      <c r="BC104" s="13" t="s">
        <v>215</v>
      </c>
      <c r="BD104" s="16" t="s">
        <v>215</v>
      </c>
      <c r="BE104" s="15" t="s">
        <v>215</v>
      </c>
      <c r="BF104" s="13" t="s">
        <v>215</v>
      </c>
      <c r="BG104" s="13" t="s">
        <v>215</v>
      </c>
      <c r="BH104" s="13" t="s">
        <v>215</v>
      </c>
      <c r="BI104" s="13" t="s">
        <v>215</v>
      </c>
      <c r="BJ104" s="16" t="s">
        <v>215</v>
      </c>
      <c r="BK104" s="15" t="s">
        <v>215</v>
      </c>
      <c r="BL104" s="13" t="s">
        <v>215</v>
      </c>
      <c r="BM104" s="13" t="s">
        <v>215</v>
      </c>
      <c r="BN104" s="13" t="s">
        <v>215</v>
      </c>
      <c r="BO104" s="13" t="s">
        <v>209</v>
      </c>
      <c r="BP104" s="13" t="s">
        <v>215</v>
      </c>
      <c r="BQ104" s="13" t="s">
        <v>215</v>
      </c>
      <c r="BR104" s="13" t="s">
        <v>215</v>
      </c>
      <c r="BS104" s="13" t="s">
        <v>215</v>
      </c>
      <c r="BT104" s="13" t="s">
        <v>215</v>
      </c>
      <c r="BU104" s="13" t="s">
        <v>215</v>
      </c>
      <c r="BV104" s="13" t="s">
        <v>215</v>
      </c>
      <c r="BW104" s="16" t="s">
        <v>215</v>
      </c>
      <c r="BX104" s="15" t="s">
        <v>215</v>
      </c>
      <c r="BY104" s="13" t="s">
        <v>215</v>
      </c>
      <c r="BZ104" s="16" t="s">
        <v>215</v>
      </c>
      <c r="CA104" s="81" t="s">
        <v>215</v>
      </c>
      <c r="CB104" s="13" t="s">
        <v>215</v>
      </c>
      <c r="CC104" s="13" t="s">
        <v>215</v>
      </c>
      <c r="CD104" s="16" t="s">
        <v>215</v>
      </c>
      <c r="CE104" s="16" t="s">
        <v>215</v>
      </c>
    </row>
    <row r="105" spans="5:83" x14ac:dyDescent="0.35">
      <c r="E105" s="79" t="s">
        <v>394</v>
      </c>
      <c r="F105" s="116" t="s">
        <v>115</v>
      </c>
      <c r="G105" s="116" t="s">
        <v>273</v>
      </c>
      <c r="H105" s="15" t="s">
        <v>215</v>
      </c>
      <c r="I105" s="13" t="s">
        <v>215</v>
      </c>
      <c r="J105" s="13" t="s">
        <v>215</v>
      </c>
      <c r="K105" s="13" t="s">
        <v>215</v>
      </c>
      <c r="L105" s="13" t="s">
        <v>215</v>
      </c>
      <c r="M105" s="13" t="s">
        <v>215</v>
      </c>
      <c r="N105" s="13" t="s">
        <v>215</v>
      </c>
      <c r="O105" s="13" t="s">
        <v>215</v>
      </c>
      <c r="P105" s="13" t="s">
        <v>215</v>
      </c>
      <c r="Q105" s="13" t="s">
        <v>209</v>
      </c>
      <c r="R105" s="13" t="s">
        <v>215</v>
      </c>
      <c r="S105" s="13" t="s">
        <v>215</v>
      </c>
      <c r="T105" s="13" t="s">
        <v>209</v>
      </c>
      <c r="U105" s="13" t="s">
        <v>215</v>
      </c>
      <c r="V105" s="13" t="s">
        <v>215</v>
      </c>
      <c r="W105" s="13" t="s">
        <v>215</v>
      </c>
      <c r="X105" s="13" t="s">
        <v>215</v>
      </c>
      <c r="Y105" s="13" t="s">
        <v>215</v>
      </c>
      <c r="Z105" s="13" t="s">
        <v>215</v>
      </c>
      <c r="AA105" s="13" t="s">
        <v>215</v>
      </c>
      <c r="AB105" s="13" t="s">
        <v>215</v>
      </c>
      <c r="AC105" s="13" t="s">
        <v>215</v>
      </c>
      <c r="AD105" s="16" t="s">
        <v>215</v>
      </c>
      <c r="AE105" s="15" t="s">
        <v>215</v>
      </c>
      <c r="AF105" s="13" t="s">
        <v>215</v>
      </c>
      <c r="AG105" s="13" t="s">
        <v>215</v>
      </c>
      <c r="AH105" s="13" t="s">
        <v>215</v>
      </c>
      <c r="AI105" s="13" t="s">
        <v>209</v>
      </c>
      <c r="AJ105" s="13" t="s">
        <v>209</v>
      </c>
      <c r="AK105" s="13" t="s">
        <v>215</v>
      </c>
      <c r="AL105" s="13" t="s">
        <v>215</v>
      </c>
      <c r="AM105" s="13" t="s">
        <v>215</v>
      </c>
      <c r="AN105" s="13" t="s">
        <v>215</v>
      </c>
      <c r="AO105" s="13" t="s">
        <v>209</v>
      </c>
      <c r="AP105" s="13" t="s">
        <v>215</v>
      </c>
      <c r="AQ105" s="13" t="s">
        <v>215</v>
      </c>
      <c r="AR105" s="13" t="s">
        <v>215</v>
      </c>
      <c r="AS105" s="13" t="s">
        <v>215</v>
      </c>
      <c r="AT105" s="13" t="s">
        <v>215</v>
      </c>
      <c r="AU105" s="13" t="s">
        <v>215</v>
      </c>
      <c r="AV105" s="13" t="s">
        <v>215</v>
      </c>
      <c r="AW105" s="13" t="s">
        <v>215</v>
      </c>
      <c r="AX105" s="13" t="s">
        <v>215</v>
      </c>
      <c r="AY105" s="13" t="s">
        <v>215</v>
      </c>
      <c r="AZ105" s="13" t="s">
        <v>215</v>
      </c>
      <c r="BA105" s="13" t="s">
        <v>215</v>
      </c>
      <c r="BB105" s="13" t="s">
        <v>215</v>
      </c>
      <c r="BC105" s="13" t="s">
        <v>215</v>
      </c>
      <c r="BD105" s="16" t="s">
        <v>215</v>
      </c>
      <c r="BE105" s="15" t="s">
        <v>215</v>
      </c>
      <c r="BF105" s="13" t="s">
        <v>215</v>
      </c>
      <c r="BG105" s="13" t="s">
        <v>215</v>
      </c>
      <c r="BH105" s="13" t="s">
        <v>209</v>
      </c>
      <c r="BI105" s="13" t="s">
        <v>215</v>
      </c>
      <c r="BJ105" s="16" t="s">
        <v>215</v>
      </c>
      <c r="BK105" s="15" t="s">
        <v>215</v>
      </c>
      <c r="BL105" s="13" t="s">
        <v>215</v>
      </c>
      <c r="BM105" s="13" t="s">
        <v>215</v>
      </c>
      <c r="BN105" s="13" t="s">
        <v>215</v>
      </c>
      <c r="BO105" s="13" t="s">
        <v>215</v>
      </c>
      <c r="BP105" s="13" t="s">
        <v>215</v>
      </c>
      <c r="BQ105" s="13" t="s">
        <v>215</v>
      </c>
      <c r="BR105" s="13" t="s">
        <v>215</v>
      </c>
      <c r="BS105" s="13" t="s">
        <v>215</v>
      </c>
      <c r="BT105" s="13" t="s">
        <v>215</v>
      </c>
      <c r="BU105" s="13" t="s">
        <v>215</v>
      </c>
      <c r="BV105" s="13" t="s">
        <v>215</v>
      </c>
      <c r="BW105" s="16" t="s">
        <v>215</v>
      </c>
      <c r="BX105" s="15" t="s">
        <v>215</v>
      </c>
      <c r="BY105" s="13" t="s">
        <v>215</v>
      </c>
      <c r="BZ105" s="16" t="s">
        <v>215</v>
      </c>
      <c r="CA105" s="81" t="s">
        <v>215</v>
      </c>
      <c r="CB105" s="13" t="s">
        <v>215</v>
      </c>
      <c r="CC105" s="13" t="s">
        <v>215</v>
      </c>
      <c r="CD105" s="16" t="s">
        <v>215</v>
      </c>
      <c r="CE105" s="16" t="s">
        <v>215</v>
      </c>
    </row>
    <row r="106" spans="5:83" x14ac:dyDescent="0.35">
      <c r="E106" s="79" t="s">
        <v>395</v>
      </c>
      <c r="F106" s="116" t="s">
        <v>128</v>
      </c>
      <c r="G106" s="116" t="s">
        <v>273</v>
      </c>
      <c r="H106" s="15" t="s">
        <v>215</v>
      </c>
      <c r="I106" s="13" t="s">
        <v>215</v>
      </c>
      <c r="J106" s="13" t="s">
        <v>215</v>
      </c>
      <c r="K106" s="13" t="s">
        <v>215</v>
      </c>
      <c r="L106" s="13" t="s">
        <v>215</v>
      </c>
      <c r="M106" s="13" t="s">
        <v>215</v>
      </c>
      <c r="N106" s="13" t="s">
        <v>215</v>
      </c>
      <c r="O106" s="13" t="s">
        <v>215</v>
      </c>
      <c r="P106" s="13" t="s">
        <v>215</v>
      </c>
      <c r="Q106" s="13" t="s">
        <v>209</v>
      </c>
      <c r="R106" s="13" t="s">
        <v>215</v>
      </c>
      <c r="S106" s="13" t="s">
        <v>215</v>
      </c>
      <c r="T106" s="13" t="s">
        <v>206</v>
      </c>
      <c r="U106" s="13" t="s">
        <v>215</v>
      </c>
      <c r="V106" s="13" t="s">
        <v>215</v>
      </c>
      <c r="W106" s="13" t="s">
        <v>215</v>
      </c>
      <c r="X106" s="13" t="s">
        <v>215</v>
      </c>
      <c r="Y106" s="13" t="s">
        <v>215</v>
      </c>
      <c r="Z106" s="13" t="s">
        <v>215</v>
      </c>
      <c r="AA106" s="13" t="s">
        <v>215</v>
      </c>
      <c r="AB106" s="13" t="s">
        <v>215</v>
      </c>
      <c r="AC106" s="13" t="s">
        <v>215</v>
      </c>
      <c r="AD106" s="16" t="s">
        <v>215</v>
      </c>
      <c r="AE106" s="15" t="s">
        <v>215</v>
      </c>
      <c r="AF106" s="13" t="s">
        <v>215</v>
      </c>
      <c r="AG106" s="13" t="s">
        <v>215</v>
      </c>
      <c r="AH106" s="13" t="s">
        <v>215</v>
      </c>
      <c r="AI106" s="13" t="s">
        <v>215</v>
      </c>
      <c r="AJ106" s="13" t="s">
        <v>206</v>
      </c>
      <c r="AK106" s="13" t="s">
        <v>209</v>
      </c>
      <c r="AL106" s="13" t="s">
        <v>215</v>
      </c>
      <c r="AM106" s="13" t="s">
        <v>215</v>
      </c>
      <c r="AN106" s="13" t="s">
        <v>215</v>
      </c>
      <c r="AO106" s="13" t="s">
        <v>209</v>
      </c>
      <c r="AP106" s="13" t="s">
        <v>215</v>
      </c>
      <c r="AQ106" s="13" t="s">
        <v>215</v>
      </c>
      <c r="AR106" s="13" t="s">
        <v>215</v>
      </c>
      <c r="AS106" s="13" t="s">
        <v>215</v>
      </c>
      <c r="AT106" s="13" t="s">
        <v>215</v>
      </c>
      <c r="AU106" s="13" t="s">
        <v>209</v>
      </c>
      <c r="AV106" s="13" t="s">
        <v>215</v>
      </c>
      <c r="AW106" s="13" t="s">
        <v>215</v>
      </c>
      <c r="AX106" s="13" t="s">
        <v>215</v>
      </c>
      <c r="AY106" s="13" t="s">
        <v>215</v>
      </c>
      <c r="AZ106" s="13" t="s">
        <v>215</v>
      </c>
      <c r="BA106" s="13" t="s">
        <v>215</v>
      </c>
      <c r="BB106" s="13" t="s">
        <v>215</v>
      </c>
      <c r="BC106" s="13" t="s">
        <v>215</v>
      </c>
      <c r="BD106" s="16" t="s">
        <v>215</v>
      </c>
      <c r="BE106" s="15" t="s">
        <v>215</v>
      </c>
      <c r="BF106" s="13" t="s">
        <v>215</v>
      </c>
      <c r="BG106" s="13" t="s">
        <v>215</v>
      </c>
      <c r="BH106" s="13" t="s">
        <v>209</v>
      </c>
      <c r="BI106" s="13" t="s">
        <v>215</v>
      </c>
      <c r="BJ106" s="16" t="s">
        <v>215</v>
      </c>
      <c r="BK106" s="15" t="s">
        <v>215</v>
      </c>
      <c r="BL106" s="13" t="s">
        <v>215</v>
      </c>
      <c r="BM106" s="13" t="s">
        <v>215</v>
      </c>
      <c r="BN106" s="13" t="s">
        <v>215</v>
      </c>
      <c r="BO106" s="13" t="s">
        <v>209</v>
      </c>
      <c r="BP106" s="13" t="s">
        <v>215</v>
      </c>
      <c r="BQ106" s="13" t="s">
        <v>215</v>
      </c>
      <c r="BR106" s="13" t="s">
        <v>215</v>
      </c>
      <c r="BS106" s="13" t="s">
        <v>215</v>
      </c>
      <c r="BT106" s="13" t="s">
        <v>215</v>
      </c>
      <c r="BU106" s="13" t="s">
        <v>215</v>
      </c>
      <c r="BV106" s="13" t="s">
        <v>215</v>
      </c>
      <c r="BW106" s="16" t="s">
        <v>215</v>
      </c>
      <c r="BX106" s="15" t="s">
        <v>215</v>
      </c>
      <c r="BY106" s="13" t="s">
        <v>215</v>
      </c>
      <c r="BZ106" s="16" t="s">
        <v>215</v>
      </c>
      <c r="CA106" s="81" t="s">
        <v>215</v>
      </c>
      <c r="CB106" s="13" t="s">
        <v>215</v>
      </c>
      <c r="CC106" s="13" t="s">
        <v>215</v>
      </c>
      <c r="CD106" s="16" t="s">
        <v>215</v>
      </c>
      <c r="CE106" s="16" t="s">
        <v>215</v>
      </c>
    </row>
    <row r="107" spans="5:83" x14ac:dyDescent="0.35">
      <c r="E107" s="79" t="s">
        <v>396</v>
      </c>
      <c r="F107" s="116" t="s">
        <v>59</v>
      </c>
      <c r="G107" s="116" t="s">
        <v>272</v>
      </c>
      <c r="H107" s="15" t="s">
        <v>215</v>
      </c>
      <c r="I107" s="13" t="s">
        <v>215</v>
      </c>
      <c r="J107" s="13" t="s">
        <v>206</v>
      </c>
      <c r="K107" s="13" t="s">
        <v>215</v>
      </c>
      <c r="L107" s="13" t="s">
        <v>215</v>
      </c>
      <c r="M107" s="13" t="s">
        <v>215</v>
      </c>
      <c r="N107" s="13" t="s">
        <v>215</v>
      </c>
      <c r="O107" s="13" t="s">
        <v>215</v>
      </c>
      <c r="P107" s="13" t="s">
        <v>215</v>
      </c>
      <c r="Q107" s="13" t="s">
        <v>215</v>
      </c>
      <c r="R107" s="13" t="s">
        <v>215</v>
      </c>
      <c r="S107" s="13" t="s">
        <v>215</v>
      </c>
      <c r="T107" s="13" t="s">
        <v>215</v>
      </c>
      <c r="U107" s="13" t="s">
        <v>215</v>
      </c>
      <c r="V107" s="13" t="s">
        <v>215</v>
      </c>
      <c r="W107" s="13" t="s">
        <v>215</v>
      </c>
      <c r="X107" s="13" t="s">
        <v>215</v>
      </c>
      <c r="Y107" s="13" t="s">
        <v>215</v>
      </c>
      <c r="Z107" s="13" t="s">
        <v>215</v>
      </c>
      <c r="AA107" s="13" t="s">
        <v>215</v>
      </c>
      <c r="AB107" s="13" t="s">
        <v>215</v>
      </c>
      <c r="AC107" s="13" t="s">
        <v>215</v>
      </c>
      <c r="AD107" s="16" t="s">
        <v>215</v>
      </c>
      <c r="AE107" s="15" t="s">
        <v>215</v>
      </c>
      <c r="AF107" s="13" t="s">
        <v>206</v>
      </c>
      <c r="AG107" s="13" t="s">
        <v>215</v>
      </c>
      <c r="AH107" s="13" t="s">
        <v>215</v>
      </c>
      <c r="AI107" s="13" t="s">
        <v>215</v>
      </c>
      <c r="AJ107" s="13" t="s">
        <v>215</v>
      </c>
      <c r="AK107" s="13" t="s">
        <v>206</v>
      </c>
      <c r="AL107" s="13" t="s">
        <v>215</v>
      </c>
      <c r="AM107" s="13" t="s">
        <v>215</v>
      </c>
      <c r="AN107" s="13" t="s">
        <v>215</v>
      </c>
      <c r="AO107" s="13" t="s">
        <v>206</v>
      </c>
      <c r="AP107" s="13" t="s">
        <v>215</v>
      </c>
      <c r="AQ107" s="13" t="s">
        <v>215</v>
      </c>
      <c r="AR107" s="13" t="s">
        <v>215</v>
      </c>
      <c r="AS107" s="13" t="s">
        <v>215</v>
      </c>
      <c r="AT107" s="13" t="s">
        <v>215</v>
      </c>
      <c r="AU107" s="13" t="s">
        <v>215</v>
      </c>
      <c r="AV107" s="13" t="s">
        <v>215</v>
      </c>
      <c r="AW107" s="13" t="s">
        <v>215</v>
      </c>
      <c r="AX107" s="13" t="s">
        <v>215</v>
      </c>
      <c r="AY107" s="13" t="s">
        <v>215</v>
      </c>
      <c r="AZ107" s="13" t="s">
        <v>215</v>
      </c>
      <c r="BA107" s="13" t="s">
        <v>215</v>
      </c>
      <c r="BB107" s="13" t="s">
        <v>215</v>
      </c>
      <c r="BC107" s="13" t="s">
        <v>215</v>
      </c>
      <c r="BD107" s="16" t="s">
        <v>215</v>
      </c>
      <c r="BE107" s="15" t="s">
        <v>215</v>
      </c>
      <c r="BF107" s="13" t="s">
        <v>215</v>
      </c>
      <c r="BG107" s="13" t="s">
        <v>215</v>
      </c>
      <c r="BH107" s="13" t="s">
        <v>206</v>
      </c>
      <c r="BI107" s="13" t="s">
        <v>215</v>
      </c>
      <c r="BJ107" s="16" t="s">
        <v>215</v>
      </c>
      <c r="BK107" s="15" t="s">
        <v>215</v>
      </c>
      <c r="BL107" s="13" t="s">
        <v>215</v>
      </c>
      <c r="BM107" s="13" t="s">
        <v>215</v>
      </c>
      <c r="BN107" s="13" t="s">
        <v>215</v>
      </c>
      <c r="BO107" s="13" t="s">
        <v>206</v>
      </c>
      <c r="BP107" s="13" t="s">
        <v>215</v>
      </c>
      <c r="BQ107" s="13" t="s">
        <v>215</v>
      </c>
      <c r="BR107" s="13" t="s">
        <v>215</v>
      </c>
      <c r="BS107" s="13" t="s">
        <v>215</v>
      </c>
      <c r="BT107" s="13" t="s">
        <v>215</v>
      </c>
      <c r="BU107" s="13" t="s">
        <v>215</v>
      </c>
      <c r="BV107" s="13" t="s">
        <v>215</v>
      </c>
      <c r="BW107" s="16" t="s">
        <v>215</v>
      </c>
      <c r="BX107" s="15" t="s">
        <v>215</v>
      </c>
      <c r="BY107" s="13" t="s">
        <v>215</v>
      </c>
      <c r="BZ107" s="16" t="s">
        <v>215</v>
      </c>
      <c r="CA107" s="81" t="s">
        <v>215</v>
      </c>
      <c r="CB107" s="13" t="s">
        <v>215</v>
      </c>
      <c r="CC107" s="13" t="s">
        <v>215</v>
      </c>
      <c r="CD107" s="16" t="s">
        <v>215</v>
      </c>
      <c r="CE107" s="16" t="s">
        <v>215</v>
      </c>
    </row>
    <row r="108" spans="5:83" x14ac:dyDescent="0.35">
      <c r="E108" s="79" t="s">
        <v>397</v>
      </c>
      <c r="F108" s="116" t="s">
        <v>74</v>
      </c>
      <c r="G108" s="116" t="s">
        <v>272</v>
      </c>
      <c r="H108" s="15" t="s">
        <v>215</v>
      </c>
      <c r="I108" s="13" t="s">
        <v>215</v>
      </c>
      <c r="J108" s="13" t="s">
        <v>206</v>
      </c>
      <c r="K108" s="13" t="s">
        <v>215</v>
      </c>
      <c r="L108" s="13" t="s">
        <v>215</v>
      </c>
      <c r="M108" s="13" t="s">
        <v>215</v>
      </c>
      <c r="N108" s="13" t="s">
        <v>215</v>
      </c>
      <c r="O108" s="13" t="s">
        <v>215</v>
      </c>
      <c r="P108" s="13" t="s">
        <v>215</v>
      </c>
      <c r="Q108" s="13" t="s">
        <v>215</v>
      </c>
      <c r="R108" s="13" t="s">
        <v>215</v>
      </c>
      <c r="S108" s="13" t="s">
        <v>215</v>
      </c>
      <c r="T108" s="13" t="s">
        <v>215</v>
      </c>
      <c r="U108" s="13" t="s">
        <v>215</v>
      </c>
      <c r="V108" s="13" t="s">
        <v>215</v>
      </c>
      <c r="W108" s="13" t="s">
        <v>215</v>
      </c>
      <c r="X108" s="13" t="s">
        <v>215</v>
      </c>
      <c r="Y108" s="13" t="s">
        <v>215</v>
      </c>
      <c r="Z108" s="13" t="s">
        <v>215</v>
      </c>
      <c r="AA108" s="13" t="s">
        <v>215</v>
      </c>
      <c r="AB108" s="13" t="s">
        <v>215</v>
      </c>
      <c r="AC108" s="13" t="s">
        <v>215</v>
      </c>
      <c r="AD108" s="16" t="s">
        <v>215</v>
      </c>
      <c r="AE108" s="15" t="s">
        <v>215</v>
      </c>
      <c r="AF108" s="13" t="s">
        <v>215</v>
      </c>
      <c r="AG108" s="13" t="s">
        <v>215</v>
      </c>
      <c r="AH108" s="13" t="s">
        <v>215</v>
      </c>
      <c r="AI108" s="13" t="s">
        <v>215</v>
      </c>
      <c r="AJ108" s="13" t="s">
        <v>215</v>
      </c>
      <c r="AK108" s="13" t="s">
        <v>215</v>
      </c>
      <c r="AL108" s="13" t="s">
        <v>215</v>
      </c>
      <c r="AM108" s="13" t="s">
        <v>215</v>
      </c>
      <c r="AN108" s="13" t="s">
        <v>215</v>
      </c>
      <c r="AO108" s="13" t="s">
        <v>206</v>
      </c>
      <c r="AP108" s="13" t="s">
        <v>215</v>
      </c>
      <c r="AQ108" s="13" t="s">
        <v>215</v>
      </c>
      <c r="AR108" s="13" t="s">
        <v>215</v>
      </c>
      <c r="AS108" s="13" t="s">
        <v>215</v>
      </c>
      <c r="AT108" s="13" t="s">
        <v>215</v>
      </c>
      <c r="AU108" s="13" t="s">
        <v>215</v>
      </c>
      <c r="AV108" s="13" t="s">
        <v>215</v>
      </c>
      <c r="AW108" s="13" t="s">
        <v>215</v>
      </c>
      <c r="AX108" s="13" t="s">
        <v>215</v>
      </c>
      <c r="AY108" s="13" t="s">
        <v>215</v>
      </c>
      <c r="AZ108" s="13" t="s">
        <v>215</v>
      </c>
      <c r="BA108" s="13" t="s">
        <v>215</v>
      </c>
      <c r="BB108" s="13" t="s">
        <v>215</v>
      </c>
      <c r="BC108" s="13" t="s">
        <v>215</v>
      </c>
      <c r="BD108" s="16" t="s">
        <v>215</v>
      </c>
      <c r="BE108" s="15" t="s">
        <v>215</v>
      </c>
      <c r="BF108" s="13" t="s">
        <v>215</v>
      </c>
      <c r="BG108" s="13" t="s">
        <v>215</v>
      </c>
      <c r="BH108" s="13" t="s">
        <v>209</v>
      </c>
      <c r="BI108" s="13" t="s">
        <v>215</v>
      </c>
      <c r="BJ108" s="16" t="s">
        <v>215</v>
      </c>
      <c r="BK108" s="15" t="s">
        <v>215</v>
      </c>
      <c r="BL108" s="13" t="s">
        <v>215</v>
      </c>
      <c r="BM108" s="13" t="s">
        <v>215</v>
      </c>
      <c r="BN108" s="13" t="s">
        <v>215</v>
      </c>
      <c r="BO108" s="13" t="s">
        <v>215</v>
      </c>
      <c r="BP108" s="13" t="s">
        <v>215</v>
      </c>
      <c r="BQ108" s="13" t="s">
        <v>215</v>
      </c>
      <c r="BR108" s="13" t="s">
        <v>215</v>
      </c>
      <c r="BS108" s="13" t="s">
        <v>215</v>
      </c>
      <c r="BT108" s="13" t="s">
        <v>215</v>
      </c>
      <c r="BU108" s="13" t="s">
        <v>215</v>
      </c>
      <c r="BV108" s="13" t="s">
        <v>215</v>
      </c>
      <c r="BW108" s="16" t="s">
        <v>215</v>
      </c>
      <c r="BX108" s="15" t="s">
        <v>215</v>
      </c>
      <c r="BY108" s="13" t="s">
        <v>215</v>
      </c>
      <c r="BZ108" s="16" t="s">
        <v>215</v>
      </c>
      <c r="CA108" s="81" t="s">
        <v>215</v>
      </c>
      <c r="CB108" s="13" t="s">
        <v>215</v>
      </c>
      <c r="CC108" s="13" t="s">
        <v>215</v>
      </c>
      <c r="CD108" s="16" t="s">
        <v>215</v>
      </c>
      <c r="CE108" s="16" t="s">
        <v>215</v>
      </c>
    </row>
    <row r="109" spans="5:83" x14ac:dyDescent="0.35">
      <c r="E109" s="79" t="s">
        <v>398</v>
      </c>
      <c r="F109" s="116" t="s">
        <v>88</v>
      </c>
      <c r="G109" s="116" t="s">
        <v>272</v>
      </c>
      <c r="H109" s="15" t="s">
        <v>215</v>
      </c>
      <c r="I109" s="13" t="s">
        <v>215</v>
      </c>
      <c r="J109" s="13" t="s">
        <v>206</v>
      </c>
      <c r="K109" s="13" t="s">
        <v>215</v>
      </c>
      <c r="L109" s="13" t="s">
        <v>215</v>
      </c>
      <c r="M109" s="13" t="s">
        <v>215</v>
      </c>
      <c r="N109" s="13" t="s">
        <v>215</v>
      </c>
      <c r="O109" s="13" t="s">
        <v>215</v>
      </c>
      <c r="P109" s="13" t="s">
        <v>215</v>
      </c>
      <c r="Q109" s="13" t="s">
        <v>215</v>
      </c>
      <c r="R109" s="13" t="s">
        <v>215</v>
      </c>
      <c r="S109" s="13" t="s">
        <v>215</v>
      </c>
      <c r="T109" s="13" t="s">
        <v>215</v>
      </c>
      <c r="U109" s="13" t="s">
        <v>215</v>
      </c>
      <c r="V109" s="13" t="s">
        <v>215</v>
      </c>
      <c r="W109" s="13" t="s">
        <v>215</v>
      </c>
      <c r="X109" s="13" t="s">
        <v>215</v>
      </c>
      <c r="Y109" s="13" t="s">
        <v>215</v>
      </c>
      <c r="Z109" s="13" t="s">
        <v>215</v>
      </c>
      <c r="AA109" s="13" t="s">
        <v>215</v>
      </c>
      <c r="AB109" s="13" t="s">
        <v>215</v>
      </c>
      <c r="AC109" s="13" t="s">
        <v>215</v>
      </c>
      <c r="AD109" s="16" t="s">
        <v>215</v>
      </c>
      <c r="AE109" s="15" t="s">
        <v>215</v>
      </c>
      <c r="AF109" s="13" t="s">
        <v>215</v>
      </c>
      <c r="AG109" s="13" t="s">
        <v>215</v>
      </c>
      <c r="AH109" s="13" t="s">
        <v>215</v>
      </c>
      <c r="AI109" s="13" t="s">
        <v>215</v>
      </c>
      <c r="AJ109" s="13" t="s">
        <v>215</v>
      </c>
      <c r="AK109" s="13" t="s">
        <v>215</v>
      </c>
      <c r="AL109" s="13" t="s">
        <v>215</v>
      </c>
      <c r="AM109" s="13" t="s">
        <v>215</v>
      </c>
      <c r="AN109" s="13" t="s">
        <v>215</v>
      </c>
      <c r="AO109" s="13" t="s">
        <v>215</v>
      </c>
      <c r="AP109" s="13" t="s">
        <v>215</v>
      </c>
      <c r="AQ109" s="13" t="s">
        <v>215</v>
      </c>
      <c r="AR109" s="13" t="s">
        <v>215</v>
      </c>
      <c r="AS109" s="13" t="s">
        <v>215</v>
      </c>
      <c r="AT109" s="13" t="s">
        <v>215</v>
      </c>
      <c r="AU109" s="13" t="s">
        <v>215</v>
      </c>
      <c r="AV109" s="13" t="s">
        <v>215</v>
      </c>
      <c r="AW109" s="13" t="s">
        <v>215</v>
      </c>
      <c r="AX109" s="13" t="s">
        <v>215</v>
      </c>
      <c r="AY109" s="13" t="s">
        <v>215</v>
      </c>
      <c r="AZ109" s="13" t="s">
        <v>215</v>
      </c>
      <c r="BA109" s="13" t="s">
        <v>215</v>
      </c>
      <c r="BB109" s="13" t="s">
        <v>215</v>
      </c>
      <c r="BC109" s="13" t="s">
        <v>215</v>
      </c>
      <c r="BD109" s="16" t="s">
        <v>215</v>
      </c>
      <c r="BE109" s="15" t="s">
        <v>215</v>
      </c>
      <c r="BF109" s="13" t="s">
        <v>215</v>
      </c>
      <c r="BG109" s="13" t="s">
        <v>215</v>
      </c>
      <c r="BH109" s="13" t="s">
        <v>206</v>
      </c>
      <c r="BI109" s="13" t="s">
        <v>215</v>
      </c>
      <c r="BJ109" s="16" t="s">
        <v>215</v>
      </c>
      <c r="BK109" s="15" t="s">
        <v>215</v>
      </c>
      <c r="BL109" s="13" t="s">
        <v>215</v>
      </c>
      <c r="BM109" s="13" t="s">
        <v>215</v>
      </c>
      <c r="BN109" s="13" t="s">
        <v>215</v>
      </c>
      <c r="BO109" s="13" t="s">
        <v>215</v>
      </c>
      <c r="BP109" s="13" t="s">
        <v>215</v>
      </c>
      <c r="BQ109" s="13" t="s">
        <v>215</v>
      </c>
      <c r="BR109" s="13" t="s">
        <v>215</v>
      </c>
      <c r="BS109" s="13" t="s">
        <v>215</v>
      </c>
      <c r="BT109" s="13" t="s">
        <v>215</v>
      </c>
      <c r="BU109" s="13" t="s">
        <v>215</v>
      </c>
      <c r="BV109" s="13" t="s">
        <v>215</v>
      </c>
      <c r="BW109" s="16" t="s">
        <v>215</v>
      </c>
      <c r="BX109" s="15" t="s">
        <v>215</v>
      </c>
      <c r="BY109" s="13" t="s">
        <v>215</v>
      </c>
      <c r="BZ109" s="16" t="s">
        <v>215</v>
      </c>
      <c r="CA109" s="81" t="s">
        <v>215</v>
      </c>
      <c r="CB109" s="13" t="s">
        <v>215</v>
      </c>
      <c r="CC109" s="13" t="s">
        <v>215</v>
      </c>
      <c r="CD109" s="16" t="s">
        <v>215</v>
      </c>
      <c r="CE109" s="16" t="s">
        <v>215</v>
      </c>
    </row>
    <row r="110" spans="5:83" x14ac:dyDescent="0.35">
      <c r="E110" s="79" t="s">
        <v>399</v>
      </c>
      <c r="F110" s="116" t="s">
        <v>102</v>
      </c>
      <c r="G110" s="116" t="s">
        <v>272</v>
      </c>
      <c r="H110" s="15" t="s">
        <v>215</v>
      </c>
      <c r="I110" s="13" t="s">
        <v>215</v>
      </c>
      <c r="J110" s="13" t="s">
        <v>206</v>
      </c>
      <c r="K110" s="13" t="s">
        <v>215</v>
      </c>
      <c r="L110" s="13" t="s">
        <v>215</v>
      </c>
      <c r="M110" s="13" t="s">
        <v>215</v>
      </c>
      <c r="N110" s="13" t="s">
        <v>215</v>
      </c>
      <c r="O110" s="13" t="s">
        <v>215</v>
      </c>
      <c r="P110" s="13" t="s">
        <v>215</v>
      </c>
      <c r="Q110" s="13" t="s">
        <v>215</v>
      </c>
      <c r="R110" s="13" t="s">
        <v>215</v>
      </c>
      <c r="S110" s="13" t="s">
        <v>215</v>
      </c>
      <c r="T110" s="13" t="s">
        <v>215</v>
      </c>
      <c r="U110" s="13" t="s">
        <v>215</v>
      </c>
      <c r="V110" s="13" t="s">
        <v>215</v>
      </c>
      <c r="W110" s="13" t="s">
        <v>215</v>
      </c>
      <c r="X110" s="13" t="s">
        <v>215</v>
      </c>
      <c r="Y110" s="13" t="s">
        <v>215</v>
      </c>
      <c r="Z110" s="13" t="s">
        <v>215</v>
      </c>
      <c r="AA110" s="13" t="s">
        <v>215</v>
      </c>
      <c r="AB110" s="13" t="s">
        <v>215</v>
      </c>
      <c r="AC110" s="13" t="s">
        <v>215</v>
      </c>
      <c r="AD110" s="16" t="s">
        <v>215</v>
      </c>
      <c r="AE110" s="15" t="s">
        <v>215</v>
      </c>
      <c r="AF110" s="13" t="s">
        <v>215</v>
      </c>
      <c r="AG110" s="13" t="s">
        <v>215</v>
      </c>
      <c r="AH110" s="13" t="s">
        <v>215</v>
      </c>
      <c r="AI110" s="13" t="s">
        <v>215</v>
      </c>
      <c r="AJ110" s="13" t="s">
        <v>215</v>
      </c>
      <c r="AK110" s="13" t="s">
        <v>209</v>
      </c>
      <c r="AL110" s="13" t="s">
        <v>215</v>
      </c>
      <c r="AM110" s="13" t="s">
        <v>215</v>
      </c>
      <c r="AN110" s="13" t="s">
        <v>215</v>
      </c>
      <c r="AO110" s="13" t="s">
        <v>206</v>
      </c>
      <c r="AP110" s="13" t="s">
        <v>215</v>
      </c>
      <c r="AQ110" s="13" t="s">
        <v>215</v>
      </c>
      <c r="AR110" s="13" t="s">
        <v>215</v>
      </c>
      <c r="AS110" s="13" t="s">
        <v>215</v>
      </c>
      <c r="AT110" s="13" t="s">
        <v>215</v>
      </c>
      <c r="AU110" s="13" t="s">
        <v>215</v>
      </c>
      <c r="AV110" s="13" t="s">
        <v>215</v>
      </c>
      <c r="AW110" s="13" t="s">
        <v>215</v>
      </c>
      <c r="AX110" s="13" t="s">
        <v>215</v>
      </c>
      <c r="AY110" s="13" t="s">
        <v>215</v>
      </c>
      <c r="AZ110" s="13" t="s">
        <v>215</v>
      </c>
      <c r="BA110" s="13" t="s">
        <v>215</v>
      </c>
      <c r="BB110" s="13" t="s">
        <v>215</v>
      </c>
      <c r="BC110" s="13" t="s">
        <v>215</v>
      </c>
      <c r="BD110" s="16" t="s">
        <v>215</v>
      </c>
      <c r="BE110" s="15" t="s">
        <v>215</v>
      </c>
      <c r="BF110" s="13" t="s">
        <v>215</v>
      </c>
      <c r="BG110" s="13" t="s">
        <v>215</v>
      </c>
      <c r="BH110" s="13" t="s">
        <v>215</v>
      </c>
      <c r="BI110" s="13" t="s">
        <v>215</v>
      </c>
      <c r="BJ110" s="16" t="s">
        <v>215</v>
      </c>
      <c r="BK110" s="15" t="s">
        <v>215</v>
      </c>
      <c r="BL110" s="13" t="s">
        <v>215</v>
      </c>
      <c r="BM110" s="13" t="s">
        <v>215</v>
      </c>
      <c r="BN110" s="13" t="s">
        <v>215</v>
      </c>
      <c r="BO110" s="13" t="s">
        <v>209</v>
      </c>
      <c r="BP110" s="13" t="s">
        <v>215</v>
      </c>
      <c r="BQ110" s="13" t="s">
        <v>215</v>
      </c>
      <c r="BR110" s="13" t="s">
        <v>215</v>
      </c>
      <c r="BS110" s="13" t="s">
        <v>215</v>
      </c>
      <c r="BT110" s="13" t="s">
        <v>215</v>
      </c>
      <c r="BU110" s="13" t="s">
        <v>215</v>
      </c>
      <c r="BV110" s="13" t="s">
        <v>215</v>
      </c>
      <c r="BW110" s="16" t="s">
        <v>215</v>
      </c>
      <c r="BX110" s="15" t="s">
        <v>215</v>
      </c>
      <c r="BY110" s="13" t="s">
        <v>215</v>
      </c>
      <c r="BZ110" s="16" t="s">
        <v>215</v>
      </c>
      <c r="CA110" s="81" t="s">
        <v>215</v>
      </c>
      <c r="CB110" s="13" t="s">
        <v>215</v>
      </c>
      <c r="CC110" s="13" t="s">
        <v>215</v>
      </c>
      <c r="CD110" s="16" t="s">
        <v>215</v>
      </c>
      <c r="CE110" s="16" t="s">
        <v>215</v>
      </c>
    </row>
    <row r="111" spans="5:83" x14ac:dyDescent="0.35">
      <c r="E111" s="79" t="s">
        <v>400</v>
      </c>
      <c r="F111" s="116" t="s">
        <v>116</v>
      </c>
      <c r="G111" s="116" t="s">
        <v>272</v>
      </c>
      <c r="H111" s="15" t="s">
        <v>215</v>
      </c>
      <c r="I111" s="13" t="s">
        <v>215</v>
      </c>
      <c r="J111" s="13" t="s">
        <v>206</v>
      </c>
      <c r="K111" s="13" t="s">
        <v>215</v>
      </c>
      <c r="L111" s="13" t="s">
        <v>215</v>
      </c>
      <c r="M111" s="13" t="s">
        <v>215</v>
      </c>
      <c r="N111" s="13" t="s">
        <v>215</v>
      </c>
      <c r="O111" s="13" t="s">
        <v>215</v>
      </c>
      <c r="P111" s="13" t="s">
        <v>215</v>
      </c>
      <c r="Q111" s="13" t="s">
        <v>215</v>
      </c>
      <c r="R111" s="13" t="s">
        <v>215</v>
      </c>
      <c r="S111" s="13" t="s">
        <v>215</v>
      </c>
      <c r="T111" s="13" t="s">
        <v>215</v>
      </c>
      <c r="U111" s="13" t="s">
        <v>215</v>
      </c>
      <c r="V111" s="13" t="s">
        <v>215</v>
      </c>
      <c r="W111" s="13" t="s">
        <v>215</v>
      </c>
      <c r="X111" s="13" t="s">
        <v>215</v>
      </c>
      <c r="Y111" s="13" t="s">
        <v>215</v>
      </c>
      <c r="Z111" s="13" t="s">
        <v>215</v>
      </c>
      <c r="AA111" s="13" t="s">
        <v>215</v>
      </c>
      <c r="AB111" s="13" t="s">
        <v>215</v>
      </c>
      <c r="AC111" s="13" t="s">
        <v>215</v>
      </c>
      <c r="AD111" s="16" t="s">
        <v>215</v>
      </c>
      <c r="AE111" s="15" t="s">
        <v>215</v>
      </c>
      <c r="AF111" s="13" t="s">
        <v>215</v>
      </c>
      <c r="AG111" s="13" t="s">
        <v>215</v>
      </c>
      <c r="AH111" s="13" t="s">
        <v>215</v>
      </c>
      <c r="AI111" s="13" t="s">
        <v>215</v>
      </c>
      <c r="AJ111" s="13" t="s">
        <v>215</v>
      </c>
      <c r="AK111" s="13" t="s">
        <v>215</v>
      </c>
      <c r="AL111" s="13" t="s">
        <v>215</v>
      </c>
      <c r="AM111" s="13" t="s">
        <v>215</v>
      </c>
      <c r="AN111" s="13" t="s">
        <v>215</v>
      </c>
      <c r="AO111" s="13" t="s">
        <v>209</v>
      </c>
      <c r="AP111" s="13" t="s">
        <v>215</v>
      </c>
      <c r="AQ111" s="13" t="s">
        <v>215</v>
      </c>
      <c r="AR111" s="13" t="s">
        <v>215</v>
      </c>
      <c r="AS111" s="13" t="s">
        <v>215</v>
      </c>
      <c r="AT111" s="13" t="s">
        <v>215</v>
      </c>
      <c r="AU111" s="13" t="s">
        <v>215</v>
      </c>
      <c r="AV111" s="13" t="s">
        <v>215</v>
      </c>
      <c r="AW111" s="13" t="s">
        <v>215</v>
      </c>
      <c r="AX111" s="13" t="s">
        <v>215</v>
      </c>
      <c r="AY111" s="13" t="s">
        <v>215</v>
      </c>
      <c r="AZ111" s="13" t="s">
        <v>215</v>
      </c>
      <c r="BA111" s="13" t="s">
        <v>215</v>
      </c>
      <c r="BB111" s="13" t="s">
        <v>215</v>
      </c>
      <c r="BC111" s="13" t="s">
        <v>215</v>
      </c>
      <c r="BD111" s="16" t="s">
        <v>215</v>
      </c>
      <c r="BE111" s="15" t="s">
        <v>215</v>
      </c>
      <c r="BF111" s="13" t="s">
        <v>215</v>
      </c>
      <c r="BG111" s="13" t="s">
        <v>215</v>
      </c>
      <c r="BH111" s="13" t="s">
        <v>209</v>
      </c>
      <c r="BI111" s="13" t="s">
        <v>215</v>
      </c>
      <c r="BJ111" s="16" t="s">
        <v>215</v>
      </c>
      <c r="BK111" s="15" t="s">
        <v>215</v>
      </c>
      <c r="BL111" s="13" t="s">
        <v>215</v>
      </c>
      <c r="BM111" s="13" t="s">
        <v>215</v>
      </c>
      <c r="BN111" s="13" t="s">
        <v>215</v>
      </c>
      <c r="BO111" s="13" t="s">
        <v>215</v>
      </c>
      <c r="BP111" s="13" t="s">
        <v>215</v>
      </c>
      <c r="BQ111" s="13" t="s">
        <v>215</v>
      </c>
      <c r="BR111" s="13" t="s">
        <v>215</v>
      </c>
      <c r="BS111" s="13" t="s">
        <v>215</v>
      </c>
      <c r="BT111" s="13" t="s">
        <v>215</v>
      </c>
      <c r="BU111" s="13" t="s">
        <v>215</v>
      </c>
      <c r="BV111" s="13" t="s">
        <v>215</v>
      </c>
      <c r="BW111" s="16" t="s">
        <v>215</v>
      </c>
      <c r="BX111" s="15" t="s">
        <v>215</v>
      </c>
      <c r="BY111" s="13" t="s">
        <v>215</v>
      </c>
      <c r="BZ111" s="16" t="s">
        <v>215</v>
      </c>
      <c r="CA111" s="81" t="s">
        <v>215</v>
      </c>
      <c r="CB111" s="13" t="s">
        <v>215</v>
      </c>
      <c r="CC111" s="13" t="s">
        <v>215</v>
      </c>
      <c r="CD111" s="16" t="s">
        <v>215</v>
      </c>
      <c r="CE111" s="16" t="s">
        <v>215</v>
      </c>
    </row>
    <row r="112" spans="5:83" x14ac:dyDescent="0.35">
      <c r="E112" s="79" t="s">
        <v>401</v>
      </c>
      <c r="F112" s="116" t="s">
        <v>129</v>
      </c>
      <c r="G112" s="116" t="s">
        <v>273</v>
      </c>
      <c r="H112" s="15" t="s">
        <v>215</v>
      </c>
      <c r="I112" s="13" t="s">
        <v>215</v>
      </c>
      <c r="J112" s="13" t="s">
        <v>215</v>
      </c>
      <c r="K112" s="13" t="s">
        <v>215</v>
      </c>
      <c r="L112" s="13" t="s">
        <v>215</v>
      </c>
      <c r="M112" s="13" t="s">
        <v>215</v>
      </c>
      <c r="N112" s="13" t="s">
        <v>215</v>
      </c>
      <c r="O112" s="13" t="s">
        <v>206</v>
      </c>
      <c r="P112" s="13" t="s">
        <v>215</v>
      </c>
      <c r="Q112" s="13" t="s">
        <v>215</v>
      </c>
      <c r="R112" s="13" t="s">
        <v>215</v>
      </c>
      <c r="S112" s="13" t="s">
        <v>215</v>
      </c>
      <c r="T112" s="13" t="s">
        <v>206</v>
      </c>
      <c r="U112" s="13" t="s">
        <v>215</v>
      </c>
      <c r="V112" s="13" t="s">
        <v>215</v>
      </c>
      <c r="W112" s="13" t="s">
        <v>215</v>
      </c>
      <c r="X112" s="13" t="s">
        <v>215</v>
      </c>
      <c r="Y112" s="13" t="s">
        <v>215</v>
      </c>
      <c r="Z112" s="13" t="s">
        <v>215</v>
      </c>
      <c r="AA112" s="13" t="s">
        <v>215</v>
      </c>
      <c r="AB112" s="13" t="s">
        <v>215</v>
      </c>
      <c r="AC112" s="13" t="s">
        <v>215</v>
      </c>
      <c r="AD112" s="16" t="s">
        <v>215</v>
      </c>
      <c r="AE112" s="15" t="s">
        <v>215</v>
      </c>
      <c r="AF112" s="13" t="s">
        <v>215</v>
      </c>
      <c r="AG112" s="13" t="s">
        <v>215</v>
      </c>
      <c r="AH112" s="13" t="s">
        <v>215</v>
      </c>
      <c r="AI112" s="13" t="s">
        <v>206</v>
      </c>
      <c r="AJ112" s="13" t="s">
        <v>206</v>
      </c>
      <c r="AK112" s="13" t="s">
        <v>209</v>
      </c>
      <c r="AL112" s="13" t="s">
        <v>215</v>
      </c>
      <c r="AM112" s="13" t="s">
        <v>215</v>
      </c>
      <c r="AN112" s="13" t="s">
        <v>215</v>
      </c>
      <c r="AO112" s="13" t="s">
        <v>206</v>
      </c>
      <c r="AP112" s="13" t="s">
        <v>215</v>
      </c>
      <c r="AQ112" s="13" t="s">
        <v>215</v>
      </c>
      <c r="AR112" s="13" t="s">
        <v>215</v>
      </c>
      <c r="AS112" s="13" t="s">
        <v>215</v>
      </c>
      <c r="AT112" s="13" t="s">
        <v>215</v>
      </c>
      <c r="AU112" s="13" t="s">
        <v>215</v>
      </c>
      <c r="AV112" s="13" t="s">
        <v>215</v>
      </c>
      <c r="AW112" s="13" t="s">
        <v>215</v>
      </c>
      <c r="AX112" s="13" t="s">
        <v>215</v>
      </c>
      <c r="AY112" s="13" t="s">
        <v>215</v>
      </c>
      <c r="AZ112" s="13" t="s">
        <v>215</v>
      </c>
      <c r="BA112" s="13" t="s">
        <v>209</v>
      </c>
      <c r="BB112" s="13" t="s">
        <v>215</v>
      </c>
      <c r="BC112" s="13" t="s">
        <v>215</v>
      </c>
      <c r="BD112" s="16" t="s">
        <v>215</v>
      </c>
      <c r="BE112" s="15" t="s">
        <v>215</v>
      </c>
      <c r="BF112" s="13" t="s">
        <v>209</v>
      </c>
      <c r="BG112" s="13" t="s">
        <v>215</v>
      </c>
      <c r="BH112" s="13" t="s">
        <v>209</v>
      </c>
      <c r="BI112" s="13" t="s">
        <v>215</v>
      </c>
      <c r="BJ112" s="16" t="s">
        <v>215</v>
      </c>
      <c r="BK112" s="15" t="s">
        <v>215</v>
      </c>
      <c r="BL112" s="13" t="s">
        <v>215</v>
      </c>
      <c r="BM112" s="13" t="s">
        <v>215</v>
      </c>
      <c r="BN112" s="13" t="s">
        <v>215</v>
      </c>
      <c r="BO112" s="13" t="s">
        <v>209</v>
      </c>
      <c r="BP112" s="13" t="s">
        <v>215</v>
      </c>
      <c r="BQ112" s="13" t="s">
        <v>215</v>
      </c>
      <c r="BR112" s="13" t="s">
        <v>215</v>
      </c>
      <c r="BS112" s="13" t="s">
        <v>215</v>
      </c>
      <c r="BT112" s="13" t="s">
        <v>215</v>
      </c>
      <c r="BU112" s="13" t="s">
        <v>215</v>
      </c>
      <c r="BV112" s="13" t="s">
        <v>215</v>
      </c>
      <c r="BW112" s="16" t="s">
        <v>215</v>
      </c>
      <c r="BX112" s="15" t="s">
        <v>215</v>
      </c>
      <c r="BY112" s="13" t="s">
        <v>215</v>
      </c>
      <c r="BZ112" s="16" t="s">
        <v>215</v>
      </c>
      <c r="CA112" s="81" t="s">
        <v>215</v>
      </c>
      <c r="CB112" s="13" t="s">
        <v>215</v>
      </c>
      <c r="CC112" s="13" t="s">
        <v>215</v>
      </c>
      <c r="CD112" s="16" t="s">
        <v>215</v>
      </c>
      <c r="CE112" s="16" t="s">
        <v>215</v>
      </c>
    </row>
    <row r="113" spans="5:83" x14ac:dyDescent="0.35">
      <c r="E113" s="79" t="s">
        <v>402</v>
      </c>
      <c r="F113" s="116" t="s">
        <v>58</v>
      </c>
      <c r="G113" s="116" t="s">
        <v>274</v>
      </c>
      <c r="H113" s="15" t="s">
        <v>215</v>
      </c>
      <c r="I113" s="13" t="s">
        <v>215</v>
      </c>
      <c r="J113" s="13" t="s">
        <v>215</v>
      </c>
      <c r="K113" s="13" t="s">
        <v>215</v>
      </c>
      <c r="L113" s="13" t="s">
        <v>215</v>
      </c>
      <c r="M113" s="13" t="s">
        <v>215</v>
      </c>
      <c r="N113" s="13" t="s">
        <v>215</v>
      </c>
      <c r="O113" s="13" t="s">
        <v>215</v>
      </c>
      <c r="P113" s="13" t="s">
        <v>215</v>
      </c>
      <c r="Q113" s="13" t="s">
        <v>215</v>
      </c>
      <c r="R113" s="13" t="s">
        <v>215</v>
      </c>
      <c r="S113" s="13" t="s">
        <v>215</v>
      </c>
      <c r="T113" s="13" t="s">
        <v>215</v>
      </c>
      <c r="U113" s="13" t="s">
        <v>215</v>
      </c>
      <c r="V113" s="13" t="s">
        <v>215</v>
      </c>
      <c r="W113" s="13" t="s">
        <v>215</v>
      </c>
      <c r="X113" s="13" t="s">
        <v>215</v>
      </c>
      <c r="Y113" s="13" t="s">
        <v>215</v>
      </c>
      <c r="Z113" s="13" t="s">
        <v>215</v>
      </c>
      <c r="AA113" s="13" t="s">
        <v>215</v>
      </c>
      <c r="AB113" s="13" t="s">
        <v>215</v>
      </c>
      <c r="AC113" s="13" t="s">
        <v>215</v>
      </c>
      <c r="AD113" s="16" t="s">
        <v>215</v>
      </c>
      <c r="AE113" s="15" t="s">
        <v>215</v>
      </c>
      <c r="AF113" s="13" t="s">
        <v>215</v>
      </c>
      <c r="AG113" s="13" t="s">
        <v>215</v>
      </c>
      <c r="AH113" s="13" t="s">
        <v>215</v>
      </c>
      <c r="AI113" s="13" t="s">
        <v>215</v>
      </c>
      <c r="AJ113" s="13" t="s">
        <v>215</v>
      </c>
      <c r="AK113" s="13" t="s">
        <v>215</v>
      </c>
      <c r="AL113" s="13" t="s">
        <v>215</v>
      </c>
      <c r="AM113" s="13" t="s">
        <v>215</v>
      </c>
      <c r="AN113" s="13" t="s">
        <v>215</v>
      </c>
      <c r="AO113" s="13" t="s">
        <v>215</v>
      </c>
      <c r="AP113" s="13" t="s">
        <v>215</v>
      </c>
      <c r="AQ113" s="13" t="s">
        <v>215</v>
      </c>
      <c r="AR113" s="13" t="s">
        <v>215</v>
      </c>
      <c r="AS113" s="13" t="s">
        <v>215</v>
      </c>
      <c r="AT113" s="13" t="s">
        <v>215</v>
      </c>
      <c r="AU113" s="13" t="s">
        <v>215</v>
      </c>
      <c r="AV113" s="13" t="s">
        <v>215</v>
      </c>
      <c r="AW113" s="13" t="s">
        <v>215</v>
      </c>
      <c r="AX113" s="13" t="s">
        <v>215</v>
      </c>
      <c r="AY113" s="13" t="s">
        <v>215</v>
      </c>
      <c r="AZ113" s="13" t="s">
        <v>215</v>
      </c>
      <c r="BA113" s="13" t="s">
        <v>215</v>
      </c>
      <c r="BB113" s="13" t="s">
        <v>215</v>
      </c>
      <c r="BC113" s="13" t="s">
        <v>215</v>
      </c>
      <c r="BD113" s="16" t="s">
        <v>215</v>
      </c>
      <c r="BE113" s="15" t="s">
        <v>215</v>
      </c>
      <c r="BF113" s="13" t="s">
        <v>215</v>
      </c>
      <c r="BG113" s="13" t="s">
        <v>215</v>
      </c>
      <c r="BH113" s="13" t="s">
        <v>215</v>
      </c>
      <c r="BI113" s="13" t="s">
        <v>215</v>
      </c>
      <c r="BJ113" s="16" t="s">
        <v>215</v>
      </c>
      <c r="BK113" s="15" t="s">
        <v>215</v>
      </c>
      <c r="BL113" s="13" t="s">
        <v>215</v>
      </c>
      <c r="BM113" s="13" t="s">
        <v>215</v>
      </c>
      <c r="BN113" s="13" t="s">
        <v>215</v>
      </c>
      <c r="BO113" s="13" t="s">
        <v>215</v>
      </c>
      <c r="BP113" s="13" t="s">
        <v>215</v>
      </c>
      <c r="BQ113" s="13" t="s">
        <v>215</v>
      </c>
      <c r="BR113" s="13" t="s">
        <v>215</v>
      </c>
      <c r="BS113" s="13" t="s">
        <v>215</v>
      </c>
      <c r="BT113" s="13" t="s">
        <v>215</v>
      </c>
      <c r="BU113" s="13" t="s">
        <v>215</v>
      </c>
      <c r="BV113" s="13" t="s">
        <v>215</v>
      </c>
      <c r="BW113" s="16" t="s">
        <v>215</v>
      </c>
      <c r="BX113" s="15" t="s">
        <v>215</v>
      </c>
      <c r="BY113" s="13" t="s">
        <v>215</v>
      </c>
      <c r="BZ113" s="16" t="s">
        <v>215</v>
      </c>
      <c r="CA113" s="81" t="s">
        <v>215</v>
      </c>
      <c r="CB113" s="13" t="s">
        <v>215</v>
      </c>
      <c r="CC113" s="13" t="s">
        <v>215</v>
      </c>
      <c r="CD113" s="16" t="s">
        <v>215</v>
      </c>
      <c r="CE113" s="16" t="s">
        <v>215</v>
      </c>
    </row>
    <row r="114" spans="5:83" x14ac:dyDescent="0.35">
      <c r="E114" s="79" t="s">
        <v>403</v>
      </c>
      <c r="F114" s="116" t="s">
        <v>73</v>
      </c>
      <c r="G114" s="116" t="s">
        <v>273</v>
      </c>
      <c r="H114" s="15" t="s">
        <v>215</v>
      </c>
      <c r="I114" s="13" t="s">
        <v>215</v>
      </c>
      <c r="J114" s="13" t="s">
        <v>215</v>
      </c>
      <c r="K114" s="13" t="s">
        <v>215</v>
      </c>
      <c r="L114" s="13" t="s">
        <v>215</v>
      </c>
      <c r="M114" s="13" t="s">
        <v>215</v>
      </c>
      <c r="N114" s="13" t="s">
        <v>215</v>
      </c>
      <c r="O114" s="13" t="s">
        <v>215</v>
      </c>
      <c r="P114" s="13" t="s">
        <v>215</v>
      </c>
      <c r="Q114" s="13" t="s">
        <v>215</v>
      </c>
      <c r="R114" s="13" t="s">
        <v>215</v>
      </c>
      <c r="S114" s="13" t="s">
        <v>215</v>
      </c>
      <c r="T114" s="13" t="s">
        <v>206</v>
      </c>
      <c r="U114" s="13" t="s">
        <v>215</v>
      </c>
      <c r="V114" s="13" t="s">
        <v>215</v>
      </c>
      <c r="W114" s="13" t="s">
        <v>215</v>
      </c>
      <c r="X114" s="13" t="s">
        <v>215</v>
      </c>
      <c r="Y114" s="13" t="s">
        <v>215</v>
      </c>
      <c r="Z114" s="13" t="s">
        <v>215</v>
      </c>
      <c r="AA114" s="13" t="s">
        <v>215</v>
      </c>
      <c r="AB114" s="13" t="s">
        <v>215</v>
      </c>
      <c r="AC114" s="13" t="s">
        <v>215</v>
      </c>
      <c r="AD114" s="16" t="s">
        <v>215</v>
      </c>
      <c r="AE114" s="15" t="s">
        <v>215</v>
      </c>
      <c r="AF114" s="13" t="s">
        <v>206</v>
      </c>
      <c r="AG114" s="13" t="s">
        <v>215</v>
      </c>
      <c r="AH114" s="13" t="s">
        <v>215</v>
      </c>
      <c r="AI114" s="13" t="s">
        <v>215</v>
      </c>
      <c r="AJ114" s="13" t="s">
        <v>215</v>
      </c>
      <c r="AK114" s="13" t="s">
        <v>209</v>
      </c>
      <c r="AL114" s="13" t="s">
        <v>215</v>
      </c>
      <c r="AM114" s="13" t="s">
        <v>215</v>
      </c>
      <c r="AN114" s="13" t="s">
        <v>215</v>
      </c>
      <c r="AO114" s="13" t="s">
        <v>209</v>
      </c>
      <c r="AP114" s="13" t="s">
        <v>215</v>
      </c>
      <c r="AQ114" s="13" t="s">
        <v>215</v>
      </c>
      <c r="AR114" s="13" t="s">
        <v>215</v>
      </c>
      <c r="AS114" s="13" t="s">
        <v>209</v>
      </c>
      <c r="AT114" s="13" t="s">
        <v>215</v>
      </c>
      <c r="AU114" s="13" t="s">
        <v>209</v>
      </c>
      <c r="AV114" s="13" t="s">
        <v>215</v>
      </c>
      <c r="AW114" s="13" t="s">
        <v>215</v>
      </c>
      <c r="AX114" s="13" t="s">
        <v>215</v>
      </c>
      <c r="AY114" s="13" t="s">
        <v>215</v>
      </c>
      <c r="AZ114" s="13" t="s">
        <v>215</v>
      </c>
      <c r="BA114" s="13" t="s">
        <v>215</v>
      </c>
      <c r="BB114" s="13" t="s">
        <v>215</v>
      </c>
      <c r="BC114" s="13" t="s">
        <v>215</v>
      </c>
      <c r="BD114" s="16" t="s">
        <v>215</v>
      </c>
      <c r="BE114" s="15" t="s">
        <v>215</v>
      </c>
      <c r="BF114" s="13" t="s">
        <v>215</v>
      </c>
      <c r="BG114" s="13" t="s">
        <v>215</v>
      </c>
      <c r="BH114" s="13" t="s">
        <v>209</v>
      </c>
      <c r="BI114" s="13" t="s">
        <v>215</v>
      </c>
      <c r="BJ114" s="16" t="s">
        <v>215</v>
      </c>
      <c r="BK114" s="15" t="s">
        <v>215</v>
      </c>
      <c r="BL114" s="13" t="s">
        <v>215</v>
      </c>
      <c r="BM114" s="13" t="s">
        <v>215</v>
      </c>
      <c r="BN114" s="13" t="s">
        <v>215</v>
      </c>
      <c r="BO114" s="13" t="s">
        <v>209</v>
      </c>
      <c r="BP114" s="13" t="s">
        <v>215</v>
      </c>
      <c r="BQ114" s="13" t="s">
        <v>215</v>
      </c>
      <c r="BR114" s="13" t="s">
        <v>215</v>
      </c>
      <c r="BS114" s="13" t="s">
        <v>215</v>
      </c>
      <c r="BT114" s="13" t="s">
        <v>215</v>
      </c>
      <c r="BU114" s="13" t="s">
        <v>215</v>
      </c>
      <c r="BV114" s="13" t="s">
        <v>215</v>
      </c>
      <c r="BW114" s="16" t="s">
        <v>215</v>
      </c>
      <c r="BX114" s="15" t="s">
        <v>215</v>
      </c>
      <c r="BY114" s="13" t="s">
        <v>215</v>
      </c>
      <c r="BZ114" s="16" t="s">
        <v>215</v>
      </c>
      <c r="CA114" s="81" t="s">
        <v>215</v>
      </c>
      <c r="CB114" s="13" t="s">
        <v>215</v>
      </c>
      <c r="CC114" s="13" t="s">
        <v>215</v>
      </c>
      <c r="CD114" s="16" t="s">
        <v>215</v>
      </c>
      <c r="CE114" s="16" t="s">
        <v>215</v>
      </c>
    </row>
    <row r="115" spans="5:83" x14ac:dyDescent="0.35">
      <c r="E115" s="79" t="s">
        <v>404</v>
      </c>
      <c r="F115" s="116" t="s">
        <v>281</v>
      </c>
      <c r="G115" s="116" t="s">
        <v>273</v>
      </c>
      <c r="H115" s="15" t="e">
        <v>#N/A</v>
      </c>
      <c r="I115" s="13" t="e">
        <v>#N/A</v>
      </c>
      <c r="J115" s="13" t="e">
        <v>#N/A</v>
      </c>
      <c r="K115" s="13" t="e">
        <v>#N/A</v>
      </c>
      <c r="L115" s="13" t="e">
        <v>#N/A</v>
      </c>
      <c r="M115" s="13" t="e">
        <v>#N/A</v>
      </c>
      <c r="N115" s="13" t="e">
        <v>#N/A</v>
      </c>
      <c r="O115" s="13" t="e">
        <v>#N/A</v>
      </c>
      <c r="P115" s="13" t="e">
        <v>#N/A</v>
      </c>
      <c r="Q115" s="13" t="e">
        <v>#N/A</v>
      </c>
      <c r="R115" s="13" t="e">
        <v>#N/A</v>
      </c>
      <c r="S115" s="13" t="e">
        <v>#N/A</v>
      </c>
      <c r="T115" s="13" t="e">
        <v>#N/A</v>
      </c>
      <c r="U115" s="13" t="e">
        <v>#N/A</v>
      </c>
      <c r="V115" s="13" t="e">
        <v>#N/A</v>
      </c>
      <c r="W115" s="13" t="e">
        <v>#N/A</v>
      </c>
      <c r="X115" s="13" t="e">
        <v>#N/A</v>
      </c>
      <c r="Y115" s="13" t="e">
        <v>#N/A</v>
      </c>
      <c r="Z115" s="13" t="e">
        <v>#N/A</v>
      </c>
      <c r="AA115" s="13" t="e">
        <v>#N/A</v>
      </c>
      <c r="AB115" s="13" t="e">
        <v>#N/A</v>
      </c>
      <c r="AC115" s="13" t="e">
        <v>#N/A</v>
      </c>
      <c r="AD115" s="16" t="e">
        <v>#N/A</v>
      </c>
      <c r="AE115" s="15" t="e">
        <v>#N/A</v>
      </c>
      <c r="AF115" s="13" t="e">
        <v>#N/A</v>
      </c>
      <c r="AG115" s="13" t="e">
        <v>#N/A</v>
      </c>
      <c r="AH115" s="13" t="e">
        <v>#N/A</v>
      </c>
      <c r="AI115" s="13" t="e">
        <v>#N/A</v>
      </c>
      <c r="AJ115" s="13" t="e">
        <v>#N/A</v>
      </c>
      <c r="AK115" s="13" t="e">
        <v>#N/A</v>
      </c>
      <c r="AL115" s="13" t="e">
        <v>#N/A</v>
      </c>
      <c r="AM115" s="13" t="e">
        <v>#N/A</v>
      </c>
      <c r="AN115" s="13" t="e">
        <v>#N/A</v>
      </c>
      <c r="AO115" s="13" t="e">
        <v>#N/A</v>
      </c>
      <c r="AP115" s="13" t="e">
        <v>#N/A</v>
      </c>
      <c r="AQ115" s="13" t="e">
        <v>#N/A</v>
      </c>
      <c r="AR115" s="13" t="e">
        <v>#N/A</v>
      </c>
      <c r="AS115" s="13" t="e">
        <v>#N/A</v>
      </c>
      <c r="AT115" s="13" t="e">
        <v>#N/A</v>
      </c>
      <c r="AU115" s="13" t="e">
        <v>#N/A</v>
      </c>
      <c r="AV115" s="13" t="e">
        <v>#N/A</v>
      </c>
      <c r="AW115" s="13" t="e">
        <v>#N/A</v>
      </c>
      <c r="AX115" s="13" t="e">
        <v>#N/A</v>
      </c>
      <c r="AY115" s="13" t="e">
        <v>#N/A</v>
      </c>
      <c r="AZ115" s="13" t="e">
        <v>#N/A</v>
      </c>
      <c r="BA115" s="13" t="e">
        <v>#N/A</v>
      </c>
      <c r="BB115" s="13" t="e">
        <v>#N/A</v>
      </c>
      <c r="BC115" s="13" t="e">
        <v>#N/A</v>
      </c>
      <c r="BD115" s="16" t="e">
        <v>#N/A</v>
      </c>
      <c r="BE115" s="15" t="e">
        <v>#N/A</v>
      </c>
      <c r="BF115" s="13" t="e">
        <v>#N/A</v>
      </c>
      <c r="BG115" s="13" t="e">
        <v>#N/A</v>
      </c>
      <c r="BH115" s="13" t="e">
        <v>#N/A</v>
      </c>
      <c r="BI115" s="13" t="e">
        <v>#N/A</v>
      </c>
      <c r="BJ115" s="16" t="e">
        <v>#N/A</v>
      </c>
      <c r="BK115" s="15" t="e">
        <v>#N/A</v>
      </c>
      <c r="BL115" s="13" t="e">
        <v>#N/A</v>
      </c>
      <c r="BM115" s="13" t="e">
        <v>#N/A</v>
      </c>
      <c r="BN115" s="13" t="e">
        <v>#N/A</v>
      </c>
      <c r="BO115" s="13" t="e">
        <v>#N/A</v>
      </c>
      <c r="BP115" s="13" t="e">
        <v>#N/A</v>
      </c>
      <c r="BQ115" s="13" t="e">
        <v>#N/A</v>
      </c>
      <c r="BR115" s="13" t="e">
        <v>#N/A</v>
      </c>
      <c r="BS115" s="13" t="e">
        <v>#N/A</v>
      </c>
      <c r="BT115" s="13" t="e">
        <v>#N/A</v>
      </c>
      <c r="BU115" s="13" t="e">
        <v>#N/A</v>
      </c>
      <c r="BV115" s="13" t="e">
        <v>#N/A</v>
      </c>
      <c r="BW115" s="16" t="e">
        <v>#N/A</v>
      </c>
      <c r="BX115" s="15" t="e">
        <v>#N/A</v>
      </c>
      <c r="BY115" s="13" t="e">
        <v>#N/A</v>
      </c>
      <c r="BZ115" s="16" t="e">
        <v>#N/A</v>
      </c>
      <c r="CA115" s="81" t="e">
        <v>#N/A</v>
      </c>
      <c r="CB115" s="13" t="e">
        <v>#N/A</v>
      </c>
      <c r="CC115" s="13" t="e">
        <v>#N/A</v>
      </c>
      <c r="CD115" s="16" t="e">
        <v>#N/A</v>
      </c>
      <c r="CE115" s="16" t="s">
        <v>215</v>
      </c>
    </row>
    <row r="116" spans="5:83" x14ac:dyDescent="0.35">
      <c r="E116" s="79" t="s">
        <v>405</v>
      </c>
      <c r="F116" s="116" t="s">
        <v>155</v>
      </c>
      <c r="G116" s="116" t="s">
        <v>273</v>
      </c>
      <c r="H116" s="15" t="s">
        <v>215</v>
      </c>
      <c r="I116" s="13" t="s">
        <v>215</v>
      </c>
      <c r="J116" s="13" t="s">
        <v>215</v>
      </c>
      <c r="K116" s="13" t="s">
        <v>215</v>
      </c>
      <c r="L116" s="13" t="s">
        <v>215</v>
      </c>
      <c r="M116" s="13" t="s">
        <v>215</v>
      </c>
      <c r="N116" s="13" t="s">
        <v>215</v>
      </c>
      <c r="O116" s="13" t="s">
        <v>215</v>
      </c>
      <c r="P116" s="13" t="s">
        <v>215</v>
      </c>
      <c r="Q116" s="13" t="s">
        <v>209</v>
      </c>
      <c r="R116" s="13" t="s">
        <v>215</v>
      </c>
      <c r="S116" s="13" t="s">
        <v>215</v>
      </c>
      <c r="T116" s="13" t="s">
        <v>206</v>
      </c>
      <c r="U116" s="13" t="s">
        <v>215</v>
      </c>
      <c r="V116" s="13" t="s">
        <v>215</v>
      </c>
      <c r="W116" s="13" t="s">
        <v>215</v>
      </c>
      <c r="X116" s="13" t="s">
        <v>215</v>
      </c>
      <c r="Y116" s="13" t="s">
        <v>215</v>
      </c>
      <c r="Z116" s="13" t="s">
        <v>215</v>
      </c>
      <c r="AA116" s="13" t="s">
        <v>215</v>
      </c>
      <c r="AB116" s="13" t="s">
        <v>215</v>
      </c>
      <c r="AC116" s="13" t="s">
        <v>209</v>
      </c>
      <c r="AD116" s="16" t="s">
        <v>215</v>
      </c>
      <c r="AE116" s="15" t="s">
        <v>215</v>
      </c>
      <c r="AF116" s="13" t="s">
        <v>206</v>
      </c>
      <c r="AG116" s="13" t="s">
        <v>215</v>
      </c>
      <c r="AH116" s="13" t="s">
        <v>215</v>
      </c>
      <c r="AI116" s="13" t="s">
        <v>209</v>
      </c>
      <c r="AJ116" s="13" t="s">
        <v>215</v>
      </c>
      <c r="AK116" s="13" t="s">
        <v>215</v>
      </c>
      <c r="AL116" s="13" t="s">
        <v>215</v>
      </c>
      <c r="AM116" s="13" t="s">
        <v>215</v>
      </c>
      <c r="AN116" s="13" t="s">
        <v>215</v>
      </c>
      <c r="AO116" s="13" t="s">
        <v>215</v>
      </c>
      <c r="AP116" s="13" t="s">
        <v>215</v>
      </c>
      <c r="AQ116" s="13" t="s">
        <v>215</v>
      </c>
      <c r="AR116" s="13" t="s">
        <v>215</v>
      </c>
      <c r="AS116" s="13" t="s">
        <v>215</v>
      </c>
      <c r="AT116" s="13" t="s">
        <v>215</v>
      </c>
      <c r="AU116" s="13" t="s">
        <v>215</v>
      </c>
      <c r="AV116" s="13" t="s">
        <v>215</v>
      </c>
      <c r="AW116" s="13" t="s">
        <v>215</v>
      </c>
      <c r="AX116" s="13" t="s">
        <v>215</v>
      </c>
      <c r="AY116" s="13" t="s">
        <v>215</v>
      </c>
      <c r="AZ116" s="13" t="s">
        <v>215</v>
      </c>
      <c r="BA116" s="13" t="s">
        <v>215</v>
      </c>
      <c r="BB116" s="13" t="s">
        <v>215</v>
      </c>
      <c r="BC116" s="13" t="s">
        <v>215</v>
      </c>
      <c r="BD116" s="16" t="s">
        <v>215</v>
      </c>
      <c r="BE116" s="15" t="s">
        <v>215</v>
      </c>
      <c r="BF116" s="13" t="s">
        <v>215</v>
      </c>
      <c r="BG116" s="13" t="s">
        <v>215</v>
      </c>
      <c r="BH116" s="13" t="s">
        <v>209</v>
      </c>
      <c r="BI116" s="13" t="s">
        <v>215</v>
      </c>
      <c r="BJ116" s="16" t="s">
        <v>215</v>
      </c>
      <c r="BK116" s="15" t="s">
        <v>215</v>
      </c>
      <c r="BL116" s="13" t="s">
        <v>215</v>
      </c>
      <c r="BM116" s="13" t="s">
        <v>215</v>
      </c>
      <c r="BN116" s="13" t="s">
        <v>215</v>
      </c>
      <c r="BO116" s="13" t="s">
        <v>215</v>
      </c>
      <c r="BP116" s="13" t="s">
        <v>215</v>
      </c>
      <c r="BQ116" s="13" t="s">
        <v>215</v>
      </c>
      <c r="BR116" s="13" t="s">
        <v>215</v>
      </c>
      <c r="BS116" s="13" t="s">
        <v>215</v>
      </c>
      <c r="BT116" s="13" t="s">
        <v>215</v>
      </c>
      <c r="BU116" s="13" t="s">
        <v>215</v>
      </c>
      <c r="BV116" s="13" t="s">
        <v>215</v>
      </c>
      <c r="BW116" s="16" t="s">
        <v>215</v>
      </c>
      <c r="BX116" s="15" t="s">
        <v>215</v>
      </c>
      <c r="BY116" s="13" t="s">
        <v>215</v>
      </c>
      <c r="BZ116" s="16" t="s">
        <v>215</v>
      </c>
      <c r="CA116" s="81" t="s">
        <v>215</v>
      </c>
      <c r="CB116" s="13" t="s">
        <v>215</v>
      </c>
      <c r="CC116" s="13" t="s">
        <v>215</v>
      </c>
      <c r="CD116" s="16" t="s">
        <v>215</v>
      </c>
      <c r="CE116" s="16" t="s">
        <v>215</v>
      </c>
    </row>
    <row r="117" spans="5:83" x14ac:dyDescent="0.35">
      <c r="E117" s="79" t="s">
        <v>406</v>
      </c>
      <c r="F117" s="116" t="s">
        <v>281</v>
      </c>
      <c r="G117" s="116" t="s">
        <v>273</v>
      </c>
      <c r="H117" s="15" t="e">
        <v>#N/A</v>
      </c>
      <c r="I117" s="13" t="e">
        <v>#N/A</v>
      </c>
      <c r="J117" s="13" t="e">
        <v>#N/A</v>
      </c>
      <c r="K117" s="13" t="e">
        <v>#N/A</v>
      </c>
      <c r="L117" s="13" t="e">
        <v>#N/A</v>
      </c>
      <c r="M117" s="13" t="e">
        <v>#N/A</v>
      </c>
      <c r="N117" s="13" t="e">
        <v>#N/A</v>
      </c>
      <c r="O117" s="13" t="e">
        <v>#N/A</v>
      </c>
      <c r="P117" s="13" t="e">
        <v>#N/A</v>
      </c>
      <c r="Q117" s="13" t="e">
        <v>#N/A</v>
      </c>
      <c r="R117" s="13" t="e">
        <v>#N/A</v>
      </c>
      <c r="S117" s="13" t="e">
        <v>#N/A</v>
      </c>
      <c r="T117" s="13" t="e">
        <v>#N/A</v>
      </c>
      <c r="U117" s="13" t="e">
        <v>#N/A</v>
      </c>
      <c r="V117" s="13" t="e">
        <v>#N/A</v>
      </c>
      <c r="W117" s="13" t="e">
        <v>#N/A</v>
      </c>
      <c r="X117" s="13" t="e">
        <v>#N/A</v>
      </c>
      <c r="Y117" s="13" t="e">
        <v>#N/A</v>
      </c>
      <c r="Z117" s="13" t="e">
        <v>#N/A</v>
      </c>
      <c r="AA117" s="13" t="e">
        <v>#N/A</v>
      </c>
      <c r="AB117" s="13" t="e">
        <v>#N/A</v>
      </c>
      <c r="AC117" s="13" t="e">
        <v>#N/A</v>
      </c>
      <c r="AD117" s="16" t="e">
        <v>#N/A</v>
      </c>
      <c r="AE117" s="15" t="e">
        <v>#N/A</v>
      </c>
      <c r="AF117" s="13" t="e">
        <v>#N/A</v>
      </c>
      <c r="AG117" s="13" t="e">
        <v>#N/A</v>
      </c>
      <c r="AH117" s="13" t="e">
        <v>#N/A</v>
      </c>
      <c r="AI117" s="13" t="e">
        <v>#N/A</v>
      </c>
      <c r="AJ117" s="13" t="e">
        <v>#N/A</v>
      </c>
      <c r="AK117" s="13" t="e">
        <v>#N/A</v>
      </c>
      <c r="AL117" s="13" t="e">
        <v>#N/A</v>
      </c>
      <c r="AM117" s="13" t="e">
        <v>#N/A</v>
      </c>
      <c r="AN117" s="13" t="e">
        <v>#N/A</v>
      </c>
      <c r="AO117" s="13" t="e">
        <v>#N/A</v>
      </c>
      <c r="AP117" s="13" t="e">
        <v>#N/A</v>
      </c>
      <c r="AQ117" s="13" t="e">
        <v>#N/A</v>
      </c>
      <c r="AR117" s="13" t="e">
        <v>#N/A</v>
      </c>
      <c r="AS117" s="13" t="e">
        <v>#N/A</v>
      </c>
      <c r="AT117" s="13" t="e">
        <v>#N/A</v>
      </c>
      <c r="AU117" s="13" t="e">
        <v>#N/A</v>
      </c>
      <c r="AV117" s="13" t="e">
        <v>#N/A</v>
      </c>
      <c r="AW117" s="13" t="e">
        <v>#N/A</v>
      </c>
      <c r="AX117" s="13" t="e">
        <v>#N/A</v>
      </c>
      <c r="AY117" s="13" t="e">
        <v>#N/A</v>
      </c>
      <c r="AZ117" s="13" t="e">
        <v>#N/A</v>
      </c>
      <c r="BA117" s="13" t="e">
        <v>#N/A</v>
      </c>
      <c r="BB117" s="13" t="e">
        <v>#N/A</v>
      </c>
      <c r="BC117" s="13" t="e">
        <v>#N/A</v>
      </c>
      <c r="BD117" s="16" t="e">
        <v>#N/A</v>
      </c>
      <c r="BE117" s="15" t="e">
        <v>#N/A</v>
      </c>
      <c r="BF117" s="13" t="e">
        <v>#N/A</v>
      </c>
      <c r="BG117" s="13" t="e">
        <v>#N/A</v>
      </c>
      <c r="BH117" s="13" t="e">
        <v>#N/A</v>
      </c>
      <c r="BI117" s="13" t="e">
        <v>#N/A</v>
      </c>
      <c r="BJ117" s="16" t="e">
        <v>#N/A</v>
      </c>
      <c r="BK117" s="15" t="e">
        <v>#N/A</v>
      </c>
      <c r="BL117" s="13" t="e">
        <v>#N/A</v>
      </c>
      <c r="BM117" s="13" t="e">
        <v>#N/A</v>
      </c>
      <c r="BN117" s="13" t="e">
        <v>#N/A</v>
      </c>
      <c r="BO117" s="13" t="e">
        <v>#N/A</v>
      </c>
      <c r="BP117" s="13" t="e">
        <v>#N/A</v>
      </c>
      <c r="BQ117" s="13" t="e">
        <v>#N/A</v>
      </c>
      <c r="BR117" s="13" t="e">
        <v>#N/A</v>
      </c>
      <c r="BS117" s="13" t="e">
        <v>#N/A</v>
      </c>
      <c r="BT117" s="13" t="e">
        <v>#N/A</v>
      </c>
      <c r="BU117" s="13" t="e">
        <v>#N/A</v>
      </c>
      <c r="BV117" s="13" t="e">
        <v>#N/A</v>
      </c>
      <c r="BW117" s="16" t="e">
        <v>#N/A</v>
      </c>
      <c r="BX117" s="15" t="e">
        <v>#N/A</v>
      </c>
      <c r="BY117" s="13" t="e">
        <v>#N/A</v>
      </c>
      <c r="BZ117" s="16" t="e">
        <v>#N/A</v>
      </c>
      <c r="CA117" s="81" t="e">
        <v>#N/A</v>
      </c>
      <c r="CB117" s="13" t="e">
        <v>#N/A</v>
      </c>
      <c r="CC117" s="13" t="e">
        <v>#N/A</v>
      </c>
      <c r="CD117" s="16" t="e">
        <v>#N/A</v>
      </c>
      <c r="CE117" s="16" t="s">
        <v>215</v>
      </c>
    </row>
    <row r="118" spans="5:83" x14ac:dyDescent="0.35">
      <c r="E118" s="79" t="s">
        <v>407</v>
      </c>
      <c r="F118" s="116" t="s">
        <v>281</v>
      </c>
      <c r="G118" s="116" t="s">
        <v>275</v>
      </c>
      <c r="H118" s="15" t="e">
        <v>#N/A</v>
      </c>
      <c r="I118" s="13" t="e">
        <v>#N/A</v>
      </c>
      <c r="J118" s="13" t="e">
        <v>#N/A</v>
      </c>
      <c r="K118" s="13" t="e">
        <v>#N/A</v>
      </c>
      <c r="L118" s="13" t="e">
        <v>#N/A</v>
      </c>
      <c r="M118" s="13" t="e">
        <v>#N/A</v>
      </c>
      <c r="N118" s="13" t="e">
        <v>#N/A</v>
      </c>
      <c r="O118" s="13" t="e">
        <v>#N/A</v>
      </c>
      <c r="P118" s="13" t="e">
        <v>#N/A</v>
      </c>
      <c r="Q118" s="13" t="e">
        <v>#N/A</v>
      </c>
      <c r="R118" s="13" t="e">
        <v>#N/A</v>
      </c>
      <c r="S118" s="13" t="e">
        <v>#N/A</v>
      </c>
      <c r="T118" s="13" t="e">
        <v>#N/A</v>
      </c>
      <c r="U118" s="13" t="e">
        <v>#N/A</v>
      </c>
      <c r="V118" s="13" t="e">
        <v>#N/A</v>
      </c>
      <c r="W118" s="13" t="e">
        <v>#N/A</v>
      </c>
      <c r="X118" s="13" t="e">
        <v>#N/A</v>
      </c>
      <c r="Y118" s="13" t="e">
        <v>#N/A</v>
      </c>
      <c r="Z118" s="13" t="e">
        <v>#N/A</v>
      </c>
      <c r="AA118" s="13" t="e">
        <v>#N/A</v>
      </c>
      <c r="AB118" s="13" t="e">
        <v>#N/A</v>
      </c>
      <c r="AC118" s="13" t="e">
        <v>#N/A</v>
      </c>
      <c r="AD118" s="16" t="e">
        <v>#N/A</v>
      </c>
      <c r="AE118" s="15" t="e">
        <v>#N/A</v>
      </c>
      <c r="AF118" s="13" t="e">
        <v>#N/A</v>
      </c>
      <c r="AG118" s="13" t="e">
        <v>#N/A</v>
      </c>
      <c r="AH118" s="13" t="e">
        <v>#N/A</v>
      </c>
      <c r="AI118" s="13" t="e">
        <v>#N/A</v>
      </c>
      <c r="AJ118" s="13" t="e">
        <v>#N/A</v>
      </c>
      <c r="AK118" s="13" t="e">
        <v>#N/A</v>
      </c>
      <c r="AL118" s="13" t="e">
        <v>#N/A</v>
      </c>
      <c r="AM118" s="13" t="e">
        <v>#N/A</v>
      </c>
      <c r="AN118" s="13" t="e">
        <v>#N/A</v>
      </c>
      <c r="AO118" s="13" t="e">
        <v>#N/A</v>
      </c>
      <c r="AP118" s="13" t="e">
        <v>#N/A</v>
      </c>
      <c r="AQ118" s="13" t="e">
        <v>#N/A</v>
      </c>
      <c r="AR118" s="13" t="e">
        <v>#N/A</v>
      </c>
      <c r="AS118" s="13" t="e">
        <v>#N/A</v>
      </c>
      <c r="AT118" s="13" t="e">
        <v>#N/A</v>
      </c>
      <c r="AU118" s="13" t="e">
        <v>#N/A</v>
      </c>
      <c r="AV118" s="13" t="e">
        <v>#N/A</v>
      </c>
      <c r="AW118" s="13" t="e">
        <v>#N/A</v>
      </c>
      <c r="AX118" s="13" t="e">
        <v>#N/A</v>
      </c>
      <c r="AY118" s="13" t="e">
        <v>#N/A</v>
      </c>
      <c r="AZ118" s="13" t="e">
        <v>#N/A</v>
      </c>
      <c r="BA118" s="13" t="e">
        <v>#N/A</v>
      </c>
      <c r="BB118" s="13" t="e">
        <v>#N/A</v>
      </c>
      <c r="BC118" s="13" t="e">
        <v>#N/A</v>
      </c>
      <c r="BD118" s="16" t="e">
        <v>#N/A</v>
      </c>
      <c r="BE118" s="15" t="e">
        <v>#N/A</v>
      </c>
      <c r="BF118" s="13" t="e">
        <v>#N/A</v>
      </c>
      <c r="BG118" s="13" t="e">
        <v>#N/A</v>
      </c>
      <c r="BH118" s="13" t="e">
        <v>#N/A</v>
      </c>
      <c r="BI118" s="13" t="e">
        <v>#N/A</v>
      </c>
      <c r="BJ118" s="16" t="e">
        <v>#N/A</v>
      </c>
      <c r="BK118" s="15" t="e">
        <v>#N/A</v>
      </c>
      <c r="BL118" s="13" t="e">
        <v>#N/A</v>
      </c>
      <c r="BM118" s="13" t="e">
        <v>#N/A</v>
      </c>
      <c r="BN118" s="13" t="e">
        <v>#N/A</v>
      </c>
      <c r="BO118" s="13" t="e">
        <v>#N/A</v>
      </c>
      <c r="BP118" s="13" t="e">
        <v>#N/A</v>
      </c>
      <c r="BQ118" s="13" t="e">
        <v>#N/A</v>
      </c>
      <c r="BR118" s="13" t="e">
        <v>#N/A</v>
      </c>
      <c r="BS118" s="13" t="e">
        <v>#N/A</v>
      </c>
      <c r="BT118" s="13" t="e">
        <v>#N/A</v>
      </c>
      <c r="BU118" s="13" t="e">
        <v>#N/A</v>
      </c>
      <c r="BV118" s="13" t="e">
        <v>#N/A</v>
      </c>
      <c r="BW118" s="16" t="e">
        <v>#N/A</v>
      </c>
      <c r="BX118" s="15" t="e">
        <v>#N/A</v>
      </c>
      <c r="BY118" s="13" t="e">
        <v>#N/A</v>
      </c>
      <c r="BZ118" s="16" t="e">
        <v>#N/A</v>
      </c>
      <c r="CA118" s="81" t="e">
        <v>#N/A</v>
      </c>
      <c r="CB118" s="13" t="e">
        <v>#N/A</v>
      </c>
      <c r="CC118" s="13" t="e">
        <v>#N/A</v>
      </c>
      <c r="CD118" s="16" t="e">
        <v>#N/A</v>
      </c>
      <c r="CE118" s="16" t="s">
        <v>215</v>
      </c>
    </row>
    <row r="119" spans="5:83" x14ac:dyDescent="0.35">
      <c r="E119" s="79" t="s">
        <v>408</v>
      </c>
      <c r="F119" s="116" t="s">
        <v>60</v>
      </c>
      <c r="G119" s="116" t="s">
        <v>273</v>
      </c>
      <c r="H119" s="15" t="s">
        <v>215</v>
      </c>
      <c r="I119" s="13" t="s">
        <v>215</v>
      </c>
      <c r="J119" s="13" t="s">
        <v>215</v>
      </c>
      <c r="K119" s="13" t="s">
        <v>206</v>
      </c>
      <c r="L119" s="13" t="s">
        <v>215</v>
      </c>
      <c r="M119" s="13" t="s">
        <v>215</v>
      </c>
      <c r="N119" s="13" t="s">
        <v>215</v>
      </c>
      <c r="O119" s="13" t="s">
        <v>215</v>
      </c>
      <c r="P119" s="13" t="s">
        <v>215</v>
      </c>
      <c r="Q119" s="13" t="s">
        <v>215</v>
      </c>
      <c r="R119" s="13" t="s">
        <v>215</v>
      </c>
      <c r="S119" s="13" t="s">
        <v>215</v>
      </c>
      <c r="T119" s="13" t="s">
        <v>215</v>
      </c>
      <c r="U119" s="13" t="s">
        <v>209</v>
      </c>
      <c r="V119" s="13" t="s">
        <v>215</v>
      </c>
      <c r="W119" s="13" t="s">
        <v>215</v>
      </c>
      <c r="X119" s="13" t="s">
        <v>215</v>
      </c>
      <c r="Y119" s="13" t="s">
        <v>215</v>
      </c>
      <c r="Z119" s="13" t="s">
        <v>215</v>
      </c>
      <c r="AA119" s="13" t="s">
        <v>215</v>
      </c>
      <c r="AB119" s="13" t="s">
        <v>215</v>
      </c>
      <c r="AC119" s="13" t="s">
        <v>215</v>
      </c>
      <c r="AD119" s="16" t="s">
        <v>215</v>
      </c>
      <c r="AE119" s="15" t="s">
        <v>215</v>
      </c>
      <c r="AF119" s="13" t="s">
        <v>215</v>
      </c>
      <c r="AG119" s="13" t="s">
        <v>215</v>
      </c>
      <c r="AH119" s="13" t="s">
        <v>215</v>
      </c>
      <c r="AI119" s="13" t="s">
        <v>215</v>
      </c>
      <c r="AJ119" s="13" t="s">
        <v>215</v>
      </c>
      <c r="AK119" s="13" t="s">
        <v>215</v>
      </c>
      <c r="AL119" s="13" t="s">
        <v>215</v>
      </c>
      <c r="AM119" s="13" t="s">
        <v>215</v>
      </c>
      <c r="AN119" s="13" t="s">
        <v>215</v>
      </c>
      <c r="AO119" s="13" t="s">
        <v>209</v>
      </c>
      <c r="AP119" s="13" t="s">
        <v>215</v>
      </c>
      <c r="AQ119" s="13" t="s">
        <v>215</v>
      </c>
      <c r="AR119" s="13" t="s">
        <v>215</v>
      </c>
      <c r="AS119" s="13" t="s">
        <v>215</v>
      </c>
      <c r="AT119" s="13" t="s">
        <v>215</v>
      </c>
      <c r="AU119" s="13" t="s">
        <v>209</v>
      </c>
      <c r="AV119" s="13" t="s">
        <v>215</v>
      </c>
      <c r="AW119" s="13" t="s">
        <v>215</v>
      </c>
      <c r="AX119" s="13" t="s">
        <v>215</v>
      </c>
      <c r="AY119" s="13" t="s">
        <v>215</v>
      </c>
      <c r="AZ119" s="13" t="s">
        <v>215</v>
      </c>
      <c r="BA119" s="13" t="s">
        <v>215</v>
      </c>
      <c r="BB119" s="13" t="s">
        <v>215</v>
      </c>
      <c r="BC119" s="13" t="s">
        <v>215</v>
      </c>
      <c r="BD119" s="16" t="s">
        <v>215</v>
      </c>
      <c r="BE119" s="15" t="s">
        <v>215</v>
      </c>
      <c r="BF119" s="13" t="s">
        <v>215</v>
      </c>
      <c r="BG119" s="13" t="s">
        <v>215</v>
      </c>
      <c r="BH119" s="13" t="s">
        <v>215</v>
      </c>
      <c r="BI119" s="13" t="s">
        <v>215</v>
      </c>
      <c r="BJ119" s="16" t="s">
        <v>215</v>
      </c>
      <c r="BK119" s="15" t="s">
        <v>215</v>
      </c>
      <c r="BL119" s="13" t="s">
        <v>215</v>
      </c>
      <c r="BM119" s="13" t="s">
        <v>215</v>
      </c>
      <c r="BN119" s="13" t="s">
        <v>215</v>
      </c>
      <c r="BO119" s="13" t="s">
        <v>215</v>
      </c>
      <c r="BP119" s="13" t="s">
        <v>215</v>
      </c>
      <c r="BQ119" s="13" t="s">
        <v>215</v>
      </c>
      <c r="BR119" s="13" t="s">
        <v>215</v>
      </c>
      <c r="BS119" s="13" t="s">
        <v>215</v>
      </c>
      <c r="BT119" s="13" t="s">
        <v>209</v>
      </c>
      <c r="BU119" s="13" t="s">
        <v>215</v>
      </c>
      <c r="BV119" s="13" t="s">
        <v>215</v>
      </c>
      <c r="BW119" s="16" t="s">
        <v>215</v>
      </c>
      <c r="BX119" s="15" t="s">
        <v>215</v>
      </c>
      <c r="BY119" s="13" t="s">
        <v>215</v>
      </c>
      <c r="BZ119" s="16" t="s">
        <v>215</v>
      </c>
      <c r="CA119" s="81" t="s">
        <v>215</v>
      </c>
      <c r="CB119" s="13" t="s">
        <v>215</v>
      </c>
      <c r="CC119" s="13" t="s">
        <v>215</v>
      </c>
      <c r="CD119" s="16" t="s">
        <v>215</v>
      </c>
      <c r="CE119" s="16" t="s">
        <v>209</v>
      </c>
    </row>
    <row r="120" spans="5:83" x14ac:dyDescent="0.35">
      <c r="E120" s="79" t="s">
        <v>409</v>
      </c>
      <c r="F120" s="116" t="s">
        <v>75</v>
      </c>
      <c r="G120" s="116" t="s">
        <v>273</v>
      </c>
      <c r="H120" s="15" t="s">
        <v>215</v>
      </c>
      <c r="I120" s="13" t="s">
        <v>215</v>
      </c>
      <c r="J120" s="13" t="s">
        <v>215</v>
      </c>
      <c r="K120" s="13" t="s">
        <v>206</v>
      </c>
      <c r="L120" s="13" t="s">
        <v>215</v>
      </c>
      <c r="M120" s="13" t="s">
        <v>215</v>
      </c>
      <c r="N120" s="13" t="s">
        <v>215</v>
      </c>
      <c r="O120" s="13" t="s">
        <v>215</v>
      </c>
      <c r="P120" s="13" t="s">
        <v>215</v>
      </c>
      <c r="Q120" s="13" t="s">
        <v>215</v>
      </c>
      <c r="R120" s="13" t="s">
        <v>215</v>
      </c>
      <c r="S120" s="13" t="s">
        <v>215</v>
      </c>
      <c r="T120" s="13" t="s">
        <v>215</v>
      </c>
      <c r="U120" s="13" t="s">
        <v>215</v>
      </c>
      <c r="V120" s="13" t="s">
        <v>215</v>
      </c>
      <c r="W120" s="13" t="s">
        <v>215</v>
      </c>
      <c r="X120" s="13" t="s">
        <v>215</v>
      </c>
      <c r="Y120" s="13" t="s">
        <v>215</v>
      </c>
      <c r="Z120" s="13" t="s">
        <v>215</v>
      </c>
      <c r="AA120" s="13" t="s">
        <v>215</v>
      </c>
      <c r="AB120" s="13" t="s">
        <v>215</v>
      </c>
      <c r="AC120" s="13" t="s">
        <v>215</v>
      </c>
      <c r="AD120" s="16" t="s">
        <v>215</v>
      </c>
      <c r="AE120" s="15" t="s">
        <v>215</v>
      </c>
      <c r="AF120" s="13" t="s">
        <v>215</v>
      </c>
      <c r="AG120" s="13" t="s">
        <v>215</v>
      </c>
      <c r="AH120" s="13" t="s">
        <v>215</v>
      </c>
      <c r="AI120" s="13" t="s">
        <v>215</v>
      </c>
      <c r="AJ120" s="13" t="s">
        <v>215</v>
      </c>
      <c r="AK120" s="13" t="s">
        <v>215</v>
      </c>
      <c r="AL120" s="13" t="s">
        <v>215</v>
      </c>
      <c r="AM120" s="13" t="s">
        <v>215</v>
      </c>
      <c r="AN120" s="13" t="s">
        <v>215</v>
      </c>
      <c r="AO120" s="13" t="s">
        <v>209</v>
      </c>
      <c r="AP120" s="13" t="s">
        <v>215</v>
      </c>
      <c r="AQ120" s="13" t="s">
        <v>206</v>
      </c>
      <c r="AR120" s="13" t="s">
        <v>215</v>
      </c>
      <c r="AS120" s="13" t="s">
        <v>215</v>
      </c>
      <c r="AT120" s="13" t="s">
        <v>215</v>
      </c>
      <c r="AU120" s="13" t="s">
        <v>206</v>
      </c>
      <c r="AV120" s="13" t="s">
        <v>215</v>
      </c>
      <c r="AW120" s="13" t="s">
        <v>215</v>
      </c>
      <c r="AX120" s="13" t="s">
        <v>215</v>
      </c>
      <c r="AY120" s="13" t="s">
        <v>215</v>
      </c>
      <c r="AZ120" s="13" t="s">
        <v>215</v>
      </c>
      <c r="BA120" s="13" t="s">
        <v>215</v>
      </c>
      <c r="BB120" s="13" t="s">
        <v>215</v>
      </c>
      <c r="BC120" s="13" t="s">
        <v>206</v>
      </c>
      <c r="BD120" s="16" t="s">
        <v>215</v>
      </c>
      <c r="BE120" s="15" t="s">
        <v>215</v>
      </c>
      <c r="BF120" s="13" t="s">
        <v>215</v>
      </c>
      <c r="BG120" s="13" t="s">
        <v>206</v>
      </c>
      <c r="BH120" s="13" t="s">
        <v>215</v>
      </c>
      <c r="BI120" s="13" t="s">
        <v>215</v>
      </c>
      <c r="BJ120" s="16" t="s">
        <v>215</v>
      </c>
      <c r="BK120" s="15" t="s">
        <v>215</v>
      </c>
      <c r="BL120" s="13" t="s">
        <v>215</v>
      </c>
      <c r="BM120" s="13" t="s">
        <v>215</v>
      </c>
      <c r="BN120" s="13" t="s">
        <v>215</v>
      </c>
      <c r="BO120" s="13" t="s">
        <v>215</v>
      </c>
      <c r="BP120" s="13" t="s">
        <v>215</v>
      </c>
      <c r="BQ120" s="13" t="s">
        <v>215</v>
      </c>
      <c r="BR120" s="13" t="s">
        <v>215</v>
      </c>
      <c r="BS120" s="13" t="s">
        <v>215</v>
      </c>
      <c r="BT120" s="13" t="s">
        <v>215</v>
      </c>
      <c r="BU120" s="13" t="s">
        <v>215</v>
      </c>
      <c r="BV120" s="13" t="s">
        <v>215</v>
      </c>
      <c r="BW120" s="16" t="s">
        <v>215</v>
      </c>
      <c r="BX120" s="15" t="s">
        <v>209</v>
      </c>
      <c r="BY120" s="13" t="s">
        <v>209</v>
      </c>
      <c r="BZ120" s="16" t="s">
        <v>209</v>
      </c>
      <c r="CA120" s="81" t="s">
        <v>215</v>
      </c>
      <c r="CB120" s="13" t="s">
        <v>215</v>
      </c>
      <c r="CC120" s="13" t="s">
        <v>215</v>
      </c>
      <c r="CD120" s="16" t="s">
        <v>215</v>
      </c>
      <c r="CE120" s="16" t="s">
        <v>215</v>
      </c>
    </row>
    <row r="121" spans="5:83" x14ac:dyDescent="0.35">
      <c r="E121" s="79" t="s">
        <v>410</v>
      </c>
      <c r="F121" s="116" t="s">
        <v>89</v>
      </c>
      <c r="G121" s="116" t="s">
        <v>273</v>
      </c>
      <c r="H121" s="15" t="s">
        <v>215</v>
      </c>
      <c r="I121" s="13" t="s">
        <v>215</v>
      </c>
      <c r="J121" s="13" t="s">
        <v>215</v>
      </c>
      <c r="K121" s="13" t="s">
        <v>206</v>
      </c>
      <c r="L121" s="13" t="s">
        <v>215</v>
      </c>
      <c r="M121" s="13" t="s">
        <v>215</v>
      </c>
      <c r="N121" s="13" t="s">
        <v>215</v>
      </c>
      <c r="O121" s="13" t="s">
        <v>215</v>
      </c>
      <c r="P121" s="13" t="s">
        <v>215</v>
      </c>
      <c r="Q121" s="13" t="s">
        <v>215</v>
      </c>
      <c r="R121" s="13" t="s">
        <v>215</v>
      </c>
      <c r="S121" s="13" t="s">
        <v>215</v>
      </c>
      <c r="T121" s="13" t="s">
        <v>215</v>
      </c>
      <c r="U121" s="13" t="s">
        <v>215</v>
      </c>
      <c r="V121" s="13" t="s">
        <v>215</v>
      </c>
      <c r="W121" s="13" t="s">
        <v>215</v>
      </c>
      <c r="X121" s="13" t="s">
        <v>215</v>
      </c>
      <c r="Y121" s="13" t="s">
        <v>215</v>
      </c>
      <c r="Z121" s="13" t="s">
        <v>215</v>
      </c>
      <c r="AA121" s="13" t="s">
        <v>215</v>
      </c>
      <c r="AB121" s="13" t="s">
        <v>215</v>
      </c>
      <c r="AC121" s="13" t="s">
        <v>215</v>
      </c>
      <c r="AD121" s="16" t="s">
        <v>215</v>
      </c>
      <c r="AE121" s="15" t="s">
        <v>215</v>
      </c>
      <c r="AF121" s="13" t="s">
        <v>215</v>
      </c>
      <c r="AG121" s="13" t="s">
        <v>215</v>
      </c>
      <c r="AH121" s="13" t="s">
        <v>215</v>
      </c>
      <c r="AI121" s="13" t="s">
        <v>215</v>
      </c>
      <c r="AJ121" s="13" t="s">
        <v>215</v>
      </c>
      <c r="AK121" s="13" t="s">
        <v>215</v>
      </c>
      <c r="AL121" s="13" t="s">
        <v>215</v>
      </c>
      <c r="AM121" s="13" t="s">
        <v>215</v>
      </c>
      <c r="AN121" s="13" t="s">
        <v>215</v>
      </c>
      <c r="AO121" s="13" t="s">
        <v>209</v>
      </c>
      <c r="AP121" s="13" t="s">
        <v>215</v>
      </c>
      <c r="AQ121" s="13" t="s">
        <v>206</v>
      </c>
      <c r="AR121" s="13" t="s">
        <v>215</v>
      </c>
      <c r="AS121" s="13" t="s">
        <v>215</v>
      </c>
      <c r="AT121" s="13" t="s">
        <v>215</v>
      </c>
      <c r="AU121" s="13" t="s">
        <v>206</v>
      </c>
      <c r="AV121" s="13" t="s">
        <v>215</v>
      </c>
      <c r="AW121" s="13" t="s">
        <v>215</v>
      </c>
      <c r="AX121" s="13" t="s">
        <v>215</v>
      </c>
      <c r="AY121" s="13" t="s">
        <v>215</v>
      </c>
      <c r="AZ121" s="13" t="s">
        <v>215</v>
      </c>
      <c r="BA121" s="13" t="s">
        <v>215</v>
      </c>
      <c r="BB121" s="13" t="s">
        <v>215</v>
      </c>
      <c r="BC121" s="13" t="s">
        <v>209</v>
      </c>
      <c r="BD121" s="16" t="s">
        <v>215</v>
      </c>
      <c r="BE121" s="15" t="s">
        <v>215</v>
      </c>
      <c r="BF121" s="13" t="s">
        <v>215</v>
      </c>
      <c r="BG121" s="13" t="s">
        <v>215</v>
      </c>
      <c r="BH121" s="13" t="s">
        <v>215</v>
      </c>
      <c r="BI121" s="13" t="s">
        <v>215</v>
      </c>
      <c r="BJ121" s="16" t="s">
        <v>215</v>
      </c>
      <c r="BK121" s="15" t="s">
        <v>215</v>
      </c>
      <c r="BL121" s="13" t="s">
        <v>215</v>
      </c>
      <c r="BM121" s="13" t="s">
        <v>209</v>
      </c>
      <c r="BN121" s="13" t="s">
        <v>215</v>
      </c>
      <c r="BO121" s="13" t="s">
        <v>215</v>
      </c>
      <c r="BP121" s="13" t="s">
        <v>215</v>
      </c>
      <c r="BQ121" s="13" t="s">
        <v>215</v>
      </c>
      <c r="BR121" s="13" t="s">
        <v>215</v>
      </c>
      <c r="BS121" s="13" t="s">
        <v>215</v>
      </c>
      <c r="BT121" s="13" t="s">
        <v>209</v>
      </c>
      <c r="BU121" s="13" t="s">
        <v>215</v>
      </c>
      <c r="BV121" s="13" t="s">
        <v>215</v>
      </c>
      <c r="BW121" s="16" t="s">
        <v>215</v>
      </c>
      <c r="BX121" s="15" t="s">
        <v>209</v>
      </c>
      <c r="BY121" s="13" t="s">
        <v>209</v>
      </c>
      <c r="BZ121" s="16" t="s">
        <v>209</v>
      </c>
      <c r="CA121" s="81" t="s">
        <v>215</v>
      </c>
      <c r="CB121" s="13" t="s">
        <v>215</v>
      </c>
      <c r="CC121" s="13" t="s">
        <v>215</v>
      </c>
      <c r="CD121" s="16" t="s">
        <v>215</v>
      </c>
      <c r="CE121" s="16" t="s">
        <v>206</v>
      </c>
    </row>
    <row r="122" spans="5:83" x14ac:dyDescent="0.35">
      <c r="E122" s="79" t="s">
        <v>411</v>
      </c>
      <c r="F122" s="116" t="s">
        <v>281</v>
      </c>
      <c r="G122" s="116" t="s">
        <v>273</v>
      </c>
      <c r="H122" s="15" t="e">
        <v>#N/A</v>
      </c>
      <c r="I122" s="13" t="e">
        <v>#N/A</v>
      </c>
      <c r="J122" s="13" t="e">
        <v>#N/A</v>
      </c>
      <c r="K122" s="13" t="e">
        <v>#N/A</v>
      </c>
      <c r="L122" s="13" t="e">
        <v>#N/A</v>
      </c>
      <c r="M122" s="13" t="e">
        <v>#N/A</v>
      </c>
      <c r="N122" s="13" t="e">
        <v>#N/A</v>
      </c>
      <c r="O122" s="13" t="e">
        <v>#N/A</v>
      </c>
      <c r="P122" s="13" t="e">
        <v>#N/A</v>
      </c>
      <c r="Q122" s="13" t="e">
        <v>#N/A</v>
      </c>
      <c r="R122" s="13" t="e">
        <v>#N/A</v>
      </c>
      <c r="S122" s="13" t="e">
        <v>#N/A</v>
      </c>
      <c r="T122" s="13" t="e">
        <v>#N/A</v>
      </c>
      <c r="U122" s="13" t="e">
        <v>#N/A</v>
      </c>
      <c r="V122" s="13" t="e">
        <v>#N/A</v>
      </c>
      <c r="W122" s="13" t="e">
        <v>#N/A</v>
      </c>
      <c r="X122" s="13" t="e">
        <v>#N/A</v>
      </c>
      <c r="Y122" s="13" t="e">
        <v>#N/A</v>
      </c>
      <c r="Z122" s="13" t="e">
        <v>#N/A</v>
      </c>
      <c r="AA122" s="13" t="e">
        <v>#N/A</v>
      </c>
      <c r="AB122" s="13" t="e">
        <v>#N/A</v>
      </c>
      <c r="AC122" s="13" t="e">
        <v>#N/A</v>
      </c>
      <c r="AD122" s="16" t="e">
        <v>#N/A</v>
      </c>
      <c r="AE122" s="15" t="e">
        <v>#N/A</v>
      </c>
      <c r="AF122" s="13" t="e">
        <v>#N/A</v>
      </c>
      <c r="AG122" s="13" t="e">
        <v>#N/A</v>
      </c>
      <c r="AH122" s="13" t="e">
        <v>#N/A</v>
      </c>
      <c r="AI122" s="13" t="e">
        <v>#N/A</v>
      </c>
      <c r="AJ122" s="13" t="e">
        <v>#N/A</v>
      </c>
      <c r="AK122" s="13" t="e">
        <v>#N/A</v>
      </c>
      <c r="AL122" s="13" t="e">
        <v>#N/A</v>
      </c>
      <c r="AM122" s="13" t="e">
        <v>#N/A</v>
      </c>
      <c r="AN122" s="13" t="e">
        <v>#N/A</v>
      </c>
      <c r="AO122" s="13" t="e">
        <v>#N/A</v>
      </c>
      <c r="AP122" s="13" t="e">
        <v>#N/A</v>
      </c>
      <c r="AQ122" s="13" t="e">
        <v>#N/A</v>
      </c>
      <c r="AR122" s="13" t="e">
        <v>#N/A</v>
      </c>
      <c r="AS122" s="13" t="e">
        <v>#N/A</v>
      </c>
      <c r="AT122" s="13" t="e">
        <v>#N/A</v>
      </c>
      <c r="AU122" s="13" t="e">
        <v>#N/A</v>
      </c>
      <c r="AV122" s="13" t="e">
        <v>#N/A</v>
      </c>
      <c r="AW122" s="13" t="e">
        <v>#N/A</v>
      </c>
      <c r="AX122" s="13" t="e">
        <v>#N/A</v>
      </c>
      <c r="AY122" s="13" t="e">
        <v>#N/A</v>
      </c>
      <c r="AZ122" s="13" t="e">
        <v>#N/A</v>
      </c>
      <c r="BA122" s="13" t="e">
        <v>#N/A</v>
      </c>
      <c r="BB122" s="13" t="e">
        <v>#N/A</v>
      </c>
      <c r="BC122" s="13" t="e">
        <v>#N/A</v>
      </c>
      <c r="BD122" s="16" t="e">
        <v>#N/A</v>
      </c>
      <c r="BE122" s="15" t="e">
        <v>#N/A</v>
      </c>
      <c r="BF122" s="13" t="e">
        <v>#N/A</v>
      </c>
      <c r="BG122" s="13" t="e">
        <v>#N/A</v>
      </c>
      <c r="BH122" s="13" t="e">
        <v>#N/A</v>
      </c>
      <c r="BI122" s="13" t="e">
        <v>#N/A</v>
      </c>
      <c r="BJ122" s="16" t="e">
        <v>#N/A</v>
      </c>
      <c r="BK122" s="15" t="e">
        <v>#N/A</v>
      </c>
      <c r="BL122" s="13" t="e">
        <v>#N/A</v>
      </c>
      <c r="BM122" s="13" t="e">
        <v>#N/A</v>
      </c>
      <c r="BN122" s="13" t="e">
        <v>#N/A</v>
      </c>
      <c r="BO122" s="13" t="e">
        <v>#N/A</v>
      </c>
      <c r="BP122" s="13" t="e">
        <v>#N/A</v>
      </c>
      <c r="BQ122" s="13" t="e">
        <v>#N/A</v>
      </c>
      <c r="BR122" s="13" t="e">
        <v>#N/A</v>
      </c>
      <c r="BS122" s="13" t="e">
        <v>#N/A</v>
      </c>
      <c r="BT122" s="13" t="e">
        <v>#N/A</v>
      </c>
      <c r="BU122" s="13" t="e">
        <v>#N/A</v>
      </c>
      <c r="BV122" s="13" t="e">
        <v>#N/A</v>
      </c>
      <c r="BW122" s="16" t="e">
        <v>#N/A</v>
      </c>
      <c r="BX122" s="15" t="e">
        <v>#N/A</v>
      </c>
      <c r="BY122" s="13" t="e">
        <v>#N/A</v>
      </c>
      <c r="BZ122" s="16" t="e">
        <v>#N/A</v>
      </c>
      <c r="CA122" s="81" t="e">
        <v>#N/A</v>
      </c>
      <c r="CB122" s="13" t="e">
        <v>#N/A</v>
      </c>
      <c r="CC122" s="13" t="e">
        <v>#N/A</v>
      </c>
      <c r="CD122" s="16" t="e">
        <v>#N/A</v>
      </c>
      <c r="CE122" s="16" t="s">
        <v>215</v>
      </c>
    </row>
    <row r="123" spans="5:83" x14ac:dyDescent="0.35">
      <c r="E123" s="79" t="s">
        <v>412</v>
      </c>
      <c r="F123" s="116" t="s">
        <v>281</v>
      </c>
      <c r="G123" s="116" t="s">
        <v>274</v>
      </c>
      <c r="H123" s="15" t="e">
        <v>#N/A</v>
      </c>
      <c r="I123" s="13" t="e">
        <v>#N/A</v>
      </c>
      <c r="J123" s="13" t="e">
        <v>#N/A</v>
      </c>
      <c r="K123" s="13" t="e">
        <v>#N/A</v>
      </c>
      <c r="L123" s="13" t="e">
        <v>#N/A</v>
      </c>
      <c r="M123" s="13" t="e">
        <v>#N/A</v>
      </c>
      <c r="N123" s="13" t="e">
        <v>#N/A</v>
      </c>
      <c r="O123" s="13" t="e">
        <v>#N/A</v>
      </c>
      <c r="P123" s="13" t="e">
        <v>#N/A</v>
      </c>
      <c r="Q123" s="13" t="e">
        <v>#N/A</v>
      </c>
      <c r="R123" s="13" t="e">
        <v>#N/A</v>
      </c>
      <c r="S123" s="13" t="e">
        <v>#N/A</v>
      </c>
      <c r="T123" s="13" t="e">
        <v>#N/A</v>
      </c>
      <c r="U123" s="13" t="e">
        <v>#N/A</v>
      </c>
      <c r="V123" s="13" t="e">
        <v>#N/A</v>
      </c>
      <c r="W123" s="13" t="e">
        <v>#N/A</v>
      </c>
      <c r="X123" s="13" t="e">
        <v>#N/A</v>
      </c>
      <c r="Y123" s="13" t="e">
        <v>#N/A</v>
      </c>
      <c r="Z123" s="13" t="e">
        <v>#N/A</v>
      </c>
      <c r="AA123" s="13" t="e">
        <v>#N/A</v>
      </c>
      <c r="AB123" s="13" t="e">
        <v>#N/A</v>
      </c>
      <c r="AC123" s="13" t="e">
        <v>#N/A</v>
      </c>
      <c r="AD123" s="16" t="e">
        <v>#N/A</v>
      </c>
      <c r="AE123" s="15" t="e">
        <v>#N/A</v>
      </c>
      <c r="AF123" s="13" t="e">
        <v>#N/A</v>
      </c>
      <c r="AG123" s="13" t="e">
        <v>#N/A</v>
      </c>
      <c r="AH123" s="13" t="e">
        <v>#N/A</v>
      </c>
      <c r="AI123" s="13" t="e">
        <v>#N/A</v>
      </c>
      <c r="AJ123" s="13" t="e">
        <v>#N/A</v>
      </c>
      <c r="AK123" s="13" t="e">
        <v>#N/A</v>
      </c>
      <c r="AL123" s="13" t="e">
        <v>#N/A</v>
      </c>
      <c r="AM123" s="13" t="e">
        <v>#N/A</v>
      </c>
      <c r="AN123" s="13" t="e">
        <v>#N/A</v>
      </c>
      <c r="AO123" s="13" t="e">
        <v>#N/A</v>
      </c>
      <c r="AP123" s="13" t="e">
        <v>#N/A</v>
      </c>
      <c r="AQ123" s="13" t="e">
        <v>#N/A</v>
      </c>
      <c r="AR123" s="13" t="e">
        <v>#N/A</v>
      </c>
      <c r="AS123" s="13" t="e">
        <v>#N/A</v>
      </c>
      <c r="AT123" s="13" t="e">
        <v>#N/A</v>
      </c>
      <c r="AU123" s="13" t="e">
        <v>#N/A</v>
      </c>
      <c r="AV123" s="13" t="e">
        <v>#N/A</v>
      </c>
      <c r="AW123" s="13" t="e">
        <v>#N/A</v>
      </c>
      <c r="AX123" s="13" t="e">
        <v>#N/A</v>
      </c>
      <c r="AY123" s="13" t="e">
        <v>#N/A</v>
      </c>
      <c r="AZ123" s="13" t="e">
        <v>#N/A</v>
      </c>
      <c r="BA123" s="13" t="e">
        <v>#N/A</v>
      </c>
      <c r="BB123" s="13" t="e">
        <v>#N/A</v>
      </c>
      <c r="BC123" s="13" t="e">
        <v>#N/A</v>
      </c>
      <c r="BD123" s="16" t="e">
        <v>#N/A</v>
      </c>
      <c r="BE123" s="15" t="e">
        <v>#N/A</v>
      </c>
      <c r="BF123" s="13" t="e">
        <v>#N/A</v>
      </c>
      <c r="BG123" s="13" t="e">
        <v>#N/A</v>
      </c>
      <c r="BH123" s="13" t="e">
        <v>#N/A</v>
      </c>
      <c r="BI123" s="13" t="e">
        <v>#N/A</v>
      </c>
      <c r="BJ123" s="16" t="e">
        <v>#N/A</v>
      </c>
      <c r="BK123" s="15" t="e">
        <v>#N/A</v>
      </c>
      <c r="BL123" s="13" t="e">
        <v>#N/A</v>
      </c>
      <c r="BM123" s="13" t="e">
        <v>#N/A</v>
      </c>
      <c r="BN123" s="13" t="e">
        <v>#N/A</v>
      </c>
      <c r="BO123" s="13" t="e">
        <v>#N/A</v>
      </c>
      <c r="BP123" s="13" t="e">
        <v>#N/A</v>
      </c>
      <c r="BQ123" s="13" t="e">
        <v>#N/A</v>
      </c>
      <c r="BR123" s="13" t="e">
        <v>#N/A</v>
      </c>
      <c r="BS123" s="13" t="e">
        <v>#N/A</v>
      </c>
      <c r="BT123" s="13" t="e">
        <v>#N/A</v>
      </c>
      <c r="BU123" s="13" t="e">
        <v>#N/A</v>
      </c>
      <c r="BV123" s="13" t="e">
        <v>#N/A</v>
      </c>
      <c r="BW123" s="16" t="e">
        <v>#N/A</v>
      </c>
      <c r="BX123" s="15" t="e">
        <v>#N/A</v>
      </c>
      <c r="BY123" s="13" t="e">
        <v>#N/A</v>
      </c>
      <c r="BZ123" s="16" t="e">
        <v>#N/A</v>
      </c>
      <c r="CA123" s="81" t="e">
        <v>#N/A</v>
      </c>
      <c r="CB123" s="13" t="e">
        <v>#N/A</v>
      </c>
      <c r="CC123" s="13" t="e">
        <v>#N/A</v>
      </c>
      <c r="CD123" s="16" t="e">
        <v>#N/A</v>
      </c>
      <c r="CE123" s="16" t="s">
        <v>215</v>
      </c>
    </row>
    <row r="124" spans="5:83" x14ac:dyDescent="0.35">
      <c r="E124" s="79" t="s">
        <v>413</v>
      </c>
      <c r="F124" s="116" t="s">
        <v>281</v>
      </c>
      <c r="G124" s="116" t="s">
        <v>274</v>
      </c>
      <c r="H124" s="15" t="e">
        <v>#N/A</v>
      </c>
      <c r="I124" s="13" t="e">
        <v>#N/A</v>
      </c>
      <c r="J124" s="13" t="e">
        <v>#N/A</v>
      </c>
      <c r="K124" s="13" t="e">
        <v>#N/A</v>
      </c>
      <c r="L124" s="13" t="e">
        <v>#N/A</v>
      </c>
      <c r="M124" s="13" t="e">
        <v>#N/A</v>
      </c>
      <c r="N124" s="13" t="e">
        <v>#N/A</v>
      </c>
      <c r="O124" s="13" t="e">
        <v>#N/A</v>
      </c>
      <c r="P124" s="13" t="e">
        <v>#N/A</v>
      </c>
      <c r="Q124" s="13" t="e">
        <v>#N/A</v>
      </c>
      <c r="R124" s="13" t="e">
        <v>#N/A</v>
      </c>
      <c r="S124" s="13" t="e">
        <v>#N/A</v>
      </c>
      <c r="T124" s="13" t="e">
        <v>#N/A</v>
      </c>
      <c r="U124" s="13" t="e">
        <v>#N/A</v>
      </c>
      <c r="V124" s="13" t="e">
        <v>#N/A</v>
      </c>
      <c r="W124" s="13" t="e">
        <v>#N/A</v>
      </c>
      <c r="X124" s="13" t="e">
        <v>#N/A</v>
      </c>
      <c r="Y124" s="13" t="e">
        <v>#N/A</v>
      </c>
      <c r="Z124" s="13" t="e">
        <v>#N/A</v>
      </c>
      <c r="AA124" s="13" t="e">
        <v>#N/A</v>
      </c>
      <c r="AB124" s="13" t="e">
        <v>#N/A</v>
      </c>
      <c r="AC124" s="13" t="e">
        <v>#N/A</v>
      </c>
      <c r="AD124" s="16" t="e">
        <v>#N/A</v>
      </c>
      <c r="AE124" s="15" t="e">
        <v>#N/A</v>
      </c>
      <c r="AF124" s="13" t="e">
        <v>#N/A</v>
      </c>
      <c r="AG124" s="13" t="e">
        <v>#N/A</v>
      </c>
      <c r="AH124" s="13" t="e">
        <v>#N/A</v>
      </c>
      <c r="AI124" s="13" t="e">
        <v>#N/A</v>
      </c>
      <c r="AJ124" s="13" t="e">
        <v>#N/A</v>
      </c>
      <c r="AK124" s="13" t="e">
        <v>#N/A</v>
      </c>
      <c r="AL124" s="13" t="e">
        <v>#N/A</v>
      </c>
      <c r="AM124" s="13" t="e">
        <v>#N/A</v>
      </c>
      <c r="AN124" s="13" t="e">
        <v>#N/A</v>
      </c>
      <c r="AO124" s="13" t="e">
        <v>#N/A</v>
      </c>
      <c r="AP124" s="13" t="e">
        <v>#N/A</v>
      </c>
      <c r="AQ124" s="13" t="e">
        <v>#N/A</v>
      </c>
      <c r="AR124" s="13" t="e">
        <v>#N/A</v>
      </c>
      <c r="AS124" s="13" t="e">
        <v>#N/A</v>
      </c>
      <c r="AT124" s="13" t="e">
        <v>#N/A</v>
      </c>
      <c r="AU124" s="13" t="e">
        <v>#N/A</v>
      </c>
      <c r="AV124" s="13" t="e">
        <v>#N/A</v>
      </c>
      <c r="AW124" s="13" t="e">
        <v>#N/A</v>
      </c>
      <c r="AX124" s="13" t="e">
        <v>#N/A</v>
      </c>
      <c r="AY124" s="13" t="e">
        <v>#N/A</v>
      </c>
      <c r="AZ124" s="13" t="e">
        <v>#N/A</v>
      </c>
      <c r="BA124" s="13" t="e">
        <v>#N/A</v>
      </c>
      <c r="BB124" s="13" t="e">
        <v>#N/A</v>
      </c>
      <c r="BC124" s="13" t="e">
        <v>#N/A</v>
      </c>
      <c r="BD124" s="16" t="e">
        <v>#N/A</v>
      </c>
      <c r="BE124" s="15" t="e">
        <v>#N/A</v>
      </c>
      <c r="BF124" s="13" t="e">
        <v>#N/A</v>
      </c>
      <c r="BG124" s="13" t="e">
        <v>#N/A</v>
      </c>
      <c r="BH124" s="13" t="e">
        <v>#N/A</v>
      </c>
      <c r="BI124" s="13" t="e">
        <v>#N/A</v>
      </c>
      <c r="BJ124" s="16" t="e">
        <v>#N/A</v>
      </c>
      <c r="BK124" s="15" t="e">
        <v>#N/A</v>
      </c>
      <c r="BL124" s="13" t="e">
        <v>#N/A</v>
      </c>
      <c r="BM124" s="13" t="e">
        <v>#N/A</v>
      </c>
      <c r="BN124" s="13" t="e">
        <v>#N/A</v>
      </c>
      <c r="BO124" s="13" t="e">
        <v>#N/A</v>
      </c>
      <c r="BP124" s="13" t="e">
        <v>#N/A</v>
      </c>
      <c r="BQ124" s="13" t="e">
        <v>#N/A</v>
      </c>
      <c r="BR124" s="13" t="e">
        <v>#N/A</v>
      </c>
      <c r="BS124" s="13" t="e">
        <v>#N/A</v>
      </c>
      <c r="BT124" s="13" t="e">
        <v>#N/A</v>
      </c>
      <c r="BU124" s="13" t="e">
        <v>#N/A</v>
      </c>
      <c r="BV124" s="13" t="e">
        <v>#N/A</v>
      </c>
      <c r="BW124" s="16" t="e">
        <v>#N/A</v>
      </c>
      <c r="BX124" s="15" t="e">
        <v>#N/A</v>
      </c>
      <c r="BY124" s="13" t="e">
        <v>#N/A</v>
      </c>
      <c r="BZ124" s="16" t="e">
        <v>#N/A</v>
      </c>
      <c r="CA124" s="81" t="e">
        <v>#N/A</v>
      </c>
      <c r="CB124" s="13" t="e">
        <v>#N/A</v>
      </c>
      <c r="CC124" s="13" t="e">
        <v>#N/A</v>
      </c>
      <c r="CD124" s="16" t="e">
        <v>#N/A</v>
      </c>
      <c r="CE124" s="16" t="s">
        <v>215</v>
      </c>
    </row>
    <row r="125" spans="5:83" x14ac:dyDescent="0.35">
      <c r="E125" s="79" t="s">
        <v>414</v>
      </c>
      <c r="F125" s="116" t="s">
        <v>103</v>
      </c>
      <c r="G125" s="116" t="s">
        <v>275</v>
      </c>
      <c r="H125" s="15" t="s">
        <v>215</v>
      </c>
      <c r="I125" s="13" t="s">
        <v>215</v>
      </c>
      <c r="J125" s="13" t="s">
        <v>215</v>
      </c>
      <c r="K125" s="13" t="s">
        <v>215</v>
      </c>
      <c r="L125" s="13" t="s">
        <v>215</v>
      </c>
      <c r="M125" s="13" t="s">
        <v>215</v>
      </c>
      <c r="N125" s="13" t="s">
        <v>215</v>
      </c>
      <c r="O125" s="13" t="s">
        <v>215</v>
      </c>
      <c r="P125" s="13" t="s">
        <v>215</v>
      </c>
      <c r="Q125" s="13" t="s">
        <v>215</v>
      </c>
      <c r="R125" s="13" t="s">
        <v>215</v>
      </c>
      <c r="S125" s="13" t="s">
        <v>215</v>
      </c>
      <c r="T125" s="13" t="s">
        <v>215</v>
      </c>
      <c r="U125" s="13" t="s">
        <v>215</v>
      </c>
      <c r="V125" s="13" t="s">
        <v>215</v>
      </c>
      <c r="W125" s="13" t="s">
        <v>215</v>
      </c>
      <c r="X125" s="13" t="s">
        <v>215</v>
      </c>
      <c r="Y125" s="13" t="s">
        <v>215</v>
      </c>
      <c r="Z125" s="13" t="s">
        <v>215</v>
      </c>
      <c r="AA125" s="13" t="s">
        <v>215</v>
      </c>
      <c r="AB125" s="13" t="s">
        <v>215</v>
      </c>
      <c r="AC125" s="13" t="s">
        <v>215</v>
      </c>
      <c r="AD125" s="16" t="s">
        <v>215</v>
      </c>
      <c r="AE125" s="15" t="s">
        <v>215</v>
      </c>
      <c r="AF125" s="13" t="s">
        <v>215</v>
      </c>
      <c r="AG125" s="13" t="s">
        <v>215</v>
      </c>
      <c r="AH125" s="13" t="s">
        <v>215</v>
      </c>
      <c r="AI125" s="13" t="s">
        <v>215</v>
      </c>
      <c r="AJ125" s="13" t="s">
        <v>215</v>
      </c>
      <c r="AK125" s="13" t="s">
        <v>215</v>
      </c>
      <c r="AL125" s="13" t="s">
        <v>215</v>
      </c>
      <c r="AM125" s="13" t="s">
        <v>215</v>
      </c>
      <c r="AN125" s="13" t="s">
        <v>215</v>
      </c>
      <c r="AO125" s="13" t="s">
        <v>215</v>
      </c>
      <c r="AP125" s="13" t="s">
        <v>215</v>
      </c>
      <c r="AQ125" s="13" t="s">
        <v>215</v>
      </c>
      <c r="AR125" s="13" t="s">
        <v>215</v>
      </c>
      <c r="AS125" s="13" t="s">
        <v>215</v>
      </c>
      <c r="AT125" s="13" t="s">
        <v>215</v>
      </c>
      <c r="AU125" s="13" t="s">
        <v>215</v>
      </c>
      <c r="AV125" s="13" t="s">
        <v>215</v>
      </c>
      <c r="AW125" s="13" t="s">
        <v>215</v>
      </c>
      <c r="AX125" s="13" t="s">
        <v>215</v>
      </c>
      <c r="AY125" s="13" t="s">
        <v>215</v>
      </c>
      <c r="AZ125" s="13" t="s">
        <v>215</v>
      </c>
      <c r="BA125" s="13" t="s">
        <v>215</v>
      </c>
      <c r="BB125" s="13" t="s">
        <v>215</v>
      </c>
      <c r="BC125" s="13" t="s">
        <v>215</v>
      </c>
      <c r="BD125" s="16" t="s">
        <v>215</v>
      </c>
      <c r="BE125" s="15" t="s">
        <v>215</v>
      </c>
      <c r="BF125" s="13" t="s">
        <v>215</v>
      </c>
      <c r="BG125" s="13" t="s">
        <v>215</v>
      </c>
      <c r="BH125" s="13" t="s">
        <v>215</v>
      </c>
      <c r="BI125" s="13" t="s">
        <v>215</v>
      </c>
      <c r="BJ125" s="16" t="s">
        <v>215</v>
      </c>
      <c r="BK125" s="15" t="s">
        <v>215</v>
      </c>
      <c r="BL125" s="13" t="s">
        <v>215</v>
      </c>
      <c r="BM125" s="13" t="s">
        <v>215</v>
      </c>
      <c r="BN125" s="13" t="s">
        <v>215</v>
      </c>
      <c r="BO125" s="13" t="s">
        <v>215</v>
      </c>
      <c r="BP125" s="13" t="s">
        <v>215</v>
      </c>
      <c r="BQ125" s="13" t="s">
        <v>215</v>
      </c>
      <c r="BR125" s="13" t="s">
        <v>215</v>
      </c>
      <c r="BS125" s="13" t="s">
        <v>215</v>
      </c>
      <c r="BT125" s="13" t="s">
        <v>215</v>
      </c>
      <c r="BU125" s="13" t="s">
        <v>215</v>
      </c>
      <c r="BV125" s="13" t="s">
        <v>215</v>
      </c>
      <c r="BW125" s="16" t="s">
        <v>215</v>
      </c>
      <c r="BX125" s="15" t="s">
        <v>215</v>
      </c>
      <c r="BY125" s="13" t="s">
        <v>215</v>
      </c>
      <c r="BZ125" s="16" t="s">
        <v>215</v>
      </c>
      <c r="CA125" s="81" t="s">
        <v>215</v>
      </c>
      <c r="CB125" s="13" t="s">
        <v>215</v>
      </c>
      <c r="CC125" s="13" t="s">
        <v>215</v>
      </c>
      <c r="CD125" s="16" t="s">
        <v>215</v>
      </c>
      <c r="CE125" s="16" t="s">
        <v>215</v>
      </c>
    </row>
    <row r="126" spans="5:83" x14ac:dyDescent="0.35">
      <c r="E126" s="79" t="s">
        <v>415</v>
      </c>
      <c r="F126" s="116" t="s">
        <v>281</v>
      </c>
      <c r="G126" s="116" t="s">
        <v>275</v>
      </c>
      <c r="H126" s="15" t="e">
        <v>#N/A</v>
      </c>
      <c r="I126" s="13" t="e">
        <v>#N/A</v>
      </c>
      <c r="J126" s="13" t="e">
        <v>#N/A</v>
      </c>
      <c r="K126" s="13" t="e">
        <v>#N/A</v>
      </c>
      <c r="L126" s="13" t="e">
        <v>#N/A</v>
      </c>
      <c r="M126" s="13" t="e">
        <v>#N/A</v>
      </c>
      <c r="N126" s="13" t="e">
        <v>#N/A</v>
      </c>
      <c r="O126" s="13" t="e">
        <v>#N/A</v>
      </c>
      <c r="P126" s="13" t="e">
        <v>#N/A</v>
      </c>
      <c r="Q126" s="13" t="e">
        <v>#N/A</v>
      </c>
      <c r="R126" s="13" t="e">
        <v>#N/A</v>
      </c>
      <c r="S126" s="13" t="e">
        <v>#N/A</v>
      </c>
      <c r="T126" s="13" t="e">
        <v>#N/A</v>
      </c>
      <c r="U126" s="13" t="e">
        <v>#N/A</v>
      </c>
      <c r="V126" s="13" t="e">
        <v>#N/A</v>
      </c>
      <c r="W126" s="13" t="e">
        <v>#N/A</v>
      </c>
      <c r="X126" s="13" t="e">
        <v>#N/A</v>
      </c>
      <c r="Y126" s="13" t="e">
        <v>#N/A</v>
      </c>
      <c r="Z126" s="13" t="e">
        <v>#N/A</v>
      </c>
      <c r="AA126" s="13" t="e">
        <v>#N/A</v>
      </c>
      <c r="AB126" s="13" t="e">
        <v>#N/A</v>
      </c>
      <c r="AC126" s="13" t="e">
        <v>#N/A</v>
      </c>
      <c r="AD126" s="16" t="e">
        <v>#N/A</v>
      </c>
      <c r="AE126" s="15" t="e">
        <v>#N/A</v>
      </c>
      <c r="AF126" s="13" t="e">
        <v>#N/A</v>
      </c>
      <c r="AG126" s="13" t="e">
        <v>#N/A</v>
      </c>
      <c r="AH126" s="13" t="e">
        <v>#N/A</v>
      </c>
      <c r="AI126" s="13" t="e">
        <v>#N/A</v>
      </c>
      <c r="AJ126" s="13" t="e">
        <v>#N/A</v>
      </c>
      <c r="AK126" s="13" t="e">
        <v>#N/A</v>
      </c>
      <c r="AL126" s="13" t="e">
        <v>#N/A</v>
      </c>
      <c r="AM126" s="13" t="e">
        <v>#N/A</v>
      </c>
      <c r="AN126" s="13" t="e">
        <v>#N/A</v>
      </c>
      <c r="AO126" s="13" t="e">
        <v>#N/A</v>
      </c>
      <c r="AP126" s="13" t="e">
        <v>#N/A</v>
      </c>
      <c r="AQ126" s="13" t="e">
        <v>#N/A</v>
      </c>
      <c r="AR126" s="13" t="e">
        <v>#N/A</v>
      </c>
      <c r="AS126" s="13" t="e">
        <v>#N/A</v>
      </c>
      <c r="AT126" s="13" t="e">
        <v>#N/A</v>
      </c>
      <c r="AU126" s="13" t="e">
        <v>#N/A</v>
      </c>
      <c r="AV126" s="13" t="e">
        <v>#N/A</v>
      </c>
      <c r="AW126" s="13" t="e">
        <v>#N/A</v>
      </c>
      <c r="AX126" s="13" t="e">
        <v>#N/A</v>
      </c>
      <c r="AY126" s="13" t="e">
        <v>#N/A</v>
      </c>
      <c r="AZ126" s="13" t="e">
        <v>#N/A</v>
      </c>
      <c r="BA126" s="13" t="e">
        <v>#N/A</v>
      </c>
      <c r="BB126" s="13" t="e">
        <v>#N/A</v>
      </c>
      <c r="BC126" s="13" t="e">
        <v>#N/A</v>
      </c>
      <c r="BD126" s="16" t="e">
        <v>#N/A</v>
      </c>
      <c r="BE126" s="15" t="e">
        <v>#N/A</v>
      </c>
      <c r="BF126" s="13" t="e">
        <v>#N/A</v>
      </c>
      <c r="BG126" s="13" t="e">
        <v>#N/A</v>
      </c>
      <c r="BH126" s="13" t="e">
        <v>#N/A</v>
      </c>
      <c r="BI126" s="13" t="e">
        <v>#N/A</v>
      </c>
      <c r="BJ126" s="16" t="e">
        <v>#N/A</v>
      </c>
      <c r="BK126" s="15" t="e">
        <v>#N/A</v>
      </c>
      <c r="BL126" s="13" t="e">
        <v>#N/A</v>
      </c>
      <c r="BM126" s="13" t="e">
        <v>#N/A</v>
      </c>
      <c r="BN126" s="13" t="e">
        <v>#N/A</v>
      </c>
      <c r="BO126" s="13" t="e">
        <v>#N/A</v>
      </c>
      <c r="BP126" s="13" t="e">
        <v>#N/A</v>
      </c>
      <c r="BQ126" s="13" t="e">
        <v>#N/A</v>
      </c>
      <c r="BR126" s="13" t="e">
        <v>#N/A</v>
      </c>
      <c r="BS126" s="13" t="e">
        <v>#N/A</v>
      </c>
      <c r="BT126" s="13" t="e">
        <v>#N/A</v>
      </c>
      <c r="BU126" s="13" t="e">
        <v>#N/A</v>
      </c>
      <c r="BV126" s="13" t="e">
        <v>#N/A</v>
      </c>
      <c r="BW126" s="16" t="e">
        <v>#N/A</v>
      </c>
      <c r="BX126" s="15" t="e">
        <v>#N/A</v>
      </c>
      <c r="BY126" s="13" t="e">
        <v>#N/A</v>
      </c>
      <c r="BZ126" s="16" t="e">
        <v>#N/A</v>
      </c>
      <c r="CA126" s="81" t="e">
        <v>#N/A</v>
      </c>
      <c r="CB126" s="13" t="e">
        <v>#N/A</v>
      </c>
      <c r="CC126" s="13" t="e">
        <v>#N/A</v>
      </c>
      <c r="CD126" s="16" t="e">
        <v>#N/A</v>
      </c>
      <c r="CE126" s="16" t="s">
        <v>215</v>
      </c>
    </row>
    <row r="127" spans="5:83" x14ac:dyDescent="0.35">
      <c r="E127" s="79" t="s">
        <v>416</v>
      </c>
      <c r="F127" s="116" t="s">
        <v>117</v>
      </c>
      <c r="G127" s="116" t="s">
        <v>275</v>
      </c>
      <c r="H127" s="15" t="s">
        <v>215</v>
      </c>
      <c r="I127" s="13" t="s">
        <v>215</v>
      </c>
      <c r="J127" s="13" t="s">
        <v>215</v>
      </c>
      <c r="K127" s="13" t="s">
        <v>215</v>
      </c>
      <c r="L127" s="13" t="s">
        <v>215</v>
      </c>
      <c r="M127" s="13" t="s">
        <v>215</v>
      </c>
      <c r="N127" s="13" t="s">
        <v>215</v>
      </c>
      <c r="O127" s="13" t="s">
        <v>215</v>
      </c>
      <c r="P127" s="13" t="s">
        <v>215</v>
      </c>
      <c r="Q127" s="13" t="s">
        <v>215</v>
      </c>
      <c r="R127" s="13" t="s">
        <v>215</v>
      </c>
      <c r="S127" s="13" t="s">
        <v>215</v>
      </c>
      <c r="T127" s="13" t="s">
        <v>215</v>
      </c>
      <c r="U127" s="13" t="s">
        <v>215</v>
      </c>
      <c r="V127" s="13" t="s">
        <v>215</v>
      </c>
      <c r="W127" s="13" t="s">
        <v>215</v>
      </c>
      <c r="X127" s="13" t="s">
        <v>215</v>
      </c>
      <c r="Y127" s="13" t="s">
        <v>215</v>
      </c>
      <c r="Z127" s="13" t="s">
        <v>215</v>
      </c>
      <c r="AA127" s="13" t="s">
        <v>215</v>
      </c>
      <c r="AB127" s="13" t="s">
        <v>215</v>
      </c>
      <c r="AC127" s="13" t="s">
        <v>215</v>
      </c>
      <c r="AD127" s="16" t="s">
        <v>215</v>
      </c>
      <c r="AE127" s="15" t="s">
        <v>215</v>
      </c>
      <c r="AF127" s="13" t="s">
        <v>215</v>
      </c>
      <c r="AG127" s="13" t="s">
        <v>215</v>
      </c>
      <c r="AH127" s="13" t="s">
        <v>215</v>
      </c>
      <c r="AI127" s="13" t="s">
        <v>215</v>
      </c>
      <c r="AJ127" s="13" t="s">
        <v>215</v>
      </c>
      <c r="AK127" s="13" t="s">
        <v>215</v>
      </c>
      <c r="AL127" s="13" t="s">
        <v>215</v>
      </c>
      <c r="AM127" s="13" t="s">
        <v>215</v>
      </c>
      <c r="AN127" s="13" t="s">
        <v>215</v>
      </c>
      <c r="AO127" s="13" t="s">
        <v>215</v>
      </c>
      <c r="AP127" s="13" t="s">
        <v>215</v>
      </c>
      <c r="AQ127" s="13" t="s">
        <v>215</v>
      </c>
      <c r="AR127" s="13" t="s">
        <v>215</v>
      </c>
      <c r="AS127" s="13" t="s">
        <v>215</v>
      </c>
      <c r="AT127" s="13" t="s">
        <v>215</v>
      </c>
      <c r="AU127" s="13" t="s">
        <v>215</v>
      </c>
      <c r="AV127" s="13" t="s">
        <v>215</v>
      </c>
      <c r="AW127" s="13" t="s">
        <v>215</v>
      </c>
      <c r="AX127" s="13" t="s">
        <v>215</v>
      </c>
      <c r="AY127" s="13" t="s">
        <v>215</v>
      </c>
      <c r="AZ127" s="13" t="s">
        <v>215</v>
      </c>
      <c r="BA127" s="13" t="s">
        <v>215</v>
      </c>
      <c r="BB127" s="13" t="s">
        <v>215</v>
      </c>
      <c r="BC127" s="13" t="s">
        <v>215</v>
      </c>
      <c r="BD127" s="16" t="s">
        <v>215</v>
      </c>
      <c r="BE127" s="15" t="s">
        <v>215</v>
      </c>
      <c r="BF127" s="13" t="s">
        <v>215</v>
      </c>
      <c r="BG127" s="13" t="s">
        <v>215</v>
      </c>
      <c r="BH127" s="13" t="s">
        <v>215</v>
      </c>
      <c r="BI127" s="13" t="s">
        <v>215</v>
      </c>
      <c r="BJ127" s="16" t="s">
        <v>215</v>
      </c>
      <c r="BK127" s="15" t="s">
        <v>215</v>
      </c>
      <c r="BL127" s="13" t="s">
        <v>215</v>
      </c>
      <c r="BM127" s="13" t="s">
        <v>215</v>
      </c>
      <c r="BN127" s="13" t="s">
        <v>215</v>
      </c>
      <c r="BO127" s="13" t="s">
        <v>215</v>
      </c>
      <c r="BP127" s="13" t="s">
        <v>215</v>
      </c>
      <c r="BQ127" s="13" t="s">
        <v>215</v>
      </c>
      <c r="BR127" s="13" t="s">
        <v>215</v>
      </c>
      <c r="BS127" s="13" t="s">
        <v>215</v>
      </c>
      <c r="BT127" s="13" t="s">
        <v>215</v>
      </c>
      <c r="BU127" s="13" t="s">
        <v>215</v>
      </c>
      <c r="BV127" s="13" t="s">
        <v>215</v>
      </c>
      <c r="BW127" s="16" t="s">
        <v>215</v>
      </c>
      <c r="BX127" s="15" t="s">
        <v>215</v>
      </c>
      <c r="BY127" s="13" t="s">
        <v>215</v>
      </c>
      <c r="BZ127" s="16" t="s">
        <v>215</v>
      </c>
      <c r="CA127" s="81" t="s">
        <v>215</v>
      </c>
      <c r="CB127" s="13" t="s">
        <v>215</v>
      </c>
      <c r="CC127" s="13" t="s">
        <v>215</v>
      </c>
      <c r="CD127" s="16" t="s">
        <v>215</v>
      </c>
      <c r="CE127" s="16" t="s">
        <v>215</v>
      </c>
    </row>
    <row r="128" spans="5:83" x14ac:dyDescent="0.35">
      <c r="E128" s="79" t="s">
        <v>417</v>
      </c>
      <c r="F128" s="116" t="s">
        <v>281</v>
      </c>
      <c r="G128" s="116" t="s">
        <v>275</v>
      </c>
      <c r="H128" s="15" t="e">
        <v>#N/A</v>
      </c>
      <c r="I128" s="13" t="e">
        <v>#N/A</v>
      </c>
      <c r="J128" s="13" t="e">
        <v>#N/A</v>
      </c>
      <c r="K128" s="13" t="e">
        <v>#N/A</v>
      </c>
      <c r="L128" s="13" t="e">
        <v>#N/A</v>
      </c>
      <c r="M128" s="13" t="e">
        <v>#N/A</v>
      </c>
      <c r="N128" s="13" t="e">
        <v>#N/A</v>
      </c>
      <c r="O128" s="13" t="e">
        <v>#N/A</v>
      </c>
      <c r="P128" s="13" t="e">
        <v>#N/A</v>
      </c>
      <c r="Q128" s="13" t="e">
        <v>#N/A</v>
      </c>
      <c r="R128" s="13" t="e">
        <v>#N/A</v>
      </c>
      <c r="S128" s="13" t="e">
        <v>#N/A</v>
      </c>
      <c r="T128" s="13" t="e">
        <v>#N/A</v>
      </c>
      <c r="U128" s="13" t="e">
        <v>#N/A</v>
      </c>
      <c r="V128" s="13" t="e">
        <v>#N/A</v>
      </c>
      <c r="W128" s="13" t="e">
        <v>#N/A</v>
      </c>
      <c r="X128" s="13" t="e">
        <v>#N/A</v>
      </c>
      <c r="Y128" s="13" t="e">
        <v>#N/A</v>
      </c>
      <c r="Z128" s="13" t="e">
        <v>#N/A</v>
      </c>
      <c r="AA128" s="13" t="e">
        <v>#N/A</v>
      </c>
      <c r="AB128" s="13" t="e">
        <v>#N/A</v>
      </c>
      <c r="AC128" s="13" t="e">
        <v>#N/A</v>
      </c>
      <c r="AD128" s="16" t="e">
        <v>#N/A</v>
      </c>
      <c r="AE128" s="15" t="e">
        <v>#N/A</v>
      </c>
      <c r="AF128" s="13" t="e">
        <v>#N/A</v>
      </c>
      <c r="AG128" s="13" t="e">
        <v>#N/A</v>
      </c>
      <c r="AH128" s="13" t="e">
        <v>#N/A</v>
      </c>
      <c r="AI128" s="13" t="e">
        <v>#N/A</v>
      </c>
      <c r="AJ128" s="13" t="e">
        <v>#N/A</v>
      </c>
      <c r="AK128" s="13" t="e">
        <v>#N/A</v>
      </c>
      <c r="AL128" s="13" t="e">
        <v>#N/A</v>
      </c>
      <c r="AM128" s="13" t="e">
        <v>#N/A</v>
      </c>
      <c r="AN128" s="13" t="e">
        <v>#N/A</v>
      </c>
      <c r="AO128" s="13" t="e">
        <v>#N/A</v>
      </c>
      <c r="AP128" s="13" t="e">
        <v>#N/A</v>
      </c>
      <c r="AQ128" s="13" t="e">
        <v>#N/A</v>
      </c>
      <c r="AR128" s="13" t="e">
        <v>#N/A</v>
      </c>
      <c r="AS128" s="13" t="e">
        <v>#N/A</v>
      </c>
      <c r="AT128" s="13" t="e">
        <v>#N/A</v>
      </c>
      <c r="AU128" s="13" t="e">
        <v>#N/A</v>
      </c>
      <c r="AV128" s="13" t="e">
        <v>#N/A</v>
      </c>
      <c r="AW128" s="13" t="e">
        <v>#N/A</v>
      </c>
      <c r="AX128" s="13" t="e">
        <v>#N/A</v>
      </c>
      <c r="AY128" s="13" t="e">
        <v>#N/A</v>
      </c>
      <c r="AZ128" s="13" t="e">
        <v>#N/A</v>
      </c>
      <c r="BA128" s="13" t="e">
        <v>#N/A</v>
      </c>
      <c r="BB128" s="13" t="e">
        <v>#N/A</v>
      </c>
      <c r="BC128" s="13" t="e">
        <v>#N/A</v>
      </c>
      <c r="BD128" s="16" t="e">
        <v>#N/A</v>
      </c>
      <c r="BE128" s="15" t="e">
        <v>#N/A</v>
      </c>
      <c r="BF128" s="13" t="e">
        <v>#N/A</v>
      </c>
      <c r="BG128" s="13" t="e">
        <v>#N/A</v>
      </c>
      <c r="BH128" s="13" t="e">
        <v>#N/A</v>
      </c>
      <c r="BI128" s="13" t="e">
        <v>#N/A</v>
      </c>
      <c r="BJ128" s="16" t="e">
        <v>#N/A</v>
      </c>
      <c r="BK128" s="15" t="e">
        <v>#N/A</v>
      </c>
      <c r="BL128" s="13" t="e">
        <v>#N/A</v>
      </c>
      <c r="BM128" s="13" t="e">
        <v>#N/A</v>
      </c>
      <c r="BN128" s="13" t="e">
        <v>#N/A</v>
      </c>
      <c r="BO128" s="13" t="e">
        <v>#N/A</v>
      </c>
      <c r="BP128" s="13" t="e">
        <v>#N/A</v>
      </c>
      <c r="BQ128" s="13" t="e">
        <v>#N/A</v>
      </c>
      <c r="BR128" s="13" t="e">
        <v>#N/A</v>
      </c>
      <c r="BS128" s="13" t="e">
        <v>#N/A</v>
      </c>
      <c r="BT128" s="13" t="e">
        <v>#N/A</v>
      </c>
      <c r="BU128" s="13" t="e">
        <v>#N/A</v>
      </c>
      <c r="BV128" s="13" t="e">
        <v>#N/A</v>
      </c>
      <c r="BW128" s="16" t="e">
        <v>#N/A</v>
      </c>
      <c r="BX128" s="15" t="e">
        <v>#N/A</v>
      </c>
      <c r="BY128" s="13" t="e">
        <v>#N/A</v>
      </c>
      <c r="BZ128" s="16" t="e">
        <v>#N/A</v>
      </c>
      <c r="CA128" s="81" t="e">
        <v>#N/A</v>
      </c>
      <c r="CB128" s="13" t="e">
        <v>#N/A</v>
      </c>
      <c r="CC128" s="13" t="e">
        <v>#N/A</v>
      </c>
      <c r="CD128" s="16" t="e">
        <v>#N/A</v>
      </c>
      <c r="CE128" s="16" t="s">
        <v>215</v>
      </c>
    </row>
    <row r="129" spans="5:83" x14ac:dyDescent="0.35">
      <c r="E129" s="79" t="s">
        <v>418</v>
      </c>
      <c r="F129" s="116" t="s">
        <v>281</v>
      </c>
      <c r="G129" s="116" t="s">
        <v>275</v>
      </c>
      <c r="H129" s="15" t="e">
        <v>#N/A</v>
      </c>
      <c r="I129" s="13" t="e">
        <v>#N/A</v>
      </c>
      <c r="J129" s="13" t="e">
        <v>#N/A</v>
      </c>
      <c r="K129" s="13" t="e">
        <v>#N/A</v>
      </c>
      <c r="L129" s="13" t="e">
        <v>#N/A</v>
      </c>
      <c r="M129" s="13" t="e">
        <v>#N/A</v>
      </c>
      <c r="N129" s="13" t="e">
        <v>#N/A</v>
      </c>
      <c r="O129" s="13" t="e">
        <v>#N/A</v>
      </c>
      <c r="P129" s="13" t="e">
        <v>#N/A</v>
      </c>
      <c r="Q129" s="13" t="e">
        <v>#N/A</v>
      </c>
      <c r="R129" s="13" t="e">
        <v>#N/A</v>
      </c>
      <c r="S129" s="13" t="e">
        <v>#N/A</v>
      </c>
      <c r="T129" s="13" t="e">
        <v>#N/A</v>
      </c>
      <c r="U129" s="13" t="e">
        <v>#N/A</v>
      </c>
      <c r="V129" s="13" t="e">
        <v>#N/A</v>
      </c>
      <c r="W129" s="13" t="e">
        <v>#N/A</v>
      </c>
      <c r="X129" s="13" t="e">
        <v>#N/A</v>
      </c>
      <c r="Y129" s="13" t="e">
        <v>#N/A</v>
      </c>
      <c r="Z129" s="13" t="e">
        <v>#N/A</v>
      </c>
      <c r="AA129" s="13" t="e">
        <v>#N/A</v>
      </c>
      <c r="AB129" s="13" t="e">
        <v>#N/A</v>
      </c>
      <c r="AC129" s="13" t="e">
        <v>#N/A</v>
      </c>
      <c r="AD129" s="16" t="e">
        <v>#N/A</v>
      </c>
      <c r="AE129" s="15" t="e">
        <v>#N/A</v>
      </c>
      <c r="AF129" s="13" t="e">
        <v>#N/A</v>
      </c>
      <c r="AG129" s="13" t="e">
        <v>#N/A</v>
      </c>
      <c r="AH129" s="13" t="e">
        <v>#N/A</v>
      </c>
      <c r="AI129" s="13" t="e">
        <v>#N/A</v>
      </c>
      <c r="AJ129" s="13" t="e">
        <v>#N/A</v>
      </c>
      <c r="AK129" s="13" t="e">
        <v>#N/A</v>
      </c>
      <c r="AL129" s="13" t="e">
        <v>#N/A</v>
      </c>
      <c r="AM129" s="13" t="e">
        <v>#N/A</v>
      </c>
      <c r="AN129" s="13" t="e">
        <v>#N/A</v>
      </c>
      <c r="AO129" s="13" t="e">
        <v>#N/A</v>
      </c>
      <c r="AP129" s="13" t="e">
        <v>#N/A</v>
      </c>
      <c r="AQ129" s="13" t="e">
        <v>#N/A</v>
      </c>
      <c r="AR129" s="13" t="e">
        <v>#N/A</v>
      </c>
      <c r="AS129" s="13" t="e">
        <v>#N/A</v>
      </c>
      <c r="AT129" s="13" t="e">
        <v>#N/A</v>
      </c>
      <c r="AU129" s="13" t="e">
        <v>#N/A</v>
      </c>
      <c r="AV129" s="13" t="e">
        <v>#N/A</v>
      </c>
      <c r="AW129" s="13" t="e">
        <v>#N/A</v>
      </c>
      <c r="AX129" s="13" t="e">
        <v>#N/A</v>
      </c>
      <c r="AY129" s="13" t="e">
        <v>#N/A</v>
      </c>
      <c r="AZ129" s="13" t="e">
        <v>#N/A</v>
      </c>
      <c r="BA129" s="13" t="e">
        <v>#N/A</v>
      </c>
      <c r="BB129" s="13" t="e">
        <v>#N/A</v>
      </c>
      <c r="BC129" s="13" t="e">
        <v>#N/A</v>
      </c>
      <c r="BD129" s="16" t="e">
        <v>#N/A</v>
      </c>
      <c r="BE129" s="15" t="e">
        <v>#N/A</v>
      </c>
      <c r="BF129" s="13" t="e">
        <v>#N/A</v>
      </c>
      <c r="BG129" s="13" t="e">
        <v>#N/A</v>
      </c>
      <c r="BH129" s="13" t="e">
        <v>#N/A</v>
      </c>
      <c r="BI129" s="13" t="e">
        <v>#N/A</v>
      </c>
      <c r="BJ129" s="16" t="e">
        <v>#N/A</v>
      </c>
      <c r="BK129" s="15" t="e">
        <v>#N/A</v>
      </c>
      <c r="BL129" s="13" t="e">
        <v>#N/A</v>
      </c>
      <c r="BM129" s="13" t="e">
        <v>#N/A</v>
      </c>
      <c r="BN129" s="13" t="e">
        <v>#N/A</v>
      </c>
      <c r="BO129" s="13" t="e">
        <v>#N/A</v>
      </c>
      <c r="BP129" s="13" t="e">
        <v>#N/A</v>
      </c>
      <c r="BQ129" s="13" t="e">
        <v>#N/A</v>
      </c>
      <c r="BR129" s="13" t="e">
        <v>#N/A</v>
      </c>
      <c r="BS129" s="13" t="e">
        <v>#N/A</v>
      </c>
      <c r="BT129" s="13" t="e">
        <v>#N/A</v>
      </c>
      <c r="BU129" s="13" t="e">
        <v>#N/A</v>
      </c>
      <c r="BV129" s="13" t="e">
        <v>#N/A</v>
      </c>
      <c r="BW129" s="16" t="e">
        <v>#N/A</v>
      </c>
      <c r="BX129" s="15" t="e">
        <v>#N/A</v>
      </c>
      <c r="BY129" s="13" t="e">
        <v>#N/A</v>
      </c>
      <c r="BZ129" s="16" t="e">
        <v>#N/A</v>
      </c>
      <c r="CA129" s="81" t="e">
        <v>#N/A</v>
      </c>
      <c r="CB129" s="13" t="e">
        <v>#N/A</v>
      </c>
      <c r="CC129" s="13" t="e">
        <v>#N/A</v>
      </c>
      <c r="CD129" s="16" t="e">
        <v>#N/A</v>
      </c>
      <c r="CE129" s="16" t="s">
        <v>215</v>
      </c>
    </row>
    <row r="130" spans="5:83" x14ac:dyDescent="0.35">
      <c r="E130" s="79" t="s">
        <v>419</v>
      </c>
      <c r="F130" s="116" t="s">
        <v>130</v>
      </c>
      <c r="G130" s="116" t="s">
        <v>275</v>
      </c>
      <c r="H130" s="15" t="s">
        <v>215</v>
      </c>
      <c r="I130" s="13" t="s">
        <v>215</v>
      </c>
      <c r="J130" s="13" t="s">
        <v>215</v>
      </c>
      <c r="K130" s="13" t="s">
        <v>215</v>
      </c>
      <c r="L130" s="13" t="s">
        <v>215</v>
      </c>
      <c r="M130" s="13" t="s">
        <v>215</v>
      </c>
      <c r="N130" s="13" t="s">
        <v>215</v>
      </c>
      <c r="O130" s="13" t="s">
        <v>215</v>
      </c>
      <c r="P130" s="13" t="s">
        <v>215</v>
      </c>
      <c r="Q130" s="13" t="s">
        <v>215</v>
      </c>
      <c r="R130" s="13" t="s">
        <v>215</v>
      </c>
      <c r="S130" s="13" t="s">
        <v>215</v>
      </c>
      <c r="T130" s="13" t="s">
        <v>215</v>
      </c>
      <c r="U130" s="13" t="s">
        <v>215</v>
      </c>
      <c r="V130" s="13" t="s">
        <v>215</v>
      </c>
      <c r="W130" s="13" t="s">
        <v>215</v>
      </c>
      <c r="X130" s="13" t="s">
        <v>215</v>
      </c>
      <c r="Y130" s="13" t="s">
        <v>215</v>
      </c>
      <c r="Z130" s="13" t="s">
        <v>215</v>
      </c>
      <c r="AA130" s="13" t="s">
        <v>215</v>
      </c>
      <c r="AB130" s="13" t="s">
        <v>215</v>
      </c>
      <c r="AC130" s="13" t="s">
        <v>215</v>
      </c>
      <c r="AD130" s="16" t="s">
        <v>215</v>
      </c>
      <c r="AE130" s="15" t="s">
        <v>215</v>
      </c>
      <c r="AF130" s="13" t="s">
        <v>215</v>
      </c>
      <c r="AG130" s="13" t="s">
        <v>215</v>
      </c>
      <c r="AH130" s="13" t="s">
        <v>215</v>
      </c>
      <c r="AI130" s="13" t="s">
        <v>215</v>
      </c>
      <c r="AJ130" s="13" t="s">
        <v>215</v>
      </c>
      <c r="AK130" s="13" t="s">
        <v>215</v>
      </c>
      <c r="AL130" s="13" t="s">
        <v>215</v>
      </c>
      <c r="AM130" s="13" t="s">
        <v>215</v>
      </c>
      <c r="AN130" s="13" t="s">
        <v>215</v>
      </c>
      <c r="AO130" s="13" t="s">
        <v>215</v>
      </c>
      <c r="AP130" s="13" t="s">
        <v>215</v>
      </c>
      <c r="AQ130" s="13" t="s">
        <v>215</v>
      </c>
      <c r="AR130" s="13" t="s">
        <v>215</v>
      </c>
      <c r="AS130" s="13" t="s">
        <v>215</v>
      </c>
      <c r="AT130" s="13" t="s">
        <v>215</v>
      </c>
      <c r="AU130" s="13" t="s">
        <v>215</v>
      </c>
      <c r="AV130" s="13" t="s">
        <v>215</v>
      </c>
      <c r="AW130" s="13" t="s">
        <v>215</v>
      </c>
      <c r="AX130" s="13" t="s">
        <v>215</v>
      </c>
      <c r="AY130" s="13" t="s">
        <v>215</v>
      </c>
      <c r="AZ130" s="13" t="s">
        <v>215</v>
      </c>
      <c r="BA130" s="13" t="s">
        <v>215</v>
      </c>
      <c r="BB130" s="13" t="s">
        <v>215</v>
      </c>
      <c r="BC130" s="13" t="s">
        <v>215</v>
      </c>
      <c r="BD130" s="16" t="s">
        <v>215</v>
      </c>
      <c r="BE130" s="15" t="s">
        <v>215</v>
      </c>
      <c r="BF130" s="13" t="s">
        <v>215</v>
      </c>
      <c r="BG130" s="13" t="s">
        <v>215</v>
      </c>
      <c r="BH130" s="13" t="s">
        <v>215</v>
      </c>
      <c r="BI130" s="13" t="s">
        <v>215</v>
      </c>
      <c r="BJ130" s="16" t="s">
        <v>215</v>
      </c>
      <c r="BK130" s="15" t="s">
        <v>215</v>
      </c>
      <c r="BL130" s="13" t="s">
        <v>215</v>
      </c>
      <c r="BM130" s="13" t="s">
        <v>215</v>
      </c>
      <c r="BN130" s="13" t="s">
        <v>215</v>
      </c>
      <c r="BO130" s="13" t="s">
        <v>215</v>
      </c>
      <c r="BP130" s="13" t="s">
        <v>215</v>
      </c>
      <c r="BQ130" s="13" t="s">
        <v>215</v>
      </c>
      <c r="BR130" s="13" t="s">
        <v>215</v>
      </c>
      <c r="BS130" s="13" t="s">
        <v>215</v>
      </c>
      <c r="BT130" s="13" t="s">
        <v>215</v>
      </c>
      <c r="BU130" s="13" t="s">
        <v>215</v>
      </c>
      <c r="BV130" s="13" t="s">
        <v>215</v>
      </c>
      <c r="BW130" s="16" t="s">
        <v>215</v>
      </c>
      <c r="BX130" s="15" t="s">
        <v>215</v>
      </c>
      <c r="BY130" s="13" t="s">
        <v>215</v>
      </c>
      <c r="BZ130" s="16" t="s">
        <v>215</v>
      </c>
      <c r="CA130" s="81" t="s">
        <v>215</v>
      </c>
      <c r="CB130" s="13" t="s">
        <v>215</v>
      </c>
      <c r="CC130" s="13" t="s">
        <v>215</v>
      </c>
      <c r="CD130" s="16" t="s">
        <v>215</v>
      </c>
      <c r="CE130" s="16" t="s">
        <v>215</v>
      </c>
    </row>
    <row r="131" spans="5:83" x14ac:dyDescent="0.35">
      <c r="E131" s="79" t="s">
        <v>420</v>
      </c>
      <c r="F131" s="116" t="s">
        <v>281</v>
      </c>
      <c r="G131" s="116" t="s">
        <v>273</v>
      </c>
      <c r="H131" s="15" t="e">
        <v>#N/A</v>
      </c>
      <c r="I131" s="13" t="e">
        <v>#N/A</v>
      </c>
      <c r="J131" s="13" t="e">
        <v>#N/A</v>
      </c>
      <c r="K131" s="13" t="e">
        <v>#N/A</v>
      </c>
      <c r="L131" s="13" t="e">
        <v>#N/A</v>
      </c>
      <c r="M131" s="13" t="e">
        <v>#N/A</v>
      </c>
      <c r="N131" s="13" t="e">
        <v>#N/A</v>
      </c>
      <c r="O131" s="13" t="e">
        <v>#N/A</v>
      </c>
      <c r="P131" s="13" t="e">
        <v>#N/A</v>
      </c>
      <c r="Q131" s="13" t="e">
        <v>#N/A</v>
      </c>
      <c r="R131" s="13" t="e">
        <v>#N/A</v>
      </c>
      <c r="S131" s="13" t="e">
        <v>#N/A</v>
      </c>
      <c r="T131" s="13" t="e">
        <v>#N/A</v>
      </c>
      <c r="U131" s="13" t="e">
        <v>#N/A</v>
      </c>
      <c r="V131" s="13" t="e">
        <v>#N/A</v>
      </c>
      <c r="W131" s="13" t="e">
        <v>#N/A</v>
      </c>
      <c r="X131" s="13" t="e">
        <v>#N/A</v>
      </c>
      <c r="Y131" s="13" t="e">
        <v>#N/A</v>
      </c>
      <c r="Z131" s="13" t="e">
        <v>#N/A</v>
      </c>
      <c r="AA131" s="13" t="e">
        <v>#N/A</v>
      </c>
      <c r="AB131" s="13" t="e">
        <v>#N/A</v>
      </c>
      <c r="AC131" s="13" t="e">
        <v>#N/A</v>
      </c>
      <c r="AD131" s="16" t="e">
        <v>#N/A</v>
      </c>
      <c r="AE131" s="15" t="e">
        <v>#N/A</v>
      </c>
      <c r="AF131" s="13" t="e">
        <v>#N/A</v>
      </c>
      <c r="AG131" s="13" t="e">
        <v>#N/A</v>
      </c>
      <c r="AH131" s="13" t="e">
        <v>#N/A</v>
      </c>
      <c r="AI131" s="13" t="e">
        <v>#N/A</v>
      </c>
      <c r="AJ131" s="13" t="e">
        <v>#N/A</v>
      </c>
      <c r="AK131" s="13" t="e">
        <v>#N/A</v>
      </c>
      <c r="AL131" s="13" t="e">
        <v>#N/A</v>
      </c>
      <c r="AM131" s="13" t="e">
        <v>#N/A</v>
      </c>
      <c r="AN131" s="13" t="e">
        <v>#N/A</v>
      </c>
      <c r="AO131" s="13" t="e">
        <v>#N/A</v>
      </c>
      <c r="AP131" s="13" t="e">
        <v>#N/A</v>
      </c>
      <c r="AQ131" s="13" t="e">
        <v>#N/A</v>
      </c>
      <c r="AR131" s="13" t="e">
        <v>#N/A</v>
      </c>
      <c r="AS131" s="13" t="e">
        <v>#N/A</v>
      </c>
      <c r="AT131" s="13" t="e">
        <v>#N/A</v>
      </c>
      <c r="AU131" s="13" t="e">
        <v>#N/A</v>
      </c>
      <c r="AV131" s="13" t="e">
        <v>#N/A</v>
      </c>
      <c r="AW131" s="13" t="e">
        <v>#N/A</v>
      </c>
      <c r="AX131" s="13" t="e">
        <v>#N/A</v>
      </c>
      <c r="AY131" s="13" t="e">
        <v>#N/A</v>
      </c>
      <c r="AZ131" s="13" t="e">
        <v>#N/A</v>
      </c>
      <c r="BA131" s="13" t="e">
        <v>#N/A</v>
      </c>
      <c r="BB131" s="13" t="e">
        <v>#N/A</v>
      </c>
      <c r="BC131" s="13" t="e">
        <v>#N/A</v>
      </c>
      <c r="BD131" s="16" t="e">
        <v>#N/A</v>
      </c>
      <c r="BE131" s="15" t="e">
        <v>#N/A</v>
      </c>
      <c r="BF131" s="13" t="e">
        <v>#N/A</v>
      </c>
      <c r="BG131" s="13" t="e">
        <v>#N/A</v>
      </c>
      <c r="BH131" s="13" t="e">
        <v>#N/A</v>
      </c>
      <c r="BI131" s="13" t="e">
        <v>#N/A</v>
      </c>
      <c r="BJ131" s="16" t="e">
        <v>#N/A</v>
      </c>
      <c r="BK131" s="15" t="e">
        <v>#N/A</v>
      </c>
      <c r="BL131" s="13" t="e">
        <v>#N/A</v>
      </c>
      <c r="BM131" s="13" t="e">
        <v>#N/A</v>
      </c>
      <c r="BN131" s="13" t="e">
        <v>#N/A</v>
      </c>
      <c r="BO131" s="13" t="e">
        <v>#N/A</v>
      </c>
      <c r="BP131" s="13" t="e">
        <v>#N/A</v>
      </c>
      <c r="BQ131" s="13" t="e">
        <v>#N/A</v>
      </c>
      <c r="BR131" s="13" t="e">
        <v>#N/A</v>
      </c>
      <c r="BS131" s="13" t="e">
        <v>#N/A</v>
      </c>
      <c r="BT131" s="13" t="e">
        <v>#N/A</v>
      </c>
      <c r="BU131" s="13" t="e">
        <v>#N/A</v>
      </c>
      <c r="BV131" s="13" t="e">
        <v>#N/A</v>
      </c>
      <c r="BW131" s="16" t="e">
        <v>#N/A</v>
      </c>
      <c r="BX131" s="15" t="e">
        <v>#N/A</v>
      </c>
      <c r="BY131" s="13" t="e">
        <v>#N/A</v>
      </c>
      <c r="BZ131" s="16" t="e">
        <v>#N/A</v>
      </c>
      <c r="CA131" s="81" t="e">
        <v>#N/A</v>
      </c>
      <c r="CB131" s="13" t="e">
        <v>#N/A</v>
      </c>
      <c r="CC131" s="13" t="e">
        <v>#N/A</v>
      </c>
      <c r="CD131" s="16" t="e">
        <v>#N/A</v>
      </c>
      <c r="CE131" s="16" t="s">
        <v>215</v>
      </c>
    </row>
    <row r="132" spans="5:83" x14ac:dyDescent="0.35">
      <c r="E132" s="79" t="s">
        <v>421</v>
      </c>
      <c r="F132" s="116" t="s">
        <v>281</v>
      </c>
      <c r="G132" s="116" t="s">
        <v>275</v>
      </c>
      <c r="H132" s="15" t="e">
        <v>#N/A</v>
      </c>
      <c r="I132" s="13" t="e">
        <v>#N/A</v>
      </c>
      <c r="J132" s="13" t="e">
        <v>#N/A</v>
      </c>
      <c r="K132" s="13" t="e">
        <v>#N/A</v>
      </c>
      <c r="L132" s="13" t="e">
        <v>#N/A</v>
      </c>
      <c r="M132" s="13" t="e">
        <v>#N/A</v>
      </c>
      <c r="N132" s="13" t="e">
        <v>#N/A</v>
      </c>
      <c r="O132" s="13" t="e">
        <v>#N/A</v>
      </c>
      <c r="P132" s="13" t="e">
        <v>#N/A</v>
      </c>
      <c r="Q132" s="13" t="e">
        <v>#N/A</v>
      </c>
      <c r="R132" s="13" t="e">
        <v>#N/A</v>
      </c>
      <c r="S132" s="13" t="e">
        <v>#N/A</v>
      </c>
      <c r="T132" s="13" t="e">
        <v>#N/A</v>
      </c>
      <c r="U132" s="13" t="e">
        <v>#N/A</v>
      </c>
      <c r="V132" s="13" t="e">
        <v>#N/A</v>
      </c>
      <c r="W132" s="13" t="e">
        <v>#N/A</v>
      </c>
      <c r="X132" s="13" t="e">
        <v>#N/A</v>
      </c>
      <c r="Y132" s="13" t="e">
        <v>#N/A</v>
      </c>
      <c r="Z132" s="13" t="e">
        <v>#N/A</v>
      </c>
      <c r="AA132" s="13" t="e">
        <v>#N/A</v>
      </c>
      <c r="AB132" s="13" t="e">
        <v>#N/A</v>
      </c>
      <c r="AC132" s="13" t="e">
        <v>#N/A</v>
      </c>
      <c r="AD132" s="16" t="e">
        <v>#N/A</v>
      </c>
      <c r="AE132" s="15" t="e">
        <v>#N/A</v>
      </c>
      <c r="AF132" s="13" t="e">
        <v>#N/A</v>
      </c>
      <c r="AG132" s="13" t="e">
        <v>#N/A</v>
      </c>
      <c r="AH132" s="13" t="e">
        <v>#N/A</v>
      </c>
      <c r="AI132" s="13" t="e">
        <v>#N/A</v>
      </c>
      <c r="AJ132" s="13" t="e">
        <v>#N/A</v>
      </c>
      <c r="AK132" s="13" t="e">
        <v>#N/A</v>
      </c>
      <c r="AL132" s="13" t="e">
        <v>#N/A</v>
      </c>
      <c r="AM132" s="13" t="e">
        <v>#N/A</v>
      </c>
      <c r="AN132" s="13" t="e">
        <v>#N/A</v>
      </c>
      <c r="AO132" s="13" t="e">
        <v>#N/A</v>
      </c>
      <c r="AP132" s="13" t="e">
        <v>#N/A</v>
      </c>
      <c r="AQ132" s="13" t="e">
        <v>#N/A</v>
      </c>
      <c r="AR132" s="13" t="e">
        <v>#N/A</v>
      </c>
      <c r="AS132" s="13" t="e">
        <v>#N/A</v>
      </c>
      <c r="AT132" s="13" t="e">
        <v>#N/A</v>
      </c>
      <c r="AU132" s="13" t="e">
        <v>#N/A</v>
      </c>
      <c r="AV132" s="13" t="e">
        <v>#N/A</v>
      </c>
      <c r="AW132" s="13" t="e">
        <v>#N/A</v>
      </c>
      <c r="AX132" s="13" t="e">
        <v>#N/A</v>
      </c>
      <c r="AY132" s="13" t="e">
        <v>#N/A</v>
      </c>
      <c r="AZ132" s="13" t="e">
        <v>#N/A</v>
      </c>
      <c r="BA132" s="13" t="e">
        <v>#N/A</v>
      </c>
      <c r="BB132" s="13" t="e">
        <v>#N/A</v>
      </c>
      <c r="BC132" s="13" t="e">
        <v>#N/A</v>
      </c>
      <c r="BD132" s="16" t="e">
        <v>#N/A</v>
      </c>
      <c r="BE132" s="15" t="e">
        <v>#N/A</v>
      </c>
      <c r="BF132" s="13" t="e">
        <v>#N/A</v>
      </c>
      <c r="BG132" s="13" t="e">
        <v>#N/A</v>
      </c>
      <c r="BH132" s="13" t="e">
        <v>#N/A</v>
      </c>
      <c r="BI132" s="13" t="e">
        <v>#N/A</v>
      </c>
      <c r="BJ132" s="16" t="e">
        <v>#N/A</v>
      </c>
      <c r="BK132" s="15" t="e">
        <v>#N/A</v>
      </c>
      <c r="BL132" s="13" t="e">
        <v>#N/A</v>
      </c>
      <c r="BM132" s="13" t="e">
        <v>#N/A</v>
      </c>
      <c r="BN132" s="13" t="e">
        <v>#N/A</v>
      </c>
      <c r="BO132" s="13" t="e">
        <v>#N/A</v>
      </c>
      <c r="BP132" s="13" t="e">
        <v>#N/A</v>
      </c>
      <c r="BQ132" s="13" t="e">
        <v>#N/A</v>
      </c>
      <c r="BR132" s="13" t="e">
        <v>#N/A</v>
      </c>
      <c r="BS132" s="13" t="e">
        <v>#N/A</v>
      </c>
      <c r="BT132" s="13" t="e">
        <v>#N/A</v>
      </c>
      <c r="BU132" s="13" t="e">
        <v>#N/A</v>
      </c>
      <c r="BV132" s="13" t="e">
        <v>#N/A</v>
      </c>
      <c r="BW132" s="16" t="e">
        <v>#N/A</v>
      </c>
      <c r="BX132" s="15" t="e">
        <v>#N/A</v>
      </c>
      <c r="BY132" s="13" t="e">
        <v>#N/A</v>
      </c>
      <c r="BZ132" s="16" t="e">
        <v>#N/A</v>
      </c>
      <c r="CA132" s="81" t="e">
        <v>#N/A</v>
      </c>
      <c r="CB132" s="13" t="e">
        <v>#N/A</v>
      </c>
      <c r="CC132" s="13" t="e">
        <v>#N/A</v>
      </c>
      <c r="CD132" s="16" t="e">
        <v>#N/A</v>
      </c>
      <c r="CE132" s="16" t="s">
        <v>215</v>
      </c>
    </row>
    <row r="133" spans="5:83" x14ac:dyDescent="0.35">
      <c r="E133" s="79" t="s">
        <v>422</v>
      </c>
      <c r="F133" s="116" t="s">
        <v>281</v>
      </c>
      <c r="G133" s="116" t="s">
        <v>275</v>
      </c>
      <c r="H133" s="15" t="e">
        <v>#N/A</v>
      </c>
      <c r="I133" s="13" t="e">
        <v>#N/A</v>
      </c>
      <c r="J133" s="13" t="e">
        <v>#N/A</v>
      </c>
      <c r="K133" s="13" t="e">
        <v>#N/A</v>
      </c>
      <c r="L133" s="13" t="e">
        <v>#N/A</v>
      </c>
      <c r="M133" s="13" t="e">
        <v>#N/A</v>
      </c>
      <c r="N133" s="13" t="e">
        <v>#N/A</v>
      </c>
      <c r="O133" s="13" t="e">
        <v>#N/A</v>
      </c>
      <c r="P133" s="13" t="e">
        <v>#N/A</v>
      </c>
      <c r="Q133" s="13" t="e">
        <v>#N/A</v>
      </c>
      <c r="R133" s="13" t="e">
        <v>#N/A</v>
      </c>
      <c r="S133" s="13" t="e">
        <v>#N/A</v>
      </c>
      <c r="T133" s="13" t="e">
        <v>#N/A</v>
      </c>
      <c r="U133" s="13" t="e">
        <v>#N/A</v>
      </c>
      <c r="V133" s="13" t="e">
        <v>#N/A</v>
      </c>
      <c r="W133" s="13" t="e">
        <v>#N/A</v>
      </c>
      <c r="X133" s="13" t="e">
        <v>#N/A</v>
      </c>
      <c r="Y133" s="13" t="e">
        <v>#N/A</v>
      </c>
      <c r="Z133" s="13" t="e">
        <v>#N/A</v>
      </c>
      <c r="AA133" s="13" t="e">
        <v>#N/A</v>
      </c>
      <c r="AB133" s="13" t="e">
        <v>#N/A</v>
      </c>
      <c r="AC133" s="13" t="e">
        <v>#N/A</v>
      </c>
      <c r="AD133" s="16" t="e">
        <v>#N/A</v>
      </c>
      <c r="AE133" s="15" t="e">
        <v>#N/A</v>
      </c>
      <c r="AF133" s="13" t="e">
        <v>#N/A</v>
      </c>
      <c r="AG133" s="13" t="e">
        <v>#N/A</v>
      </c>
      <c r="AH133" s="13" t="e">
        <v>#N/A</v>
      </c>
      <c r="AI133" s="13" t="e">
        <v>#N/A</v>
      </c>
      <c r="AJ133" s="13" t="e">
        <v>#N/A</v>
      </c>
      <c r="AK133" s="13" t="e">
        <v>#N/A</v>
      </c>
      <c r="AL133" s="13" t="e">
        <v>#N/A</v>
      </c>
      <c r="AM133" s="13" t="e">
        <v>#N/A</v>
      </c>
      <c r="AN133" s="13" t="e">
        <v>#N/A</v>
      </c>
      <c r="AO133" s="13" t="e">
        <v>#N/A</v>
      </c>
      <c r="AP133" s="13" t="e">
        <v>#N/A</v>
      </c>
      <c r="AQ133" s="13" t="e">
        <v>#N/A</v>
      </c>
      <c r="AR133" s="13" t="e">
        <v>#N/A</v>
      </c>
      <c r="AS133" s="13" t="e">
        <v>#N/A</v>
      </c>
      <c r="AT133" s="13" t="e">
        <v>#N/A</v>
      </c>
      <c r="AU133" s="13" t="e">
        <v>#N/A</v>
      </c>
      <c r="AV133" s="13" t="e">
        <v>#N/A</v>
      </c>
      <c r="AW133" s="13" t="e">
        <v>#N/A</v>
      </c>
      <c r="AX133" s="13" t="e">
        <v>#N/A</v>
      </c>
      <c r="AY133" s="13" t="e">
        <v>#N/A</v>
      </c>
      <c r="AZ133" s="13" t="e">
        <v>#N/A</v>
      </c>
      <c r="BA133" s="13" t="e">
        <v>#N/A</v>
      </c>
      <c r="BB133" s="13" t="e">
        <v>#N/A</v>
      </c>
      <c r="BC133" s="13" t="e">
        <v>#N/A</v>
      </c>
      <c r="BD133" s="16" t="e">
        <v>#N/A</v>
      </c>
      <c r="BE133" s="15" t="e">
        <v>#N/A</v>
      </c>
      <c r="BF133" s="13" t="e">
        <v>#N/A</v>
      </c>
      <c r="BG133" s="13" t="e">
        <v>#N/A</v>
      </c>
      <c r="BH133" s="13" t="e">
        <v>#N/A</v>
      </c>
      <c r="BI133" s="13" t="e">
        <v>#N/A</v>
      </c>
      <c r="BJ133" s="16" t="e">
        <v>#N/A</v>
      </c>
      <c r="BK133" s="15" t="e">
        <v>#N/A</v>
      </c>
      <c r="BL133" s="13" t="e">
        <v>#N/A</v>
      </c>
      <c r="BM133" s="13" t="e">
        <v>#N/A</v>
      </c>
      <c r="BN133" s="13" t="e">
        <v>#N/A</v>
      </c>
      <c r="BO133" s="13" t="e">
        <v>#N/A</v>
      </c>
      <c r="BP133" s="13" t="e">
        <v>#N/A</v>
      </c>
      <c r="BQ133" s="13" t="e">
        <v>#N/A</v>
      </c>
      <c r="BR133" s="13" t="e">
        <v>#N/A</v>
      </c>
      <c r="BS133" s="13" t="e">
        <v>#N/A</v>
      </c>
      <c r="BT133" s="13" t="e">
        <v>#N/A</v>
      </c>
      <c r="BU133" s="13" t="e">
        <v>#N/A</v>
      </c>
      <c r="BV133" s="13" t="e">
        <v>#N/A</v>
      </c>
      <c r="BW133" s="16" t="e">
        <v>#N/A</v>
      </c>
      <c r="BX133" s="15" t="e">
        <v>#N/A</v>
      </c>
      <c r="BY133" s="13" t="e">
        <v>#N/A</v>
      </c>
      <c r="BZ133" s="16" t="e">
        <v>#N/A</v>
      </c>
      <c r="CA133" s="81" t="e">
        <v>#N/A</v>
      </c>
      <c r="CB133" s="13" t="e">
        <v>#N/A</v>
      </c>
      <c r="CC133" s="13" t="e">
        <v>#N/A</v>
      </c>
      <c r="CD133" s="16" t="e">
        <v>#N/A</v>
      </c>
      <c r="CE133" s="16" t="s">
        <v>215</v>
      </c>
    </row>
    <row r="134" spans="5:83" x14ac:dyDescent="0.35">
      <c r="E134" s="79" t="s">
        <v>423</v>
      </c>
      <c r="F134" s="116" t="s">
        <v>62</v>
      </c>
      <c r="G134" s="116" t="s">
        <v>273</v>
      </c>
      <c r="H134" s="15" t="s">
        <v>215</v>
      </c>
      <c r="I134" s="13" t="s">
        <v>209</v>
      </c>
      <c r="J134" s="13" t="s">
        <v>215</v>
      </c>
      <c r="K134" s="13" t="s">
        <v>209</v>
      </c>
      <c r="L134" s="13" t="s">
        <v>215</v>
      </c>
      <c r="M134" s="13" t="s">
        <v>215</v>
      </c>
      <c r="N134" s="13" t="s">
        <v>209</v>
      </c>
      <c r="O134" s="13" t="s">
        <v>206</v>
      </c>
      <c r="P134" s="13" t="s">
        <v>215</v>
      </c>
      <c r="Q134" s="13" t="s">
        <v>215</v>
      </c>
      <c r="R134" s="13" t="s">
        <v>215</v>
      </c>
      <c r="S134" s="13" t="s">
        <v>209</v>
      </c>
      <c r="T134" s="13" t="s">
        <v>215</v>
      </c>
      <c r="U134" s="13" t="s">
        <v>206</v>
      </c>
      <c r="V134" s="13" t="s">
        <v>215</v>
      </c>
      <c r="W134" s="13" t="s">
        <v>209</v>
      </c>
      <c r="X134" s="13" t="s">
        <v>209</v>
      </c>
      <c r="Y134" s="13" t="s">
        <v>209</v>
      </c>
      <c r="Z134" s="13" t="s">
        <v>209</v>
      </c>
      <c r="AA134" s="13" t="s">
        <v>209</v>
      </c>
      <c r="AB134" s="13" t="s">
        <v>209</v>
      </c>
      <c r="AC134" s="13" t="s">
        <v>209</v>
      </c>
      <c r="AD134" s="16" t="s">
        <v>209</v>
      </c>
      <c r="AE134" s="15" t="s">
        <v>215</v>
      </c>
      <c r="AF134" s="13" t="s">
        <v>215</v>
      </c>
      <c r="AG134" s="13" t="s">
        <v>215</v>
      </c>
      <c r="AH134" s="13" t="s">
        <v>215</v>
      </c>
      <c r="AI134" s="13" t="s">
        <v>215</v>
      </c>
      <c r="AJ134" s="13" t="s">
        <v>215</v>
      </c>
      <c r="AK134" s="13" t="s">
        <v>209</v>
      </c>
      <c r="AL134" s="13" t="s">
        <v>209</v>
      </c>
      <c r="AM134" s="13" t="s">
        <v>215</v>
      </c>
      <c r="AN134" s="13" t="s">
        <v>215</v>
      </c>
      <c r="AO134" s="13" t="s">
        <v>209</v>
      </c>
      <c r="AP134" s="13" t="s">
        <v>215</v>
      </c>
      <c r="AQ134" s="13" t="s">
        <v>215</v>
      </c>
      <c r="AR134" s="13" t="s">
        <v>215</v>
      </c>
      <c r="AS134" s="13" t="s">
        <v>209</v>
      </c>
      <c r="AT134" s="13" t="s">
        <v>215</v>
      </c>
      <c r="AU134" s="13" t="s">
        <v>209</v>
      </c>
      <c r="AV134" s="13" t="s">
        <v>215</v>
      </c>
      <c r="AW134" s="13" t="s">
        <v>215</v>
      </c>
      <c r="AX134" s="13" t="s">
        <v>215</v>
      </c>
      <c r="AY134" s="13" t="s">
        <v>215</v>
      </c>
      <c r="AZ134" s="13" t="s">
        <v>215</v>
      </c>
      <c r="BA134" s="13" t="s">
        <v>215</v>
      </c>
      <c r="BB134" s="13" t="s">
        <v>215</v>
      </c>
      <c r="BC134" s="13" t="s">
        <v>215</v>
      </c>
      <c r="BD134" s="16" t="s">
        <v>215</v>
      </c>
      <c r="BE134" s="15" t="s">
        <v>215</v>
      </c>
      <c r="BF134" s="13" t="s">
        <v>209</v>
      </c>
      <c r="BG134" s="13" t="s">
        <v>209</v>
      </c>
      <c r="BH134" s="13" t="s">
        <v>206</v>
      </c>
      <c r="BI134" s="13" t="s">
        <v>215</v>
      </c>
      <c r="BJ134" s="16" t="s">
        <v>215</v>
      </c>
      <c r="BK134" s="15" t="s">
        <v>215</v>
      </c>
      <c r="BL134" s="13" t="s">
        <v>215</v>
      </c>
      <c r="BM134" s="13" t="s">
        <v>215</v>
      </c>
      <c r="BN134" s="13" t="s">
        <v>215</v>
      </c>
      <c r="BO134" s="13" t="s">
        <v>209</v>
      </c>
      <c r="BP134" s="13" t="s">
        <v>215</v>
      </c>
      <c r="BQ134" s="13" t="s">
        <v>215</v>
      </c>
      <c r="BR134" s="13" t="s">
        <v>215</v>
      </c>
      <c r="BS134" s="13" t="s">
        <v>215</v>
      </c>
      <c r="BT134" s="13" t="s">
        <v>215</v>
      </c>
      <c r="BU134" s="13" t="s">
        <v>215</v>
      </c>
      <c r="BV134" s="13" t="s">
        <v>215</v>
      </c>
      <c r="BW134" s="16" t="s">
        <v>215</v>
      </c>
      <c r="BX134" s="15" t="s">
        <v>215</v>
      </c>
      <c r="BY134" s="13" t="s">
        <v>215</v>
      </c>
      <c r="BZ134" s="16" t="s">
        <v>215</v>
      </c>
      <c r="CA134" s="81" t="s">
        <v>215</v>
      </c>
      <c r="CB134" s="13" t="s">
        <v>215</v>
      </c>
      <c r="CC134" s="13" t="s">
        <v>215</v>
      </c>
      <c r="CD134" s="16" t="s">
        <v>215</v>
      </c>
      <c r="CE134" s="16" t="s">
        <v>215</v>
      </c>
    </row>
    <row r="135" spans="5:83" x14ac:dyDescent="0.35">
      <c r="E135" s="79" t="s">
        <v>424</v>
      </c>
      <c r="F135" s="116" t="s">
        <v>77</v>
      </c>
      <c r="G135" s="116" t="s">
        <v>273</v>
      </c>
      <c r="H135" s="15" t="s">
        <v>215</v>
      </c>
      <c r="I135" s="13" t="s">
        <v>209</v>
      </c>
      <c r="J135" s="13" t="s">
        <v>215</v>
      </c>
      <c r="K135" s="13" t="s">
        <v>215</v>
      </c>
      <c r="L135" s="13" t="s">
        <v>215</v>
      </c>
      <c r="M135" s="13" t="s">
        <v>215</v>
      </c>
      <c r="N135" s="13" t="s">
        <v>215</v>
      </c>
      <c r="O135" s="13" t="s">
        <v>209</v>
      </c>
      <c r="P135" s="13" t="s">
        <v>215</v>
      </c>
      <c r="Q135" s="13" t="s">
        <v>215</v>
      </c>
      <c r="R135" s="13" t="s">
        <v>215</v>
      </c>
      <c r="S135" s="13" t="s">
        <v>215</v>
      </c>
      <c r="T135" s="13" t="s">
        <v>215</v>
      </c>
      <c r="U135" s="13" t="s">
        <v>215</v>
      </c>
      <c r="V135" s="13" t="s">
        <v>215</v>
      </c>
      <c r="W135" s="13" t="s">
        <v>215</v>
      </c>
      <c r="X135" s="13" t="s">
        <v>209</v>
      </c>
      <c r="Y135" s="13" t="s">
        <v>209</v>
      </c>
      <c r="Z135" s="13" t="s">
        <v>215</v>
      </c>
      <c r="AA135" s="13" t="s">
        <v>215</v>
      </c>
      <c r="AB135" s="13" t="s">
        <v>209</v>
      </c>
      <c r="AC135" s="13" t="s">
        <v>209</v>
      </c>
      <c r="AD135" s="16" t="s">
        <v>215</v>
      </c>
      <c r="AE135" s="15" t="s">
        <v>215</v>
      </c>
      <c r="AF135" s="13" t="s">
        <v>215</v>
      </c>
      <c r="AG135" s="13" t="s">
        <v>215</v>
      </c>
      <c r="AH135" s="13" t="s">
        <v>215</v>
      </c>
      <c r="AI135" s="13" t="s">
        <v>215</v>
      </c>
      <c r="AJ135" s="13" t="s">
        <v>215</v>
      </c>
      <c r="AK135" s="13" t="s">
        <v>215</v>
      </c>
      <c r="AL135" s="13" t="s">
        <v>215</v>
      </c>
      <c r="AM135" s="13" t="s">
        <v>215</v>
      </c>
      <c r="AN135" s="13" t="s">
        <v>215</v>
      </c>
      <c r="AO135" s="13" t="s">
        <v>215</v>
      </c>
      <c r="AP135" s="13" t="s">
        <v>215</v>
      </c>
      <c r="AQ135" s="13" t="s">
        <v>215</v>
      </c>
      <c r="AR135" s="13" t="s">
        <v>215</v>
      </c>
      <c r="AS135" s="13" t="s">
        <v>215</v>
      </c>
      <c r="AT135" s="13" t="s">
        <v>215</v>
      </c>
      <c r="AU135" s="13" t="s">
        <v>215</v>
      </c>
      <c r="AV135" s="13" t="s">
        <v>215</v>
      </c>
      <c r="AW135" s="13" t="s">
        <v>215</v>
      </c>
      <c r="AX135" s="13" t="s">
        <v>215</v>
      </c>
      <c r="AY135" s="13" t="s">
        <v>215</v>
      </c>
      <c r="AZ135" s="13" t="s">
        <v>215</v>
      </c>
      <c r="BA135" s="13" t="s">
        <v>215</v>
      </c>
      <c r="BB135" s="13" t="s">
        <v>215</v>
      </c>
      <c r="BC135" s="13" t="s">
        <v>215</v>
      </c>
      <c r="BD135" s="16" t="s">
        <v>215</v>
      </c>
      <c r="BE135" s="15" t="s">
        <v>215</v>
      </c>
      <c r="BF135" s="13" t="s">
        <v>215</v>
      </c>
      <c r="BG135" s="13" t="s">
        <v>215</v>
      </c>
      <c r="BH135" s="13" t="s">
        <v>215</v>
      </c>
      <c r="BI135" s="13" t="s">
        <v>215</v>
      </c>
      <c r="BJ135" s="16" t="s">
        <v>215</v>
      </c>
      <c r="BK135" s="15" t="s">
        <v>215</v>
      </c>
      <c r="BL135" s="13" t="s">
        <v>215</v>
      </c>
      <c r="BM135" s="13" t="s">
        <v>215</v>
      </c>
      <c r="BN135" s="13" t="s">
        <v>215</v>
      </c>
      <c r="BO135" s="13" t="s">
        <v>215</v>
      </c>
      <c r="BP135" s="13" t="s">
        <v>215</v>
      </c>
      <c r="BQ135" s="13" t="s">
        <v>215</v>
      </c>
      <c r="BR135" s="13" t="s">
        <v>215</v>
      </c>
      <c r="BS135" s="13" t="s">
        <v>215</v>
      </c>
      <c r="BT135" s="13" t="s">
        <v>215</v>
      </c>
      <c r="BU135" s="13" t="s">
        <v>215</v>
      </c>
      <c r="BV135" s="13" t="s">
        <v>215</v>
      </c>
      <c r="BW135" s="16" t="s">
        <v>215</v>
      </c>
      <c r="BX135" s="15" t="s">
        <v>215</v>
      </c>
      <c r="BY135" s="13" t="s">
        <v>215</v>
      </c>
      <c r="BZ135" s="16" t="s">
        <v>215</v>
      </c>
      <c r="CA135" s="81" t="s">
        <v>215</v>
      </c>
      <c r="CB135" s="13" t="s">
        <v>215</v>
      </c>
      <c r="CC135" s="13" t="s">
        <v>215</v>
      </c>
      <c r="CD135" s="16" t="s">
        <v>215</v>
      </c>
      <c r="CE135" s="16" t="s">
        <v>215</v>
      </c>
    </row>
    <row r="136" spans="5:83" x14ac:dyDescent="0.35">
      <c r="E136" s="79" t="s">
        <v>425</v>
      </c>
      <c r="F136" s="116" t="s">
        <v>170</v>
      </c>
      <c r="G136" s="116" t="s">
        <v>273</v>
      </c>
      <c r="H136" s="15" t="s">
        <v>215</v>
      </c>
      <c r="I136" s="13" t="s">
        <v>215</v>
      </c>
      <c r="J136" s="13" t="s">
        <v>215</v>
      </c>
      <c r="K136" s="13" t="s">
        <v>215</v>
      </c>
      <c r="L136" s="13" t="s">
        <v>215</v>
      </c>
      <c r="M136" s="13" t="s">
        <v>215</v>
      </c>
      <c r="N136" s="13" t="s">
        <v>215</v>
      </c>
      <c r="O136" s="13" t="s">
        <v>215</v>
      </c>
      <c r="P136" s="13" t="s">
        <v>215</v>
      </c>
      <c r="Q136" s="13" t="s">
        <v>215</v>
      </c>
      <c r="R136" s="13" t="s">
        <v>215</v>
      </c>
      <c r="S136" s="13" t="s">
        <v>215</v>
      </c>
      <c r="T136" s="13" t="s">
        <v>215</v>
      </c>
      <c r="U136" s="13" t="s">
        <v>215</v>
      </c>
      <c r="V136" s="13" t="s">
        <v>215</v>
      </c>
      <c r="W136" s="13" t="s">
        <v>215</v>
      </c>
      <c r="X136" s="13" t="s">
        <v>215</v>
      </c>
      <c r="Y136" s="13" t="s">
        <v>215</v>
      </c>
      <c r="Z136" s="13" t="s">
        <v>215</v>
      </c>
      <c r="AA136" s="13" t="s">
        <v>215</v>
      </c>
      <c r="AB136" s="13" t="s">
        <v>215</v>
      </c>
      <c r="AC136" s="13" t="s">
        <v>215</v>
      </c>
      <c r="AD136" s="16" t="s">
        <v>215</v>
      </c>
      <c r="AE136" s="15" t="s">
        <v>215</v>
      </c>
      <c r="AF136" s="13" t="s">
        <v>209</v>
      </c>
      <c r="AG136" s="13" t="s">
        <v>215</v>
      </c>
      <c r="AH136" s="13" t="s">
        <v>215</v>
      </c>
      <c r="AI136" s="13" t="s">
        <v>215</v>
      </c>
      <c r="AJ136" s="13" t="s">
        <v>215</v>
      </c>
      <c r="AK136" s="13" t="s">
        <v>215</v>
      </c>
      <c r="AL136" s="13" t="s">
        <v>215</v>
      </c>
      <c r="AM136" s="13" t="s">
        <v>215</v>
      </c>
      <c r="AN136" s="13" t="s">
        <v>215</v>
      </c>
      <c r="AO136" s="13" t="s">
        <v>206</v>
      </c>
      <c r="AP136" s="13" t="s">
        <v>215</v>
      </c>
      <c r="AQ136" s="13" t="s">
        <v>215</v>
      </c>
      <c r="AR136" s="13" t="s">
        <v>215</v>
      </c>
      <c r="AS136" s="13" t="s">
        <v>215</v>
      </c>
      <c r="AT136" s="13" t="s">
        <v>215</v>
      </c>
      <c r="AU136" s="13" t="s">
        <v>209</v>
      </c>
      <c r="AV136" s="13" t="s">
        <v>215</v>
      </c>
      <c r="AW136" s="13" t="s">
        <v>215</v>
      </c>
      <c r="AX136" s="13" t="s">
        <v>215</v>
      </c>
      <c r="AY136" s="13" t="s">
        <v>215</v>
      </c>
      <c r="AZ136" s="13" t="s">
        <v>215</v>
      </c>
      <c r="BA136" s="13" t="s">
        <v>215</v>
      </c>
      <c r="BB136" s="13" t="s">
        <v>215</v>
      </c>
      <c r="BC136" s="13" t="s">
        <v>215</v>
      </c>
      <c r="BD136" s="16" t="s">
        <v>209</v>
      </c>
      <c r="BE136" s="15" t="s">
        <v>215</v>
      </c>
      <c r="BF136" s="13" t="s">
        <v>215</v>
      </c>
      <c r="BG136" s="13" t="s">
        <v>215</v>
      </c>
      <c r="BH136" s="13" t="s">
        <v>215</v>
      </c>
      <c r="BI136" s="13" t="s">
        <v>215</v>
      </c>
      <c r="BJ136" s="16" t="s">
        <v>215</v>
      </c>
      <c r="BK136" s="15" t="s">
        <v>209</v>
      </c>
      <c r="BL136" s="13" t="s">
        <v>215</v>
      </c>
      <c r="BM136" s="13" t="s">
        <v>215</v>
      </c>
      <c r="BN136" s="13" t="s">
        <v>215</v>
      </c>
      <c r="BO136" s="13" t="s">
        <v>215</v>
      </c>
      <c r="BP136" s="13" t="s">
        <v>215</v>
      </c>
      <c r="BQ136" s="13" t="s">
        <v>215</v>
      </c>
      <c r="BR136" s="13" t="s">
        <v>215</v>
      </c>
      <c r="BS136" s="13" t="s">
        <v>215</v>
      </c>
      <c r="BT136" s="13" t="s">
        <v>215</v>
      </c>
      <c r="BU136" s="13" t="s">
        <v>215</v>
      </c>
      <c r="BV136" s="13" t="s">
        <v>215</v>
      </c>
      <c r="BW136" s="16" t="s">
        <v>215</v>
      </c>
      <c r="BX136" s="15" t="s">
        <v>215</v>
      </c>
      <c r="BY136" s="13" t="s">
        <v>215</v>
      </c>
      <c r="BZ136" s="16" t="s">
        <v>215</v>
      </c>
      <c r="CA136" s="81" t="s">
        <v>215</v>
      </c>
      <c r="CB136" s="13" t="s">
        <v>215</v>
      </c>
      <c r="CC136" s="13" t="s">
        <v>215</v>
      </c>
      <c r="CD136" s="16" t="s">
        <v>215</v>
      </c>
      <c r="CE136" s="16" t="s">
        <v>215</v>
      </c>
    </row>
    <row r="137" spans="5:83" x14ac:dyDescent="0.35">
      <c r="E137" s="79" t="s">
        <v>426</v>
      </c>
      <c r="F137" s="116" t="s">
        <v>281</v>
      </c>
      <c r="G137" s="116" t="s">
        <v>273</v>
      </c>
      <c r="H137" s="15" t="e">
        <v>#N/A</v>
      </c>
      <c r="I137" s="13" t="e">
        <v>#N/A</v>
      </c>
      <c r="J137" s="13" t="e">
        <v>#N/A</v>
      </c>
      <c r="K137" s="13" t="e">
        <v>#N/A</v>
      </c>
      <c r="L137" s="13" t="e">
        <v>#N/A</v>
      </c>
      <c r="M137" s="13" t="e">
        <v>#N/A</v>
      </c>
      <c r="N137" s="13" t="e">
        <v>#N/A</v>
      </c>
      <c r="O137" s="13" t="e">
        <v>#N/A</v>
      </c>
      <c r="P137" s="13" t="e">
        <v>#N/A</v>
      </c>
      <c r="Q137" s="13" t="e">
        <v>#N/A</v>
      </c>
      <c r="R137" s="13" t="e">
        <v>#N/A</v>
      </c>
      <c r="S137" s="13" t="e">
        <v>#N/A</v>
      </c>
      <c r="T137" s="13" t="e">
        <v>#N/A</v>
      </c>
      <c r="U137" s="13" t="e">
        <v>#N/A</v>
      </c>
      <c r="V137" s="13" t="e">
        <v>#N/A</v>
      </c>
      <c r="W137" s="13" t="e">
        <v>#N/A</v>
      </c>
      <c r="X137" s="13" t="e">
        <v>#N/A</v>
      </c>
      <c r="Y137" s="13" t="e">
        <v>#N/A</v>
      </c>
      <c r="Z137" s="13" t="e">
        <v>#N/A</v>
      </c>
      <c r="AA137" s="13" t="e">
        <v>#N/A</v>
      </c>
      <c r="AB137" s="13" t="e">
        <v>#N/A</v>
      </c>
      <c r="AC137" s="13" t="e">
        <v>#N/A</v>
      </c>
      <c r="AD137" s="16" t="e">
        <v>#N/A</v>
      </c>
      <c r="AE137" s="15" t="e">
        <v>#N/A</v>
      </c>
      <c r="AF137" s="13" t="e">
        <v>#N/A</v>
      </c>
      <c r="AG137" s="13" t="e">
        <v>#N/A</v>
      </c>
      <c r="AH137" s="13" t="e">
        <v>#N/A</v>
      </c>
      <c r="AI137" s="13" t="e">
        <v>#N/A</v>
      </c>
      <c r="AJ137" s="13" t="e">
        <v>#N/A</v>
      </c>
      <c r="AK137" s="13" t="e">
        <v>#N/A</v>
      </c>
      <c r="AL137" s="13" t="e">
        <v>#N/A</v>
      </c>
      <c r="AM137" s="13" t="e">
        <v>#N/A</v>
      </c>
      <c r="AN137" s="13" t="e">
        <v>#N/A</v>
      </c>
      <c r="AO137" s="13" t="e">
        <v>#N/A</v>
      </c>
      <c r="AP137" s="13" t="e">
        <v>#N/A</v>
      </c>
      <c r="AQ137" s="13" t="e">
        <v>#N/A</v>
      </c>
      <c r="AR137" s="13" t="e">
        <v>#N/A</v>
      </c>
      <c r="AS137" s="13" t="e">
        <v>#N/A</v>
      </c>
      <c r="AT137" s="13" t="e">
        <v>#N/A</v>
      </c>
      <c r="AU137" s="13" t="e">
        <v>#N/A</v>
      </c>
      <c r="AV137" s="13" t="e">
        <v>#N/A</v>
      </c>
      <c r="AW137" s="13" t="e">
        <v>#N/A</v>
      </c>
      <c r="AX137" s="13" t="e">
        <v>#N/A</v>
      </c>
      <c r="AY137" s="13" t="e">
        <v>#N/A</v>
      </c>
      <c r="AZ137" s="13" t="e">
        <v>#N/A</v>
      </c>
      <c r="BA137" s="13" t="e">
        <v>#N/A</v>
      </c>
      <c r="BB137" s="13" t="e">
        <v>#N/A</v>
      </c>
      <c r="BC137" s="13" t="e">
        <v>#N/A</v>
      </c>
      <c r="BD137" s="16" t="e">
        <v>#N/A</v>
      </c>
      <c r="BE137" s="15" t="e">
        <v>#N/A</v>
      </c>
      <c r="BF137" s="13" t="e">
        <v>#N/A</v>
      </c>
      <c r="BG137" s="13" t="e">
        <v>#N/A</v>
      </c>
      <c r="BH137" s="13" t="e">
        <v>#N/A</v>
      </c>
      <c r="BI137" s="13" t="e">
        <v>#N/A</v>
      </c>
      <c r="BJ137" s="16" t="e">
        <v>#N/A</v>
      </c>
      <c r="BK137" s="15" t="e">
        <v>#N/A</v>
      </c>
      <c r="BL137" s="13" t="e">
        <v>#N/A</v>
      </c>
      <c r="BM137" s="13" t="e">
        <v>#N/A</v>
      </c>
      <c r="BN137" s="13" t="e">
        <v>#N/A</v>
      </c>
      <c r="BO137" s="13" t="e">
        <v>#N/A</v>
      </c>
      <c r="BP137" s="13" t="e">
        <v>#N/A</v>
      </c>
      <c r="BQ137" s="13" t="e">
        <v>#N/A</v>
      </c>
      <c r="BR137" s="13" t="e">
        <v>#N/A</v>
      </c>
      <c r="BS137" s="13" t="e">
        <v>#N/A</v>
      </c>
      <c r="BT137" s="13" t="e">
        <v>#N/A</v>
      </c>
      <c r="BU137" s="13" t="e">
        <v>#N/A</v>
      </c>
      <c r="BV137" s="13" t="e">
        <v>#N/A</v>
      </c>
      <c r="BW137" s="16" t="e">
        <v>#N/A</v>
      </c>
      <c r="BX137" s="15" t="e">
        <v>#N/A</v>
      </c>
      <c r="BY137" s="13" t="e">
        <v>#N/A</v>
      </c>
      <c r="BZ137" s="16" t="e">
        <v>#N/A</v>
      </c>
      <c r="CA137" s="81" t="e">
        <v>#N/A</v>
      </c>
      <c r="CB137" s="13" t="e">
        <v>#N/A</v>
      </c>
      <c r="CC137" s="13" t="e">
        <v>#N/A</v>
      </c>
      <c r="CD137" s="16" t="e">
        <v>#N/A</v>
      </c>
      <c r="CE137" s="16" t="s">
        <v>215</v>
      </c>
    </row>
    <row r="138" spans="5:83" x14ac:dyDescent="0.35">
      <c r="E138" s="79" t="s">
        <v>427</v>
      </c>
      <c r="F138" s="116" t="s">
        <v>167</v>
      </c>
      <c r="G138" s="116" t="s">
        <v>272</v>
      </c>
      <c r="H138" s="15" t="s">
        <v>215</v>
      </c>
      <c r="I138" s="13" t="s">
        <v>215</v>
      </c>
      <c r="J138" s="13" t="s">
        <v>215</v>
      </c>
      <c r="K138" s="13" t="s">
        <v>215</v>
      </c>
      <c r="L138" s="13" t="s">
        <v>215</v>
      </c>
      <c r="M138" s="13" t="s">
        <v>215</v>
      </c>
      <c r="N138" s="13" t="s">
        <v>215</v>
      </c>
      <c r="O138" s="13" t="s">
        <v>209</v>
      </c>
      <c r="P138" s="13" t="s">
        <v>215</v>
      </c>
      <c r="Q138" s="13" t="s">
        <v>206</v>
      </c>
      <c r="R138" s="13" t="s">
        <v>215</v>
      </c>
      <c r="S138" s="13" t="s">
        <v>215</v>
      </c>
      <c r="T138" s="13" t="s">
        <v>215</v>
      </c>
      <c r="U138" s="13" t="s">
        <v>215</v>
      </c>
      <c r="V138" s="13" t="s">
        <v>215</v>
      </c>
      <c r="W138" s="13" t="s">
        <v>209</v>
      </c>
      <c r="X138" s="13" t="s">
        <v>215</v>
      </c>
      <c r="Y138" s="13" t="s">
        <v>215</v>
      </c>
      <c r="Z138" s="13" t="s">
        <v>215</v>
      </c>
      <c r="AA138" s="13" t="s">
        <v>209</v>
      </c>
      <c r="AB138" s="13" t="s">
        <v>215</v>
      </c>
      <c r="AC138" s="13" t="s">
        <v>215</v>
      </c>
      <c r="AD138" s="16" t="s">
        <v>215</v>
      </c>
      <c r="AE138" s="15" t="s">
        <v>215</v>
      </c>
      <c r="AF138" s="13" t="s">
        <v>215</v>
      </c>
      <c r="AG138" s="13" t="s">
        <v>215</v>
      </c>
      <c r="AH138" s="13" t="s">
        <v>215</v>
      </c>
      <c r="AI138" s="13" t="s">
        <v>215</v>
      </c>
      <c r="AJ138" s="13" t="s">
        <v>206</v>
      </c>
      <c r="AK138" s="13" t="s">
        <v>209</v>
      </c>
      <c r="AL138" s="13" t="s">
        <v>215</v>
      </c>
      <c r="AM138" s="13" t="s">
        <v>215</v>
      </c>
      <c r="AN138" s="13" t="s">
        <v>215</v>
      </c>
      <c r="AO138" s="13" t="s">
        <v>209</v>
      </c>
      <c r="AP138" s="13" t="s">
        <v>215</v>
      </c>
      <c r="AQ138" s="13" t="s">
        <v>215</v>
      </c>
      <c r="AR138" s="13" t="s">
        <v>215</v>
      </c>
      <c r="AS138" s="13" t="s">
        <v>215</v>
      </c>
      <c r="AT138" s="13" t="s">
        <v>215</v>
      </c>
      <c r="AU138" s="13" t="s">
        <v>215</v>
      </c>
      <c r="AV138" s="13" t="s">
        <v>215</v>
      </c>
      <c r="AW138" s="13" t="s">
        <v>215</v>
      </c>
      <c r="AX138" s="13" t="s">
        <v>215</v>
      </c>
      <c r="AY138" s="13" t="s">
        <v>215</v>
      </c>
      <c r="AZ138" s="13" t="s">
        <v>215</v>
      </c>
      <c r="BA138" s="13" t="s">
        <v>215</v>
      </c>
      <c r="BB138" s="13" t="s">
        <v>215</v>
      </c>
      <c r="BC138" s="13" t="s">
        <v>215</v>
      </c>
      <c r="BD138" s="16" t="s">
        <v>215</v>
      </c>
      <c r="BE138" s="15" t="s">
        <v>215</v>
      </c>
      <c r="BF138" s="13" t="s">
        <v>215</v>
      </c>
      <c r="BG138" s="13" t="s">
        <v>215</v>
      </c>
      <c r="BH138" s="13" t="s">
        <v>209</v>
      </c>
      <c r="BI138" s="13" t="s">
        <v>215</v>
      </c>
      <c r="BJ138" s="16" t="s">
        <v>215</v>
      </c>
      <c r="BK138" s="15" t="s">
        <v>215</v>
      </c>
      <c r="BL138" s="13" t="s">
        <v>215</v>
      </c>
      <c r="BM138" s="13" t="s">
        <v>215</v>
      </c>
      <c r="BN138" s="13" t="s">
        <v>215</v>
      </c>
      <c r="BO138" s="13" t="s">
        <v>209</v>
      </c>
      <c r="BP138" s="13" t="s">
        <v>215</v>
      </c>
      <c r="BQ138" s="13" t="s">
        <v>215</v>
      </c>
      <c r="BR138" s="13" t="s">
        <v>215</v>
      </c>
      <c r="BS138" s="13" t="s">
        <v>215</v>
      </c>
      <c r="BT138" s="13" t="s">
        <v>215</v>
      </c>
      <c r="BU138" s="13" t="s">
        <v>215</v>
      </c>
      <c r="BV138" s="13" t="s">
        <v>215</v>
      </c>
      <c r="BW138" s="16" t="s">
        <v>215</v>
      </c>
      <c r="BX138" s="15" t="s">
        <v>215</v>
      </c>
      <c r="BY138" s="13" t="s">
        <v>209</v>
      </c>
      <c r="BZ138" s="16" t="s">
        <v>215</v>
      </c>
      <c r="CA138" s="81" t="s">
        <v>215</v>
      </c>
      <c r="CB138" s="13" t="s">
        <v>215</v>
      </c>
      <c r="CC138" s="13" t="s">
        <v>215</v>
      </c>
      <c r="CD138" s="16" t="s">
        <v>215</v>
      </c>
      <c r="CE138" s="16" t="s">
        <v>215</v>
      </c>
    </row>
    <row r="139" spans="5:83" x14ac:dyDescent="0.35">
      <c r="E139" s="79" t="s">
        <v>428</v>
      </c>
      <c r="F139" s="116" t="s">
        <v>91</v>
      </c>
      <c r="G139" s="116" t="s">
        <v>273</v>
      </c>
      <c r="H139" s="15" t="s">
        <v>215</v>
      </c>
      <c r="I139" s="13" t="s">
        <v>215</v>
      </c>
      <c r="J139" s="13" t="s">
        <v>215</v>
      </c>
      <c r="K139" s="13" t="s">
        <v>215</v>
      </c>
      <c r="L139" s="13" t="s">
        <v>215</v>
      </c>
      <c r="M139" s="13" t="s">
        <v>215</v>
      </c>
      <c r="N139" s="13" t="s">
        <v>215</v>
      </c>
      <c r="O139" s="13" t="s">
        <v>215</v>
      </c>
      <c r="P139" s="13" t="s">
        <v>215</v>
      </c>
      <c r="Q139" s="13" t="s">
        <v>215</v>
      </c>
      <c r="R139" s="13" t="s">
        <v>215</v>
      </c>
      <c r="S139" s="13" t="s">
        <v>215</v>
      </c>
      <c r="T139" s="13" t="s">
        <v>215</v>
      </c>
      <c r="U139" s="13" t="s">
        <v>215</v>
      </c>
      <c r="V139" s="13" t="s">
        <v>215</v>
      </c>
      <c r="W139" s="13" t="s">
        <v>215</v>
      </c>
      <c r="X139" s="13" t="s">
        <v>215</v>
      </c>
      <c r="Y139" s="13" t="s">
        <v>215</v>
      </c>
      <c r="Z139" s="13" t="s">
        <v>215</v>
      </c>
      <c r="AA139" s="13" t="s">
        <v>215</v>
      </c>
      <c r="AB139" s="13" t="s">
        <v>215</v>
      </c>
      <c r="AC139" s="13" t="s">
        <v>215</v>
      </c>
      <c r="AD139" s="16" t="s">
        <v>215</v>
      </c>
      <c r="AE139" s="15" t="s">
        <v>215</v>
      </c>
      <c r="AF139" s="13" t="s">
        <v>215</v>
      </c>
      <c r="AG139" s="13" t="s">
        <v>215</v>
      </c>
      <c r="AH139" s="13" t="s">
        <v>215</v>
      </c>
      <c r="AI139" s="13" t="s">
        <v>215</v>
      </c>
      <c r="AJ139" s="13" t="s">
        <v>215</v>
      </c>
      <c r="AK139" s="13" t="s">
        <v>215</v>
      </c>
      <c r="AL139" s="13" t="s">
        <v>215</v>
      </c>
      <c r="AM139" s="13" t="s">
        <v>215</v>
      </c>
      <c r="AN139" s="13" t="s">
        <v>215</v>
      </c>
      <c r="AO139" s="13" t="s">
        <v>215</v>
      </c>
      <c r="AP139" s="13" t="s">
        <v>215</v>
      </c>
      <c r="AQ139" s="13" t="s">
        <v>215</v>
      </c>
      <c r="AR139" s="13" t="s">
        <v>215</v>
      </c>
      <c r="AS139" s="13" t="s">
        <v>215</v>
      </c>
      <c r="AT139" s="13" t="s">
        <v>215</v>
      </c>
      <c r="AU139" s="13" t="s">
        <v>215</v>
      </c>
      <c r="AV139" s="13" t="s">
        <v>215</v>
      </c>
      <c r="AW139" s="13" t="s">
        <v>215</v>
      </c>
      <c r="AX139" s="13" t="s">
        <v>215</v>
      </c>
      <c r="AY139" s="13" t="s">
        <v>215</v>
      </c>
      <c r="AZ139" s="13" t="s">
        <v>215</v>
      </c>
      <c r="BA139" s="13" t="s">
        <v>215</v>
      </c>
      <c r="BB139" s="13" t="s">
        <v>209</v>
      </c>
      <c r="BC139" s="13" t="s">
        <v>215</v>
      </c>
      <c r="BD139" s="16" t="s">
        <v>215</v>
      </c>
      <c r="BE139" s="15" t="s">
        <v>215</v>
      </c>
      <c r="BF139" s="13" t="s">
        <v>215</v>
      </c>
      <c r="BG139" s="13" t="s">
        <v>215</v>
      </c>
      <c r="BH139" s="13" t="s">
        <v>215</v>
      </c>
      <c r="BI139" s="13" t="s">
        <v>215</v>
      </c>
      <c r="BJ139" s="16" t="s">
        <v>215</v>
      </c>
      <c r="BK139" s="15" t="s">
        <v>215</v>
      </c>
      <c r="BL139" s="13" t="s">
        <v>215</v>
      </c>
      <c r="BM139" s="13" t="s">
        <v>215</v>
      </c>
      <c r="BN139" s="13" t="s">
        <v>215</v>
      </c>
      <c r="BO139" s="13" t="s">
        <v>215</v>
      </c>
      <c r="BP139" s="13" t="s">
        <v>215</v>
      </c>
      <c r="BQ139" s="13" t="s">
        <v>215</v>
      </c>
      <c r="BR139" s="13" t="s">
        <v>215</v>
      </c>
      <c r="BS139" s="13" t="s">
        <v>215</v>
      </c>
      <c r="BT139" s="13" t="s">
        <v>215</v>
      </c>
      <c r="BU139" s="13" t="s">
        <v>215</v>
      </c>
      <c r="BV139" s="13" t="s">
        <v>215</v>
      </c>
      <c r="BW139" s="16" t="s">
        <v>215</v>
      </c>
      <c r="BX139" s="15" t="s">
        <v>215</v>
      </c>
      <c r="BY139" s="13" t="s">
        <v>215</v>
      </c>
      <c r="BZ139" s="16" t="s">
        <v>215</v>
      </c>
      <c r="CA139" s="81" t="s">
        <v>215</v>
      </c>
      <c r="CB139" s="13" t="s">
        <v>215</v>
      </c>
      <c r="CC139" s="13" t="s">
        <v>215</v>
      </c>
      <c r="CD139" s="16" t="s">
        <v>215</v>
      </c>
      <c r="CE139" s="16" t="s">
        <v>215</v>
      </c>
    </row>
    <row r="140" spans="5:83" x14ac:dyDescent="0.35">
      <c r="E140" s="79" t="s">
        <v>429</v>
      </c>
      <c r="F140" s="116" t="s">
        <v>105</v>
      </c>
      <c r="G140" s="116" t="s">
        <v>273</v>
      </c>
      <c r="H140" s="15" t="s">
        <v>215</v>
      </c>
      <c r="I140" s="13" t="s">
        <v>215</v>
      </c>
      <c r="J140" s="13" t="s">
        <v>215</v>
      </c>
      <c r="K140" s="13" t="s">
        <v>215</v>
      </c>
      <c r="L140" s="13" t="s">
        <v>215</v>
      </c>
      <c r="M140" s="13" t="s">
        <v>215</v>
      </c>
      <c r="N140" s="13" t="s">
        <v>215</v>
      </c>
      <c r="O140" s="13" t="s">
        <v>215</v>
      </c>
      <c r="P140" s="13" t="s">
        <v>215</v>
      </c>
      <c r="Q140" s="13" t="s">
        <v>215</v>
      </c>
      <c r="R140" s="13" t="s">
        <v>215</v>
      </c>
      <c r="S140" s="13" t="s">
        <v>215</v>
      </c>
      <c r="T140" s="13" t="s">
        <v>206</v>
      </c>
      <c r="U140" s="13" t="s">
        <v>215</v>
      </c>
      <c r="V140" s="13" t="s">
        <v>215</v>
      </c>
      <c r="W140" s="13" t="s">
        <v>215</v>
      </c>
      <c r="X140" s="13" t="s">
        <v>215</v>
      </c>
      <c r="Y140" s="13" t="s">
        <v>215</v>
      </c>
      <c r="Z140" s="13" t="s">
        <v>215</v>
      </c>
      <c r="AA140" s="13" t="s">
        <v>215</v>
      </c>
      <c r="AB140" s="13" t="s">
        <v>215</v>
      </c>
      <c r="AC140" s="13" t="s">
        <v>215</v>
      </c>
      <c r="AD140" s="16" t="s">
        <v>215</v>
      </c>
      <c r="AE140" s="15" t="s">
        <v>215</v>
      </c>
      <c r="AF140" s="13" t="s">
        <v>206</v>
      </c>
      <c r="AG140" s="13" t="s">
        <v>215</v>
      </c>
      <c r="AH140" s="13" t="s">
        <v>209</v>
      </c>
      <c r="AI140" s="13" t="s">
        <v>215</v>
      </c>
      <c r="AJ140" s="13" t="s">
        <v>215</v>
      </c>
      <c r="AK140" s="13" t="s">
        <v>209</v>
      </c>
      <c r="AL140" s="13" t="s">
        <v>215</v>
      </c>
      <c r="AM140" s="13" t="s">
        <v>215</v>
      </c>
      <c r="AN140" s="13" t="s">
        <v>215</v>
      </c>
      <c r="AO140" s="13" t="s">
        <v>215</v>
      </c>
      <c r="AP140" s="13" t="s">
        <v>215</v>
      </c>
      <c r="AQ140" s="13" t="s">
        <v>215</v>
      </c>
      <c r="AR140" s="13" t="s">
        <v>215</v>
      </c>
      <c r="AS140" s="13" t="s">
        <v>215</v>
      </c>
      <c r="AT140" s="13" t="s">
        <v>215</v>
      </c>
      <c r="AU140" s="13" t="s">
        <v>215</v>
      </c>
      <c r="AV140" s="13" t="s">
        <v>215</v>
      </c>
      <c r="AW140" s="13" t="s">
        <v>215</v>
      </c>
      <c r="AX140" s="13" t="s">
        <v>215</v>
      </c>
      <c r="AY140" s="13" t="s">
        <v>215</v>
      </c>
      <c r="AZ140" s="13" t="s">
        <v>215</v>
      </c>
      <c r="BA140" s="13" t="s">
        <v>215</v>
      </c>
      <c r="BB140" s="13" t="s">
        <v>215</v>
      </c>
      <c r="BC140" s="13" t="s">
        <v>215</v>
      </c>
      <c r="BD140" s="16" t="s">
        <v>215</v>
      </c>
      <c r="BE140" s="15" t="s">
        <v>215</v>
      </c>
      <c r="BF140" s="13" t="s">
        <v>215</v>
      </c>
      <c r="BG140" s="13" t="s">
        <v>215</v>
      </c>
      <c r="BH140" s="13" t="s">
        <v>215</v>
      </c>
      <c r="BI140" s="13" t="s">
        <v>215</v>
      </c>
      <c r="BJ140" s="16" t="s">
        <v>215</v>
      </c>
      <c r="BK140" s="15" t="s">
        <v>215</v>
      </c>
      <c r="BL140" s="13" t="s">
        <v>215</v>
      </c>
      <c r="BM140" s="13" t="s">
        <v>215</v>
      </c>
      <c r="BN140" s="13" t="s">
        <v>215</v>
      </c>
      <c r="BO140" s="13" t="s">
        <v>209</v>
      </c>
      <c r="BP140" s="13" t="s">
        <v>215</v>
      </c>
      <c r="BQ140" s="13" t="s">
        <v>215</v>
      </c>
      <c r="BR140" s="13" t="s">
        <v>215</v>
      </c>
      <c r="BS140" s="13" t="s">
        <v>215</v>
      </c>
      <c r="BT140" s="13" t="s">
        <v>215</v>
      </c>
      <c r="BU140" s="13" t="s">
        <v>215</v>
      </c>
      <c r="BV140" s="13" t="s">
        <v>215</v>
      </c>
      <c r="BW140" s="16" t="s">
        <v>215</v>
      </c>
      <c r="BX140" s="15" t="s">
        <v>215</v>
      </c>
      <c r="BY140" s="13" t="s">
        <v>215</v>
      </c>
      <c r="BZ140" s="16" t="s">
        <v>215</v>
      </c>
      <c r="CA140" s="81" t="s">
        <v>215</v>
      </c>
      <c r="CB140" s="13" t="s">
        <v>215</v>
      </c>
      <c r="CC140" s="13" t="s">
        <v>215</v>
      </c>
      <c r="CD140" s="16" t="s">
        <v>215</v>
      </c>
      <c r="CE140" s="16" t="s">
        <v>215</v>
      </c>
    </row>
    <row r="141" spans="5:83" x14ac:dyDescent="0.35">
      <c r="E141" s="79" t="s">
        <v>430</v>
      </c>
      <c r="F141" s="116" t="s">
        <v>119</v>
      </c>
      <c r="G141" s="116" t="s">
        <v>273</v>
      </c>
      <c r="H141" s="15" t="s">
        <v>215</v>
      </c>
      <c r="I141" s="13" t="s">
        <v>215</v>
      </c>
      <c r="J141" s="13" t="s">
        <v>215</v>
      </c>
      <c r="K141" s="13" t="s">
        <v>215</v>
      </c>
      <c r="L141" s="13" t="s">
        <v>215</v>
      </c>
      <c r="M141" s="13" t="s">
        <v>215</v>
      </c>
      <c r="N141" s="13" t="s">
        <v>215</v>
      </c>
      <c r="O141" s="13" t="s">
        <v>215</v>
      </c>
      <c r="P141" s="13" t="s">
        <v>215</v>
      </c>
      <c r="Q141" s="13" t="s">
        <v>215</v>
      </c>
      <c r="R141" s="13" t="s">
        <v>215</v>
      </c>
      <c r="S141" s="13" t="s">
        <v>215</v>
      </c>
      <c r="T141" s="13" t="s">
        <v>209</v>
      </c>
      <c r="U141" s="13" t="s">
        <v>215</v>
      </c>
      <c r="V141" s="13" t="s">
        <v>215</v>
      </c>
      <c r="W141" s="13" t="s">
        <v>209</v>
      </c>
      <c r="X141" s="13" t="s">
        <v>209</v>
      </c>
      <c r="Y141" s="13" t="s">
        <v>215</v>
      </c>
      <c r="Z141" s="13" t="s">
        <v>215</v>
      </c>
      <c r="AA141" s="13" t="s">
        <v>215</v>
      </c>
      <c r="AB141" s="13" t="s">
        <v>209</v>
      </c>
      <c r="AC141" s="13" t="s">
        <v>209</v>
      </c>
      <c r="AD141" s="16" t="s">
        <v>215</v>
      </c>
      <c r="AE141" s="15" t="s">
        <v>215</v>
      </c>
      <c r="AF141" s="13" t="s">
        <v>215</v>
      </c>
      <c r="AG141" s="13" t="s">
        <v>215</v>
      </c>
      <c r="AH141" s="13" t="s">
        <v>209</v>
      </c>
      <c r="AI141" s="13" t="s">
        <v>209</v>
      </c>
      <c r="AJ141" s="13" t="s">
        <v>215</v>
      </c>
      <c r="AK141" s="13" t="s">
        <v>209</v>
      </c>
      <c r="AL141" s="13" t="s">
        <v>215</v>
      </c>
      <c r="AM141" s="13" t="s">
        <v>215</v>
      </c>
      <c r="AN141" s="13" t="s">
        <v>215</v>
      </c>
      <c r="AO141" s="13" t="s">
        <v>209</v>
      </c>
      <c r="AP141" s="13" t="s">
        <v>215</v>
      </c>
      <c r="AQ141" s="13" t="s">
        <v>215</v>
      </c>
      <c r="AR141" s="13" t="s">
        <v>215</v>
      </c>
      <c r="AS141" s="13" t="s">
        <v>215</v>
      </c>
      <c r="AT141" s="13" t="s">
        <v>215</v>
      </c>
      <c r="AU141" s="13" t="s">
        <v>215</v>
      </c>
      <c r="AV141" s="13" t="s">
        <v>215</v>
      </c>
      <c r="AW141" s="13" t="s">
        <v>215</v>
      </c>
      <c r="AX141" s="13" t="s">
        <v>215</v>
      </c>
      <c r="AY141" s="13" t="s">
        <v>215</v>
      </c>
      <c r="AZ141" s="13" t="s">
        <v>215</v>
      </c>
      <c r="BA141" s="13" t="s">
        <v>215</v>
      </c>
      <c r="BB141" s="13" t="s">
        <v>215</v>
      </c>
      <c r="BC141" s="13" t="s">
        <v>215</v>
      </c>
      <c r="BD141" s="16" t="s">
        <v>215</v>
      </c>
      <c r="BE141" s="15" t="s">
        <v>215</v>
      </c>
      <c r="BF141" s="13" t="s">
        <v>206</v>
      </c>
      <c r="BG141" s="13" t="s">
        <v>209</v>
      </c>
      <c r="BH141" s="13" t="s">
        <v>206</v>
      </c>
      <c r="BI141" s="13" t="s">
        <v>215</v>
      </c>
      <c r="BJ141" s="16" t="s">
        <v>215</v>
      </c>
      <c r="BK141" s="15" t="s">
        <v>215</v>
      </c>
      <c r="BL141" s="13" t="s">
        <v>215</v>
      </c>
      <c r="BM141" s="13" t="s">
        <v>215</v>
      </c>
      <c r="BN141" s="13" t="s">
        <v>215</v>
      </c>
      <c r="BO141" s="13" t="s">
        <v>209</v>
      </c>
      <c r="BP141" s="13" t="s">
        <v>215</v>
      </c>
      <c r="BQ141" s="13" t="s">
        <v>215</v>
      </c>
      <c r="BR141" s="13" t="s">
        <v>215</v>
      </c>
      <c r="BS141" s="13" t="s">
        <v>215</v>
      </c>
      <c r="BT141" s="13" t="s">
        <v>215</v>
      </c>
      <c r="BU141" s="13" t="s">
        <v>215</v>
      </c>
      <c r="BV141" s="13" t="s">
        <v>215</v>
      </c>
      <c r="BW141" s="16" t="s">
        <v>215</v>
      </c>
      <c r="BX141" s="15" t="s">
        <v>215</v>
      </c>
      <c r="BY141" s="13" t="s">
        <v>215</v>
      </c>
      <c r="BZ141" s="16" t="s">
        <v>215</v>
      </c>
      <c r="CA141" s="81" t="s">
        <v>215</v>
      </c>
      <c r="CB141" s="13" t="s">
        <v>215</v>
      </c>
      <c r="CC141" s="13" t="s">
        <v>215</v>
      </c>
      <c r="CD141" s="16" t="s">
        <v>215</v>
      </c>
      <c r="CE141" s="16" t="s">
        <v>215</v>
      </c>
    </row>
    <row r="142" spans="5:83" x14ac:dyDescent="0.35">
      <c r="E142" s="79" t="s">
        <v>431</v>
      </c>
      <c r="F142" s="116" t="s">
        <v>131</v>
      </c>
      <c r="G142" s="116" t="s">
        <v>273</v>
      </c>
      <c r="H142" s="15" t="s">
        <v>215</v>
      </c>
      <c r="I142" s="13" t="s">
        <v>215</v>
      </c>
      <c r="J142" s="13" t="s">
        <v>215</v>
      </c>
      <c r="K142" s="13" t="s">
        <v>209</v>
      </c>
      <c r="L142" s="13" t="s">
        <v>215</v>
      </c>
      <c r="M142" s="13" t="s">
        <v>215</v>
      </c>
      <c r="N142" s="13" t="s">
        <v>215</v>
      </c>
      <c r="O142" s="13" t="s">
        <v>206</v>
      </c>
      <c r="P142" s="13" t="s">
        <v>215</v>
      </c>
      <c r="Q142" s="13" t="s">
        <v>215</v>
      </c>
      <c r="R142" s="13" t="s">
        <v>215</v>
      </c>
      <c r="S142" s="13" t="s">
        <v>215</v>
      </c>
      <c r="T142" s="13" t="s">
        <v>215</v>
      </c>
      <c r="U142" s="13" t="s">
        <v>215</v>
      </c>
      <c r="V142" s="13" t="s">
        <v>215</v>
      </c>
      <c r="W142" s="13" t="s">
        <v>215</v>
      </c>
      <c r="X142" s="13" t="s">
        <v>209</v>
      </c>
      <c r="Y142" s="13" t="s">
        <v>209</v>
      </c>
      <c r="Z142" s="13" t="s">
        <v>215</v>
      </c>
      <c r="AA142" s="13" t="s">
        <v>215</v>
      </c>
      <c r="AB142" s="13" t="s">
        <v>209</v>
      </c>
      <c r="AC142" s="13" t="s">
        <v>209</v>
      </c>
      <c r="AD142" s="16" t="s">
        <v>215</v>
      </c>
      <c r="AE142" s="15" t="s">
        <v>215</v>
      </c>
      <c r="AF142" s="13" t="s">
        <v>215</v>
      </c>
      <c r="AG142" s="13" t="s">
        <v>215</v>
      </c>
      <c r="AH142" s="13" t="s">
        <v>215</v>
      </c>
      <c r="AI142" s="13" t="s">
        <v>215</v>
      </c>
      <c r="AJ142" s="13" t="s">
        <v>215</v>
      </c>
      <c r="AK142" s="13" t="s">
        <v>209</v>
      </c>
      <c r="AL142" s="13" t="s">
        <v>215</v>
      </c>
      <c r="AM142" s="13" t="s">
        <v>215</v>
      </c>
      <c r="AN142" s="13" t="s">
        <v>215</v>
      </c>
      <c r="AO142" s="13" t="s">
        <v>209</v>
      </c>
      <c r="AP142" s="13" t="s">
        <v>215</v>
      </c>
      <c r="AQ142" s="13" t="s">
        <v>215</v>
      </c>
      <c r="AR142" s="13" t="s">
        <v>215</v>
      </c>
      <c r="AS142" s="13" t="s">
        <v>215</v>
      </c>
      <c r="AT142" s="13" t="s">
        <v>215</v>
      </c>
      <c r="AU142" s="13" t="s">
        <v>215</v>
      </c>
      <c r="AV142" s="13" t="s">
        <v>215</v>
      </c>
      <c r="AW142" s="13" t="s">
        <v>215</v>
      </c>
      <c r="AX142" s="13" t="s">
        <v>215</v>
      </c>
      <c r="AY142" s="13" t="s">
        <v>215</v>
      </c>
      <c r="AZ142" s="13" t="s">
        <v>215</v>
      </c>
      <c r="BA142" s="13" t="s">
        <v>215</v>
      </c>
      <c r="BB142" s="13" t="s">
        <v>215</v>
      </c>
      <c r="BC142" s="13" t="s">
        <v>215</v>
      </c>
      <c r="BD142" s="16" t="s">
        <v>215</v>
      </c>
      <c r="BE142" s="15" t="s">
        <v>215</v>
      </c>
      <c r="BF142" s="13" t="s">
        <v>215</v>
      </c>
      <c r="BG142" s="13" t="s">
        <v>215</v>
      </c>
      <c r="BH142" s="13" t="s">
        <v>215</v>
      </c>
      <c r="BI142" s="13" t="s">
        <v>215</v>
      </c>
      <c r="BJ142" s="16" t="s">
        <v>215</v>
      </c>
      <c r="BK142" s="15" t="s">
        <v>215</v>
      </c>
      <c r="BL142" s="13" t="s">
        <v>215</v>
      </c>
      <c r="BM142" s="13" t="s">
        <v>215</v>
      </c>
      <c r="BN142" s="13" t="s">
        <v>215</v>
      </c>
      <c r="BO142" s="13" t="s">
        <v>209</v>
      </c>
      <c r="BP142" s="13" t="s">
        <v>215</v>
      </c>
      <c r="BQ142" s="13" t="s">
        <v>215</v>
      </c>
      <c r="BR142" s="13" t="s">
        <v>215</v>
      </c>
      <c r="BS142" s="13" t="s">
        <v>215</v>
      </c>
      <c r="BT142" s="13" t="s">
        <v>215</v>
      </c>
      <c r="BU142" s="13" t="s">
        <v>215</v>
      </c>
      <c r="BV142" s="13" t="s">
        <v>215</v>
      </c>
      <c r="BW142" s="16" t="s">
        <v>215</v>
      </c>
      <c r="BX142" s="15" t="s">
        <v>215</v>
      </c>
      <c r="BY142" s="13" t="s">
        <v>215</v>
      </c>
      <c r="BZ142" s="16" t="s">
        <v>215</v>
      </c>
      <c r="CA142" s="81" t="s">
        <v>215</v>
      </c>
      <c r="CB142" s="13" t="s">
        <v>215</v>
      </c>
      <c r="CC142" s="13" t="s">
        <v>215</v>
      </c>
      <c r="CD142" s="16" t="s">
        <v>215</v>
      </c>
      <c r="CE142" s="16" t="s">
        <v>215</v>
      </c>
    </row>
    <row r="143" spans="5:83" x14ac:dyDescent="0.35">
      <c r="E143" s="79" t="s">
        <v>432</v>
      </c>
      <c r="F143" s="116" t="s">
        <v>140</v>
      </c>
      <c r="G143" s="116" t="s">
        <v>274</v>
      </c>
      <c r="H143" s="15" t="s">
        <v>215</v>
      </c>
      <c r="I143" s="13" t="s">
        <v>215</v>
      </c>
      <c r="J143" s="13" t="s">
        <v>215</v>
      </c>
      <c r="K143" s="13" t="s">
        <v>215</v>
      </c>
      <c r="L143" s="13" t="s">
        <v>215</v>
      </c>
      <c r="M143" s="13" t="s">
        <v>215</v>
      </c>
      <c r="N143" s="13" t="s">
        <v>209</v>
      </c>
      <c r="O143" s="13" t="s">
        <v>206</v>
      </c>
      <c r="P143" s="13" t="s">
        <v>215</v>
      </c>
      <c r="Q143" s="13" t="s">
        <v>215</v>
      </c>
      <c r="R143" s="13" t="s">
        <v>215</v>
      </c>
      <c r="S143" s="13" t="s">
        <v>215</v>
      </c>
      <c r="T143" s="13" t="s">
        <v>215</v>
      </c>
      <c r="U143" s="13" t="s">
        <v>215</v>
      </c>
      <c r="V143" s="13" t="s">
        <v>215</v>
      </c>
      <c r="W143" s="13" t="s">
        <v>215</v>
      </c>
      <c r="X143" s="13" t="s">
        <v>215</v>
      </c>
      <c r="Y143" s="13" t="s">
        <v>215</v>
      </c>
      <c r="Z143" s="13" t="s">
        <v>215</v>
      </c>
      <c r="AA143" s="13" t="s">
        <v>215</v>
      </c>
      <c r="AB143" s="13" t="s">
        <v>215</v>
      </c>
      <c r="AC143" s="13" t="s">
        <v>215</v>
      </c>
      <c r="AD143" s="16" t="s">
        <v>215</v>
      </c>
      <c r="AE143" s="15" t="s">
        <v>215</v>
      </c>
      <c r="AF143" s="13" t="s">
        <v>209</v>
      </c>
      <c r="AG143" s="13" t="s">
        <v>215</v>
      </c>
      <c r="AH143" s="13" t="s">
        <v>215</v>
      </c>
      <c r="AI143" s="13" t="s">
        <v>215</v>
      </c>
      <c r="AJ143" s="13" t="s">
        <v>215</v>
      </c>
      <c r="AK143" s="13" t="s">
        <v>215</v>
      </c>
      <c r="AL143" s="13" t="s">
        <v>215</v>
      </c>
      <c r="AM143" s="13" t="s">
        <v>215</v>
      </c>
      <c r="AN143" s="13" t="s">
        <v>215</v>
      </c>
      <c r="AO143" s="13" t="s">
        <v>215</v>
      </c>
      <c r="AP143" s="13" t="s">
        <v>215</v>
      </c>
      <c r="AQ143" s="13" t="s">
        <v>215</v>
      </c>
      <c r="AR143" s="13" t="s">
        <v>215</v>
      </c>
      <c r="AS143" s="13" t="s">
        <v>215</v>
      </c>
      <c r="AT143" s="13" t="s">
        <v>215</v>
      </c>
      <c r="AU143" s="13" t="s">
        <v>215</v>
      </c>
      <c r="AV143" s="13" t="s">
        <v>215</v>
      </c>
      <c r="AW143" s="13" t="s">
        <v>215</v>
      </c>
      <c r="AX143" s="13" t="s">
        <v>215</v>
      </c>
      <c r="AY143" s="13" t="s">
        <v>215</v>
      </c>
      <c r="AZ143" s="13" t="s">
        <v>215</v>
      </c>
      <c r="BA143" s="13" t="s">
        <v>215</v>
      </c>
      <c r="BB143" s="13" t="s">
        <v>215</v>
      </c>
      <c r="BC143" s="13" t="s">
        <v>215</v>
      </c>
      <c r="BD143" s="16" t="s">
        <v>215</v>
      </c>
      <c r="BE143" s="15" t="s">
        <v>215</v>
      </c>
      <c r="BF143" s="13" t="s">
        <v>215</v>
      </c>
      <c r="BG143" s="13" t="s">
        <v>215</v>
      </c>
      <c r="BH143" s="13" t="s">
        <v>215</v>
      </c>
      <c r="BI143" s="13" t="s">
        <v>215</v>
      </c>
      <c r="BJ143" s="16" t="s">
        <v>215</v>
      </c>
      <c r="BK143" s="15" t="s">
        <v>215</v>
      </c>
      <c r="BL143" s="13" t="s">
        <v>215</v>
      </c>
      <c r="BM143" s="13" t="s">
        <v>215</v>
      </c>
      <c r="BN143" s="13" t="s">
        <v>215</v>
      </c>
      <c r="BO143" s="13" t="s">
        <v>215</v>
      </c>
      <c r="BP143" s="13" t="s">
        <v>215</v>
      </c>
      <c r="BQ143" s="13" t="s">
        <v>215</v>
      </c>
      <c r="BR143" s="13" t="s">
        <v>215</v>
      </c>
      <c r="BS143" s="13" t="s">
        <v>215</v>
      </c>
      <c r="BT143" s="13" t="s">
        <v>215</v>
      </c>
      <c r="BU143" s="13" t="s">
        <v>215</v>
      </c>
      <c r="BV143" s="13" t="s">
        <v>209</v>
      </c>
      <c r="BW143" s="16" t="s">
        <v>215</v>
      </c>
      <c r="BX143" s="15" t="s">
        <v>215</v>
      </c>
      <c r="BY143" s="13" t="s">
        <v>215</v>
      </c>
      <c r="BZ143" s="16" t="s">
        <v>215</v>
      </c>
      <c r="CA143" s="81" t="s">
        <v>215</v>
      </c>
      <c r="CB143" s="13" t="s">
        <v>215</v>
      </c>
      <c r="CC143" s="13" t="s">
        <v>215</v>
      </c>
      <c r="CD143" s="16" t="s">
        <v>215</v>
      </c>
      <c r="CE143" s="16" t="s">
        <v>215</v>
      </c>
    </row>
    <row r="144" spans="5:83" x14ac:dyDescent="0.35">
      <c r="E144" s="79" t="s">
        <v>433</v>
      </c>
      <c r="F144" s="116" t="s">
        <v>148</v>
      </c>
      <c r="G144" s="116" t="s">
        <v>273</v>
      </c>
      <c r="H144" s="15" t="s">
        <v>215</v>
      </c>
      <c r="I144" s="13" t="s">
        <v>215</v>
      </c>
      <c r="J144" s="13" t="s">
        <v>215</v>
      </c>
      <c r="K144" s="13" t="s">
        <v>215</v>
      </c>
      <c r="L144" s="13" t="s">
        <v>215</v>
      </c>
      <c r="M144" s="13" t="s">
        <v>215</v>
      </c>
      <c r="N144" s="13" t="s">
        <v>209</v>
      </c>
      <c r="O144" s="13" t="s">
        <v>215</v>
      </c>
      <c r="P144" s="13" t="s">
        <v>215</v>
      </c>
      <c r="Q144" s="13" t="s">
        <v>209</v>
      </c>
      <c r="R144" s="13" t="s">
        <v>215</v>
      </c>
      <c r="S144" s="13" t="s">
        <v>215</v>
      </c>
      <c r="T144" s="13" t="s">
        <v>215</v>
      </c>
      <c r="U144" s="13" t="s">
        <v>215</v>
      </c>
      <c r="V144" s="13" t="s">
        <v>215</v>
      </c>
      <c r="W144" s="13" t="s">
        <v>209</v>
      </c>
      <c r="X144" s="13" t="s">
        <v>215</v>
      </c>
      <c r="Y144" s="13" t="s">
        <v>209</v>
      </c>
      <c r="Z144" s="13" t="s">
        <v>215</v>
      </c>
      <c r="AA144" s="13" t="s">
        <v>209</v>
      </c>
      <c r="AB144" s="13" t="s">
        <v>209</v>
      </c>
      <c r="AC144" s="13" t="s">
        <v>209</v>
      </c>
      <c r="AD144" s="16" t="s">
        <v>209</v>
      </c>
      <c r="AE144" s="15" t="s">
        <v>215</v>
      </c>
      <c r="AF144" s="13" t="s">
        <v>215</v>
      </c>
      <c r="AG144" s="13" t="s">
        <v>215</v>
      </c>
      <c r="AH144" s="13" t="s">
        <v>215</v>
      </c>
      <c r="AI144" s="13" t="s">
        <v>215</v>
      </c>
      <c r="AJ144" s="13" t="s">
        <v>209</v>
      </c>
      <c r="AK144" s="13" t="s">
        <v>209</v>
      </c>
      <c r="AL144" s="13" t="s">
        <v>215</v>
      </c>
      <c r="AM144" s="13" t="s">
        <v>215</v>
      </c>
      <c r="AN144" s="13" t="s">
        <v>215</v>
      </c>
      <c r="AO144" s="13" t="s">
        <v>209</v>
      </c>
      <c r="AP144" s="13" t="s">
        <v>215</v>
      </c>
      <c r="AQ144" s="13" t="s">
        <v>215</v>
      </c>
      <c r="AR144" s="13" t="s">
        <v>215</v>
      </c>
      <c r="AS144" s="13" t="s">
        <v>209</v>
      </c>
      <c r="AT144" s="13" t="s">
        <v>215</v>
      </c>
      <c r="AU144" s="13" t="s">
        <v>215</v>
      </c>
      <c r="AV144" s="13" t="s">
        <v>215</v>
      </c>
      <c r="AW144" s="13" t="s">
        <v>215</v>
      </c>
      <c r="AX144" s="13" t="s">
        <v>215</v>
      </c>
      <c r="AY144" s="13" t="s">
        <v>215</v>
      </c>
      <c r="AZ144" s="13" t="s">
        <v>215</v>
      </c>
      <c r="BA144" s="13" t="s">
        <v>215</v>
      </c>
      <c r="BB144" s="13" t="s">
        <v>215</v>
      </c>
      <c r="BC144" s="13" t="s">
        <v>215</v>
      </c>
      <c r="BD144" s="16" t="s">
        <v>215</v>
      </c>
      <c r="BE144" s="15" t="s">
        <v>206</v>
      </c>
      <c r="BF144" s="13" t="s">
        <v>215</v>
      </c>
      <c r="BG144" s="13" t="s">
        <v>215</v>
      </c>
      <c r="BH144" s="13" t="s">
        <v>206</v>
      </c>
      <c r="BI144" s="13" t="s">
        <v>215</v>
      </c>
      <c r="BJ144" s="16" t="s">
        <v>215</v>
      </c>
      <c r="BK144" s="15" t="s">
        <v>215</v>
      </c>
      <c r="BL144" s="13" t="s">
        <v>215</v>
      </c>
      <c r="BM144" s="13" t="s">
        <v>215</v>
      </c>
      <c r="BN144" s="13" t="s">
        <v>215</v>
      </c>
      <c r="BO144" s="13" t="s">
        <v>209</v>
      </c>
      <c r="BP144" s="13" t="s">
        <v>215</v>
      </c>
      <c r="BQ144" s="13" t="s">
        <v>215</v>
      </c>
      <c r="BR144" s="13" t="s">
        <v>215</v>
      </c>
      <c r="BS144" s="13" t="s">
        <v>215</v>
      </c>
      <c r="BT144" s="13" t="s">
        <v>215</v>
      </c>
      <c r="BU144" s="13" t="s">
        <v>215</v>
      </c>
      <c r="BV144" s="13" t="s">
        <v>215</v>
      </c>
      <c r="BW144" s="16" t="s">
        <v>215</v>
      </c>
      <c r="BX144" s="15" t="s">
        <v>215</v>
      </c>
      <c r="BY144" s="13" t="s">
        <v>215</v>
      </c>
      <c r="BZ144" s="16" t="s">
        <v>215</v>
      </c>
      <c r="CA144" s="81" t="s">
        <v>215</v>
      </c>
      <c r="CB144" s="13" t="s">
        <v>215</v>
      </c>
      <c r="CC144" s="13" t="s">
        <v>215</v>
      </c>
      <c r="CD144" s="16" t="s">
        <v>215</v>
      </c>
      <c r="CE144" s="16" t="s">
        <v>215</v>
      </c>
    </row>
    <row r="145" spans="5:83" x14ac:dyDescent="0.35">
      <c r="E145" s="79" t="s">
        <v>434</v>
      </c>
      <c r="F145" s="116" t="s">
        <v>156</v>
      </c>
      <c r="G145" s="116" t="s">
        <v>273</v>
      </c>
      <c r="H145" s="15" t="s">
        <v>215</v>
      </c>
      <c r="I145" s="13" t="s">
        <v>215</v>
      </c>
      <c r="J145" s="13" t="s">
        <v>215</v>
      </c>
      <c r="K145" s="13" t="s">
        <v>215</v>
      </c>
      <c r="L145" s="13" t="s">
        <v>215</v>
      </c>
      <c r="M145" s="13" t="s">
        <v>215</v>
      </c>
      <c r="N145" s="13" t="s">
        <v>215</v>
      </c>
      <c r="O145" s="13" t="s">
        <v>215</v>
      </c>
      <c r="P145" s="13" t="s">
        <v>215</v>
      </c>
      <c r="Q145" s="13" t="s">
        <v>215</v>
      </c>
      <c r="R145" s="13" t="s">
        <v>215</v>
      </c>
      <c r="S145" s="13" t="s">
        <v>215</v>
      </c>
      <c r="T145" s="13" t="s">
        <v>215</v>
      </c>
      <c r="U145" s="13" t="s">
        <v>215</v>
      </c>
      <c r="V145" s="13" t="s">
        <v>215</v>
      </c>
      <c r="W145" s="13" t="s">
        <v>209</v>
      </c>
      <c r="X145" s="13" t="s">
        <v>215</v>
      </c>
      <c r="Y145" s="13" t="s">
        <v>215</v>
      </c>
      <c r="Z145" s="13" t="s">
        <v>215</v>
      </c>
      <c r="AA145" s="13" t="s">
        <v>209</v>
      </c>
      <c r="AB145" s="13" t="s">
        <v>215</v>
      </c>
      <c r="AC145" s="13" t="s">
        <v>215</v>
      </c>
      <c r="AD145" s="16" t="s">
        <v>209</v>
      </c>
      <c r="AE145" s="15" t="s">
        <v>215</v>
      </c>
      <c r="AF145" s="13" t="s">
        <v>209</v>
      </c>
      <c r="AG145" s="13" t="s">
        <v>215</v>
      </c>
      <c r="AH145" s="13" t="s">
        <v>215</v>
      </c>
      <c r="AI145" s="13" t="s">
        <v>215</v>
      </c>
      <c r="AJ145" s="13" t="s">
        <v>215</v>
      </c>
      <c r="AK145" s="13" t="s">
        <v>209</v>
      </c>
      <c r="AL145" s="13" t="s">
        <v>215</v>
      </c>
      <c r="AM145" s="13" t="s">
        <v>215</v>
      </c>
      <c r="AN145" s="13" t="s">
        <v>215</v>
      </c>
      <c r="AO145" s="13" t="s">
        <v>209</v>
      </c>
      <c r="AP145" s="13" t="s">
        <v>215</v>
      </c>
      <c r="AQ145" s="13" t="s">
        <v>215</v>
      </c>
      <c r="AR145" s="13" t="s">
        <v>215</v>
      </c>
      <c r="AS145" s="13" t="s">
        <v>215</v>
      </c>
      <c r="AT145" s="13" t="s">
        <v>215</v>
      </c>
      <c r="AU145" s="13" t="s">
        <v>215</v>
      </c>
      <c r="AV145" s="13" t="s">
        <v>215</v>
      </c>
      <c r="AW145" s="13" t="s">
        <v>215</v>
      </c>
      <c r="AX145" s="13" t="s">
        <v>215</v>
      </c>
      <c r="AY145" s="13" t="s">
        <v>215</v>
      </c>
      <c r="AZ145" s="13" t="s">
        <v>215</v>
      </c>
      <c r="BA145" s="13" t="s">
        <v>215</v>
      </c>
      <c r="BB145" s="13" t="s">
        <v>215</v>
      </c>
      <c r="BC145" s="13" t="s">
        <v>215</v>
      </c>
      <c r="BD145" s="16" t="s">
        <v>215</v>
      </c>
      <c r="BE145" s="15" t="s">
        <v>215</v>
      </c>
      <c r="BF145" s="13" t="s">
        <v>215</v>
      </c>
      <c r="BG145" s="13" t="s">
        <v>215</v>
      </c>
      <c r="BH145" s="13" t="s">
        <v>215</v>
      </c>
      <c r="BI145" s="13" t="s">
        <v>215</v>
      </c>
      <c r="BJ145" s="16" t="s">
        <v>215</v>
      </c>
      <c r="BK145" s="15" t="s">
        <v>215</v>
      </c>
      <c r="BL145" s="13" t="s">
        <v>215</v>
      </c>
      <c r="BM145" s="13" t="s">
        <v>215</v>
      </c>
      <c r="BN145" s="13" t="s">
        <v>215</v>
      </c>
      <c r="BO145" s="13" t="s">
        <v>209</v>
      </c>
      <c r="BP145" s="13" t="s">
        <v>215</v>
      </c>
      <c r="BQ145" s="13" t="s">
        <v>215</v>
      </c>
      <c r="BR145" s="13" t="s">
        <v>215</v>
      </c>
      <c r="BS145" s="13" t="s">
        <v>215</v>
      </c>
      <c r="BT145" s="13" t="s">
        <v>215</v>
      </c>
      <c r="BU145" s="13" t="s">
        <v>215</v>
      </c>
      <c r="BV145" s="13" t="s">
        <v>215</v>
      </c>
      <c r="BW145" s="16" t="s">
        <v>215</v>
      </c>
      <c r="BX145" s="15" t="s">
        <v>215</v>
      </c>
      <c r="BY145" s="13" t="s">
        <v>215</v>
      </c>
      <c r="BZ145" s="16" t="s">
        <v>215</v>
      </c>
      <c r="CA145" s="81" t="s">
        <v>215</v>
      </c>
      <c r="CB145" s="13" t="s">
        <v>215</v>
      </c>
      <c r="CC145" s="13" t="s">
        <v>215</v>
      </c>
      <c r="CD145" s="16" t="s">
        <v>215</v>
      </c>
      <c r="CE145" s="16" t="s">
        <v>215</v>
      </c>
    </row>
    <row r="146" spans="5:83" x14ac:dyDescent="0.35">
      <c r="E146" s="79" t="s">
        <v>435</v>
      </c>
      <c r="F146" s="116" t="s">
        <v>162</v>
      </c>
      <c r="G146" s="116" t="s">
        <v>273</v>
      </c>
      <c r="H146" s="15" t="s">
        <v>215</v>
      </c>
      <c r="I146" s="13" t="s">
        <v>215</v>
      </c>
      <c r="J146" s="13" t="s">
        <v>215</v>
      </c>
      <c r="K146" s="13" t="s">
        <v>215</v>
      </c>
      <c r="L146" s="13" t="s">
        <v>215</v>
      </c>
      <c r="M146" s="13" t="s">
        <v>215</v>
      </c>
      <c r="N146" s="13" t="s">
        <v>215</v>
      </c>
      <c r="O146" s="13" t="s">
        <v>215</v>
      </c>
      <c r="P146" s="13" t="s">
        <v>215</v>
      </c>
      <c r="Q146" s="13" t="s">
        <v>206</v>
      </c>
      <c r="R146" s="13" t="s">
        <v>215</v>
      </c>
      <c r="S146" s="13" t="s">
        <v>215</v>
      </c>
      <c r="T146" s="13" t="s">
        <v>215</v>
      </c>
      <c r="U146" s="13" t="s">
        <v>215</v>
      </c>
      <c r="V146" s="13" t="s">
        <v>215</v>
      </c>
      <c r="W146" s="13" t="s">
        <v>215</v>
      </c>
      <c r="X146" s="13" t="s">
        <v>215</v>
      </c>
      <c r="Y146" s="13" t="s">
        <v>215</v>
      </c>
      <c r="Z146" s="13" t="s">
        <v>215</v>
      </c>
      <c r="AA146" s="13" t="s">
        <v>215</v>
      </c>
      <c r="AB146" s="13" t="s">
        <v>215</v>
      </c>
      <c r="AC146" s="13" t="s">
        <v>215</v>
      </c>
      <c r="AD146" s="16" t="s">
        <v>215</v>
      </c>
      <c r="AE146" s="15" t="s">
        <v>215</v>
      </c>
      <c r="AF146" s="13" t="s">
        <v>215</v>
      </c>
      <c r="AG146" s="13" t="s">
        <v>215</v>
      </c>
      <c r="AH146" s="13" t="s">
        <v>215</v>
      </c>
      <c r="AI146" s="13" t="s">
        <v>215</v>
      </c>
      <c r="AJ146" s="13" t="s">
        <v>209</v>
      </c>
      <c r="AK146" s="13" t="s">
        <v>215</v>
      </c>
      <c r="AL146" s="13" t="s">
        <v>215</v>
      </c>
      <c r="AM146" s="13" t="s">
        <v>209</v>
      </c>
      <c r="AN146" s="13" t="s">
        <v>215</v>
      </c>
      <c r="AO146" s="13" t="s">
        <v>215</v>
      </c>
      <c r="AP146" s="13" t="s">
        <v>215</v>
      </c>
      <c r="AQ146" s="13" t="s">
        <v>215</v>
      </c>
      <c r="AR146" s="13" t="s">
        <v>215</v>
      </c>
      <c r="AS146" s="13" t="s">
        <v>215</v>
      </c>
      <c r="AT146" s="13" t="s">
        <v>215</v>
      </c>
      <c r="AU146" s="13" t="s">
        <v>215</v>
      </c>
      <c r="AV146" s="13" t="s">
        <v>215</v>
      </c>
      <c r="AW146" s="13" t="s">
        <v>215</v>
      </c>
      <c r="AX146" s="13" t="s">
        <v>215</v>
      </c>
      <c r="AY146" s="13" t="s">
        <v>215</v>
      </c>
      <c r="AZ146" s="13" t="s">
        <v>215</v>
      </c>
      <c r="BA146" s="13" t="s">
        <v>215</v>
      </c>
      <c r="BB146" s="13" t="s">
        <v>215</v>
      </c>
      <c r="BC146" s="13" t="s">
        <v>215</v>
      </c>
      <c r="BD146" s="16" t="s">
        <v>215</v>
      </c>
      <c r="BE146" s="15" t="s">
        <v>215</v>
      </c>
      <c r="BF146" s="13" t="s">
        <v>215</v>
      </c>
      <c r="BG146" s="13" t="s">
        <v>215</v>
      </c>
      <c r="BH146" s="13" t="s">
        <v>209</v>
      </c>
      <c r="BI146" s="13" t="s">
        <v>215</v>
      </c>
      <c r="BJ146" s="16" t="s">
        <v>215</v>
      </c>
      <c r="BK146" s="15" t="s">
        <v>215</v>
      </c>
      <c r="BL146" s="13" t="s">
        <v>215</v>
      </c>
      <c r="BM146" s="13" t="s">
        <v>215</v>
      </c>
      <c r="BN146" s="13" t="s">
        <v>215</v>
      </c>
      <c r="BO146" s="13" t="s">
        <v>215</v>
      </c>
      <c r="BP146" s="13" t="s">
        <v>215</v>
      </c>
      <c r="BQ146" s="13" t="s">
        <v>215</v>
      </c>
      <c r="BR146" s="13" t="s">
        <v>215</v>
      </c>
      <c r="BS146" s="13" t="s">
        <v>209</v>
      </c>
      <c r="BT146" s="13" t="s">
        <v>215</v>
      </c>
      <c r="BU146" s="13" t="s">
        <v>215</v>
      </c>
      <c r="BV146" s="13" t="s">
        <v>215</v>
      </c>
      <c r="BW146" s="16" t="s">
        <v>215</v>
      </c>
      <c r="BX146" s="15" t="s">
        <v>215</v>
      </c>
      <c r="BY146" s="13" t="s">
        <v>206</v>
      </c>
      <c r="BZ146" s="16" t="s">
        <v>209</v>
      </c>
      <c r="CA146" s="81" t="s">
        <v>215</v>
      </c>
      <c r="CB146" s="13" t="s">
        <v>215</v>
      </c>
      <c r="CC146" s="13" t="s">
        <v>215</v>
      </c>
      <c r="CD146" s="16" t="s">
        <v>215</v>
      </c>
      <c r="CE146" s="16" t="s">
        <v>215</v>
      </c>
    </row>
    <row r="147" spans="5:83" x14ac:dyDescent="0.35">
      <c r="E147" s="79" t="s">
        <v>436</v>
      </c>
      <c r="F147" s="116" t="s">
        <v>173</v>
      </c>
      <c r="G147" s="116" t="s">
        <v>274</v>
      </c>
      <c r="H147" s="15" t="s">
        <v>215</v>
      </c>
      <c r="I147" s="13" t="s">
        <v>215</v>
      </c>
      <c r="J147" s="13" t="s">
        <v>215</v>
      </c>
      <c r="K147" s="13" t="s">
        <v>215</v>
      </c>
      <c r="L147" s="13" t="s">
        <v>215</v>
      </c>
      <c r="M147" s="13" t="s">
        <v>215</v>
      </c>
      <c r="N147" s="13" t="s">
        <v>215</v>
      </c>
      <c r="O147" s="13" t="s">
        <v>215</v>
      </c>
      <c r="P147" s="13" t="s">
        <v>215</v>
      </c>
      <c r="Q147" s="13" t="s">
        <v>215</v>
      </c>
      <c r="R147" s="13" t="s">
        <v>215</v>
      </c>
      <c r="S147" s="13" t="s">
        <v>215</v>
      </c>
      <c r="T147" s="13" t="s">
        <v>215</v>
      </c>
      <c r="U147" s="13" t="s">
        <v>206</v>
      </c>
      <c r="V147" s="13" t="s">
        <v>215</v>
      </c>
      <c r="W147" s="13" t="s">
        <v>209</v>
      </c>
      <c r="X147" s="13" t="s">
        <v>206</v>
      </c>
      <c r="Y147" s="13" t="s">
        <v>215</v>
      </c>
      <c r="Z147" s="13" t="s">
        <v>215</v>
      </c>
      <c r="AA147" s="13" t="s">
        <v>215</v>
      </c>
      <c r="AB147" s="13" t="s">
        <v>215</v>
      </c>
      <c r="AC147" s="13" t="s">
        <v>215</v>
      </c>
      <c r="AD147" s="16" t="s">
        <v>215</v>
      </c>
      <c r="AE147" s="15" t="s">
        <v>215</v>
      </c>
      <c r="AF147" s="13" t="s">
        <v>215</v>
      </c>
      <c r="AG147" s="13" t="s">
        <v>215</v>
      </c>
      <c r="AH147" s="13" t="s">
        <v>215</v>
      </c>
      <c r="AI147" s="13" t="s">
        <v>215</v>
      </c>
      <c r="AJ147" s="13" t="s">
        <v>215</v>
      </c>
      <c r="AK147" s="13" t="s">
        <v>209</v>
      </c>
      <c r="AL147" s="13" t="s">
        <v>215</v>
      </c>
      <c r="AM147" s="13" t="s">
        <v>215</v>
      </c>
      <c r="AN147" s="13" t="s">
        <v>215</v>
      </c>
      <c r="AO147" s="13" t="s">
        <v>209</v>
      </c>
      <c r="AP147" s="13" t="s">
        <v>215</v>
      </c>
      <c r="AQ147" s="13" t="s">
        <v>215</v>
      </c>
      <c r="AR147" s="13" t="s">
        <v>215</v>
      </c>
      <c r="AS147" s="13" t="s">
        <v>215</v>
      </c>
      <c r="AT147" s="13" t="s">
        <v>215</v>
      </c>
      <c r="AU147" s="13" t="s">
        <v>209</v>
      </c>
      <c r="AV147" s="13" t="s">
        <v>215</v>
      </c>
      <c r="AW147" s="13" t="s">
        <v>215</v>
      </c>
      <c r="AX147" s="13" t="s">
        <v>215</v>
      </c>
      <c r="AY147" s="13" t="s">
        <v>215</v>
      </c>
      <c r="AZ147" s="13" t="s">
        <v>215</v>
      </c>
      <c r="BA147" s="13" t="s">
        <v>215</v>
      </c>
      <c r="BB147" s="13" t="s">
        <v>215</v>
      </c>
      <c r="BC147" s="13" t="s">
        <v>215</v>
      </c>
      <c r="BD147" s="16" t="s">
        <v>215</v>
      </c>
      <c r="BE147" s="15" t="s">
        <v>215</v>
      </c>
      <c r="BF147" s="13" t="s">
        <v>215</v>
      </c>
      <c r="BG147" s="13" t="s">
        <v>215</v>
      </c>
      <c r="BH147" s="13" t="s">
        <v>215</v>
      </c>
      <c r="BI147" s="13" t="s">
        <v>215</v>
      </c>
      <c r="BJ147" s="16" t="s">
        <v>215</v>
      </c>
      <c r="BK147" s="15" t="s">
        <v>215</v>
      </c>
      <c r="BL147" s="13" t="s">
        <v>215</v>
      </c>
      <c r="BM147" s="13" t="s">
        <v>215</v>
      </c>
      <c r="BN147" s="13" t="s">
        <v>215</v>
      </c>
      <c r="BO147" s="13" t="s">
        <v>209</v>
      </c>
      <c r="BP147" s="13" t="s">
        <v>215</v>
      </c>
      <c r="BQ147" s="13" t="s">
        <v>215</v>
      </c>
      <c r="BR147" s="13" t="s">
        <v>215</v>
      </c>
      <c r="BS147" s="13" t="s">
        <v>215</v>
      </c>
      <c r="BT147" s="13" t="s">
        <v>215</v>
      </c>
      <c r="BU147" s="13" t="s">
        <v>215</v>
      </c>
      <c r="BV147" s="13" t="s">
        <v>215</v>
      </c>
      <c r="BW147" s="16" t="s">
        <v>215</v>
      </c>
      <c r="BX147" s="15" t="s">
        <v>209</v>
      </c>
      <c r="BY147" s="13" t="s">
        <v>215</v>
      </c>
      <c r="BZ147" s="16" t="s">
        <v>215</v>
      </c>
      <c r="CA147" s="81" t="s">
        <v>215</v>
      </c>
      <c r="CB147" s="13" t="s">
        <v>215</v>
      </c>
      <c r="CC147" s="13" t="s">
        <v>215</v>
      </c>
      <c r="CD147" s="16" t="s">
        <v>215</v>
      </c>
      <c r="CE147" s="16" t="s">
        <v>215</v>
      </c>
    </row>
    <row r="148" spans="5:83" x14ac:dyDescent="0.35">
      <c r="E148" s="79" t="s">
        <v>437</v>
      </c>
      <c r="F148" s="116" t="s">
        <v>176</v>
      </c>
      <c r="G148" s="116" t="s">
        <v>274</v>
      </c>
      <c r="H148" s="15" t="s">
        <v>215</v>
      </c>
      <c r="I148" s="13" t="s">
        <v>215</v>
      </c>
      <c r="J148" s="13" t="s">
        <v>215</v>
      </c>
      <c r="K148" s="13" t="s">
        <v>209</v>
      </c>
      <c r="L148" s="13" t="s">
        <v>215</v>
      </c>
      <c r="M148" s="13" t="s">
        <v>215</v>
      </c>
      <c r="N148" s="13" t="s">
        <v>215</v>
      </c>
      <c r="O148" s="13" t="s">
        <v>215</v>
      </c>
      <c r="P148" s="13" t="s">
        <v>215</v>
      </c>
      <c r="Q148" s="13" t="s">
        <v>215</v>
      </c>
      <c r="R148" s="13" t="s">
        <v>215</v>
      </c>
      <c r="S148" s="13" t="s">
        <v>215</v>
      </c>
      <c r="T148" s="13" t="s">
        <v>215</v>
      </c>
      <c r="U148" s="13" t="s">
        <v>206</v>
      </c>
      <c r="V148" s="13" t="s">
        <v>215</v>
      </c>
      <c r="W148" s="13" t="s">
        <v>215</v>
      </c>
      <c r="X148" s="13" t="s">
        <v>215</v>
      </c>
      <c r="Y148" s="13" t="s">
        <v>215</v>
      </c>
      <c r="Z148" s="13" t="s">
        <v>215</v>
      </c>
      <c r="AA148" s="13" t="s">
        <v>215</v>
      </c>
      <c r="AB148" s="13" t="s">
        <v>215</v>
      </c>
      <c r="AC148" s="13" t="s">
        <v>215</v>
      </c>
      <c r="AD148" s="16" t="s">
        <v>215</v>
      </c>
      <c r="AE148" s="15" t="s">
        <v>215</v>
      </c>
      <c r="AF148" s="13" t="s">
        <v>209</v>
      </c>
      <c r="AG148" s="13" t="s">
        <v>215</v>
      </c>
      <c r="AH148" s="13" t="s">
        <v>215</v>
      </c>
      <c r="AI148" s="13" t="s">
        <v>215</v>
      </c>
      <c r="AJ148" s="13" t="s">
        <v>215</v>
      </c>
      <c r="AK148" s="13" t="s">
        <v>209</v>
      </c>
      <c r="AL148" s="13" t="s">
        <v>215</v>
      </c>
      <c r="AM148" s="13" t="s">
        <v>215</v>
      </c>
      <c r="AN148" s="13" t="s">
        <v>215</v>
      </c>
      <c r="AO148" s="13" t="s">
        <v>209</v>
      </c>
      <c r="AP148" s="13" t="s">
        <v>215</v>
      </c>
      <c r="AQ148" s="13" t="s">
        <v>215</v>
      </c>
      <c r="AR148" s="13" t="s">
        <v>215</v>
      </c>
      <c r="AS148" s="13" t="s">
        <v>215</v>
      </c>
      <c r="AT148" s="13" t="s">
        <v>215</v>
      </c>
      <c r="AU148" s="13" t="s">
        <v>215</v>
      </c>
      <c r="AV148" s="13" t="s">
        <v>215</v>
      </c>
      <c r="AW148" s="13" t="s">
        <v>215</v>
      </c>
      <c r="AX148" s="13" t="s">
        <v>215</v>
      </c>
      <c r="AY148" s="13" t="s">
        <v>215</v>
      </c>
      <c r="AZ148" s="13" t="s">
        <v>215</v>
      </c>
      <c r="BA148" s="13" t="s">
        <v>215</v>
      </c>
      <c r="BB148" s="13" t="s">
        <v>215</v>
      </c>
      <c r="BC148" s="13" t="s">
        <v>215</v>
      </c>
      <c r="BD148" s="16" t="s">
        <v>215</v>
      </c>
      <c r="BE148" s="15" t="s">
        <v>215</v>
      </c>
      <c r="BF148" s="13" t="s">
        <v>215</v>
      </c>
      <c r="BG148" s="13" t="s">
        <v>215</v>
      </c>
      <c r="BH148" s="13" t="s">
        <v>215</v>
      </c>
      <c r="BI148" s="13" t="s">
        <v>215</v>
      </c>
      <c r="BJ148" s="16" t="s">
        <v>215</v>
      </c>
      <c r="BK148" s="15" t="s">
        <v>206</v>
      </c>
      <c r="BL148" s="13" t="s">
        <v>215</v>
      </c>
      <c r="BM148" s="13" t="s">
        <v>215</v>
      </c>
      <c r="BN148" s="13" t="s">
        <v>215</v>
      </c>
      <c r="BO148" s="13" t="s">
        <v>209</v>
      </c>
      <c r="BP148" s="13" t="s">
        <v>215</v>
      </c>
      <c r="BQ148" s="13" t="s">
        <v>215</v>
      </c>
      <c r="BR148" s="13" t="s">
        <v>215</v>
      </c>
      <c r="BS148" s="13" t="s">
        <v>215</v>
      </c>
      <c r="BT148" s="13" t="s">
        <v>215</v>
      </c>
      <c r="BU148" s="13" t="s">
        <v>215</v>
      </c>
      <c r="BV148" s="13" t="s">
        <v>215</v>
      </c>
      <c r="BW148" s="16" t="s">
        <v>215</v>
      </c>
      <c r="BX148" s="15" t="s">
        <v>215</v>
      </c>
      <c r="BY148" s="13" t="s">
        <v>215</v>
      </c>
      <c r="BZ148" s="16" t="s">
        <v>215</v>
      </c>
      <c r="CA148" s="81" t="s">
        <v>215</v>
      </c>
      <c r="CB148" s="13" t="s">
        <v>215</v>
      </c>
      <c r="CC148" s="13" t="s">
        <v>215</v>
      </c>
      <c r="CD148" s="16" t="s">
        <v>215</v>
      </c>
      <c r="CE148" s="16" t="s">
        <v>215</v>
      </c>
    </row>
    <row r="149" spans="5:83" x14ac:dyDescent="0.35">
      <c r="E149" s="79" t="s">
        <v>438</v>
      </c>
      <c r="F149" s="116" t="s">
        <v>179</v>
      </c>
      <c r="G149" s="116" t="s">
        <v>273</v>
      </c>
      <c r="H149" s="15" t="s">
        <v>215</v>
      </c>
      <c r="I149" s="13" t="s">
        <v>215</v>
      </c>
      <c r="J149" s="13" t="s">
        <v>215</v>
      </c>
      <c r="K149" s="13" t="s">
        <v>215</v>
      </c>
      <c r="L149" s="13" t="s">
        <v>215</v>
      </c>
      <c r="M149" s="13" t="s">
        <v>215</v>
      </c>
      <c r="N149" s="13" t="s">
        <v>209</v>
      </c>
      <c r="O149" s="13" t="s">
        <v>215</v>
      </c>
      <c r="P149" s="13" t="s">
        <v>215</v>
      </c>
      <c r="Q149" s="13" t="s">
        <v>209</v>
      </c>
      <c r="R149" s="13" t="s">
        <v>215</v>
      </c>
      <c r="S149" s="13" t="s">
        <v>215</v>
      </c>
      <c r="T149" s="13" t="s">
        <v>215</v>
      </c>
      <c r="U149" s="13" t="s">
        <v>215</v>
      </c>
      <c r="V149" s="13" t="s">
        <v>215</v>
      </c>
      <c r="W149" s="13" t="s">
        <v>209</v>
      </c>
      <c r="X149" s="13" t="s">
        <v>215</v>
      </c>
      <c r="Y149" s="13" t="s">
        <v>209</v>
      </c>
      <c r="Z149" s="13" t="s">
        <v>215</v>
      </c>
      <c r="AA149" s="13" t="s">
        <v>215</v>
      </c>
      <c r="AB149" s="13" t="s">
        <v>209</v>
      </c>
      <c r="AC149" s="13" t="s">
        <v>209</v>
      </c>
      <c r="AD149" s="16" t="s">
        <v>209</v>
      </c>
      <c r="AE149" s="15" t="s">
        <v>215</v>
      </c>
      <c r="AF149" s="13" t="s">
        <v>206</v>
      </c>
      <c r="AG149" s="13" t="s">
        <v>215</v>
      </c>
      <c r="AH149" s="13" t="s">
        <v>215</v>
      </c>
      <c r="AI149" s="13" t="s">
        <v>209</v>
      </c>
      <c r="AJ149" s="13" t="s">
        <v>215</v>
      </c>
      <c r="AK149" s="13" t="s">
        <v>215</v>
      </c>
      <c r="AL149" s="13" t="s">
        <v>215</v>
      </c>
      <c r="AM149" s="13" t="s">
        <v>215</v>
      </c>
      <c r="AN149" s="13" t="s">
        <v>215</v>
      </c>
      <c r="AO149" s="13" t="s">
        <v>209</v>
      </c>
      <c r="AP149" s="13" t="s">
        <v>215</v>
      </c>
      <c r="AQ149" s="13" t="s">
        <v>215</v>
      </c>
      <c r="AR149" s="13" t="s">
        <v>215</v>
      </c>
      <c r="AS149" s="13" t="s">
        <v>209</v>
      </c>
      <c r="AT149" s="13" t="s">
        <v>215</v>
      </c>
      <c r="AU149" s="13" t="s">
        <v>215</v>
      </c>
      <c r="AV149" s="13" t="s">
        <v>215</v>
      </c>
      <c r="AW149" s="13" t="s">
        <v>215</v>
      </c>
      <c r="AX149" s="13" t="s">
        <v>215</v>
      </c>
      <c r="AY149" s="13" t="s">
        <v>215</v>
      </c>
      <c r="AZ149" s="13" t="s">
        <v>215</v>
      </c>
      <c r="BA149" s="13" t="s">
        <v>215</v>
      </c>
      <c r="BB149" s="13" t="s">
        <v>215</v>
      </c>
      <c r="BC149" s="13" t="s">
        <v>215</v>
      </c>
      <c r="BD149" s="16" t="s">
        <v>215</v>
      </c>
      <c r="BE149" s="15" t="s">
        <v>215</v>
      </c>
      <c r="BF149" s="13" t="s">
        <v>215</v>
      </c>
      <c r="BG149" s="13" t="s">
        <v>215</v>
      </c>
      <c r="BH149" s="13" t="s">
        <v>209</v>
      </c>
      <c r="BI149" s="13" t="s">
        <v>215</v>
      </c>
      <c r="BJ149" s="16" t="s">
        <v>215</v>
      </c>
      <c r="BK149" s="15" t="s">
        <v>209</v>
      </c>
      <c r="BL149" s="13" t="s">
        <v>215</v>
      </c>
      <c r="BM149" s="13" t="s">
        <v>215</v>
      </c>
      <c r="BN149" s="13" t="s">
        <v>215</v>
      </c>
      <c r="BO149" s="13" t="s">
        <v>215</v>
      </c>
      <c r="BP149" s="13" t="s">
        <v>215</v>
      </c>
      <c r="BQ149" s="13" t="s">
        <v>215</v>
      </c>
      <c r="BR149" s="13" t="s">
        <v>215</v>
      </c>
      <c r="BS149" s="13" t="s">
        <v>215</v>
      </c>
      <c r="BT149" s="13" t="s">
        <v>215</v>
      </c>
      <c r="BU149" s="13" t="s">
        <v>215</v>
      </c>
      <c r="BV149" s="13" t="s">
        <v>215</v>
      </c>
      <c r="BW149" s="16" t="s">
        <v>215</v>
      </c>
      <c r="BX149" s="15" t="s">
        <v>215</v>
      </c>
      <c r="BY149" s="13" t="s">
        <v>215</v>
      </c>
      <c r="BZ149" s="16" t="s">
        <v>215</v>
      </c>
      <c r="CA149" s="81" t="s">
        <v>215</v>
      </c>
      <c r="CB149" s="13" t="s">
        <v>215</v>
      </c>
      <c r="CC149" s="13" t="s">
        <v>215</v>
      </c>
      <c r="CD149" s="16" t="s">
        <v>215</v>
      </c>
      <c r="CE149" s="16" t="s">
        <v>215</v>
      </c>
    </row>
    <row r="150" spans="5:83" x14ac:dyDescent="0.35">
      <c r="E150" s="79" t="s">
        <v>439</v>
      </c>
      <c r="F150" s="116" t="s">
        <v>182</v>
      </c>
      <c r="G150" s="116" t="s">
        <v>273</v>
      </c>
      <c r="H150" s="15" t="s">
        <v>215</v>
      </c>
      <c r="I150" s="13" t="s">
        <v>215</v>
      </c>
      <c r="J150" s="13" t="s">
        <v>215</v>
      </c>
      <c r="K150" s="13" t="s">
        <v>215</v>
      </c>
      <c r="L150" s="13" t="s">
        <v>215</v>
      </c>
      <c r="M150" s="13" t="s">
        <v>215</v>
      </c>
      <c r="N150" s="13" t="s">
        <v>215</v>
      </c>
      <c r="O150" s="13" t="s">
        <v>215</v>
      </c>
      <c r="P150" s="13" t="s">
        <v>215</v>
      </c>
      <c r="Q150" s="13" t="s">
        <v>206</v>
      </c>
      <c r="R150" s="13" t="s">
        <v>215</v>
      </c>
      <c r="S150" s="13" t="s">
        <v>215</v>
      </c>
      <c r="T150" s="13" t="s">
        <v>215</v>
      </c>
      <c r="U150" s="13" t="s">
        <v>209</v>
      </c>
      <c r="V150" s="13" t="s">
        <v>215</v>
      </c>
      <c r="W150" s="13" t="s">
        <v>209</v>
      </c>
      <c r="X150" s="13" t="s">
        <v>215</v>
      </c>
      <c r="Y150" s="13" t="s">
        <v>215</v>
      </c>
      <c r="Z150" s="13" t="s">
        <v>209</v>
      </c>
      <c r="AA150" s="13" t="s">
        <v>215</v>
      </c>
      <c r="AB150" s="13" t="s">
        <v>215</v>
      </c>
      <c r="AC150" s="13" t="s">
        <v>215</v>
      </c>
      <c r="AD150" s="16" t="s">
        <v>215</v>
      </c>
      <c r="AE150" s="15" t="s">
        <v>215</v>
      </c>
      <c r="AF150" s="13" t="s">
        <v>215</v>
      </c>
      <c r="AG150" s="13" t="s">
        <v>215</v>
      </c>
      <c r="AH150" s="13" t="s">
        <v>215</v>
      </c>
      <c r="AI150" s="13" t="s">
        <v>215</v>
      </c>
      <c r="AJ150" s="13" t="s">
        <v>206</v>
      </c>
      <c r="AK150" s="13" t="s">
        <v>215</v>
      </c>
      <c r="AL150" s="13" t="s">
        <v>215</v>
      </c>
      <c r="AM150" s="13" t="s">
        <v>209</v>
      </c>
      <c r="AN150" s="13" t="s">
        <v>215</v>
      </c>
      <c r="AO150" s="13" t="s">
        <v>209</v>
      </c>
      <c r="AP150" s="13" t="s">
        <v>215</v>
      </c>
      <c r="AQ150" s="13" t="s">
        <v>215</v>
      </c>
      <c r="AR150" s="13" t="s">
        <v>215</v>
      </c>
      <c r="AS150" s="13" t="s">
        <v>209</v>
      </c>
      <c r="AT150" s="13" t="s">
        <v>215</v>
      </c>
      <c r="AU150" s="13" t="s">
        <v>209</v>
      </c>
      <c r="AV150" s="13" t="s">
        <v>215</v>
      </c>
      <c r="AW150" s="13" t="s">
        <v>215</v>
      </c>
      <c r="AX150" s="13" t="s">
        <v>215</v>
      </c>
      <c r="AY150" s="13" t="s">
        <v>215</v>
      </c>
      <c r="AZ150" s="13" t="s">
        <v>215</v>
      </c>
      <c r="BA150" s="13" t="s">
        <v>215</v>
      </c>
      <c r="BB150" s="13" t="s">
        <v>215</v>
      </c>
      <c r="BC150" s="13" t="s">
        <v>215</v>
      </c>
      <c r="BD150" s="16" t="s">
        <v>215</v>
      </c>
      <c r="BE150" s="15" t="s">
        <v>215</v>
      </c>
      <c r="BF150" s="13" t="s">
        <v>215</v>
      </c>
      <c r="BG150" s="13" t="s">
        <v>209</v>
      </c>
      <c r="BH150" s="13" t="s">
        <v>209</v>
      </c>
      <c r="BI150" s="13" t="s">
        <v>215</v>
      </c>
      <c r="BJ150" s="16" t="s">
        <v>215</v>
      </c>
      <c r="BK150" s="15" t="s">
        <v>215</v>
      </c>
      <c r="BL150" s="13" t="s">
        <v>215</v>
      </c>
      <c r="BM150" s="13" t="s">
        <v>215</v>
      </c>
      <c r="BN150" s="13" t="s">
        <v>215</v>
      </c>
      <c r="BO150" s="13" t="s">
        <v>215</v>
      </c>
      <c r="BP150" s="13" t="s">
        <v>215</v>
      </c>
      <c r="BQ150" s="13" t="s">
        <v>215</v>
      </c>
      <c r="BR150" s="13" t="s">
        <v>215</v>
      </c>
      <c r="BS150" s="13" t="s">
        <v>209</v>
      </c>
      <c r="BT150" s="13" t="s">
        <v>215</v>
      </c>
      <c r="BU150" s="13" t="s">
        <v>215</v>
      </c>
      <c r="BV150" s="13" t="s">
        <v>215</v>
      </c>
      <c r="BW150" s="16" t="s">
        <v>215</v>
      </c>
      <c r="BX150" s="15" t="s">
        <v>215</v>
      </c>
      <c r="BY150" s="13" t="s">
        <v>215</v>
      </c>
      <c r="BZ150" s="16" t="s">
        <v>215</v>
      </c>
      <c r="CA150" s="81" t="s">
        <v>215</v>
      </c>
      <c r="CB150" s="13" t="s">
        <v>215</v>
      </c>
      <c r="CC150" s="13" t="s">
        <v>215</v>
      </c>
      <c r="CD150" s="16" t="s">
        <v>215</v>
      </c>
      <c r="CE150" s="16" t="s">
        <v>215</v>
      </c>
    </row>
    <row r="151" spans="5:83" x14ac:dyDescent="0.35">
      <c r="E151" s="79" t="s">
        <v>440</v>
      </c>
      <c r="F151" s="116" t="s">
        <v>281</v>
      </c>
      <c r="G151" s="116" t="s">
        <v>273</v>
      </c>
      <c r="H151" s="15" t="e">
        <v>#N/A</v>
      </c>
      <c r="I151" s="13" t="e">
        <v>#N/A</v>
      </c>
      <c r="J151" s="13" t="e">
        <v>#N/A</v>
      </c>
      <c r="K151" s="13" t="e">
        <v>#N/A</v>
      </c>
      <c r="L151" s="13" t="e">
        <v>#N/A</v>
      </c>
      <c r="M151" s="13" t="e">
        <v>#N/A</v>
      </c>
      <c r="N151" s="13" t="e">
        <v>#N/A</v>
      </c>
      <c r="O151" s="13" t="e">
        <v>#N/A</v>
      </c>
      <c r="P151" s="13" t="e">
        <v>#N/A</v>
      </c>
      <c r="Q151" s="13" t="e">
        <v>#N/A</v>
      </c>
      <c r="R151" s="13" t="e">
        <v>#N/A</v>
      </c>
      <c r="S151" s="13" t="e">
        <v>#N/A</v>
      </c>
      <c r="T151" s="13" t="e">
        <v>#N/A</v>
      </c>
      <c r="U151" s="13" t="e">
        <v>#N/A</v>
      </c>
      <c r="V151" s="13" t="e">
        <v>#N/A</v>
      </c>
      <c r="W151" s="13" t="e">
        <v>#N/A</v>
      </c>
      <c r="X151" s="13" t="e">
        <v>#N/A</v>
      </c>
      <c r="Y151" s="13" t="e">
        <v>#N/A</v>
      </c>
      <c r="Z151" s="13" t="e">
        <v>#N/A</v>
      </c>
      <c r="AA151" s="13" t="e">
        <v>#N/A</v>
      </c>
      <c r="AB151" s="13" t="e">
        <v>#N/A</v>
      </c>
      <c r="AC151" s="13" t="e">
        <v>#N/A</v>
      </c>
      <c r="AD151" s="16" t="e">
        <v>#N/A</v>
      </c>
      <c r="AE151" s="15" t="e">
        <v>#N/A</v>
      </c>
      <c r="AF151" s="13" t="e">
        <v>#N/A</v>
      </c>
      <c r="AG151" s="13" t="e">
        <v>#N/A</v>
      </c>
      <c r="AH151" s="13" t="e">
        <v>#N/A</v>
      </c>
      <c r="AI151" s="13" t="e">
        <v>#N/A</v>
      </c>
      <c r="AJ151" s="13" t="e">
        <v>#N/A</v>
      </c>
      <c r="AK151" s="13" t="e">
        <v>#N/A</v>
      </c>
      <c r="AL151" s="13" t="e">
        <v>#N/A</v>
      </c>
      <c r="AM151" s="13" t="e">
        <v>#N/A</v>
      </c>
      <c r="AN151" s="13" t="e">
        <v>#N/A</v>
      </c>
      <c r="AO151" s="13" t="e">
        <v>#N/A</v>
      </c>
      <c r="AP151" s="13" t="e">
        <v>#N/A</v>
      </c>
      <c r="AQ151" s="13" t="e">
        <v>#N/A</v>
      </c>
      <c r="AR151" s="13" t="e">
        <v>#N/A</v>
      </c>
      <c r="AS151" s="13" t="e">
        <v>#N/A</v>
      </c>
      <c r="AT151" s="13" t="e">
        <v>#N/A</v>
      </c>
      <c r="AU151" s="13" t="e">
        <v>#N/A</v>
      </c>
      <c r="AV151" s="13" t="e">
        <v>#N/A</v>
      </c>
      <c r="AW151" s="13" t="e">
        <v>#N/A</v>
      </c>
      <c r="AX151" s="13" t="e">
        <v>#N/A</v>
      </c>
      <c r="AY151" s="13" t="e">
        <v>#N/A</v>
      </c>
      <c r="AZ151" s="13" t="e">
        <v>#N/A</v>
      </c>
      <c r="BA151" s="13" t="e">
        <v>#N/A</v>
      </c>
      <c r="BB151" s="13" t="e">
        <v>#N/A</v>
      </c>
      <c r="BC151" s="13" t="e">
        <v>#N/A</v>
      </c>
      <c r="BD151" s="16" t="e">
        <v>#N/A</v>
      </c>
      <c r="BE151" s="15" t="e">
        <v>#N/A</v>
      </c>
      <c r="BF151" s="13" t="e">
        <v>#N/A</v>
      </c>
      <c r="BG151" s="13" t="e">
        <v>#N/A</v>
      </c>
      <c r="BH151" s="13" t="e">
        <v>#N/A</v>
      </c>
      <c r="BI151" s="13" t="e">
        <v>#N/A</v>
      </c>
      <c r="BJ151" s="16" t="e">
        <v>#N/A</v>
      </c>
      <c r="BK151" s="15" t="e">
        <v>#N/A</v>
      </c>
      <c r="BL151" s="13" t="e">
        <v>#N/A</v>
      </c>
      <c r="BM151" s="13" t="e">
        <v>#N/A</v>
      </c>
      <c r="BN151" s="13" t="e">
        <v>#N/A</v>
      </c>
      <c r="BO151" s="13" t="e">
        <v>#N/A</v>
      </c>
      <c r="BP151" s="13" t="e">
        <v>#N/A</v>
      </c>
      <c r="BQ151" s="13" t="e">
        <v>#N/A</v>
      </c>
      <c r="BR151" s="13" t="e">
        <v>#N/A</v>
      </c>
      <c r="BS151" s="13" t="e">
        <v>#N/A</v>
      </c>
      <c r="BT151" s="13" t="e">
        <v>#N/A</v>
      </c>
      <c r="BU151" s="13" t="e">
        <v>#N/A</v>
      </c>
      <c r="BV151" s="13" t="e">
        <v>#N/A</v>
      </c>
      <c r="BW151" s="16" t="e">
        <v>#N/A</v>
      </c>
      <c r="BX151" s="15" t="e">
        <v>#N/A</v>
      </c>
      <c r="BY151" s="13" t="e">
        <v>#N/A</v>
      </c>
      <c r="BZ151" s="16" t="e">
        <v>#N/A</v>
      </c>
      <c r="CA151" s="81" t="e">
        <v>#N/A</v>
      </c>
      <c r="CB151" s="13" t="e">
        <v>#N/A</v>
      </c>
      <c r="CC151" s="13" t="e">
        <v>#N/A</v>
      </c>
      <c r="CD151" s="16" t="e">
        <v>#N/A</v>
      </c>
      <c r="CE151" s="16" t="s">
        <v>215</v>
      </c>
    </row>
    <row r="152" spans="5:83" x14ac:dyDescent="0.35">
      <c r="E152" s="79" t="s">
        <v>441</v>
      </c>
      <c r="F152" s="116" t="s">
        <v>281</v>
      </c>
      <c r="G152" s="116" t="s">
        <v>273</v>
      </c>
      <c r="H152" s="15" t="e">
        <v>#N/A</v>
      </c>
      <c r="I152" s="13" t="e">
        <v>#N/A</v>
      </c>
      <c r="J152" s="13" t="e">
        <v>#N/A</v>
      </c>
      <c r="K152" s="13" t="e">
        <v>#N/A</v>
      </c>
      <c r="L152" s="13" t="e">
        <v>#N/A</v>
      </c>
      <c r="M152" s="13" t="e">
        <v>#N/A</v>
      </c>
      <c r="N152" s="13" t="e">
        <v>#N/A</v>
      </c>
      <c r="O152" s="13" t="e">
        <v>#N/A</v>
      </c>
      <c r="P152" s="13" t="e">
        <v>#N/A</v>
      </c>
      <c r="Q152" s="13" t="e">
        <v>#N/A</v>
      </c>
      <c r="R152" s="13" t="e">
        <v>#N/A</v>
      </c>
      <c r="S152" s="13" t="e">
        <v>#N/A</v>
      </c>
      <c r="T152" s="13" t="e">
        <v>#N/A</v>
      </c>
      <c r="U152" s="13" t="e">
        <v>#N/A</v>
      </c>
      <c r="V152" s="13" t="e">
        <v>#N/A</v>
      </c>
      <c r="W152" s="13" t="e">
        <v>#N/A</v>
      </c>
      <c r="X152" s="13" t="e">
        <v>#N/A</v>
      </c>
      <c r="Y152" s="13" t="e">
        <v>#N/A</v>
      </c>
      <c r="Z152" s="13" t="e">
        <v>#N/A</v>
      </c>
      <c r="AA152" s="13" t="e">
        <v>#N/A</v>
      </c>
      <c r="AB152" s="13" t="e">
        <v>#N/A</v>
      </c>
      <c r="AC152" s="13" t="e">
        <v>#N/A</v>
      </c>
      <c r="AD152" s="16" t="e">
        <v>#N/A</v>
      </c>
      <c r="AE152" s="15" t="e">
        <v>#N/A</v>
      </c>
      <c r="AF152" s="13" t="e">
        <v>#N/A</v>
      </c>
      <c r="AG152" s="13" t="e">
        <v>#N/A</v>
      </c>
      <c r="AH152" s="13" t="e">
        <v>#N/A</v>
      </c>
      <c r="AI152" s="13" t="e">
        <v>#N/A</v>
      </c>
      <c r="AJ152" s="13" t="e">
        <v>#N/A</v>
      </c>
      <c r="AK152" s="13" t="e">
        <v>#N/A</v>
      </c>
      <c r="AL152" s="13" t="e">
        <v>#N/A</v>
      </c>
      <c r="AM152" s="13" t="e">
        <v>#N/A</v>
      </c>
      <c r="AN152" s="13" t="e">
        <v>#N/A</v>
      </c>
      <c r="AO152" s="13" t="e">
        <v>#N/A</v>
      </c>
      <c r="AP152" s="13" t="e">
        <v>#N/A</v>
      </c>
      <c r="AQ152" s="13" t="e">
        <v>#N/A</v>
      </c>
      <c r="AR152" s="13" t="e">
        <v>#N/A</v>
      </c>
      <c r="AS152" s="13" t="e">
        <v>#N/A</v>
      </c>
      <c r="AT152" s="13" t="e">
        <v>#N/A</v>
      </c>
      <c r="AU152" s="13" t="e">
        <v>#N/A</v>
      </c>
      <c r="AV152" s="13" t="e">
        <v>#N/A</v>
      </c>
      <c r="AW152" s="13" t="e">
        <v>#N/A</v>
      </c>
      <c r="AX152" s="13" t="e">
        <v>#N/A</v>
      </c>
      <c r="AY152" s="13" t="e">
        <v>#N/A</v>
      </c>
      <c r="AZ152" s="13" t="e">
        <v>#N/A</v>
      </c>
      <c r="BA152" s="13" t="e">
        <v>#N/A</v>
      </c>
      <c r="BB152" s="13" t="e">
        <v>#N/A</v>
      </c>
      <c r="BC152" s="13" t="e">
        <v>#N/A</v>
      </c>
      <c r="BD152" s="16" t="e">
        <v>#N/A</v>
      </c>
      <c r="BE152" s="15" t="e">
        <v>#N/A</v>
      </c>
      <c r="BF152" s="13" t="e">
        <v>#N/A</v>
      </c>
      <c r="BG152" s="13" t="e">
        <v>#N/A</v>
      </c>
      <c r="BH152" s="13" t="e">
        <v>#N/A</v>
      </c>
      <c r="BI152" s="13" t="e">
        <v>#N/A</v>
      </c>
      <c r="BJ152" s="16" t="e">
        <v>#N/A</v>
      </c>
      <c r="BK152" s="15" t="e">
        <v>#N/A</v>
      </c>
      <c r="BL152" s="13" t="e">
        <v>#N/A</v>
      </c>
      <c r="BM152" s="13" t="e">
        <v>#N/A</v>
      </c>
      <c r="BN152" s="13" t="e">
        <v>#N/A</v>
      </c>
      <c r="BO152" s="13" t="e">
        <v>#N/A</v>
      </c>
      <c r="BP152" s="13" t="e">
        <v>#N/A</v>
      </c>
      <c r="BQ152" s="13" t="e">
        <v>#N/A</v>
      </c>
      <c r="BR152" s="13" t="e">
        <v>#N/A</v>
      </c>
      <c r="BS152" s="13" t="e">
        <v>#N/A</v>
      </c>
      <c r="BT152" s="13" t="e">
        <v>#N/A</v>
      </c>
      <c r="BU152" s="13" t="e">
        <v>#N/A</v>
      </c>
      <c r="BV152" s="13" t="e">
        <v>#N/A</v>
      </c>
      <c r="BW152" s="16" t="e">
        <v>#N/A</v>
      </c>
      <c r="BX152" s="15" t="e">
        <v>#N/A</v>
      </c>
      <c r="BY152" s="13" t="e">
        <v>#N/A</v>
      </c>
      <c r="BZ152" s="16" t="e">
        <v>#N/A</v>
      </c>
      <c r="CA152" s="81" t="e">
        <v>#N/A</v>
      </c>
      <c r="CB152" s="13" t="e">
        <v>#N/A</v>
      </c>
      <c r="CC152" s="13" t="e">
        <v>#N/A</v>
      </c>
      <c r="CD152" s="16" t="e">
        <v>#N/A</v>
      </c>
      <c r="CE152" s="16" t="s">
        <v>215</v>
      </c>
    </row>
    <row r="153" spans="5:83" x14ac:dyDescent="0.35">
      <c r="E153" s="79" t="s">
        <v>442</v>
      </c>
      <c r="F153" s="116" t="s">
        <v>185</v>
      </c>
      <c r="G153" s="116" t="s">
        <v>275</v>
      </c>
      <c r="H153" s="15" t="s">
        <v>215</v>
      </c>
      <c r="I153" s="13" t="s">
        <v>215</v>
      </c>
      <c r="J153" s="13" t="s">
        <v>215</v>
      </c>
      <c r="K153" s="13" t="s">
        <v>215</v>
      </c>
      <c r="L153" s="13" t="s">
        <v>215</v>
      </c>
      <c r="M153" s="13" t="s">
        <v>215</v>
      </c>
      <c r="N153" s="13" t="s">
        <v>215</v>
      </c>
      <c r="O153" s="13" t="s">
        <v>215</v>
      </c>
      <c r="P153" s="13" t="s">
        <v>215</v>
      </c>
      <c r="Q153" s="13" t="s">
        <v>215</v>
      </c>
      <c r="R153" s="13" t="s">
        <v>215</v>
      </c>
      <c r="S153" s="13" t="s">
        <v>215</v>
      </c>
      <c r="T153" s="13" t="s">
        <v>215</v>
      </c>
      <c r="U153" s="13" t="s">
        <v>215</v>
      </c>
      <c r="V153" s="13" t="s">
        <v>215</v>
      </c>
      <c r="W153" s="13" t="s">
        <v>215</v>
      </c>
      <c r="X153" s="13" t="s">
        <v>215</v>
      </c>
      <c r="Y153" s="13" t="s">
        <v>215</v>
      </c>
      <c r="Z153" s="13" t="s">
        <v>215</v>
      </c>
      <c r="AA153" s="13" t="s">
        <v>215</v>
      </c>
      <c r="AB153" s="13" t="s">
        <v>215</v>
      </c>
      <c r="AC153" s="13" t="s">
        <v>215</v>
      </c>
      <c r="AD153" s="16" t="s">
        <v>215</v>
      </c>
      <c r="AE153" s="15" t="s">
        <v>215</v>
      </c>
      <c r="AF153" s="13" t="s">
        <v>215</v>
      </c>
      <c r="AG153" s="13" t="s">
        <v>215</v>
      </c>
      <c r="AH153" s="13" t="s">
        <v>215</v>
      </c>
      <c r="AI153" s="13" t="s">
        <v>215</v>
      </c>
      <c r="AJ153" s="13" t="s">
        <v>215</v>
      </c>
      <c r="AK153" s="13" t="s">
        <v>215</v>
      </c>
      <c r="AL153" s="13" t="s">
        <v>215</v>
      </c>
      <c r="AM153" s="13" t="s">
        <v>215</v>
      </c>
      <c r="AN153" s="13" t="s">
        <v>215</v>
      </c>
      <c r="AO153" s="13" t="s">
        <v>215</v>
      </c>
      <c r="AP153" s="13" t="s">
        <v>215</v>
      </c>
      <c r="AQ153" s="13" t="s">
        <v>215</v>
      </c>
      <c r="AR153" s="13" t="s">
        <v>215</v>
      </c>
      <c r="AS153" s="13" t="s">
        <v>215</v>
      </c>
      <c r="AT153" s="13" t="s">
        <v>215</v>
      </c>
      <c r="AU153" s="13" t="s">
        <v>215</v>
      </c>
      <c r="AV153" s="13" t="s">
        <v>215</v>
      </c>
      <c r="AW153" s="13" t="s">
        <v>215</v>
      </c>
      <c r="AX153" s="13" t="s">
        <v>215</v>
      </c>
      <c r="AY153" s="13" t="s">
        <v>215</v>
      </c>
      <c r="AZ153" s="13" t="s">
        <v>215</v>
      </c>
      <c r="BA153" s="13" t="s">
        <v>215</v>
      </c>
      <c r="BB153" s="13" t="s">
        <v>215</v>
      </c>
      <c r="BC153" s="13" t="s">
        <v>215</v>
      </c>
      <c r="BD153" s="16" t="s">
        <v>215</v>
      </c>
      <c r="BE153" s="15" t="s">
        <v>215</v>
      </c>
      <c r="BF153" s="13" t="s">
        <v>215</v>
      </c>
      <c r="BG153" s="13" t="s">
        <v>215</v>
      </c>
      <c r="BH153" s="13" t="s">
        <v>215</v>
      </c>
      <c r="BI153" s="13" t="s">
        <v>215</v>
      </c>
      <c r="BJ153" s="16" t="s">
        <v>215</v>
      </c>
      <c r="BK153" s="15" t="s">
        <v>215</v>
      </c>
      <c r="BL153" s="13" t="s">
        <v>215</v>
      </c>
      <c r="BM153" s="13" t="s">
        <v>215</v>
      </c>
      <c r="BN153" s="13" t="s">
        <v>215</v>
      </c>
      <c r="BO153" s="13" t="s">
        <v>215</v>
      </c>
      <c r="BP153" s="13" t="s">
        <v>215</v>
      </c>
      <c r="BQ153" s="13" t="s">
        <v>215</v>
      </c>
      <c r="BR153" s="13" t="s">
        <v>215</v>
      </c>
      <c r="BS153" s="13" t="s">
        <v>215</v>
      </c>
      <c r="BT153" s="13" t="s">
        <v>215</v>
      </c>
      <c r="BU153" s="13" t="s">
        <v>215</v>
      </c>
      <c r="BV153" s="13" t="s">
        <v>215</v>
      </c>
      <c r="BW153" s="16" t="s">
        <v>215</v>
      </c>
      <c r="BX153" s="15" t="s">
        <v>215</v>
      </c>
      <c r="BY153" s="13" t="s">
        <v>215</v>
      </c>
      <c r="BZ153" s="16" t="s">
        <v>215</v>
      </c>
      <c r="CA153" s="81" t="s">
        <v>215</v>
      </c>
      <c r="CB153" s="13" t="s">
        <v>215</v>
      </c>
      <c r="CC153" s="13" t="s">
        <v>215</v>
      </c>
      <c r="CD153" s="16" t="s">
        <v>215</v>
      </c>
      <c r="CE153" s="16" t="s">
        <v>215</v>
      </c>
    </row>
    <row r="154" spans="5:83" x14ac:dyDescent="0.35">
      <c r="E154" s="79" t="s">
        <v>443</v>
      </c>
      <c r="F154" s="116" t="s">
        <v>281</v>
      </c>
      <c r="G154" s="116" t="s">
        <v>275</v>
      </c>
      <c r="H154" s="15" t="e">
        <v>#N/A</v>
      </c>
      <c r="I154" s="13" t="e">
        <v>#N/A</v>
      </c>
      <c r="J154" s="13" t="e">
        <v>#N/A</v>
      </c>
      <c r="K154" s="13" t="e">
        <v>#N/A</v>
      </c>
      <c r="L154" s="13" t="e">
        <v>#N/A</v>
      </c>
      <c r="M154" s="13" t="e">
        <v>#N/A</v>
      </c>
      <c r="N154" s="13" t="e">
        <v>#N/A</v>
      </c>
      <c r="O154" s="13" t="e">
        <v>#N/A</v>
      </c>
      <c r="P154" s="13" t="e">
        <v>#N/A</v>
      </c>
      <c r="Q154" s="13" t="e">
        <v>#N/A</v>
      </c>
      <c r="R154" s="13" t="e">
        <v>#N/A</v>
      </c>
      <c r="S154" s="13" t="e">
        <v>#N/A</v>
      </c>
      <c r="T154" s="13" t="e">
        <v>#N/A</v>
      </c>
      <c r="U154" s="13" t="e">
        <v>#N/A</v>
      </c>
      <c r="V154" s="13" t="e">
        <v>#N/A</v>
      </c>
      <c r="W154" s="13" t="e">
        <v>#N/A</v>
      </c>
      <c r="X154" s="13" t="e">
        <v>#N/A</v>
      </c>
      <c r="Y154" s="13" t="e">
        <v>#N/A</v>
      </c>
      <c r="Z154" s="13" t="e">
        <v>#N/A</v>
      </c>
      <c r="AA154" s="13" t="e">
        <v>#N/A</v>
      </c>
      <c r="AB154" s="13" t="e">
        <v>#N/A</v>
      </c>
      <c r="AC154" s="13" t="e">
        <v>#N/A</v>
      </c>
      <c r="AD154" s="16" t="e">
        <v>#N/A</v>
      </c>
      <c r="AE154" s="15" t="e">
        <v>#N/A</v>
      </c>
      <c r="AF154" s="13" t="e">
        <v>#N/A</v>
      </c>
      <c r="AG154" s="13" t="e">
        <v>#N/A</v>
      </c>
      <c r="AH154" s="13" t="e">
        <v>#N/A</v>
      </c>
      <c r="AI154" s="13" t="e">
        <v>#N/A</v>
      </c>
      <c r="AJ154" s="13" t="e">
        <v>#N/A</v>
      </c>
      <c r="AK154" s="13" t="e">
        <v>#N/A</v>
      </c>
      <c r="AL154" s="13" t="e">
        <v>#N/A</v>
      </c>
      <c r="AM154" s="13" t="e">
        <v>#N/A</v>
      </c>
      <c r="AN154" s="13" t="e">
        <v>#N/A</v>
      </c>
      <c r="AO154" s="13" t="e">
        <v>#N/A</v>
      </c>
      <c r="AP154" s="13" t="e">
        <v>#N/A</v>
      </c>
      <c r="AQ154" s="13" t="e">
        <v>#N/A</v>
      </c>
      <c r="AR154" s="13" t="e">
        <v>#N/A</v>
      </c>
      <c r="AS154" s="13" t="e">
        <v>#N/A</v>
      </c>
      <c r="AT154" s="13" t="e">
        <v>#N/A</v>
      </c>
      <c r="AU154" s="13" t="e">
        <v>#N/A</v>
      </c>
      <c r="AV154" s="13" t="e">
        <v>#N/A</v>
      </c>
      <c r="AW154" s="13" t="e">
        <v>#N/A</v>
      </c>
      <c r="AX154" s="13" t="e">
        <v>#N/A</v>
      </c>
      <c r="AY154" s="13" t="e">
        <v>#N/A</v>
      </c>
      <c r="AZ154" s="13" t="e">
        <v>#N/A</v>
      </c>
      <c r="BA154" s="13" t="e">
        <v>#N/A</v>
      </c>
      <c r="BB154" s="13" t="e">
        <v>#N/A</v>
      </c>
      <c r="BC154" s="13" t="e">
        <v>#N/A</v>
      </c>
      <c r="BD154" s="16" t="e">
        <v>#N/A</v>
      </c>
      <c r="BE154" s="15" t="e">
        <v>#N/A</v>
      </c>
      <c r="BF154" s="13" t="e">
        <v>#N/A</v>
      </c>
      <c r="BG154" s="13" t="e">
        <v>#N/A</v>
      </c>
      <c r="BH154" s="13" t="e">
        <v>#N/A</v>
      </c>
      <c r="BI154" s="13" t="e">
        <v>#N/A</v>
      </c>
      <c r="BJ154" s="16" t="e">
        <v>#N/A</v>
      </c>
      <c r="BK154" s="15" t="e">
        <v>#N/A</v>
      </c>
      <c r="BL154" s="13" t="e">
        <v>#N/A</v>
      </c>
      <c r="BM154" s="13" t="e">
        <v>#N/A</v>
      </c>
      <c r="BN154" s="13" t="e">
        <v>#N/A</v>
      </c>
      <c r="BO154" s="13" t="e">
        <v>#N/A</v>
      </c>
      <c r="BP154" s="13" t="e">
        <v>#N/A</v>
      </c>
      <c r="BQ154" s="13" t="e">
        <v>#N/A</v>
      </c>
      <c r="BR154" s="13" t="e">
        <v>#N/A</v>
      </c>
      <c r="BS154" s="13" t="e">
        <v>#N/A</v>
      </c>
      <c r="BT154" s="13" t="e">
        <v>#N/A</v>
      </c>
      <c r="BU154" s="13" t="e">
        <v>#N/A</v>
      </c>
      <c r="BV154" s="13" t="e">
        <v>#N/A</v>
      </c>
      <c r="BW154" s="16" t="e">
        <v>#N/A</v>
      </c>
      <c r="BX154" s="15" t="e">
        <v>#N/A</v>
      </c>
      <c r="BY154" s="13" t="e">
        <v>#N/A</v>
      </c>
      <c r="BZ154" s="16" t="e">
        <v>#N/A</v>
      </c>
      <c r="CA154" s="81" t="e">
        <v>#N/A</v>
      </c>
      <c r="CB154" s="13" t="e">
        <v>#N/A</v>
      </c>
      <c r="CC154" s="13" t="e">
        <v>#N/A</v>
      </c>
      <c r="CD154" s="16" t="e">
        <v>#N/A</v>
      </c>
      <c r="CE154" s="16" t="s">
        <v>215</v>
      </c>
    </row>
    <row r="155" spans="5:83" x14ac:dyDescent="0.35">
      <c r="E155" s="79" t="s">
        <v>444</v>
      </c>
      <c r="F155" s="116" t="s">
        <v>281</v>
      </c>
      <c r="G155" s="116" t="s">
        <v>275</v>
      </c>
      <c r="H155" s="15" t="e">
        <v>#N/A</v>
      </c>
      <c r="I155" s="13" t="e">
        <v>#N/A</v>
      </c>
      <c r="J155" s="13" t="e">
        <v>#N/A</v>
      </c>
      <c r="K155" s="13" t="e">
        <v>#N/A</v>
      </c>
      <c r="L155" s="13" t="e">
        <v>#N/A</v>
      </c>
      <c r="M155" s="13" t="e">
        <v>#N/A</v>
      </c>
      <c r="N155" s="13" t="e">
        <v>#N/A</v>
      </c>
      <c r="O155" s="13" t="e">
        <v>#N/A</v>
      </c>
      <c r="P155" s="13" t="e">
        <v>#N/A</v>
      </c>
      <c r="Q155" s="13" t="e">
        <v>#N/A</v>
      </c>
      <c r="R155" s="13" t="e">
        <v>#N/A</v>
      </c>
      <c r="S155" s="13" t="e">
        <v>#N/A</v>
      </c>
      <c r="T155" s="13" t="e">
        <v>#N/A</v>
      </c>
      <c r="U155" s="13" t="e">
        <v>#N/A</v>
      </c>
      <c r="V155" s="13" t="e">
        <v>#N/A</v>
      </c>
      <c r="W155" s="13" t="e">
        <v>#N/A</v>
      </c>
      <c r="X155" s="13" t="e">
        <v>#N/A</v>
      </c>
      <c r="Y155" s="13" t="e">
        <v>#N/A</v>
      </c>
      <c r="Z155" s="13" t="e">
        <v>#N/A</v>
      </c>
      <c r="AA155" s="13" t="e">
        <v>#N/A</v>
      </c>
      <c r="AB155" s="13" t="e">
        <v>#N/A</v>
      </c>
      <c r="AC155" s="13" t="e">
        <v>#N/A</v>
      </c>
      <c r="AD155" s="16" t="e">
        <v>#N/A</v>
      </c>
      <c r="AE155" s="15" t="e">
        <v>#N/A</v>
      </c>
      <c r="AF155" s="13" t="e">
        <v>#N/A</v>
      </c>
      <c r="AG155" s="13" t="e">
        <v>#N/A</v>
      </c>
      <c r="AH155" s="13" t="e">
        <v>#N/A</v>
      </c>
      <c r="AI155" s="13" t="e">
        <v>#N/A</v>
      </c>
      <c r="AJ155" s="13" t="e">
        <v>#N/A</v>
      </c>
      <c r="AK155" s="13" t="e">
        <v>#N/A</v>
      </c>
      <c r="AL155" s="13" t="e">
        <v>#N/A</v>
      </c>
      <c r="AM155" s="13" t="e">
        <v>#N/A</v>
      </c>
      <c r="AN155" s="13" t="e">
        <v>#N/A</v>
      </c>
      <c r="AO155" s="13" t="e">
        <v>#N/A</v>
      </c>
      <c r="AP155" s="13" t="e">
        <v>#N/A</v>
      </c>
      <c r="AQ155" s="13" t="e">
        <v>#N/A</v>
      </c>
      <c r="AR155" s="13" t="e">
        <v>#N/A</v>
      </c>
      <c r="AS155" s="13" t="e">
        <v>#N/A</v>
      </c>
      <c r="AT155" s="13" t="e">
        <v>#N/A</v>
      </c>
      <c r="AU155" s="13" t="e">
        <v>#N/A</v>
      </c>
      <c r="AV155" s="13" t="e">
        <v>#N/A</v>
      </c>
      <c r="AW155" s="13" t="e">
        <v>#N/A</v>
      </c>
      <c r="AX155" s="13" t="e">
        <v>#N/A</v>
      </c>
      <c r="AY155" s="13" t="e">
        <v>#N/A</v>
      </c>
      <c r="AZ155" s="13" t="e">
        <v>#N/A</v>
      </c>
      <c r="BA155" s="13" t="e">
        <v>#N/A</v>
      </c>
      <c r="BB155" s="13" t="e">
        <v>#N/A</v>
      </c>
      <c r="BC155" s="13" t="e">
        <v>#N/A</v>
      </c>
      <c r="BD155" s="16" t="e">
        <v>#N/A</v>
      </c>
      <c r="BE155" s="15" t="e">
        <v>#N/A</v>
      </c>
      <c r="BF155" s="13" t="e">
        <v>#N/A</v>
      </c>
      <c r="BG155" s="13" t="e">
        <v>#N/A</v>
      </c>
      <c r="BH155" s="13" t="e">
        <v>#N/A</v>
      </c>
      <c r="BI155" s="13" t="e">
        <v>#N/A</v>
      </c>
      <c r="BJ155" s="16" t="e">
        <v>#N/A</v>
      </c>
      <c r="BK155" s="15" t="e">
        <v>#N/A</v>
      </c>
      <c r="BL155" s="13" t="e">
        <v>#N/A</v>
      </c>
      <c r="BM155" s="13" t="e">
        <v>#N/A</v>
      </c>
      <c r="BN155" s="13" t="e">
        <v>#N/A</v>
      </c>
      <c r="BO155" s="13" t="e">
        <v>#N/A</v>
      </c>
      <c r="BP155" s="13" t="e">
        <v>#N/A</v>
      </c>
      <c r="BQ155" s="13" t="e">
        <v>#N/A</v>
      </c>
      <c r="BR155" s="13" t="e">
        <v>#N/A</v>
      </c>
      <c r="BS155" s="13" t="e">
        <v>#N/A</v>
      </c>
      <c r="BT155" s="13" t="e">
        <v>#N/A</v>
      </c>
      <c r="BU155" s="13" t="e">
        <v>#N/A</v>
      </c>
      <c r="BV155" s="13" t="e">
        <v>#N/A</v>
      </c>
      <c r="BW155" s="16" t="e">
        <v>#N/A</v>
      </c>
      <c r="BX155" s="15" t="e">
        <v>#N/A</v>
      </c>
      <c r="BY155" s="13" t="e">
        <v>#N/A</v>
      </c>
      <c r="BZ155" s="16" t="e">
        <v>#N/A</v>
      </c>
      <c r="CA155" s="81" t="e">
        <v>#N/A</v>
      </c>
      <c r="CB155" s="13" t="e">
        <v>#N/A</v>
      </c>
      <c r="CC155" s="13" t="e">
        <v>#N/A</v>
      </c>
      <c r="CD155" s="16" t="e">
        <v>#N/A</v>
      </c>
      <c r="CE155" s="16" t="s">
        <v>215</v>
      </c>
    </row>
    <row r="156" spans="5:83" x14ac:dyDescent="0.35">
      <c r="E156" s="79" t="s">
        <v>445</v>
      </c>
      <c r="F156" s="116" t="s">
        <v>188</v>
      </c>
      <c r="G156" s="116" t="s">
        <v>275</v>
      </c>
      <c r="H156" s="15" t="s">
        <v>215</v>
      </c>
      <c r="I156" s="13" t="s">
        <v>215</v>
      </c>
      <c r="J156" s="13" t="s">
        <v>215</v>
      </c>
      <c r="K156" s="13" t="s">
        <v>215</v>
      </c>
      <c r="L156" s="13" t="s">
        <v>215</v>
      </c>
      <c r="M156" s="13" t="s">
        <v>215</v>
      </c>
      <c r="N156" s="13" t="s">
        <v>215</v>
      </c>
      <c r="O156" s="13" t="s">
        <v>215</v>
      </c>
      <c r="P156" s="13" t="s">
        <v>215</v>
      </c>
      <c r="Q156" s="13" t="s">
        <v>215</v>
      </c>
      <c r="R156" s="13" t="s">
        <v>215</v>
      </c>
      <c r="S156" s="13" t="s">
        <v>215</v>
      </c>
      <c r="T156" s="13" t="s">
        <v>215</v>
      </c>
      <c r="U156" s="13" t="s">
        <v>215</v>
      </c>
      <c r="V156" s="13" t="s">
        <v>215</v>
      </c>
      <c r="W156" s="13" t="s">
        <v>215</v>
      </c>
      <c r="X156" s="13" t="s">
        <v>215</v>
      </c>
      <c r="Y156" s="13" t="s">
        <v>215</v>
      </c>
      <c r="Z156" s="13" t="s">
        <v>215</v>
      </c>
      <c r="AA156" s="13" t="s">
        <v>215</v>
      </c>
      <c r="AB156" s="13" t="s">
        <v>215</v>
      </c>
      <c r="AC156" s="13" t="s">
        <v>215</v>
      </c>
      <c r="AD156" s="16" t="s">
        <v>215</v>
      </c>
      <c r="AE156" s="15" t="s">
        <v>215</v>
      </c>
      <c r="AF156" s="13" t="s">
        <v>215</v>
      </c>
      <c r="AG156" s="13" t="s">
        <v>215</v>
      </c>
      <c r="AH156" s="13" t="s">
        <v>215</v>
      </c>
      <c r="AI156" s="13" t="s">
        <v>215</v>
      </c>
      <c r="AJ156" s="13" t="s">
        <v>215</v>
      </c>
      <c r="AK156" s="13" t="s">
        <v>215</v>
      </c>
      <c r="AL156" s="13" t="s">
        <v>215</v>
      </c>
      <c r="AM156" s="13" t="s">
        <v>215</v>
      </c>
      <c r="AN156" s="13" t="s">
        <v>215</v>
      </c>
      <c r="AO156" s="13" t="s">
        <v>215</v>
      </c>
      <c r="AP156" s="13" t="s">
        <v>215</v>
      </c>
      <c r="AQ156" s="13" t="s">
        <v>215</v>
      </c>
      <c r="AR156" s="13" t="s">
        <v>215</v>
      </c>
      <c r="AS156" s="13" t="s">
        <v>215</v>
      </c>
      <c r="AT156" s="13" t="s">
        <v>215</v>
      </c>
      <c r="AU156" s="13" t="s">
        <v>215</v>
      </c>
      <c r="AV156" s="13" t="s">
        <v>215</v>
      </c>
      <c r="AW156" s="13" t="s">
        <v>215</v>
      </c>
      <c r="AX156" s="13" t="s">
        <v>215</v>
      </c>
      <c r="AY156" s="13" t="s">
        <v>215</v>
      </c>
      <c r="AZ156" s="13" t="s">
        <v>215</v>
      </c>
      <c r="BA156" s="13" t="s">
        <v>215</v>
      </c>
      <c r="BB156" s="13" t="s">
        <v>209</v>
      </c>
      <c r="BC156" s="13" t="s">
        <v>215</v>
      </c>
      <c r="BD156" s="16" t="s">
        <v>215</v>
      </c>
      <c r="BE156" s="15" t="s">
        <v>215</v>
      </c>
      <c r="BF156" s="13" t="s">
        <v>215</v>
      </c>
      <c r="BG156" s="13" t="s">
        <v>215</v>
      </c>
      <c r="BH156" s="13" t="s">
        <v>215</v>
      </c>
      <c r="BI156" s="13" t="s">
        <v>215</v>
      </c>
      <c r="BJ156" s="16" t="s">
        <v>215</v>
      </c>
      <c r="BK156" s="15" t="s">
        <v>215</v>
      </c>
      <c r="BL156" s="13" t="s">
        <v>215</v>
      </c>
      <c r="BM156" s="13" t="s">
        <v>215</v>
      </c>
      <c r="BN156" s="13" t="s">
        <v>215</v>
      </c>
      <c r="BO156" s="13" t="s">
        <v>215</v>
      </c>
      <c r="BP156" s="13" t="s">
        <v>215</v>
      </c>
      <c r="BQ156" s="13" t="s">
        <v>215</v>
      </c>
      <c r="BR156" s="13" t="s">
        <v>215</v>
      </c>
      <c r="BS156" s="13" t="s">
        <v>215</v>
      </c>
      <c r="BT156" s="13" t="s">
        <v>215</v>
      </c>
      <c r="BU156" s="13" t="s">
        <v>215</v>
      </c>
      <c r="BV156" s="13" t="s">
        <v>215</v>
      </c>
      <c r="BW156" s="16" t="s">
        <v>215</v>
      </c>
      <c r="BX156" s="15" t="s">
        <v>215</v>
      </c>
      <c r="BY156" s="13" t="s">
        <v>215</v>
      </c>
      <c r="BZ156" s="16" t="s">
        <v>215</v>
      </c>
      <c r="CA156" s="81" t="s">
        <v>215</v>
      </c>
      <c r="CB156" s="13" t="s">
        <v>215</v>
      </c>
      <c r="CC156" s="13" t="s">
        <v>215</v>
      </c>
      <c r="CD156" s="16" t="s">
        <v>215</v>
      </c>
      <c r="CE156" s="16" t="s">
        <v>215</v>
      </c>
    </row>
    <row r="157" spans="5:83" x14ac:dyDescent="0.35">
      <c r="E157" s="79" t="s">
        <v>446</v>
      </c>
      <c r="F157" s="116" t="s">
        <v>281</v>
      </c>
      <c r="G157" s="116" t="s">
        <v>275</v>
      </c>
      <c r="H157" s="15" t="e">
        <v>#N/A</v>
      </c>
      <c r="I157" s="13" t="e">
        <v>#N/A</v>
      </c>
      <c r="J157" s="13" t="e">
        <v>#N/A</v>
      </c>
      <c r="K157" s="13" t="e">
        <v>#N/A</v>
      </c>
      <c r="L157" s="13" t="e">
        <v>#N/A</v>
      </c>
      <c r="M157" s="13" t="e">
        <v>#N/A</v>
      </c>
      <c r="N157" s="13" t="e">
        <v>#N/A</v>
      </c>
      <c r="O157" s="13" t="e">
        <v>#N/A</v>
      </c>
      <c r="P157" s="13" t="e">
        <v>#N/A</v>
      </c>
      <c r="Q157" s="13" t="e">
        <v>#N/A</v>
      </c>
      <c r="R157" s="13" t="e">
        <v>#N/A</v>
      </c>
      <c r="S157" s="13" t="e">
        <v>#N/A</v>
      </c>
      <c r="T157" s="13" t="e">
        <v>#N/A</v>
      </c>
      <c r="U157" s="13" t="e">
        <v>#N/A</v>
      </c>
      <c r="V157" s="13" t="e">
        <v>#N/A</v>
      </c>
      <c r="W157" s="13" t="e">
        <v>#N/A</v>
      </c>
      <c r="X157" s="13" t="e">
        <v>#N/A</v>
      </c>
      <c r="Y157" s="13" t="e">
        <v>#N/A</v>
      </c>
      <c r="Z157" s="13" t="e">
        <v>#N/A</v>
      </c>
      <c r="AA157" s="13" t="e">
        <v>#N/A</v>
      </c>
      <c r="AB157" s="13" t="e">
        <v>#N/A</v>
      </c>
      <c r="AC157" s="13" t="e">
        <v>#N/A</v>
      </c>
      <c r="AD157" s="16" t="e">
        <v>#N/A</v>
      </c>
      <c r="AE157" s="15" t="e">
        <v>#N/A</v>
      </c>
      <c r="AF157" s="13" t="e">
        <v>#N/A</v>
      </c>
      <c r="AG157" s="13" t="e">
        <v>#N/A</v>
      </c>
      <c r="AH157" s="13" t="e">
        <v>#N/A</v>
      </c>
      <c r="AI157" s="13" t="e">
        <v>#N/A</v>
      </c>
      <c r="AJ157" s="13" t="e">
        <v>#N/A</v>
      </c>
      <c r="AK157" s="13" t="e">
        <v>#N/A</v>
      </c>
      <c r="AL157" s="13" t="e">
        <v>#N/A</v>
      </c>
      <c r="AM157" s="13" t="e">
        <v>#N/A</v>
      </c>
      <c r="AN157" s="13" t="e">
        <v>#N/A</v>
      </c>
      <c r="AO157" s="13" t="e">
        <v>#N/A</v>
      </c>
      <c r="AP157" s="13" t="e">
        <v>#N/A</v>
      </c>
      <c r="AQ157" s="13" t="e">
        <v>#N/A</v>
      </c>
      <c r="AR157" s="13" t="e">
        <v>#N/A</v>
      </c>
      <c r="AS157" s="13" t="e">
        <v>#N/A</v>
      </c>
      <c r="AT157" s="13" t="e">
        <v>#N/A</v>
      </c>
      <c r="AU157" s="13" t="e">
        <v>#N/A</v>
      </c>
      <c r="AV157" s="13" t="e">
        <v>#N/A</v>
      </c>
      <c r="AW157" s="13" t="e">
        <v>#N/A</v>
      </c>
      <c r="AX157" s="13" t="e">
        <v>#N/A</v>
      </c>
      <c r="AY157" s="13" t="e">
        <v>#N/A</v>
      </c>
      <c r="AZ157" s="13" t="e">
        <v>#N/A</v>
      </c>
      <c r="BA157" s="13" t="e">
        <v>#N/A</v>
      </c>
      <c r="BB157" s="13" t="e">
        <v>#N/A</v>
      </c>
      <c r="BC157" s="13" t="e">
        <v>#N/A</v>
      </c>
      <c r="BD157" s="16" t="e">
        <v>#N/A</v>
      </c>
      <c r="BE157" s="15" t="e">
        <v>#N/A</v>
      </c>
      <c r="BF157" s="13" t="e">
        <v>#N/A</v>
      </c>
      <c r="BG157" s="13" t="e">
        <v>#N/A</v>
      </c>
      <c r="BH157" s="13" t="e">
        <v>#N/A</v>
      </c>
      <c r="BI157" s="13" t="e">
        <v>#N/A</v>
      </c>
      <c r="BJ157" s="16" t="e">
        <v>#N/A</v>
      </c>
      <c r="BK157" s="15" t="e">
        <v>#N/A</v>
      </c>
      <c r="BL157" s="13" t="e">
        <v>#N/A</v>
      </c>
      <c r="BM157" s="13" t="e">
        <v>#N/A</v>
      </c>
      <c r="BN157" s="13" t="e">
        <v>#N/A</v>
      </c>
      <c r="BO157" s="13" t="e">
        <v>#N/A</v>
      </c>
      <c r="BP157" s="13" t="e">
        <v>#N/A</v>
      </c>
      <c r="BQ157" s="13" t="e">
        <v>#N/A</v>
      </c>
      <c r="BR157" s="13" t="e">
        <v>#N/A</v>
      </c>
      <c r="BS157" s="13" t="e">
        <v>#N/A</v>
      </c>
      <c r="BT157" s="13" t="e">
        <v>#N/A</v>
      </c>
      <c r="BU157" s="13" t="e">
        <v>#N/A</v>
      </c>
      <c r="BV157" s="13" t="e">
        <v>#N/A</v>
      </c>
      <c r="BW157" s="16" t="e">
        <v>#N/A</v>
      </c>
      <c r="BX157" s="15" t="e">
        <v>#N/A</v>
      </c>
      <c r="BY157" s="13" t="e">
        <v>#N/A</v>
      </c>
      <c r="BZ157" s="16" t="e">
        <v>#N/A</v>
      </c>
      <c r="CA157" s="81" t="e">
        <v>#N/A</v>
      </c>
      <c r="CB157" s="13" t="e">
        <v>#N/A</v>
      </c>
      <c r="CC157" s="13" t="e">
        <v>#N/A</v>
      </c>
      <c r="CD157" s="16" t="e">
        <v>#N/A</v>
      </c>
      <c r="CE157" s="16" t="s">
        <v>215</v>
      </c>
    </row>
    <row r="158" spans="5:83" x14ac:dyDescent="0.35">
      <c r="E158" s="79" t="s">
        <v>447</v>
      </c>
      <c r="F158" s="116" t="s">
        <v>281</v>
      </c>
      <c r="G158" s="116" t="s">
        <v>275</v>
      </c>
      <c r="H158" s="15" t="e">
        <v>#N/A</v>
      </c>
      <c r="I158" s="13" t="e">
        <v>#N/A</v>
      </c>
      <c r="J158" s="13" t="e">
        <v>#N/A</v>
      </c>
      <c r="K158" s="13" t="e">
        <v>#N/A</v>
      </c>
      <c r="L158" s="13" t="e">
        <v>#N/A</v>
      </c>
      <c r="M158" s="13" t="e">
        <v>#N/A</v>
      </c>
      <c r="N158" s="13" t="e">
        <v>#N/A</v>
      </c>
      <c r="O158" s="13" t="e">
        <v>#N/A</v>
      </c>
      <c r="P158" s="13" t="e">
        <v>#N/A</v>
      </c>
      <c r="Q158" s="13" t="e">
        <v>#N/A</v>
      </c>
      <c r="R158" s="13" t="e">
        <v>#N/A</v>
      </c>
      <c r="S158" s="13" t="e">
        <v>#N/A</v>
      </c>
      <c r="T158" s="13" t="e">
        <v>#N/A</v>
      </c>
      <c r="U158" s="13" t="e">
        <v>#N/A</v>
      </c>
      <c r="V158" s="13" t="e">
        <v>#N/A</v>
      </c>
      <c r="W158" s="13" t="e">
        <v>#N/A</v>
      </c>
      <c r="X158" s="13" t="e">
        <v>#N/A</v>
      </c>
      <c r="Y158" s="13" t="e">
        <v>#N/A</v>
      </c>
      <c r="Z158" s="13" t="e">
        <v>#N/A</v>
      </c>
      <c r="AA158" s="13" t="e">
        <v>#N/A</v>
      </c>
      <c r="AB158" s="13" t="e">
        <v>#N/A</v>
      </c>
      <c r="AC158" s="13" t="e">
        <v>#N/A</v>
      </c>
      <c r="AD158" s="16" t="e">
        <v>#N/A</v>
      </c>
      <c r="AE158" s="15" t="e">
        <v>#N/A</v>
      </c>
      <c r="AF158" s="13" t="e">
        <v>#N/A</v>
      </c>
      <c r="AG158" s="13" t="e">
        <v>#N/A</v>
      </c>
      <c r="AH158" s="13" t="e">
        <v>#N/A</v>
      </c>
      <c r="AI158" s="13" t="e">
        <v>#N/A</v>
      </c>
      <c r="AJ158" s="13" t="e">
        <v>#N/A</v>
      </c>
      <c r="AK158" s="13" t="e">
        <v>#N/A</v>
      </c>
      <c r="AL158" s="13" t="e">
        <v>#N/A</v>
      </c>
      <c r="AM158" s="13" t="e">
        <v>#N/A</v>
      </c>
      <c r="AN158" s="13" t="e">
        <v>#N/A</v>
      </c>
      <c r="AO158" s="13" t="e">
        <v>#N/A</v>
      </c>
      <c r="AP158" s="13" t="e">
        <v>#N/A</v>
      </c>
      <c r="AQ158" s="13" t="e">
        <v>#N/A</v>
      </c>
      <c r="AR158" s="13" t="e">
        <v>#N/A</v>
      </c>
      <c r="AS158" s="13" t="e">
        <v>#N/A</v>
      </c>
      <c r="AT158" s="13" t="e">
        <v>#N/A</v>
      </c>
      <c r="AU158" s="13" t="e">
        <v>#N/A</v>
      </c>
      <c r="AV158" s="13" t="e">
        <v>#N/A</v>
      </c>
      <c r="AW158" s="13" t="e">
        <v>#N/A</v>
      </c>
      <c r="AX158" s="13" t="e">
        <v>#N/A</v>
      </c>
      <c r="AY158" s="13" t="e">
        <v>#N/A</v>
      </c>
      <c r="AZ158" s="13" t="e">
        <v>#N/A</v>
      </c>
      <c r="BA158" s="13" t="e">
        <v>#N/A</v>
      </c>
      <c r="BB158" s="13" t="e">
        <v>#N/A</v>
      </c>
      <c r="BC158" s="13" t="e">
        <v>#N/A</v>
      </c>
      <c r="BD158" s="16" t="e">
        <v>#N/A</v>
      </c>
      <c r="BE158" s="15" t="e">
        <v>#N/A</v>
      </c>
      <c r="BF158" s="13" t="e">
        <v>#N/A</v>
      </c>
      <c r="BG158" s="13" t="e">
        <v>#N/A</v>
      </c>
      <c r="BH158" s="13" t="e">
        <v>#N/A</v>
      </c>
      <c r="BI158" s="13" t="e">
        <v>#N/A</v>
      </c>
      <c r="BJ158" s="16" t="e">
        <v>#N/A</v>
      </c>
      <c r="BK158" s="15" t="e">
        <v>#N/A</v>
      </c>
      <c r="BL158" s="13" t="e">
        <v>#N/A</v>
      </c>
      <c r="BM158" s="13" t="e">
        <v>#N/A</v>
      </c>
      <c r="BN158" s="13" t="e">
        <v>#N/A</v>
      </c>
      <c r="BO158" s="13" t="e">
        <v>#N/A</v>
      </c>
      <c r="BP158" s="13" t="e">
        <v>#N/A</v>
      </c>
      <c r="BQ158" s="13" t="e">
        <v>#N/A</v>
      </c>
      <c r="BR158" s="13" t="e">
        <v>#N/A</v>
      </c>
      <c r="BS158" s="13" t="e">
        <v>#N/A</v>
      </c>
      <c r="BT158" s="13" t="e">
        <v>#N/A</v>
      </c>
      <c r="BU158" s="13" t="e">
        <v>#N/A</v>
      </c>
      <c r="BV158" s="13" t="e">
        <v>#N/A</v>
      </c>
      <c r="BW158" s="16" t="e">
        <v>#N/A</v>
      </c>
      <c r="BX158" s="15" t="e">
        <v>#N/A</v>
      </c>
      <c r="BY158" s="13" t="e">
        <v>#N/A</v>
      </c>
      <c r="BZ158" s="16" t="e">
        <v>#N/A</v>
      </c>
      <c r="CA158" s="81" t="e">
        <v>#N/A</v>
      </c>
      <c r="CB158" s="13" t="e">
        <v>#N/A</v>
      </c>
      <c r="CC158" s="13" t="e">
        <v>#N/A</v>
      </c>
      <c r="CD158" s="16" t="e">
        <v>#N/A</v>
      </c>
      <c r="CE158" s="16" t="s">
        <v>215</v>
      </c>
    </row>
    <row r="159" spans="5:83" x14ac:dyDescent="0.35">
      <c r="E159" s="79" t="s">
        <v>448</v>
      </c>
      <c r="F159" s="116" t="s">
        <v>281</v>
      </c>
      <c r="G159" s="116" t="s">
        <v>275</v>
      </c>
      <c r="H159" s="15" t="e">
        <v>#N/A</v>
      </c>
      <c r="I159" s="13" t="e">
        <v>#N/A</v>
      </c>
      <c r="J159" s="13" t="e">
        <v>#N/A</v>
      </c>
      <c r="K159" s="13" t="e">
        <v>#N/A</v>
      </c>
      <c r="L159" s="13" t="e">
        <v>#N/A</v>
      </c>
      <c r="M159" s="13" t="e">
        <v>#N/A</v>
      </c>
      <c r="N159" s="13" t="e">
        <v>#N/A</v>
      </c>
      <c r="O159" s="13" t="e">
        <v>#N/A</v>
      </c>
      <c r="P159" s="13" t="e">
        <v>#N/A</v>
      </c>
      <c r="Q159" s="13" t="e">
        <v>#N/A</v>
      </c>
      <c r="R159" s="13" t="e">
        <v>#N/A</v>
      </c>
      <c r="S159" s="13" t="e">
        <v>#N/A</v>
      </c>
      <c r="T159" s="13" t="e">
        <v>#N/A</v>
      </c>
      <c r="U159" s="13" t="e">
        <v>#N/A</v>
      </c>
      <c r="V159" s="13" t="e">
        <v>#N/A</v>
      </c>
      <c r="W159" s="13" t="e">
        <v>#N/A</v>
      </c>
      <c r="X159" s="13" t="e">
        <v>#N/A</v>
      </c>
      <c r="Y159" s="13" t="e">
        <v>#N/A</v>
      </c>
      <c r="Z159" s="13" t="e">
        <v>#N/A</v>
      </c>
      <c r="AA159" s="13" t="e">
        <v>#N/A</v>
      </c>
      <c r="AB159" s="13" t="e">
        <v>#N/A</v>
      </c>
      <c r="AC159" s="13" t="e">
        <v>#N/A</v>
      </c>
      <c r="AD159" s="16" t="e">
        <v>#N/A</v>
      </c>
      <c r="AE159" s="15" t="e">
        <v>#N/A</v>
      </c>
      <c r="AF159" s="13" t="e">
        <v>#N/A</v>
      </c>
      <c r="AG159" s="13" t="e">
        <v>#N/A</v>
      </c>
      <c r="AH159" s="13" t="e">
        <v>#N/A</v>
      </c>
      <c r="AI159" s="13" t="e">
        <v>#N/A</v>
      </c>
      <c r="AJ159" s="13" t="e">
        <v>#N/A</v>
      </c>
      <c r="AK159" s="13" t="e">
        <v>#N/A</v>
      </c>
      <c r="AL159" s="13" t="e">
        <v>#N/A</v>
      </c>
      <c r="AM159" s="13" t="e">
        <v>#N/A</v>
      </c>
      <c r="AN159" s="13" t="e">
        <v>#N/A</v>
      </c>
      <c r="AO159" s="13" t="e">
        <v>#N/A</v>
      </c>
      <c r="AP159" s="13" t="e">
        <v>#N/A</v>
      </c>
      <c r="AQ159" s="13" t="e">
        <v>#N/A</v>
      </c>
      <c r="AR159" s="13" t="e">
        <v>#N/A</v>
      </c>
      <c r="AS159" s="13" t="e">
        <v>#N/A</v>
      </c>
      <c r="AT159" s="13" t="e">
        <v>#N/A</v>
      </c>
      <c r="AU159" s="13" t="e">
        <v>#N/A</v>
      </c>
      <c r="AV159" s="13" t="e">
        <v>#N/A</v>
      </c>
      <c r="AW159" s="13" t="e">
        <v>#N/A</v>
      </c>
      <c r="AX159" s="13" t="e">
        <v>#N/A</v>
      </c>
      <c r="AY159" s="13" t="e">
        <v>#N/A</v>
      </c>
      <c r="AZ159" s="13" t="e">
        <v>#N/A</v>
      </c>
      <c r="BA159" s="13" t="e">
        <v>#N/A</v>
      </c>
      <c r="BB159" s="13" t="e">
        <v>#N/A</v>
      </c>
      <c r="BC159" s="13" t="e">
        <v>#N/A</v>
      </c>
      <c r="BD159" s="16" t="e">
        <v>#N/A</v>
      </c>
      <c r="BE159" s="15" t="e">
        <v>#N/A</v>
      </c>
      <c r="BF159" s="13" t="e">
        <v>#N/A</v>
      </c>
      <c r="BG159" s="13" t="e">
        <v>#N/A</v>
      </c>
      <c r="BH159" s="13" t="e">
        <v>#N/A</v>
      </c>
      <c r="BI159" s="13" t="e">
        <v>#N/A</v>
      </c>
      <c r="BJ159" s="16" t="e">
        <v>#N/A</v>
      </c>
      <c r="BK159" s="15" t="e">
        <v>#N/A</v>
      </c>
      <c r="BL159" s="13" t="e">
        <v>#N/A</v>
      </c>
      <c r="BM159" s="13" t="e">
        <v>#N/A</v>
      </c>
      <c r="BN159" s="13" t="e">
        <v>#N/A</v>
      </c>
      <c r="BO159" s="13" t="e">
        <v>#N/A</v>
      </c>
      <c r="BP159" s="13" t="e">
        <v>#N/A</v>
      </c>
      <c r="BQ159" s="13" t="e">
        <v>#N/A</v>
      </c>
      <c r="BR159" s="13" t="e">
        <v>#N/A</v>
      </c>
      <c r="BS159" s="13" t="e">
        <v>#N/A</v>
      </c>
      <c r="BT159" s="13" t="e">
        <v>#N/A</v>
      </c>
      <c r="BU159" s="13" t="e">
        <v>#N/A</v>
      </c>
      <c r="BV159" s="13" t="e">
        <v>#N/A</v>
      </c>
      <c r="BW159" s="16" t="e">
        <v>#N/A</v>
      </c>
      <c r="BX159" s="15" t="e">
        <v>#N/A</v>
      </c>
      <c r="BY159" s="13" t="e">
        <v>#N/A</v>
      </c>
      <c r="BZ159" s="16" t="e">
        <v>#N/A</v>
      </c>
      <c r="CA159" s="81" t="e">
        <v>#N/A</v>
      </c>
      <c r="CB159" s="13" t="e">
        <v>#N/A</v>
      </c>
      <c r="CC159" s="13" t="e">
        <v>#N/A</v>
      </c>
      <c r="CD159" s="16" t="e">
        <v>#N/A</v>
      </c>
      <c r="CE159" s="16" t="s">
        <v>215</v>
      </c>
    </row>
    <row r="160" spans="5:83" x14ac:dyDescent="0.35">
      <c r="E160" s="79" t="s">
        <v>449</v>
      </c>
      <c r="F160" s="116" t="s">
        <v>281</v>
      </c>
      <c r="G160" s="116" t="s">
        <v>275</v>
      </c>
      <c r="H160" s="15" t="e">
        <v>#N/A</v>
      </c>
      <c r="I160" s="13" t="e">
        <v>#N/A</v>
      </c>
      <c r="J160" s="13" t="e">
        <v>#N/A</v>
      </c>
      <c r="K160" s="13" t="e">
        <v>#N/A</v>
      </c>
      <c r="L160" s="13" t="e">
        <v>#N/A</v>
      </c>
      <c r="M160" s="13" t="e">
        <v>#N/A</v>
      </c>
      <c r="N160" s="13" t="e">
        <v>#N/A</v>
      </c>
      <c r="O160" s="13" t="e">
        <v>#N/A</v>
      </c>
      <c r="P160" s="13" t="e">
        <v>#N/A</v>
      </c>
      <c r="Q160" s="13" t="e">
        <v>#N/A</v>
      </c>
      <c r="R160" s="13" t="e">
        <v>#N/A</v>
      </c>
      <c r="S160" s="13" t="e">
        <v>#N/A</v>
      </c>
      <c r="T160" s="13" t="e">
        <v>#N/A</v>
      </c>
      <c r="U160" s="13" t="e">
        <v>#N/A</v>
      </c>
      <c r="V160" s="13" t="e">
        <v>#N/A</v>
      </c>
      <c r="W160" s="13" t="e">
        <v>#N/A</v>
      </c>
      <c r="X160" s="13" t="e">
        <v>#N/A</v>
      </c>
      <c r="Y160" s="13" t="e">
        <v>#N/A</v>
      </c>
      <c r="Z160" s="13" t="e">
        <v>#N/A</v>
      </c>
      <c r="AA160" s="13" t="e">
        <v>#N/A</v>
      </c>
      <c r="AB160" s="13" t="e">
        <v>#N/A</v>
      </c>
      <c r="AC160" s="13" t="e">
        <v>#N/A</v>
      </c>
      <c r="AD160" s="16" t="e">
        <v>#N/A</v>
      </c>
      <c r="AE160" s="15" t="e">
        <v>#N/A</v>
      </c>
      <c r="AF160" s="13" t="e">
        <v>#N/A</v>
      </c>
      <c r="AG160" s="13" t="e">
        <v>#N/A</v>
      </c>
      <c r="AH160" s="13" t="e">
        <v>#N/A</v>
      </c>
      <c r="AI160" s="13" t="e">
        <v>#N/A</v>
      </c>
      <c r="AJ160" s="13" t="e">
        <v>#N/A</v>
      </c>
      <c r="AK160" s="13" t="e">
        <v>#N/A</v>
      </c>
      <c r="AL160" s="13" t="e">
        <v>#N/A</v>
      </c>
      <c r="AM160" s="13" t="e">
        <v>#N/A</v>
      </c>
      <c r="AN160" s="13" t="e">
        <v>#N/A</v>
      </c>
      <c r="AO160" s="13" t="e">
        <v>#N/A</v>
      </c>
      <c r="AP160" s="13" t="e">
        <v>#N/A</v>
      </c>
      <c r="AQ160" s="13" t="e">
        <v>#N/A</v>
      </c>
      <c r="AR160" s="13" t="e">
        <v>#N/A</v>
      </c>
      <c r="AS160" s="13" t="e">
        <v>#N/A</v>
      </c>
      <c r="AT160" s="13" t="e">
        <v>#N/A</v>
      </c>
      <c r="AU160" s="13" t="e">
        <v>#N/A</v>
      </c>
      <c r="AV160" s="13" t="e">
        <v>#N/A</v>
      </c>
      <c r="AW160" s="13" t="e">
        <v>#N/A</v>
      </c>
      <c r="AX160" s="13" t="e">
        <v>#N/A</v>
      </c>
      <c r="AY160" s="13" t="e">
        <v>#N/A</v>
      </c>
      <c r="AZ160" s="13" t="e">
        <v>#N/A</v>
      </c>
      <c r="BA160" s="13" t="e">
        <v>#N/A</v>
      </c>
      <c r="BB160" s="13" t="e">
        <v>#N/A</v>
      </c>
      <c r="BC160" s="13" t="e">
        <v>#N/A</v>
      </c>
      <c r="BD160" s="16" t="e">
        <v>#N/A</v>
      </c>
      <c r="BE160" s="15" t="e">
        <v>#N/A</v>
      </c>
      <c r="BF160" s="13" t="e">
        <v>#N/A</v>
      </c>
      <c r="BG160" s="13" t="e">
        <v>#N/A</v>
      </c>
      <c r="BH160" s="13" t="e">
        <v>#N/A</v>
      </c>
      <c r="BI160" s="13" t="e">
        <v>#N/A</v>
      </c>
      <c r="BJ160" s="16" t="e">
        <v>#N/A</v>
      </c>
      <c r="BK160" s="15" t="e">
        <v>#N/A</v>
      </c>
      <c r="BL160" s="13" t="e">
        <v>#N/A</v>
      </c>
      <c r="BM160" s="13" t="e">
        <v>#N/A</v>
      </c>
      <c r="BN160" s="13" t="e">
        <v>#N/A</v>
      </c>
      <c r="BO160" s="13" t="e">
        <v>#N/A</v>
      </c>
      <c r="BP160" s="13" t="e">
        <v>#N/A</v>
      </c>
      <c r="BQ160" s="13" t="e">
        <v>#N/A</v>
      </c>
      <c r="BR160" s="13" t="e">
        <v>#N/A</v>
      </c>
      <c r="BS160" s="13" t="e">
        <v>#N/A</v>
      </c>
      <c r="BT160" s="13" t="e">
        <v>#N/A</v>
      </c>
      <c r="BU160" s="13" t="e">
        <v>#N/A</v>
      </c>
      <c r="BV160" s="13" t="e">
        <v>#N/A</v>
      </c>
      <c r="BW160" s="16" t="e">
        <v>#N/A</v>
      </c>
      <c r="BX160" s="15" t="e">
        <v>#N/A</v>
      </c>
      <c r="BY160" s="13" t="e">
        <v>#N/A</v>
      </c>
      <c r="BZ160" s="16" t="e">
        <v>#N/A</v>
      </c>
      <c r="CA160" s="81" t="e">
        <v>#N/A</v>
      </c>
      <c r="CB160" s="13" t="e">
        <v>#N/A</v>
      </c>
      <c r="CC160" s="13" t="e">
        <v>#N/A</v>
      </c>
      <c r="CD160" s="16" t="e">
        <v>#N/A</v>
      </c>
      <c r="CE160" s="16" t="s">
        <v>215</v>
      </c>
    </row>
    <row r="161" spans="5:83" x14ac:dyDescent="0.35">
      <c r="E161" s="79" t="s">
        <v>450</v>
      </c>
      <c r="F161" s="116" t="s">
        <v>63</v>
      </c>
      <c r="G161" s="116" t="s">
        <v>273</v>
      </c>
      <c r="H161" s="15" t="s">
        <v>215</v>
      </c>
      <c r="I161" s="13" t="s">
        <v>215</v>
      </c>
      <c r="J161" s="13" t="s">
        <v>215</v>
      </c>
      <c r="K161" s="13" t="s">
        <v>215</v>
      </c>
      <c r="L161" s="13" t="s">
        <v>215</v>
      </c>
      <c r="M161" s="13" t="s">
        <v>215</v>
      </c>
      <c r="N161" s="13" t="s">
        <v>215</v>
      </c>
      <c r="O161" s="13" t="s">
        <v>215</v>
      </c>
      <c r="P161" s="13" t="s">
        <v>215</v>
      </c>
      <c r="Q161" s="13" t="s">
        <v>215</v>
      </c>
      <c r="R161" s="13" t="s">
        <v>215</v>
      </c>
      <c r="S161" s="13" t="s">
        <v>215</v>
      </c>
      <c r="T161" s="13" t="s">
        <v>215</v>
      </c>
      <c r="U161" s="13" t="s">
        <v>206</v>
      </c>
      <c r="V161" s="13" t="s">
        <v>215</v>
      </c>
      <c r="W161" s="13" t="s">
        <v>215</v>
      </c>
      <c r="X161" s="13" t="s">
        <v>215</v>
      </c>
      <c r="Y161" s="13" t="s">
        <v>215</v>
      </c>
      <c r="Z161" s="13" t="s">
        <v>215</v>
      </c>
      <c r="AA161" s="13" t="s">
        <v>215</v>
      </c>
      <c r="AB161" s="13" t="s">
        <v>215</v>
      </c>
      <c r="AC161" s="13" t="s">
        <v>215</v>
      </c>
      <c r="AD161" s="16" t="s">
        <v>215</v>
      </c>
      <c r="AE161" s="15" t="s">
        <v>215</v>
      </c>
      <c r="AF161" s="13" t="s">
        <v>215</v>
      </c>
      <c r="AG161" s="13" t="s">
        <v>215</v>
      </c>
      <c r="AH161" s="13" t="s">
        <v>215</v>
      </c>
      <c r="AI161" s="13" t="s">
        <v>215</v>
      </c>
      <c r="AJ161" s="13" t="s">
        <v>215</v>
      </c>
      <c r="AK161" s="13" t="s">
        <v>215</v>
      </c>
      <c r="AL161" s="13" t="s">
        <v>215</v>
      </c>
      <c r="AM161" s="13" t="s">
        <v>215</v>
      </c>
      <c r="AN161" s="13" t="s">
        <v>215</v>
      </c>
      <c r="AO161" s="13" t="s">
        <v>209</v>
      </c>
      <c r="AP161" s="13" t="s">
        <v>215</v>
      </c>
      <c r="AQ161" s="13" t="s">
        <v>215</v>
      </c>
      <c r="AR161" s="13" t="s">
        <v>215</v>
      </c>
      <c r="AS161" s="13" t="s">
        <v>215</v>
      </c>
      <c r="AT161" s="13" t="s">
        <v>215</v>
      </c>
      <c r="AU161" s="13" t="s">
        <v>209</v>
      </c>
      <c r="AV161" s="13" t="s">
        <v>215</v>
      </c>
      <c r="AW161" s="13" t="s">
        <v>215</v>
      </c>
      <c r="AX161" s="13" t="s">
        <v>215</v>
      </c>
      <c r="AY161" s="13" t="s">
        <v>215</v>
      </c>
      <c r="AZ161" s="13" t="s">
        <v>215</v>
      </c>
      <c r="BA161" s="13" t="s">
        <v>215</v>
      </c>
      <c r="BB161" s="13" t="s">
        <v>215</v>
      </c>
      <c r="BC161" s="13" t="s">
        <v>215</v>
      </c>
      <c r="BD161" s="16" t="s">
        <v>215</v>
      </c>
      <c r="BE161" s="15" t="s">
        <v>215</v>
      </c>
      <c r="BF161" s="13" t="s">
        <v>215</v>
      </c>
      <c r="BG161" s="13" t="s">
        <v>215</v>
      </c>
      <c r="BH161" s="13" t="s">
        <v>215</v>
      </c>
      <c r="BI161" s="13" t="s">
        <v>215</v>
      </c>
      <c r="BJ161" s="16" t="s">
        <v>215</v>
      </c>
      <c r="BK161" s="15" t="s">
        <v>215</v>
      </c>
      <c r="BL161" s="13" t="s">
        <v>215</v>
      </c>
      <c r="BM161" s="13" t="s">
        <v>215</v>
      </c>
      <c r="BN161" s="13" t="s">
        <v>209</v>
      </c>
      <c r="BO161" s="13" t="s">
        <v>215</v>
      </c>
      <c r="BP161" s="13" t="s">
        <v>215</v>
      </c>
      <c r="BQ161" s="13" t="s">
        <v>215</v>
      </c>
      <c r="BR161" s="13" t="s">
        <v>215</v>
      </c>
      <c r="BS161" s="13" t="s">
        <v>215</v>
      </c>
      <c r="BT161" s="13" t="s">
        <v>215</v>
      </c>
      <c r="BU161" s="13" t="s">
        <v>215</v>
      </c>
      <c r="BV161" s="13" t="s">
        <v>215</v>
      </c>
      <c r="BW161" s="16" t="s">
        <v>215</v>
      </c>
      <c r="BX161" s="15" t="s">
        <v>215</v>
      </c>
      <c r="BY161" s="13" t="s">
        <v>215</v>
      </c>
      <c r="BZ161" s="16" t="s">
        <v>215</v>
      </c>
      <c r="CA161" s="81" t="s">
        <v>215</v>
      </c>
      <c r="CB161" s="13" t="s">
        <v>215</v>
      </c>
      <c r="CC161" s="13" t="s">
        <v>215</v>
      </c>
      <c r="CD161" s="16" t="s">
        <v>215</v>
      </c>
      <c r="CE161" s="16" t="s">
        <v>209</v>
      </c>
    </row>
    <row r="162" spans="5:83" x14ac:dyDescent="0.35">
      <c r="E162" s="79" t="s">
        <v>451</v>
      </c>
      <c r="F162" s="116" t="s">
        <v>78</v>
      </c>
      <c r="G162" s="116" t="s">
        <v>273</v>
      </c>
      <c r="H162" s="15" t="s">
        <v>215</v>
      </c>
      <c r="I162" s="13" t="s">
        <v>215</v>
      </c>
      <c r="J162" s="13" t="s">
        <v>215</v>
      </c>
      <c r="K162" s="13" t="s">
        <v>215</v>
      </c>
      <c r="L162" s="13" t="s">
        <v>215</v>
      </c>
      <c r="M162" s="13" t="s">
        <v>209</v>
      </c>
      <c r="N162" s="13" t="s">
        <v>215</v>
      </c>
      <c r="O162" s="13" t="s">
        <v>215</v>
      </c>
      <c r="P162" s="13" t="s">
        <v>215</v>
      </c>
      <c r="Q162" s="13" t="s">
        <v>215</v>
      </c>
      <c r="R162" s="13" t="s">
        <v>215</v>
      </c>
      <c r="S162" s="13" t="s">
        <v>215</v>
      </c>
      <c r="T162" s="13" t="s">
        <v>215</v>
      </c>
      <c r="U162" s="13" t="s">
        <v>215</v>
      </c>
      <c r="V162" s="13" t="s">
        <v>215</v>
      </c>
      <c r="W162" s="13" t="s">
        <v>209</v>
      </c>
      <c r="X162" s="13" t="s">
        <v>206</v>
      </c>
      <c r="Y162" s="13" t="s">
        <v>215</v>
      </c>
      <c r="Z162" s="13" t="s">
        <v>215</v>
      </c>
      <c r="AA162" s="13" t="s">
        <v>215</v>
      </c>
      <c r="AB162" s="13" t="s">
        <v>215</v>
      </c>
      <c r="AC162" s="13" t="s">
        <v>215</v>
      </c>
      <c r="AD162" s="16" t="s">
        <v>215</v>
      </c>
      <c r="AE162" s="15" t="s">
        <v>206</v>
      </c>
      <c r="AF162" s="13" t="s">
        <v>215</v>
      </c>
      <c r="AG162" s="13" t="s">
        <v>215</v>
      </c>
      <c r="AH162" s="13" t="s">
        <v>215</v>
      </c>
      <c r="AI162" s="13" t="s">
        <v>215</v>
      </c>
      <c r="AJ162" s="13" t="s">
        <v>215</v>
      </c>
      <c r="AK162" s="13" t="s">
        <v>215</v>
      </c>
      <c r="AL162" s="13" t="s">
        <v>215</v>
      </c>
      <c r="AM162" s="13" t="s">
        <v>215</v>
      </c>
      <c r="AN162" s="13" t="s">
        <v>215</v>
      </c>
      <c r="AO162" s="13" t="s">
        <v>209</v>
      </c>
      <c r="AP162" s="13" t="s">
        <v>215</v>
      </c>
      <c r="AQ162" s="13" t="s">
        <v>215</v>
      </c>
      <c r="AR162" s="13" t="s">
        <v>215</v>
      </c>
      <c r="AS162" s="13" t="s">
        <v>209</v>
      </c>
      <c r="AT162" s="13" t="s">
        <v>215</v>
      </c>
      <c r="AU162" s="13" t="s">
        <v>209</v>
      </c>
      <c r="AV162" s="13" t="s">
        <v>215</v>
      </c>
      <c r="AW162" s="13" t="s">
        <v>215</v>
      </c>
      <c r="AX162" s="13" t="s">
        <v>215</v>
      </c>
      <c r="AY162" s="13" t="s">
        <v>215</v>
      </c>
      <c r="AZ162" s="13" t="s">
        <v>215</v>
      </c>
      <c r="BA162" s="13" t="s">
        <v>215</v>
      </c>
      <c r="BB162" s="13" t="s">
        <v>215</v>
      </c>
      <c r="BC162" s="13" t="s">
        <v>215</v>
      </c>
      <c r="BD162" s="16" t="s">
        <v>215</v>
      </c>
      <c r="BE162" s="15" t="s">
        <v>215</v>
      </c>
      <c r="BF162" s="13" t="s">
        <v>215</v>
      </c>
      <c r="BG162" s="13" t="s">
        <v>209</v>
      </c>
      <c r="BH162" s="13" t="s">
        <v>215</v>
      </c>
      <c r="BI162" s="13" t="s">
        <v>215</v>
      </c>
      <c r="BJ162" s="16" t="s">
        <v>215</v>
      </c>
      <c r="BK162" s="15" t="s">
        <v>215</v>
      </c>
      <c r="BL162" s="13" t="s">
        <v>215</v>
      </c>
      <c r="BM162" s="13" t="s">
        <v>215</v>
      </c>
      <c r="BN162" s="13" t="s">
        <v>215</v>
      </c>
      <c r="BO162" s="13" t="s">
        <v>215</v>
      </c>
      <c r="BP162" s="13" t="s">
        <v>215</v>
      </c>
      <c r="BQ162" s="13" t="s">
        <v>215</v>
      </c>
      <c r="BR162" s="13" t="s">
        <v>215</v>
      </c>
      <c r="BS162" s="13" t="s">
        <v>215</v>
      </c>
      <c r="BT162" s="13" t="s">
        <v>215</v>
      </c>
      <c r="BU162" s="13" t="s">
        <v>215</v>
      </c>
      <c r="BV162" s="13" t="s">
        <v>215</v>
      </c>
      <c r="BW162" s="16" t="s">
        <v>215</v>
      </c>
      <c r="BX162" s="15" t="s">
        <v>215</v>
      </c>
      <c r="BY162" s="13" t="s">
        <v>215</v>
      </c>
      <c r="BZ162" s="16" t="s">
        <v>215</v>
      </c>
      <c r="CA162" s="81" t="s">
        <v>215</v>
      </c>
      <c r="CB162" s="13" t="s">
        <v>215</v>
      </c>
      <c r="CC162" s="13" t="s">
        <v>215</v>
      </c>
      <c r="CD162" s="16" t="s">
        <v>215</v>
      </c>
      <c r="CE162" s="16" t="s">
        <v>215</v>
      </c>
    </row>
    <row r="163" spans="5:83" x14ac:dyDescent="0.35">
      <c r="E163" s="79" t="s">
        <v>452</v>
      </c>
      <c r="F163" s="116" t="s">
        <v>92</v>
      </c>
      <c r="G163" s="116" t="s">
        <v>273</v>
      </c>
      <c r="H163" s="15" t="s">
        <v>206</v>
      </c>
      <c r="I163" s="13" t="s">
        <v>215</v>
      </c>
      <c r="J163" s="13" t="s">
        <v>215</v>
      </c>
      <c r="K163" s="13" t="s">
        <v>215</v>
      </c>
      <c r="L163" s="13" t="s">
        <v>215</v>
      </c>
      <c r="M163" s="13" t="s">
        <v>215</v>
      </c>
      <c r="N163" s="13" t="s">
        <v>215</v>
      </c>
      <c r="O163" s="13" t="s">
        <v>215</v>
      </c>
      <c r="P163" s="13" t="s">
        <v>215</v>
      </c>
      <c r="Q163" s="13" t="s">
        <v>215</v>
      </c>
      <c r="R163" s="13" t="s">
        <v>215</v>
      </c>
      <c r="S163" s="13" t="s">
        <v>215</v>
      </c>
      <c r="T163" s="13" t="s">
        <v>215</v>
      </c>
      <c r="U163" s="13" t="s">
        <v>215</v>
      </c>
      <c r="V163" s="13" t="s">
        <v>215</v>
      </c>
      <c r="W163" s="13" t="s">
        <v>209</v>
      </c>
      <c r="X163" s="13" t="s">
        <v>215</v>
      </c>
      <c r="Y163" s="13" t="s">
        <v>215</v>
      </c>
      <c r="Z163" s="13" t="s">
        <v>215</v>
      </c>
      <c r="AA163" s="13" t="s">
        <v>215</v>
      </c>
      <c r="AB163" s="13" t="s">
        <v>215</v>
      </c>
      <c r="AC163" s="13" t="s">
        <v>215</v>
      </c>
      <c r="AD163" s="16" t="s">
        <v>215</v>
      </c>
      <c r="AE163" s="15" t="s">
        <v>215</v>
      </c>
      <c r="AF163" s="13" t="s">
        <v>215</v>
      </c>
      <c r="AG163" s="13" t="s">
        <v>215</v>
      </c>
      <c r="AH163" s="13" t="s">
        <v>215</v>
      </c>
      <c r="AI163" s="13" t="s">
        <v>215</v>
      </c>
      <c r="AJ163" s="13" t="s">
        <v>215</v>
      </c>
      <c r="AK163" s="13" t="s">
        <v>215</v>
      </c>
      <c r="AL163" s="13" t="s">
        <v>215</v>
      </c>
      <c r="AM163" s="13" t="s">
        <v>215</v>
      </c>
      <c r="AN163" s="13" t="s">
        <v>215</v>
      </c>
      <c r="AO163" s="13" t="s">
        <v>209</v>
      </c>
      <c r="AP163" s="13" t="s">
        <v>215</v>
      </c>
      <c r="AQ163" s="13" t="s">
        <v>206</v>
      </c>
      <c r="AR163" s="13" t="s">
        <v>215</v>
      </c>
      <c r="AS163" s="13" t="s">
        <v>206</v>
      </c>
      <c r="AT163" s="13" t="s">
        <v>206</v>
      </c>
      <c r="AU163" s="13" t="s">
        <v>206</v>
      </c>
      <c r="AV163" s="13" t="s">
        <v>215</v>
      </c>
      <c r="AW163" s="13" t="s">
        <v>215</v>
      </c>
      <c r="AX163" s="13" t="s">
        <v>215</v>
      </c>
      <c r="AY163" s="13" t="s">
        <v>215</v>
      </c>
      <c r="AZ163" s="13" t="s">
        <v>215</v>
      </c>
      <c r="BA163" s="13" t="s">
        <v>215</v>
      </c>
      <c r="BB163" s="13" t="s">
        <v>215</v>
      </c>
      <c r="BC163" s="13" t="s">
        <v>215</v>
      </c>
      <c r="BD163" s="16" t="s">
        <v>215</v>
      </c>
      <c r="BE163" s="15" t="s">
        <v>215</v>
      </c>
      <c r="BF163" s="13" t="s">
        <v>215</v>
      </c>
      <c r="BG163" s="13" t="s">
        <v>206</v>
      </c>
      <c r="BH163" s="13" t="s">
        <v>215</v>
      </c>
      <c r="BI163" s="13" t="s">
        <v>215</v>
      </c>
      <c r="BJ163" s="16" t="s">
        <v>215</v>
      </c>
      <c r="BK163" s="15" t="s">
        <v>215</v>
      </c>
      <c r="BL163" s="13" t="s">
        <v>215</v>
      </c>
      <c r="BM163" s="13" t="s">
        <v>215</v>
      </c>
      <c r="BN163" s="13" t="s">
        <v>215</v>
      </c>
      <c r="BO163" s="13" t="s">
        <v>215</v>
      </c>
      <c r="BP163" s="13" t="s">
        <v>215</v>
      </c>
      <c r="BQ163" s="13" t="s">
        <v>215</v>
      </c>
      <c r="BR163" s="13" t="s">
        <v>215</v>
      </c>
      <c r="BS163" s="13" t="s">
        <v>215</v>
      </c>
      <c r="BT163" s="13" t="s">
        <v>215</v>
      </c>
      <c r="BU163" s="13" t="s">
        <v>215</v>
      </c>
      <c r="BV163" s="13" t="s">
        <v>215</v>
      </c>
      <c r="BW163" s="16" t="s">
        <v>215</v>
      </c>
      <c r="BX163" s="15" t="s">
        <v>215</v>
      </c>
      <c r="BY163" s="13" t="s">
        <v>215</v>
      </c>
      <c r="BZ163" s="16" t="s">
        <v>215</v>
      </c>
      <c r="CA163" s="81" t="s">
        <v>215</v>
      </c>
      <c r="CB163" s="13" t="s">
        <v>215</v>
      </c>
      <c r="CC163" s="13" t="s">
        <v>215</v>
      </c>
      <c r="CD163" s="16" t="s">
        <v>215</v>
      </c>
      <c r="CE163" s="16" t="s">
        <v>206</v>
      </c>
    </row>
    <row r="164" spans="5:83" x14ac:dyDescent="0.35">
      <c r="E164" s="79" t="s">
        <v>453</v>
      </c>
      <c r="F164" s="116" t="s">
        <v>106</v>
      </c>
      <c r="G164" s="116" t="s">
        <v>274</v>
      </c>
      <c r="H164" s="15" t="s">
        <v>215</v>
      </c>
      <c r="I164" s="13" t="s">
        <v>215</v>
      </c>
      <c r="J164" s="13" t="s">
        <v>215</v>
      </c>
      <c r="K164" s="13" t="s">
        <v>215</v>
      </c>
      <c r="L164" s="13" t="s">
        <v>215</v>
      </c>
      <c r="M164" s="13" t="s">
        <v>215</v>
      </c>
      <c r="N164" s="13" t="s">
        <v>215</v>
      </c>
      <c r="O164" s="13" t="s">
        <v>215</v>
      </c>
      <c r="P164" s="13" t="s">
        <v>215</v>
      </c>
      <c r="Q164" s="13" t="s">
        <v>215</v>
      </c>
      <c r="R164" s="13" t="s">
        <v>215</v>
      </c>
      <c r="S164" s="13" t="s">
        <v>215</v>
      </c>
      <c r="T164" s="13" t="s">
        <v>215</v>
      </c>
      <c r="U164" s="13" t="s">
        <v>215</v>
      </c>
      <c r="V164" s="13" t="s">
        <v>215</v>
      </c>
      <c r="W164" s="13" t="s">
        <v>215</v>
      </c>
      <c r="X164" s="13" t="s">
        <v>215</v>
      </c>
      <c r="Y164" s="13" t="s">
        <v>215</v>
      </c>
      <c r="Z164" s="13" t="s">
        <v>215</v>
      </c>
      <c r="AA164" s="13" t="s">
        <v>215</v>
      </c>
      <c r="AB164" s="13" t="s">
        <v>215</v>
      </c>
      <c r="AC164" s="13" t="s">
        <v>215</v>
      </c>
      <c r="AD164" s="16" t="s">
        <v>215</v>
      </c>
      <c r="AE164" s="15" t="s">
        <v>215</v>
      </c>
      <c r="AF164" s="13" t="s">
        <v>215</v>
      </c>
      <c r="AG164" s="13" t="s">
        <v>215</v>
      </c>
      <c r="AH164" s="13" t="s">
        <v>215</v>
      </c>
      <c r="AI164" s="13" t="s">
        <v>215</v>
      </c>
      <c r="AJ164" s="13" t="s">
        <v>215</v>
      </c>
      <c r="AK164" s="13" t="s">
        <v>215</v>
      </c>
      <c r="AL164" s="13" t="s">
        <v>215</v>
      </c>
      <c r="AM164" s="13" t="s">
        <v>215</v>
      </c>
      <c r="AN164" s="13" t="s">
        <v>215</v>
      </c>
      <c r="AO164" s="13" t="s">
        <v>209</v>
      </c>
      <c r="AP164" s="13" t="s">
        <v>215</v>
      </c>
      <c r="AQ164" s="13" t="s">
        <v>215</v>
      </c>
      <c r="AR164" s="13" t="s">
        <v>215</v>
      </c>
      <c r="AS164" s="13" t="s">
        <v>206</v>
      </c>
      <c r="AT164" s="13" t="s">
        <v>206</v>
      </c>
      <c r="AU164" s="13" t="s">
        <v>206</v>
      </c>
      <c r="AV164" s="13" t="s">
        <v>215</v>
      </c>
      <c r="AW164" s="13" t="s">
        <v>206</v>
      </c>
      <c r="AX164" s="13" t="s">
        <v>215</v>
      </c>
      <c r="AY164" s="13" t="s">
        <v>215</v>
      </c>
      <c r="AZ164" s="13" t="s">
        <v>215</v>
      </c>
      <c r="BA164" s="13" t="s">
        <v>215</v>
      </c>
      <c r="BB164" s="13" t="s">
        <v>215</v>
      </c>
      <c r="BC164" s="13" t="s">
        <v>215</v>
      </c>
      <c r="BD164" s="16" t="s">
        <v>215</v>
      </c>
      <c r="BE164" s="15" t="s">
        <v>215</v>
      </c>
      <c r="BF164" s="13" t="s">
        <v>215</v>
      </c>
      <c r="BG164" s="13" t="s">
        <v>206</v>
      </c>
      <c r="BH164" s="13" t="s">
        <v>215</v>
      </c>
      <c r="BI164" s="13" t="s">
        <v>215</v>
      </c>
      <c r="BJ164" s="16" t="s">
        <v>215</v>
      </c>
      <c r="BK164" s="15" t="s">
        <v>215</v>
      </c>
      <c r="BL164" s="13" t="s">
        <v>215</v>
      </c>
      <c r="BM164" s="13" t="s">
        <v>215</v>
      </c>
      <c r="BN164" s="13" t="s">
        <v>215</v>
      </c>
      <c r="BO164" s="13" t="s">
        <v>215</v>
      </c>
      <c r="BP164" s="13" t="s">
        <v>215</v>
      </c>
      <c r="BQ164" s="13" t="s">
        <v>215</v>
      </c>
      <c r="BR164" s="13" t="s">
        <v>215</v>
      </c>
      <c r="BS164" s="13" t="s">
        <v>215</v>
      </c>
      <c r="BT164" s="13" t="s">
        <v>215</v>
      </c>
      <c r="BU164" s="13" t="s">
        <v>215</v>
      </c>
      <c r="BV164" s="13" t="s">
        <v>215</v>
      </c>
      <c r="BW164" s="16" t="s">
        <v>215</v>
      </c>
      <c r="BX164" s="15" t="s">
        <v>215</v>
      </c>
      <c r="BY164" s="13" t="s">
        <v>215</v>
      </c>
      <c r="BZ164" s="16" t="s">
        <v>215</v>
      </c>
      <c r="CA164" s="81" t="s">
        <v>215</v>
      </c>
      <c r="CB164" s="13" t="s">
        <v>215</v>
      </c>
      <c r="CC164" s="13" t="s">
        <v>215</v>
      </c>
      <c r="CD164" s="16" t="s">
        <v>215</v>
      </c>
      <c r="CE164" s="16" t="s">
        <v>215</v>
      </c>
    </row>
    <row r="165" spans="5:83" x14ac:dyDescent="0.35">
      <c r="E165" s="79" t="s">
        <v>454</v>
      </c>
      <c r="F165" s="116" t="s">
        <v>120</v>
      </c>
      <c r="G165" s="116" t="s">
        <v>274</v>
      </c>
      <c r="H165" s="15" t="s">
        <v>215</v>
      </c>
      <c r="I165" s="13" t="s">
        <v>215</v>
      </c>
      <c r="J165" s="13" t="s">
        <v>215</v>
      </c>
      <c r="K165" s="13" t="s">
        <v>206</v>
      </c>
      <c r="L165" s="13" t="s">
        <v>215</v>
      </c>
      <c r="M165" s="13" t="s">
        <v>215</v>
      </c>
      <c r="N165" s="13" t="s">
        <v>215</v>
      </c>
      <c r="O165" s="13" t="s">
        <v>215</v>
      </c>
      <c r="P165" s="13" t="s">
        <v>215</v>
      </c>
      <c r="Q165" s="13" t="s">
        <v>215</v>
      </c>
      <c r="R165" s="13" t="s">
        <v>215</v>
      </c>
      <c r="S165" s="13" t="s">
        <v>215</v>
      </c>
      <c r="T165" s="13" t="s">
        <v>215</v>
      </c>
      <c r="U165" s="13" t="s">
        <v>206</v>
      </c>
      <c r="V165" s="13" t="s">
        <v>215</v>
      </c>
      <c r="W165" s="13" t="s">
        <v>215</v>
      </c>
      <c r="X165" s="13" t="s">
        <v>215</v>
      </c>
      <c r="Y165" s="13" t="s">
        <v>215</v>
      </c>
      <c r="Z165" s="13" t="s">
        <v>215</v>
      </c>
      <c r="AA165" s="13" t="s">
        <v>215</v>
      </c>
      <c r="AB165" s="13" t="s">
        <v>215</v>
      </c>
      <c r="AC165" s="13" t="s">
        <v>215</v>
      </c>
      <c r="AD165" s="16" t="s">
        <v>215</v>
      </c>
      <c r="AE165" s="15" t="s">
        <v>215</v>
      </c>
      <c r="AF165" s="13" t="s">
        <v>206</v>
      </c>
      <c r="AG165" s="13" t="s">
        <v>215</v>
      </c>
      <c r="AH165" s="13" t="s">
        <v>215</v>
      </c>
      <c r="AI165" s="13" t="s">
        <v>215</v>
      </c>
      <c r="AJ165" s="13" t="s">
        <v>215</v>
      </c>
      <c r="AK165" s="13" t="s">
        <v>215</v>
      </c>
      <c r="AL165" s="13" t="s">
        <v>215</v>
      </c>
      <c r="AM165" s="13" t="s">
        <v>215</v>
      </c>
      <c r="AN165" s="13" t="s">
        <v>215</v>
      </c>
      <c r="AO165" s="13" t="s">
        <v>215</v>
      </c>
      <c r="AP165" s="13" t="s">
        <v>215</v>
      </c>
      <c r="AQ165" s="13" t="s">
        <v>206</v>
      </c>
      <c r="AR165" s="13" t="s">
        <v>215</v>
      </c>
      <c r="AS165" s="13" t="s">
        <v>206</v>
      </c>
      <c r="AT165" s="13" t="s">
        <v>215</v>
      </c>
      <c r="AU165" s="13" t="s">
        <v>206</v>
      </c>
      <c r="AV165" s="13" t="s">
        <v>215</v>
      </c>
      <c r="AW165" s="13" t="s">
        <v>215</v>
      </c>
      <c r="AX165" s="13" t="s">
        <v>215</v>
      </c>
      <c r="AY165" s="13" t="s">
        <v>215</v>
      </c>
      <c r="AZ165" s="13" t="s">
        <v>215</v>
      </c>
      <c r="BA165" s="13" t="s">
        <v>215</v>
      </c>
      <c r="BB165" s="13" t="s">
        <v>215</v>
      </c>
      <c r="BC165" s="13" t="s">
        <v>215</v>
      </c>
      <c r="BD165" s="16" t="s">
        <v>215</v>
      </c>
      <c r="BE165" s="15" t="s">
        <v>215</v>
      </c>
      <c r="BF165" s="13" t="s">
        <v>215</v>
      </c>
      <c r="BG165" s="13" t="s">
        <v>215</v>
      </c>
      <c r="BH165" s="13" t="s">
        <v>215</v>
      </c>
      <c r="BI165" s="13" t="s">
        <v>215</v>
      </c>
      <c r="BJ165" s="16" t="s">
        <v>215</v>
      </c>
      <c r="BK165" s="15" t="s">
        <v>215</v>
      </c>
      <c r="BL165" s="13" t="s">
        <v>215</v>
      </c>
      <c r="BM165" s="13" t="s">
        <v>215</v>
      </c>
      <c r="BN165" s="13" t="s">
        <v>215</v>
      </c>
      <c r="BO165" s="13" t="s">
        <v>215</v>
      </c>
      <c r="BP165" s="13" t="s">
        <v>215</v>
      </c>
      <c r="BQ165" s="13" t="s">
        <v>215</v>
      </c>
      <c r="BR165" s="13" t="s">
        <v>215</v>
      </c>
      <c r="BS165" s="13" t="s">
        <v>215</v>
      </c>
      <c r="BT165" s="13" t="s">
        <v>215</v>
      </c>
      <c r="BU165" s="13" t="s">
        <v>215</v>
      </c>
      <c r="BV165" s="13" t="s">
        <v>215</v>
      </c>
      <c r="BW165" s="16" t="s">
        <v>215</v>
      </c>
      <c r="BX165" s="15" t="s">
        <v>215</v>
      </c>
      <c r="BY165" s="13" t="s">
        <v>215</v>
      </c>
      <c r="BZ165" s="16" t="s">
        <v>215</v>
      </c>
      <c r="CA165" s="81" t="s">
        <v>215</v>
      </c>
      <c r="CB165" s="13" t="s">
        <v>215</v>
      </c>
      <c r="CC165" s="13" t="s">
        <v>215</v>
      </c>
      <c r="CD165" s="16" t="s">
        <v>215</v>
      </c>
      <c r="CE165" s="16" t="s">
        <v>206</v>
      </c>
    </row>
    <row r="166" spans="5:83" x14ac:dyDescent="0.35">
      <c r="E166" s="79" t="s">
        <v>455</v>
      </c>
      <c r="F166" s="116" t="s">
        <v>132</v>
      </c>
      <c r="G166" s="116" t="s">
        <v>273</v>
      </c>
      <c r="H166" s="15" t="s">
        <v>215</v>
      </c>
      <c r="I166" s="13" t="s">
        <v>215</v>
      </c>
      <c r="J166" s="13" t="s">
        <v>215</v>
      </c>
      <c r="K166" s="13" t="s">
        <v>206</v>
      </c>
      <c r="L166" s="13" t="s">
        <v>215</v>
      </c>
      <c r="M166" s="13" t="s">
        <v>209</v>
      </c>
      <c r="N166" s="13" t="s">
        <v>215</v>
      </c>
      <c r="O166" s="13" t="s">
        <v>206</v>
      </c>
      <c r="P166" s="13" t="s">
        <v>215</v>
      </c>
      <c r="Q166" s="13" t="s">
        <v>209</v>
      </c>
      <c r="R166" s="13" t="s">
        <v>215</v>
      </c>
      <c r="S166" s="13" t="s">
        <v>215</v>
      </c>
      <c r="T166" s="13" t="s">
        <v>215</v>
      </c>
      <c r="U166" s="13" t="s">
        <v>206</v>
      </c>
      <c r="V166" s="13" t="s">
        <v>215</v>
      </c>
      <c r="W166" s="13" t="s">
        <v>215</v>
      </c>
      <c r="X166" s="13" t="s">
        <v>209</v>
      </c>
      <c r="Y166" s="13" t="s">
        <v>215</v>
      </c>
      <c r="Z166" s="13" t="s">
        <v>215</v>
      </c>
      <c r="AA166" s="13" t="s">
        <v>215</v>
      </c>
      <c r="AB166" s="13" t="s">
        <v>209</v>
      </c>
      <c r="AC166" s="13" t="s">
        <v>209</v>
      </c>
      <c r="AD166" s="16" t="s">
        <v>215</v>
      </c>
      <c r="AE166" s="15" t="s">
        <v>215</v>
      </c>
      <c r="AF166" s="13" t="s">
        <v>215</v>
      </c>
      <c r="AG166" s="13" t="s">
        <v>215</v>
      </c>
      <c r="AH166" s="13" t="s">
        <v>215</v>
      </c>
      <c r="AI166" s="13" t="s">
        <v>215</v>
      </c>
      <c r="AJ166" s="13" t="s">
        <v>215</v>
      </c>
      <c r="AK166" s="13" t="s">
        <v>209</v>
      </c>
      <c r="AL166" s="13" t="s">
        <v>215</v>
      </c>
      <c r="AM166" s="13" t="s">
        <v>215</v>
      </c>
      <c r="AN166" s="13" t="s">
        <v>215</v>
      </c>
      <c r="AO166" s="13" t="s">
        <v>215</v>
      </c>
      <c r="AP166" s="13" t="s">
        <v>215</v>
      </c>
      <c r="AQ166" s="13" t="s">
        <v>215</v>
      </c>
      <c r="AR166" s="13" t="s">
        <v>215</v>
      </c>
      <c r="AS166" s="13" t="s">
        <v>209</v>
      </c>
      <c r="AT166" s="13" t="s">
        <v>215</v>
      </c>
      <c r="AU166" s="13" t="s">
        <v>209</v>
      </c>
      <c r="AV166" s="13" t="s">
        <v>206</v>
      </c>
      <c r="AW166" s="13" t="s">
        <v>215</v>
      </c>
      <c r="AX166" s="13" t="s">
        <v>215</v>
      </c>
      <c r="AY166" s="13" t="s">
        <v>215</v>
      </c>
      <c r="AZ166" s="13" t="s">
        <v>215</v>
      </c>
      <c r="BA166" s="13" t="s">
        <v>215</v>
      </c>
      <c r="BB166" s="13" t="s">
        <v>215</v>
      </c>
      <c r="BC166" s="13" t="s">
        <v>215</v>
      </c>
      <c r="BD166" s="16" t="s">
        <v>215</v>
      </c>
      <c r="BE166" s="15" t="s">
        <v>215</v>
      </c>
      <c r="BF166" s="13" t="s">
        <v>215</v>
      </c>
      <c r="BG166" s="13" t="s">
        <v>209</v>
      </c>
      <c r="BH166" s="13" t="s">
        <v>215</v>
      </c>
      <c r="BI166" s="13" t="s">
        <v>215</v>
      </c>
      <c r="BJ166" s="16" t="s">
        <v>215</v>
      </c>
      <c r="BK166" s="15" t="s">
        <v>215</v>
      </c>
      <c r="BL166" s="13" t="s">
        <v>215</v>
      </c>
      <c r="BM166" s="13" t="s">
        <v>215</v>
      </c>
      <c r="BN166" s="13" t="s">
        <v>215</v>
      </c>
      <c r="BO166" s="13" t="s">
        <v>209</v>
      </c>
      <c r="BP166" s="13" t="s">
        <v>215</v>
      </c>
      <c r="BQ166" s="13" t="s">
        <v>215</v>
      </c>
      <c r="BR166" s="13" t="s">
        <v>215</v>
      </c>
      <c r="BS166" s="13" t="s">
        <v>215</v>
      </c>
      <c r="BT166" s="13" t="s">
        <v>215</v>
      </c>
      <c r="BU166" s="13" t="s">
        <v>215</v>
      </c>
      <c r="BV166" s="13" t="s">
        <v>215</v>
      </c>
      <c r="BW166" s="16" t="s">
        <v>215</v>
      </c>
      <c r="BX166" s="15" t="s">
        <v>215</v>
      </c>
      <c r="BY166" s="13" t="s">
        <v>215</v>
      </c>
      <c r="BZ166" s="16" t="s">
        <v>215</v>
      </c>
      <c r="CA166" s="81" t="s">
        <v>215</v>
      </c>
      <c r="CB166" s="13" t="s">
        <v>215</v>
      </c>
      <c r="CC166" s="13" t="s">
        <v>215</v>
      </c>
      <c r="CD166" s="16" t="s">
        <v>215</v>
      </c>
      <c r="CE166" s="16" t="s">
        <v>215</v>
      </c>
    </row>
    <row r="167" spans="5:83" x14ac:dyDescent="0.35">
      <c r="E167" s="79" t="s">
        <v>456</v>
      </c>
      <c r="F167" s="116" t="s">
        <v>141</v>
      </c>
      <c r="G167" s="116" t="s">
        <v>274</v>
      </c>
      <c r="H167" s="15" t="s">
        <v>215</v>
      </c>
      <c r="I167" s="13" t="s">
        <v>209</v>
      </c>
      <c r="J167" s="13" t="s">
        <v>215</v>
      </c>
      <c r="K167" s="13" t="s">
        <v>215</v>
      </c>
      <c r="L167" s="13" t="s">
        <v>215</v>
      </c>
      <c r="M167" s="13" t="s">
        <v>215</v>
      </c>
      <c r="N167" s="13" t="s">
        <v>215</v>
      </c>
      <c r="O167" s="13" t="s">
        <v>209</v>
      </c>
      <c r="P167" s="13" t="s">
        <v>215</v>
      </c>
      <c r="Q167" s="13" t="s">
        <v>215</v>
      </c>
      <c r="R167" s="13" t="s">
        <v>215</v>
      </c>
      <c r="S167" s="13" t="s">
        <v>215</v>
      </c>
      <c r="T167" s="13" t="s">
        <v>215</v>
      </c>
      <c r="U167" s="13" t="s">
        <v>206</v>
      </c>
      <c r="V167" s="13" t="s">
        <v>215</v>
      </c>
      <c r="W167" s="13" t="s">
        <v>209</v>
      </c>
      <c r="X167" s="13" t="s">
        <v>215</v>
      </c>
      <c r="Y167" s="13" t="s">
        <v>209</v>
      </c>
      <c r="Z167" s="13" t="s">
        <v>215</v>
      </c>
      <c r="AA167" s="13" t="s">
        <v>215</v>
      </c>
      <c r="AB167" s="13" t="s">
        <v>209</v>
      </c>
      <c r="AC167" s="13" t="s">
        <v>215</v>
      </c>
      <c r="AD167" s="16" t="s">
        <v>209</v>
      </c>
      <c r="AE167" s="15" t="s">
        <v>215</v>
      </c>
      <c r="AF167" s="13" t="s">
        <v>209</v>
      </c>
      <c r="AG167" s="13" t="s">
        <v>215</v>
      </c>
      <c r="AH167" s="13" t="s">
        <v>209</v>
      </c>
      <c r="AI167" s="13" t="s">
        <v>215</v>
      </c>
      <c r="AJ167" s="13" t="s">
        <v>215</v>
      </c>
      <c r="AK167" s="13" t="s">
        <v>215</v>
      </c>
      <c r="AL167" s="13" t="s">
        <v>215</v>
      </c>
      <c r="AM167" s="13" t="s">
        <v>215</v>
      </c>
      <c r="AN167" s="13" t="s">
        <v>215</v>
      </c>
      <c r="AO167" s="13" t="s">
        <v>215</v>
      </c>
      <c r="AP167" s="13" t="s">
        <v>215</v>
      </c>
      <c r="AQ167" s="13" t="s">
        <v>215</v>
      </c>
      <c r="AR167" s="13" t="s">
        <v>215</v>
      </c>
      <c r="AS167" s="13" t="s">
        <v>209</v>
      </c>
      <c r="AT167" s="13" t="s">
        <v>215</v>
      </c>
      <c r="AU167" s="13" t="s">
        <v>209</v>
      </c>
      <c r="AV167" s="13" t="s">
        <v>215</v>
      </c>
      <c r="AW167" s="13" t="s">
        <v>215</v>
      </c>
      <c r="AX167" s="13" t="s">
        <v>215</v>
      </c>
      <c r="AY167" s="13" t="s">
        <v>215</v>
      </c>
      <c r="AZ167" s="13" t="s">
        <v>215</v>
      </c>
      <c r="BA167" s="13" t="s">
        <v>215</v>
      </c>
      <c r="BB167" s="13" t="s">
        <v>215</v>
      </c>
      <c r="BC167" s="13" t="s">
        <v>215</v>
      </c>
      <c r="BD167" s="16" t="s">
        <v>215</v>
      </c>
      <c r="BE167" s="15" t="s">
        <v>215</v>
      </c>
      <c r="BF167" s="13" t="s">
        <v>215</v>
      </c>
      <c r="BG167" s="13" t="s">
        <v>209</v>
      </c>
      <c r="BH167" s="13" t="s">
        <v>215</v>
      </c>
      <c r="BI167" s="13" t="s">
        <v>215</v>
      </c>
      <c r="BJ167" s="16" t="s">
        <v>215</v>
      </c>
      <c r="BK167" s="15" t="s">
        <v>215</v>
      </c>
      <c r="BL167" s="13" t="s">
        <v>215</v>
      </c>
      <c r="BM167" s="13" t="s">
        <v>215</v>
      </c>
      <c r="BN167" s="13" t="s">
        <v>215</v>
      </c>
      <c r="BO167" s="13" t="s">
        <v>215</v>
      </c>
      <c r="BP167" s="13" t="s">
        <v>215</v>
      </c>
      <c r="BQ167" s="13" t="s">
        <v>215</v>
      </c>
      <c r="BR167" s="13" t="s">
        <v>215</v>
      </c>
      <c r="BS167" s="13" t="s">
        <v>215</v>
      </c>
      <c r="BT167" s="13" t="s">
        <v>215</v>
      </c>
      <c r="BU167" s="13" t="s">
        <v>215</v>
      </c>
      <c r="BV167" s="13" t="s">
        <v>215</v>
      </c>
      <c r="BW167" s="16" t="s">
        <v>215</v>
      </c>
      <c r="BX167" s="15" t="s">
        <v>215</v>
      </c>
      <c r="BY167" s="13" t="s">
        <v>215</v>
      </c>
      <c r="BZ167" s="16" t="s">
        <v>215</v>
      </c>
      <c r="CA167" s="81" t="s">
        <v>215</v>
      </c>
      <c r="CB167" s="13" t="s">
        <v>215</v>
      </c>
      <c r="CC167" s="13" t="s">
        <v>215</v>
      </c>
      <c r="CD167" s="16" t="s">
        <v>215</v>
      </c>
      <c r="CE167" s="16" t="s">
        <v>215</v>
      </c>
    </row>
    <row r="168" spans="5:83" x14ac:dyDescent="0.35">
      <c r="E168" s="79" t="s">
        <v>457</v>
      </c>
      <c r="F168" s="116" t="s">
        <v>281</v>
      </c>
      <c r="G168" s="116" t="s">
        <v>273</v>
      </c>
      <c r="H168" s="15" t="e">
        <v>#N/A</v>
      </c>
      <c r="I168" s="13" t="e">
        <v>#N/A</v>
      </c>
      <c r="J168" s="13" t="e">
        <v>#N/A</v>
      </c>
      <c r="K168" s="13" t="e">
        <v>#N/A</v>
      </c>
      <c r="L168" s="13" t="e">
        <v>#N/A</v>
      </c>
      <c r="M168" s="13" t="e">
        <v>#N/A</v>
      </c>
      <c r="N168" s="13" t="e">
        <v>#N/A</v>
      </c>
      <c r="O168" s="13" t="e">
        <v>#N/A</v>
      </c>
      <c r="P168" s="13" t="e">
        <v>#N/A</v>
      </c>
      <c r="Q168" s="13" t="e">
        <v>#N/A</v>
      </c>
      <c r="R168" s="13" t="e">
        <v>#N/A</v>
      </c>
      <c r="S168" s="13" t="e">
        <v>#N/A</v>
      </c>
      <c r="T168" s="13" t="e">
        <v>#N/A</v>
      </c>
      <c r="U168" s="13" t="e">
        <v>#N/A</v>
      </c>
      <c r="V168" s="13" t="e">
        <v>#N/A</v>
      </c>
      <c r="W168" s="13" t="e">
        <v>#N/A</v>
      </c>
      <c r="X168" s="13" t="e">
        <v>#N/A</v>
      </c>
      <c r="Y168" s="13" t="e">
        <v>#N/A</v>
      </c>
      <c r="Z168" s="13" t="e">
        <v>#N/A</v>
      </c>
      <c r="AA168" s="13" t="e">
        <v>#N/A</v>
      </c>
      <c r="AB168" s="13" t="e">
        <v>#N/A</v>
      </c>
      <c r="AC168" s="13" t="e">
        <v>#N/A</v>
      </c>
      <c r="AD168" s="16" t="e">
        <v>#N/A</v>
      </c>
      <c r="AE168" s="15" t="e">
        <v>#N/A</v>
      </c>
      <c r="AF168" s="13" t="e">
        <v>#N/A</v>
      </c>
      <c r="AG168" s="13" t="e">
        <v>#N/A</v>
      </c>
      <c r="AH168" s="13" t="e">
        <v>#N/A</v>
      </c>
      <c r="AI168" s="13" t="e">
        <v>#N/A</v>
      </c>
      <c r="AJ168" s="13" t="e">
        <v>#N/A</v>
      </c>
      <c r="AK168" s="13" t="e">
        <v>#N/A</v>
      </c>
      <c r="AL168" s="13" t="e">
        <v>#N/A</v>
      </c>
      <c r="AM168" s="13" t="e">
        <v>#N/A</v>
      </c>
      <c r="AN168" s="13" t="e">
        <v>#N/A</v>
      </c>
      <c r="AO168" s="13" t="e">
        <v>#N/A</v>
      </c>
      <c r="AP168" s="13" t="e">
        <v>#N/A</v>
      </c>
      <c r="AQ168" s="13" t="e">
        <v>#N/A</v>
      </c>
      <c r="AR168" s="13" t="e">
        <v>#N/A</v>
      </c>
      <c r="AS168" s="13" t="e">
        <v>#N/A</v>
      </c>
      <c r="AT168" s="13" t="e">
        <v>#N/A</v>
      </c>
      <c r="AU168" s="13" t="e">
        <v>#N/A</v>
      </c>
      <c r="AV168" s="13" t="e">
        <v>#N/A</v>
      </c>
      <c r="AW168" s="13" t="e">
        <v>#N/A</v>
      </c>
      <c r="AX168" s="13" t="e">
        <v>#N/A</v>
      </c>
      <c r="AY168" s="13" t="e">
        <v>#N/A</v>
      </c>
      <c r="AZ168" s="13" t="e">
        <v>#N/A</v>
      </c>
      <c r="BA168" s="13" t="e">
        <v>#N/A</v>
      </c>
      <c r="BB168" s="13" t="e">
        <v>#N/A</v>
      </c>
      <c r="BC168" s="13" t="e">
        <v>#N/A</v>
      </c>
      <c r="BD168" s="16" t="e">
        <v>#N/A</v>
      </c>
      <c r="BE168" s="15" t="e">
        <v>#N/A</v>
      </c>
      <c r="BF168" s="13" t="e">
        <v>#N/A</v>
      </c>
      <c r="BG168" s="13" t="e">
        <v>#N/A</v>
      </c>
      <c r="BH168" s="13" t="e">
        <v>#N/A</v>
      </c>
      <c r="BI168" s="13" t="e">
        <v>#N/A</v>
      </c>
      <c r="BJ168" s="16" t="e">
        <v>#N/A</v>
      </c>
      <c r="BK168" s="15" t="e">
        <v>#N/A</v>
      </c>
      <c r="BL168" s="13" t="e">
        <v>#N/A</v>
      </c>
      <c r="BM168" s="13" t="e">
        <v>#N/A</v>
      </c>
      <c r="BN168" s="13" t="e">
        <v>#N/A</v>
      </c>
      <c r="BO168" s="13" t="e">
        <v>#N/A</v>
      </c>
      <c r="BP168" s="13" t="e">
        <v>#N/A</v>
      </c>
      <c r="BQ168" s="13" t="e">
        <v>#N/A</v>
      </c>
      <c r="BR168" s="13" t="e">
        <v>#N/A</v>
      </c>
      <c r="BS168" s="13" t="e">
        <v>#N/A</v>
      </c>
      <c r="BT168" s="13" t="e">
        <v>#N/A</v>
      </c>
      <c r="BU168" s="13" t="e">
        <v>#N/A</v>
      </c>
      <c r="BV168" s="13" t="e">
        <v>#N/A</v>
      </c>
      <c r="BW168" s="16" t="e">
        <v>#N/A</v>
      </c>
      <c r="BX168" s="15" t="e">
        <v>#N/A</v>
      </c>
      <c r="BY168" s="13" t="e">
        <v>#N/A</v>
      </c>
      <c r="BZ168" s="16" t="e">
        <v>#N/A</v>
      </c>
      <c r="CA168" s="81" t="e">
        <v>#N/A</v>
      </c>
      <c r="CB168" s="13" t="e">
        <v>#N/A</v>
      </c>
      <c r="CC168" s="13" t="e">
        <v>#N/A</v>
      </c>
      <c r="CD168" s="16" t="e">
        <v>#N/A</v>
      </c>
      <c r="CE168" s="16" t="s">
        <v>215</v>
      </c>
    </row>
    <row r="169" spans="5:83" x14ac:dyDescent="0.35">
      <c r="E169" s="79" t="s">
        <v>458</v>
      </c>
      <c r="F169" s="116" t="s">
        <v>281</v>
      </c>
      <c r="G169" s="116" t="s">
        <v>274</v>
      </c>
      <c r="H169" s="15" t="e">
        <v>#N/A</v>
      </c>
      <c r="I169" s="13" t="e">
        <v>#N/A</v>
      </c>
      <c r="J169" s="13" t="e">
        <v>#N/A</v>
      </c>
      <c r="K169" s="13" t="e">
        <v>#N/A</v>
      </c>
      <c r="L169" s="13" t="e">
        <v>#N/A</v>
      </c>
      <c r="M169" s="13" t="e">
        <v>#N/A</v>
      </c>
      <c r="N169" s="13" t="e">
        <v>#N/A</v>
      </c>
      <c r="O169" s="13" t="e">
        <v>#N/A</v>
      </c>
      <c r="P169" s="13" t="e">
        <v>#N/A</v>
      </c>
      <c r="Q169" s="13" t="e">
        <v>#N/A</v>
      </c>
      <c r="R169" s="13" t="e">
        <v>#N/A</v>
      </c>
      <c r="S169" s="13" t="e">
        <v>#N/A</v>
      </c>
      <c r="T169" s="13" t="e">
        <v>#N/A</v>
      </c>
      <c r="U169" s="13" t="e">
        <v>#N/A</v>
      </c>
      <c r="V169" s="13" t="e">
        <v>#N/A</v>
      </c>
      <c r="W169" s="13" t="e">
        <v>#N/A</v>
      </c>
      <c r="X169" s="13" t="e">
        <v>#N/A</v>
      </c>
      <c r="Y169" s="13" t="e">
        <v>#N/A</v>
      </c>
      <c r="Z169" s="13" t="e">
        <v>#N/A</v>
      </c>
      <c r="AA169" s="13" t="e">
        <v>#N/A</v>
      </c>
      <c r="AB169" s="13" t="e">
        <v>#N/A</v>
      </c>
      <c r="AC169" s="13" t="e">
        <v>#N/A</v>
      </c>
      <c r="AD169" s="16" t="e">
        <v>#N/A</v>
      </c>
      <c r="AE169" s="15" t="e">
        <v>#N/A</v>
      </c>
      <c r="AF169" s="13" t="e">
        <v>#N/A</v>
      </c>
      <c r="AG169" s="13" t="e">
        <v>#N/A</v>
      </c>
      <c r="AH169" s="13" t="e">
        <v>#N/A</v>
      </c>
      <c r="AI169" s="13" t="e">
        <v>#N/A</v>
      </c>
      <c r="AJ169" s="13" t="e">
        <v>#N/A</v>
      </c>
      <c r="AK169" s="13" t="e">
        <v>#N/A</v>
      </c>
      <c r="AL169" s="13" t="e">
        <v>#N/A</v>
      </c>
      <c r="AM169" s="13" t="e">
        <v>#N/A</v>
      </c>
      <c r="AN169" s="13" t="e">
        <v>#N/A</v>
      </c>
      <c r="AO169" s="13" t="e">
        <v>#N/A</v>
      </c>
      <c r="AP169" s="13" t="e">
        <v>#N/A</v>
      </c>
      <c r="AQ169" s="13" t="e">
        <v>#N/A</v>
      </c>
      <c r="AR169" s="13" t="e">
        <v>#N/A</v>
      </c>
      <c r="AS169" s="13" t="e">
        <v>#N/A</v>
      </c>
      <c r="AT169" s="13" t="e">
        <v>#N/A</v>
      </c>
      <c r="AU169" s="13" t="e">
        <v>#N/A</v>
      </c>
      <c r="AV169" s="13" t="e">
        <v>#N/A</v>
      </c>
      <c r="AW169" s="13" t="e">
        <v>#N/A</v>
      </c>
      <c r="AX169" s="13" t="e">
        <v>#N/A</v>
      </c>
      <c r="AY169" s="13" t="e">
        <v>#N/A</v>
      </c>
      <c r="AZ169" s="13" t="e">
        <v>#N/A</v>
      </c>
      <c r="BA169" s="13" t="e">
        <v>#N/A</v>
      </c>
      <c r="BB169" s="13" t="e">
        <v>#N/A</v>
      </c>
      <c r="BC169" s="13" t="e">
        <v>#N/A</v>
      </c>
      <c r="BD169" s="16" t="e">
        <v>#N/A</v>
      </c>
      <c r="BE169" s="15" t="e">
        <v>#N/A</v>
      </c>
      <c r="BF169" s="13" t="e">
        <v>#N/A</v>
      </c>
      <c r="BG169" s="13" t="e">
        <v>#N/A</v>
      </c>
      <c r="BH169" s="13" t="e">
        <v>#N/A</v>
      </c>
      <c r="BI169" s="13" t="e">
        <v>#N/A</v>
      </c>
      <c r="BJ169" s="16" t="e">
        <v>#N/A</v>
      </c>
      <c r="BK169" s="15" t="e">
        <v>#N/A</v>
      </c>
      <c r="BL169" s="13" t="e">
        <v>#N/A</v>
      </c>
      <c r="BM169" s="13" t="e">
        <v>#N/A</v>
      </c>
      <c r="BN169" s="13" t="e">
        <v>#N/A</v>
      </c>
      <c r="BO169" s="13" t="e">
        <v>#N/A</v>
      </c>
      <c r="BP169" s="13" t="e">
        <v>#N/A</v>
      </c>
      <c r="BQ169" s="13" t="e">
        <v>#N/A</v>
      </c>
      <c r="BR169" s="13" t="e">
        <v>#N/A</v>
      </c>
      <c r="BS169" s="13" t="e">
        <v>#N/A</v>
      </c>
      <c r="BT169" s="13" t="e">
        <v>#N/A</v>
      </c>
      <c r="BU169" s="13" t="e">
        <v>#N/A</v>
      </c>
      <c r="BV169" s="13" t="e">
        <v>#N/A</v>
      </c>
      <c r="BW169" s="16" t="e">
        <v>#N/A</v>
      </c>
      <c r="BX169" s="15" t="e">
        <v>#N/A</v>
      </c>
      <c r="BY169" s="13" t="e">
        <v>#N/A</v>
      </c>
      <c r="BZ169" s="16" t="e">
        <v>#N/A</v>
      </c>
      <c r="CA169" s="81" t="e">
        <v>#N/A</v>
      </c>
      <c r="CB169" s="13" t="e">
        <v>#N/A</v>
      </c>
      <c r="CC169" s="13" t="e">
        <v>#N/A</v>
      </c>
      <c r="CD169" s="16" t="e">
        <v>#N/A</v>
      </c>
      <c r="CE169" s="16" t="s">
        <v>215</v>
      </c>
    </row>
    <row r="170" spans="5:83" x14ac:dyDescent="0.35">
      <c r="E170" s="79" t="s">
        <v>459</v>
      </c>
      <c r="F170" s="116" t="s">
        <v>281</v>
      </c>
      <c r="G170" s="116" t="s">
        <v>273</v>
      </c>
      <c r="H170" s="15" t="e">
        <v>#N/A</v>
      </c>
      <c r="I170" s="13" t="e">
        <v>#N/A</v>
      </c>
      <c r="J170" s="13" t="e">
        <v>#N/A</v>
      </c>
      <c r="K170" s="13" t="e">
        <v>#N/A</v>
      </c>
      <c r="L170" s="13" t="e">
        <v>#N/A</v>
      </c>
      <c r="M170" s="13" t="e">
        <v>#N/A</v>
      </c>
      <c r="N170" s="13" t="e">
        <v>#N/A</v>
      </c>
      <c r="O170" s="13" t="e">
        <v>#N/A</v>
      </c>
      <c r="P170" s="13" t="e">
        <v>#N/A</v>
      </c>
      <c r="Q170" s="13" t="e">
        <v>#N/A</v>
      </c>
      <c r="R170" s="13" t="e">
        <v>#N/A</v>
      </c>
      <c r="S170" s="13" t="e">
        <v>#N/A</v>
      </c>
      <c r="T170" s="13" t="e">
        <v>#N/A</v>
      </c>
      <c r="U170" s="13" t="e">
        <v>#N/A</v>
      </c>
      <c r="V170" s="13" t="e">
        <v>#N/A</v>
      </c>
      <c r="W170" s="13" t="e">
        <v>#N/A</v>
      </c>
      <c r="X170" s="13" t="e">
        <v>#N/A</v>
      </c>
      <c r="Y170" s="13" t="e">
        <v>#N/A</v>
      </c>
      <c r="Z170" s="13" t="e">
        <v>#N/A</v>
      </c>
      <c r="AA170" s="13" t="e">
        <v>#N/A</v>
      </c>
      <c r="AB170" s="13" t="e">
        <v>#N/A</v>
      </c>
      <c r="AC170" s="13" t="e">
        <v>#N/A</v>
      </c>
      <c r="AD170" s="16" t="e">
        <v>#N/A</v>
      </c>
      <c r="AE170" s="15" t="e">
        <v>#N/A</v>
      </c>
      <c r="AF170" s="13" t="e">
        <v>#N/A</v>
      </c>
      <c r="AG170" s="13" t="e">
        <v>#N/A</v>
      </c>
      <c r="AH170" s="13" t="e">
        <v>#N/A</v>
      </c>
      <c r="AI170" s="13" t="e">
        <v>#N/A</v>
      </c>
      <c r="AJ170" s="13" t="e">
        <v>#N/A</v>
      </c>
      <c r="AK170" s="13" t="e">
        <v>#N/A</v>
      </c>
      <c r="AL170" s="13" t="e">
        <v>#N/A</v>
      </c>
      <c r="AM170" s="13" t="e">
        <v>#N/A</v>
      </c>
      <c r="AN170" s="13" t="e">
        <v>#N/A</v>
      </c>
      <c r="AO170" s="13" t="e">
        <v>#N/A</v>
      </c>
      <c r="AP170" s="13" t="e">
        <v>#N/A</v>
      </c>
      <c r="AQ170" s="13" t="e">
        <v>#N/A</v>
      </c>
      <c r="AR170" s="13" t="e">
        <v>#N/A</v>
      </c>
      <c r="AS170" s="13" t="e">
        <v>#N/A</v>
      </c>
      <c r="AT170" s="13" t="e">
        <v>#N/A</v>
      </c>
      <c r="AU170" s="13" t="e">
        <v>#N/A</v>
      </c>
      <c r="AV170" s="13" t="e">
        <v>#N/A</v>
      </c>
      <c r="AW170" s="13" t="e">
        <v>#N/A</v>
      </c>
      <c r="AX170" s="13" t="e">
        <v>#N/A</v>
      </c>
      <c r="AY170" s="13" t="e">
        <v>#N/A</v>
      </c>
      <c r="AZ170" s="13" t="e">
        <v>#N/A</v>
      </c>
      <c r="BA170" s="13" t="e">
        <v>#N/A</v>
      </c>
      <c r="BB170" s="13" t="e">
        <v>#N/A</v>
      </c>
      <c r="BC170" s="13" t="e">
        <v>#N/A</v>
      </c>
      <c r="BD170" s="16" t="e">
        <v>#N/A</v>
      </c>
      <c r="BE170" s="15" t="e">
        <v>#N/A</v>
      </c>
      <c r="BF170" s="13" t="e">
        <v>#N/A</v>
      </c>
      <c r="BG170" s="13" t="e">
        <v>#N/A</v>
      </c>
      <c r="BH170" s="13" t="e">
        <v>#N/A</v>
      </c>
      <c r="BI170" s="13" t="e">
        <v>#N/A</v>
      </c>
      <c r="BJ170" s="16" t="e">
        <v>#N/A</v>
      </c>
      <c r="BK170" s="15" t="e">
        <v>#N/A</v>
      </c>
      <c r="BL170" s="13" t="e">
        <v>#N/A</v>
      </c>
      <c r="BM170" s="13" t="e">
        <v>#N/A</v>
      </c>
      <c r="BN170" s="13" t="e">
        <v>#N/A</v>
      </c>
      <c r="BO170" s="13" t="e">
        <v>#N/A</v>
      </c>
      <c r="BP170" s="13" t="e">
        <v>#N/A</v>
      </c>
      <c r="BQ170" s="13" t="e">
        <v>#N/A</v>
      </c>
      <c r="BR170" s="13" t="e">
        <v>#N/A</v>
      </c>
      <c r="BS170" s="13" t="e">
        <v>#N/A</v>
      </c>
      <c r="BT170" s="13" t="e">
        <v>#N/A</v>
      </c>
      <c r="BU170" s="13" t="e">
        <v>#N/A</v>
      </c>
      <c r="BV170" s="13" t="e">
        <v>#N/A</v>
      </c>
      <c r="BW170" s="16" t="e">
        <v>#N/A</v>
      </c>
      <c r="BX170" s="15" t="e">
        <v>#N/A</v>
      </c>
      <c r="BY170" s="13" t="e">
        <v>#N/A</v>
      </c>
      <c r="BZ170" s="16" t="e">
        <v>#N/A</v>
      </c>
      <c r="CA170" s="81" t="e">
        <v>#N/A</v>
      </c>
      <c r="CB170" s="13" t="e">
        <v>#N/A</v>
      </c>
      <c r="CC170" s="13" t="e">
        <v>#N/A</v>
      </c>
      <c r="CD170" s="16" t="e">
        <v>#N/A</v>
      </c>
      <c r="CE170" s="16" t="s">
        <v>215</v>
      </c>
    </row>
    <row r="171" spans="5:83" x14ac:dyDescent="0.35">
      <c r="E171" s="79" t="s">
        <v>460</v>
      </c>
      <c r="F171" s="116" t="s">
        <v>149</v>
      </c>
      <c r="G171" s="116" t="s">
        <v>275</v>
      </c>
      <c r="H171" s="15" t="s">
        <v>215</v>
      </c>
      <c r="I171" s="13" t="s">
        <v>215</v>
      </c>
      <c r="J171" s="13" t="s">
        <v>215</v>
      </c>
      <c r="K171" s="13" t="s">
        <v>215</v>
      </c>
      <c r="L171" s="13" t="s">
        <v>215</v>
      </c>
      <c r="M171" s="13" t="s">
        <v>215</v>
      </c>
      <c r="N171" s="13" t="s">
        <v>215</v>
      </c>
      <c r="O171" s="13" t="s">
        <v>215</v>
      </c>
      <c r="P171" s="13" t="s">
        <v>215</v>
      </c>
      <c r="Q171" s="13" t="s">
        <v>215</v>
      </c>
      <c r="R171" s="13" t="s">
        <v>215</v>
      </c>
      <c r="S171" s="13" t="s">
        <v>215</v>
      </c>
      <c r="T171" s="13" t="s">
        <v>215</v>
      </c>
      <c r="U171" s="13" t="s">
        <v>215</v>
      </c>
      <c r="V171" s="13" t="s">
        <v>215</v>
      </c>
      <c r="W171" s="13" t="s">
        <v>215</v>
      </c>
      <c r="X171" s="13" t="s">
        <v>215</v>
      </c>
      <c r="Y171" s="13" t="s">
        <v>215</v>
      </c>
      <c r="Z171" s="13" t="s">
        <v>215</v>
      </c>
      <c r="AA171" s="13" t="s">
        <v>215</v>
      </c>
      <c r="AB171" s="13" t="s">
        <v>215</v>
      </c>
      <c r="AC171" s="13" t="s">
        <v>215</v>
      </c>
      <c r="AD171" s="16" t="s">
        <v>215</v>
      </c>
      <c r="AE171" s="15" t="s">
        <v>215</v>
      </c>
      <c r="AF171" s="13" t="s">
        <v>215</v>
      </c>
      <c r="AG171" s="13" t="s">
        <v>215</v>
      </c>
      <c r="AH171" s="13" t="s">
        <v>215</v>
      </c>
      <c r="AI171" s="13" t="s">
        <v>215</v>
      </c>
      <c r="AJ171" s="13" t="s">
        <v>215</v>
      </c>
      <c r="AK171" s="13" t="s">
        <v>215</v>
      </c>
      <c r="AL171" s="13" t="s">
        <v>215</v>
      </c>
      <c r="AM171" s="13" t="s">
        <v>215</v>
      </c>
      <c r="AN171" s="13" t="s">
        <v>215</v>
      </c>
      <c r="AO171" s="13" t="s">
        <v>215</v>
      </c>
      <c r="AP171" s="13" t="s">
        <v>215</v>
      </c>
      <c r="AQ171" s="13" t="s">
        <v>215</v>
      </c>
      <c r="AR171" s="13" t="s">
        <v>215</v>
      </c>
      <c r="AS171" s="13" t="s">
        <v>215</v>
      </c>
      <c r="AT171" s="13" t="s">
        <v>215</v>
      </c>
      <c r="AU171" s="13" t="s">
        <v>215</v>
      </c>
      <c r="AV171" s="13" t="s">
        <v>215</v>
      </c>
      <c r="AW171" s="13" t="s">
        <v>215</v>
      </c>
      <c r="AX171" s="13" t="s">
        <v>215</v>
      </c>
      <c r="AY171" s="13" t="s">
        <v>215</v>
      </c>
      <c r="AZ171" s="13" t="s">
        <v>215</v>
      </c>
      <c r="BA171" s="13" t="s">
        <v>215</v>
      </c>
      <c r="BB171" s="13" t="s">
        <v>215</v>
      </c>
      <c r="BC171" s="13" t="s">
        <v>215</v>
      </c>
      <c r="BD171" s="16" t="s">
        <v>215</v>
      </c>
      <c r="BE171" s="15" t="s">
        <v>215</v>
      </c>
      <c r="BF171" s="13" t="s">
        <v>215</v>
      </c>
      <c r="BG171" s="13" t="s">
        <v>215</v>
      </c>
      <c r="BH171" s="13" t="s">
        <v>215</v>
      </c>
      <c r="BI171" s="13" t="s">
        <v>215</v>
      </c>
      <c r="BJ171" s="16" t="s">
        <v>215</v>
      </c>
      <c r="BK171" s="15" t="s">
        <v>215</v>
      </c>
      <c r="BL171" s="13" t="s">
        <v>215</v>
      </c>
      <c r="BM171" s="13" t="s">
        <v>215</v>
      </c>
      <c r="BN171" s="13" t="s">
        <v>215</v>
      </c>
      <c r="BO171" s="13" t="s">
        <v>215</v>
      </c>
      <c r="BP171" s="13" t="s">
        <v>215</v>
      </c>
      <c r="BQ171" s="13" t="s">
        <v>215</v>
      </c>
      <c r="BR171" s="13" t="s">
        <v>215</v>
      </c>
      <c r="BS171" s="13" t="s">
        <v>215</v>
      </c>
      <c r="BT171" s="13" t="s">
        <v>215</v>
      </c>
      <c r="BU171" s="13" t="s">
        <v>215</v>
      </c>
      <c r="BV171" s="13" t="s">
        <v>215</v>
      </c>
      <c r="BW171" s="16" t="s">
        <v>215</v>
      </c>
      <c r="BX171" s="15" t="s">
        <v>215</v>
      </c>
      <c r="BY171" s="13" t="s">
        <v>215</v>
      </c>
      <c r="BZ171" s="16" t="s">
        <v>215</v>
      </c>
      <c r="CA171" s="81" t="s">
        <v>215</v>
      </c>
      <c r="CB171" s="13" t="s">
        <v>215</v>
      </c>
      <c r="CC171" s="13" t="s">
        <v>215</v>
      </c>
      <c r="CD171" s="16" t="s">
        <v>215</v>
      </c>
      <c r="CE171" s="16" t="s">
        <v>215</v>
      </c>
    </row>
    <row r="172" spans="5:83" x14ac:dyDescent="0.35">
      <c r="E172" s="79" t="s">
        <v>461</v>
      </c>
      <c r="F172" s="116" t="s">
        <v>281</v>
      </c>
      <c r="G172" s="116" t="s">
        <v>275</v>
      </c>
      <c r="H172" s="15" t="e">
        <v>#N/A</v>
      </c>
      <c r="I172" s="13" t="e">
        <v>#N/A</v>
      </c>
      <c r="J172" s="13" t="e">
        <v>#N/A</v>
      </c>
      <c r="K172" s="13" t="e">
        <v>#N/A</v>
      </c>
      <c r="L172" s="13" t="e">
        <v>#N/A</v>
      </c>
      <c r="M172" s="13" t="e">
        <v>#N/A</v>
      </c>
      <c r="N172" s="13" t="e">
        <v>#N/A</v>
      </c>
      <c r="O172" s="13" t="e">
        <v>#N/A</v>
      </c>
      <c r="P172" s="13" t="e">
        <v>#N/A</v>
      </c>
      <c r="Q172" s="13" t="e">
        <v>#N/A</v>
      </c>
      <c r="R172" s="13" t="e">
        <v>#N/A</v>
      </c>
      <c r="S172" s="13" t="e">
        <v>#N/A</v>
      </c>
      <c r="T172" s="13" t="e">
        <v>#N/A</v>
      </c>
      <c r="U172" s="13" t="e">
        <v>#N/A</v>
      </c>
      <c r="V172" s="13" t="e">
        <v>#N/A</v>
      </c>
      <c r="W172" s="13" t="e">
        <v>#N/A</v>
      </c>
      <c r="X172" s="13" t="e">
        <v>#N/A</v>
      </c>
      <c r="Y172" s="13" t="e">
        <v>#N/A</v>
      </c>
      <c r="Z172" s="13" t="e">
        <v>#N/A</v>
      </c>
      <c r="AA172" s="13" t="e">
        <v>#N/A</v>
      </c>
      <c r="AB172" s="13" t="e">
        <v>#N/A</v>
      </c>
      <c r="AC172" s="13" t="e">
        <v>#N/A</v>
      </c>
      <c r="AD172" s="16" t="e">
        <v>#N/A</v>
      </c>
      <c r="AE172" s="15" t="e">
        <v>#N/A</v>
      </c>
      <c r="AF172" s="13" t="e">
        <v>#N/A</v>
      </c>
      <c r="AG172" s="13" t="e">
        <v>#N/A</v>
      </c>
      <c r="AH172" s="13" t="e">
        <v>#N/A</v>
      </c>
      <c r="AI172" s="13" t="e">
        <v>#N/A</v>
      </c>
      <c r="AJ172" s="13" t="e">
        <v>#N/A</v>
      </c>
      <c r="AK172" s="13" t="e">
        <v>#N/A</v>
      </c>
      <c r="AL172" s="13" t="e">
        <v>#N/A</v>
      </c>
      <c r="AM172" s="13" t="e">
        <v>#N/A</v>
      </c>
      <c r="AN172" s="13" t="e">
        <v>#N/A</v>
      </c>
      <c r="AO172" s="13" t="e">
        <v>#N/A</v>
      </c>
      <c r="AP172" s="13" t="e">
        <v>#N/A</v>
      </c>
      <c r="AQ172" s="13" t="e">
        <v>#N/A</v>
      </c>
      <c r="AR172" s="13" t="e">
        <v>#N/A</v>
      </c>
      <c r="AS172" s="13" t="e">
        <v>#N/A</v>
      </c>
      <c r="AT172" s="13" t="e">
        <v>#N/A</v>
      </c>
      <c r="AU172" s="13" t="e">
        <v>#N/A</v>
      </c>
      <c r="AV172" s="13" t="e">
        <v>#N/A</v>
      </c>
      <c r="AW172" s="13" t="e">
        <v>#N/A</v>
      </c>
      <c r="AX172" s="13" t="e">
        <v>#N/A</v>
      </c>
      <c r="AY172" s="13" t="e">
        <v>#N/A</v>
      </c>
      <c r="AZ172" s="13" t="e">
        <v>#N/A</v>
      </c>
      <c r="BA172" s="13" t="e">
        <v>#N/A</v>
      </c>
      <c r="BB172" s="13" t="e">
        <v>#N/A</v>
      </c>
      <c r="BC172" s="13" t="e">
        <v>#N/A</v>
      </c>
      <c r="BD172" s="16" t="e">
        <v>#N/A</v>
      </c>
      <c r="BE172" s="15" t="e">
        <v>#N/A</v>
      </c>
      <c r="BF172" s="13" t="e">
        <v>#N/A</v>
      </c>
      <c r="BG172" s="13" t="e">
        <v>#N/A</v>
      </c>
      <c r="BH172" s="13" t="e">
        <v>#N/A</v>
      </c>
      <c r="BI172" s="13" t="e">
        <v>#N/A</v>
      </c>
      <c r="BJ172" s="16" t="e">
        <v>#N/A</v>
      </c>
      <c r="BK172" s="15" t="e">
        <v>#N/A</v>
      </c>
      <c r="BL172" s="13" t="e">
        <v>#N/A</v>
      </c>
      <c r="BM172" s="13" t="e">
        <v>#N/A</v>
      </c>
      <c r="BN172" s="13" t="e">
        <v>#N/A</v>
      </c>
      <c r="BO172" s="13" t="e">
        <v>#N/A</v>
      </c>
      <c r="BP172" s="13" t="e">
        <v>#N/A</v>
      </c>
      <c r="BQ172" s="13" t="e">
        <v>#N/A</v>
      </c>
      <c r="BR172" s="13" t="e">
        <v>#N/A</v>
      </c>
      <c r="BS172" s="13" t="e">
        <v>#N/A</v>
      </c>
      <c r="BT172" s="13" t="e">
        <v>#N/A</v>
      </c>
      <c r="BU172" s="13" t="e">
        <v>#N/A</v>
      </c>
      <c r="BV172" s="13" t="e">
        <v>#N/A</v>
      </c>
      <c r="BW172" s="16" t="e">
        <v>#N/A</v>
      </c>
      <c r="BX172" s="15" t="e">
        <v>#N/A</v>
      </c>
      <c r="BY172" s="13" t="e">
        <v>#N/A</v>
      </c>
      <c r="BZ172" s="16" t="e">
        <v>#N/A</v>
      </c>
      <c r="CA172" s="81" t="e">
        <v>#N/A</v>
      </c>
      <c r="CB172" s="13" t="e">
        <v>#N/A</v>
      </c>
      <c r="CC172" s="13" t="e">
        <v>#N/A</v>
      </c>
      <c r="CD172" s="16" t="e">
        <v>#N/A</v>
      </c>
      <c r="CE172" s="16" t="s">
        <v>215</v>
      </c>
    </row>
    <row r="173" spans="5:83" ht="15" thickBot="1" x14ac:dyDescent="0.4">
      <c r="E173" s="80" t="s">
        <v>462</v>
      </c>
      <c r="F173" s="116" t="s">
        <v>157</v>
      </c>
      <c r="G173" s="116" t="s">
        <v>275</v>
      </c>
      <c r="H173" s="17" t="s">
        <v>215</v>
      </c>
      <c r="I173" s="18" t="s">
        <v>215</v>
      </c>
      <c r="J173" s="18" t="s">
        <v>215</v>
      </c>
      <c r="K173" s="18" t="s">
        <v>215</v>
      </c>
      <c r="L173" s="18" t="s">
        <v>215</v>
      </c>
      <c r="M173" s="18" t="s">
        <v>215</v>
      </c>
      <c r="N173" s="18" t="s">
        <v>215</v>
      </c>
      <c r="O173" s="18" t="s">
        <v>215</v>
      </c>
      <c r="P173" s="18" t="s">
        <v>215</v>
      </c>
      <c r="Q173" s="18" t="s">
        <v>215</v>
      </c>
      <c r="R173" s="18" t="s">
        <v>215</v>
      </c>
      <c r="S173" s="18" t="s">
        <v>215</v>
      </c>
      <c r="T173" s="18" t="s">
        <v>215</v>
      </c>
      <c r="U173" s="18" t="s">
        <v>215</v>
      </c>
      <c r="V173" s="18" t="s">
        <v>215</v>
      </c>
      <c r="W173" s="18" t="s">
        <v>215</v>
      </c>
      <c r="X173" s="18" t="s">
        <v>215</v>
      </c>
      <c r="Y173" s="18" t="s">
        <v>215</v>
      </c>
      <c r="Z173" s="18" t="s">
        <v>215</v>
      </c>
      <c r="AA173" s="18" t="s">
        <v>215</v>
      </c>
      <c r="AB173" s="18" t="s">
        <v>215</v>
      </c>
      <c r="AC173" s="18" t="s">
        <v>215</v>
      </c>
      <c r="AD173" s="19" t="s">
        <v>215</v>
      </c>
      <c r="AE173" s="17" t="s">
        <v>215</v>
      </c>
      <c r="AF173" s="18" t="s">
        <v>215</v>
      </c>
      <c r="AG173" s="18" t="s">
        <v>215</v>
      </c>
      <c r="AH173" s="18" t="s">
        <v>215</v>
      </c>
      <c r="AI173" s="18" t="s">
        <v>215</v>
      </c>
      <c r="AJ173" s="18" t="s">
        <v>215</v>
      </c>
      <c r="AK173" s="18" t="s">
        <v>215</v>
      </c>
      <c r="AL173" s="18" t="s">
        <v>215</v>
      </c>
      <c r="AM173" s="18" t="s">
        <v>215</v>
      </c>
      <c r="AN173" s="18" t="s">
        <v>215</v>
      </c>
      <c r="AO173" s="18" t="s">
        <v>215</v>
      </c>
      <c r="AP173" s="18" t="s">
        <v>215</v>
      </c>
      <c r="AQ173" s="18" t="s">
        <v>215</v>
      </c>
      <c r="AR173" s="18" t="s">
        <v>215</v>
      </c>
      <c r="AS173" s="18" t="s">
        <v>215</v>
      </c>
      <c r="AT173" s="18" t="s">
        <v>215</v>
      </c>
      <c r="AU173" s="18" t="s">
        <v>215</v>
      </c>
      <c r="AV173" s="18" t="s">
        <v>215</v>
      </c>
      <c r="AW173" s="18" t="s">
        <v>215</v>
      </c>
      <c r="AX173" s="18" t="s">
        <v>215</v>
      </c>
      <c r="AY173" s="18" t="s">
        <v>215</v>
      </c>
      <c r="AZ173" s="18" t="s">
        <v>215</v>
      </c>
      <c r="BA173" s="18" t="s">
        <v>215</v>
      </c>
      <c r="BB173" s="18" t="s">
        <v>215</v>
      </c>
      <c r="BC173" s="18" t="s">
        <v>215</v>
      </c>
      <c r="BD173" s="19" t="s">
        <v>215</v>
      </c>
      <c r="BE173" s="17" t="s">
        <v>215</v>
      </c>
      <c r="BF173" s="18" t="s">
        <v>215</v>
      </c>
      <c r="BG173" s="18" t="s">
        <v>215</v>
      </c>
      <c r="BH173" s="18" t="s">
        <v>215</v>
      </c>
      <c r="BI173" s="18" t="s">
        <v>215</v>
      </c>
      <c r="BJ173" s="19" t="s">
        <v>215</v>
      </c>
      <c r="BK173" s="17" t="s">
        <v>215</v>
      </c>
      <c r="BL173" s="18" t="s">
        <v>215</v>
      </c>
      <c r="BM173" s="18" t="s">
        <v>215</v>
      </c>
      <c r="BN173" s="18" t="s">
        <v>215</v>
      </c>
      <c r="BO173" s="18" t="s">
        <v>215</v>
      </c>
      <c r="BP173" s="18" t="s">
        <v>215</v>
      </c>
      <c r="BQ173" s="18" t="s">
        <v>215</v>
      </c>
      <c r="BR173" s="18" t="s">
        <v>215</v>
      </c>
      <c r="BS173" s="18" t="s">
        <v>215</v>
      </c>
      <c r="BT173" s="18" t="s">
        <v>215</v>
      </c>
      <c r="BU173" s="18" t="s">
        <v>215</v>
      </c>
      <c r="BV173" s="18" t="s">
        <v>215</v>
      </c>
      <c r="BW173" s="19" t="s">
        <v>215</v>
      </c>
      <c r="BX173" s="17" t="s">
        <v>215</v>
      </c>
      <c r="BY173" s="18" t="s">
        <v>215</v>
      </c>
      <c r="BZ173" s="19" t="s">
        <v>215</v>
      </c>
      <c r="CA173" s="159" t="s">
        <v>215</v>
      </c>
      <c r="CB173" s="18" t="s">
        <v>215</v>
      </c>
      <c r="CC173" s="18" t="s">
        <v>215</v>
      </c>
      <c r="CD173" s="19" t="s">
        <v>215</v>
      </c>
      <c r="CE173" s="19" t="s">
        <v>215</v>
      </c>
    </row>
    <row r="174" spans="5:83" x14ac:dyDescent="0.35">
      <c r="G174" s="146" t="s">
        <v>463</v>
      </c>
      <c r="H174" t="str">
        <f t="shared" ref="H174:AM174" si="0">IF(COUNTIF(H$3:H$173,"P")&gt;0,"P",IF(COUNTIF(H$3:H$173,"S")&gt;0,"S",""))</f>
        <v>P</v>
      </c>
      <c r="I174" t="str">
        <f t="shared" si="0"/>
        <v>P</v>
      </c>
      <c r="J174" t="str">
        <f t="shared" si="0"/>
        <v>P</v>
      </c>
      <c r="K174" t="str">
        <f t="shared" si="0"/>
        <v>P</v>
      </c>
      <c r="L174" t="str">
        <f t="shared" si="0"/>
        <v>P</v>
      </c>
      <c r="M174" t="str">
        <f t="shared" si="0"/>
        <v>S</v>
      </c>
      <c r="N174" t="str">
        <f t="shared" si="0"/>
        <v>S</v>
      </c>
      <c r="O174" t="str">
        <f t="shared" si="0"/>
        <v>P</v>
      </c>
      <c r="P174" t="str">
        <f t="shared" si="0"/>
        <v>S</v>
      </c>
      <c r="Q174" t="str">
        <f t="shared" si="0"/>
        <v>P</v>
      </c>
      <c r="R174" t="str">
        <f t="shared" si="0"/>
        <v>S</v>
      </c>
      <c r="S174" t="str">
        <f t="shared" si="0"/>
        <v>P</v>
      </c>
      <c r="T174" t="str">
        <f t="shared" si="0"/>
        <v>P</v>
      </c>
      <c r="U174" t="str">
        <f t="shared" si="0"/>
        <v>P</v>
      </c>
      <c r="V174" t="str">
        <f t="shared" si="0"/>
        <v>P</v>
      </c>
      <c r="W174" t="str">
        <f t="shared" si="0"/>
        <v>P</v>
      </c>
      <c r="X174" t="str">
        <f t="shared" si="0"/>
        <v>P</v>
      </c>
      <c r="Y174" t="str">
        <f t="shared" si="0"/>
        <v>S</v>
      </c>
      <c r="Z174" t="str">
        <f t="shared" si="0"/>
        <v>P</v>
      </c>
      <c r="AA174" t="str">
        <f t="shared" si="0"/>
        <v>P</v>
      </c>
      <c r="AB174" t="str">
        <f t="shared" si="0"/>
        <v>P</v>
      </c>
      <c r="AC174" t="str">
        <f t="shared" si="0"/>
        <v>S</v>
      </c>
      <c r="AD174" t="str">
        <f t="shared" si="0"/>
        <v>P</v>
      </c>
      <c r="AE174" t="str">
        <f t="shared" si="0"/>
        <v>P</v>
      </c>
      <c r="AF174" t="str">
        <f t="shared" si="0"/>
        <v>P</v>
      </c>
      <c r="AG174" t="str">
        <f t="shared" si="0"/>
        <v>P</v>
      </c>
      <c r="AH174" t="str">
        <f t="shared" si="0"/>
        <v>P</v>
      </c>
      <c r="AI174" t="str">
        <f t="shared" si="0"/>
        <v>P</v>
      </c>
      <c r="AJ174" t="str">
        <f t="shared" si="0"/>
        <v>P</v>
      </c>
      <c r="AK174" t="str">
        <f t="shared" si="0"/>
        <v>P</v>
      </c>
      <c r="AL174" t="str">
        <f t="shared" si="0"/>
        <v>S</v>
      </c>
      <c r="AM174" t="str">
        <f t="shared" si="0"/>
        <v>S</v>
      </c>
      <c r="AN174" t="str">
        <f t="shared" ref="AN174:BS174" si="1">IF(COUNTIF(AN$3:AN$173,"P")&gt;0,"P",IF(COUNTIF(AN$3:AN$173,"S")&gt;0,"S",""))</f>
        <v>S</v>
      </c>
      <c r="AO174" t="str">
        <f t="shared" si="1"/>
        <v>P</v>
      </c>
      <c r="AP174" t="str">
        <f t="shared" si="1"/>
        <v>S</v>
      </c>
      <c r="AQ174" t="str">
        <f t="shared" si="1"/>
        <v>P</v>
      </c>
      <c r="AR174" t="str">
        <f t="shared" si="1"/>
        <v>P</v>
      </c>
      <c r="AS174" t="str">
        <f t="shared" si="1"/>
        <v>P</v>
      </c>
      <c r="AT174" t="str">
        <f t="shared" si="1"/>
        <v>P</v>
      </c>
      <c r="AU174" t="str">
        <f t="shared" si="1"/>
        <v>P</v>
      </c>
      <c r="AV174" t="str">
        <f t="shared" si="1"/>
        <v>P</v>
      </c>
      <c r="AW174" t="str">
        <f t="shared" si="1"/>
        <v>P</v>
      </c>
      <c r="AX174" t="str">
        <f t="shared" si="1"/>
        <v>S</v>
      </c>
      <c r="AY174" t="str">
        <f t="shared" si="1"/>
        <v>S</v>
      </c>
      <c r="AZ174" t="str">
        <f t="shared" si="1"/>
        <v>P</v>
      </c>
      <c r="BA174" t="str">
        <f t="shared" si="1"/>
        <v>S</v>
      </c>
      <c r="BB174" t="str">
        <f t="shared" si="1"/>
        <v>S</v>
      </c>
      <c r="BC174" t="str">
        <f t="shared" si="1"/>
        <v>P</v>
      </c>
      <c r="BD174" t="str">
        <f t="shared" si="1"/>
        <v>P</v>
      </c>
      <c r="BE174" t="str">
        <f t="shared" si="1"/>
        <v>P</v>
      </c>
      <c r="BF174" t="str">
        <f t="shared" si="1"/>
        <v>P</v>
      </c>
      <c r="BG174" t="str">
        <f t="shared" si="1"/>
        <v>P</v>
      </c>
      <c r="BH174" t="str">
        <f t="shared" si="1"/>
        <v>P</v>
      </c>
      <c r="BI174" t="str">
        <f t="shared" si="1"/>
        <v>P</v>
      </c>
      <c r="BJ174" t="str">
        <f t="shared" si="1"/>
        <v>S</v>
      </c>
      <c r="BK174" t="str">
        <f t="shared" si="1"/>
        <v>P</v>
      </c>
      <c r="BL174" t="str">
        <f t="shared" si="1"/>
        <v>S</v>
      </c>
      <c r="BM174" t="str">
        <f t="shared" si="1"/>
        <v>S</v>
      </c>
      <c r="BN174" t="str">
        <f t="shared" si="1"/>
        <v>P</v>
      </c>
      <c r="BO174" t="str">
        <f t="shared" si="1"/>
        <v>P</v>
      </c>
      <c r="BP174" t="str">
        <f t="shared" si="1"/>
        <v>P</v>
      </c>
      <c r="BQ174" t="str">
        <f t="shared" si="1"/>
        <v>S</v>
      </c>
      <c r="BR174" t="str">
        <f t="shared" si="1"/>
        <v>S</v>
      </c>
      <c r="BS174" t="str">
        <f t="shared" si="1"/>
        <v>S</v>
      </c>
      <c r="BT174" t="str">
        <f t="shared" ref="BT174:CE174" si="2">IF(COUNTIF(BT$3:BT$173,"P")&gt;0,"P",IF(COUNTIF(BT$3:BT$173,"S")&gt;0,"S",""))</f>
        <v>S</v>
      </c>
      <c r="BU174" t="str">
        <f t="shared" si="2"/>
        <v>P</v>
      </c>
      <c r="BV174" t="str">
        <f t="shared" si="2"/>
        <v>S</v>
      </c>
      <c r="BW174" t="str">
        <f t="shared" si="2"/>
        <v>S</v>
      </c>
      <c r="BX174" t="str">
        <f t="shared" si="2"/>
        <v>S</v>
      </c>
      <c r="BY174" t="str">
        <f t="shared" si="2"/>
        <v>P</v>
      </c>
      <c r="BZ174" t="str">
        <f t="shared" si="2"/>
        <v>P</v>
      </c>
      <c r="CA174" t="str">
        <f t="shared" si="2"/>
        <v>P</v>
      </c>
      <c r="CB174" t="str">
        <f t="shared" si="2"/>
        <v>S</v>
      </c>
      <c r="CC174" t="str">
        <f t="shared" si="2"/>
        <v>S</v>
      </c>
      <c r="CD174" t="str">
        <f t="shared" si="2"/>
        <v>P</v>
      </c>
      <c r="CE174" t="str">
        <f t="shared" si="2"/>
        <v>P</v>
      </c>
    </row>
  </sheetData>
  <autoFilter ref="E2:CE174" xr:uid="{6A5EFCC0-B59F-4CDB-AA93-862CE4434244}"/>
  <mergeCells count="6">
    <mergeCell ref="BE1:BJ1"/>
    <mergeCell ref="BK1:BW1"/>
    <mergeCell ref="BX1:BZ1"/>
    <mergeCell ref="CA1:CD1"/>
    <mergeCell ref="H1:AD1"/>
    <mergeCell ref="AE1:BD1"/>
  </mergeCell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2899CF21D9DFCC47B18D3BDE847074AD" ma:contentTypeVersion="6" ma:contentTypeDescription="Create a new document." ma:contentTypeScope="" ma:versionID="67bf3d377a200ed27298935df3a291ca">
  <xsd:schema xmlns:xsd="http://www.w3.org/2001/XMLSchema" xmlns:xs="http://www.w3.org/2001/XMLSchema" xmlns:p="http://schemas.microsoft.com/office/2006/metadata/properties" xmlns:ns2="e09f1352-7b49-49ae-8da4-35b4279187b4" xmlns:ns3="e6cfe859-92e6-4f94-a368-fe74dc0eee26" targetNamespace="http://schemas.microsoft.com/office/2006/metadata/properties" ma:root="true" ma:fieldsID="aa080042593a6efb238f487d96535cf6" ns2:_="" ns3:_="">
    <xsd:import namespace="e09f1352-7b49-49ae-8da4-35b4279187b4"/>
    <xsd:import namespace="e6cfe859-92e6-4f94-a368-fe74dc0eee26"/>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09f1352-7b49-49ae-8da4-35b4279187b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6cfe859-92e6-4f94-a368-fe74dc0eee26"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e6cfe859-92e6-4f94-a368-fe74dc0eee26">
      <UserInfo>
        <DisplayName>Phil West</DisplayName>
        <AccountId>24</AccountId>
        <AccountType/>
      </UserInfo>
      <UserInfo>
        <DisplayName>George Wilburn (CYBERSECURITY)</DisplayName>
        <AccountId>17</AccountId>
        <AccountType/>
      </UserInfo>
      <UserInfo>
        <DisplayName>TJ Banasik</DisplayName>
        <AccountId>52</AccountId>
        <AccountType/>
      </UserInfo>
      <UserInfo>
        <DisplayName>Richard Wakeman</DisplayName>
        <AccountId>10</AccountId>
        <AccountType/>
      </UserInfo>
      <UserInfo>
        <DisplayName>Lisa Haywood</DisplayName>
        <AccountId>30</AccountId>
        <AccountType/>
      </UserInfo>
      <UserInfo>
        <DisplayName>Paul Meacham</DisplayName>
        <AccountId>28</AccountId>
        <AccountType/>
      </UserInfo>
      <UserInfo>
        <DisplayName>Roger Longden</DisplayName>
        <AccountId>6</AccountId>
        <AccountType/>
      </UserInfo>
      <UserInfo>
        <DisplayName>Simon Gurevich</DisplayName>
        <AccountId>15</AccountId>
        <AccountType/>
      </UserInfo>
      <UserInfo>
        <DisplayName>Justin Orcutt</DisplayName>
        <AccountId>27</AccountId>
        <AccountType/>
      </UserInfo>
      <UserInfo>
        <DisplayName>Marion Rousseau</DisplayName>
        <AccountId>25</AccountId>
        <AccountType/>
      </UserInfo>
      <UserInfo>
        <DisplayName>Emilio Matt</DisplayName>
        <AccountId>29</AccountId>
        <AccountType/>
      </UserInfo>
      <UserInfo>
        <DisplayName>Dennis O'Neill</DisplayName>
        <AccountId>53</AccountId>
        <AccountType/>
      </UserInfo>
      <UserInfo>
        <DisplayName>Dan Narloch</DisplayName>
        <AccountId>26</AccountId>
        <AccountType/>
      </UserInfo>
      <UserInfo>
        <DisplayName>Chris Billet</DisplayName>
        <AccountId>20</AccountId>
        <AccountType/>
      </UserInfo>
      <UserInfo>
        <DisplayName>Shawn Dixon</DisplayName>
        <AccountId>23</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1B3DEB0-A121-424D-BC4D-F57C8886668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09f1352-7b49-49ae-8da4-35b4279187b4"/>
    <ds:schemaRef ds:uri="e6cfe859-92e6-4f94-a368-fe74dc0eee2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EDF4F02-512A-48BC-B55A-FC517E7ECB23}">
  <ds:schemaRefs>
    <ds:schemaRef ds:uri="http://schemas.openxmlformats.org/package/2006/metadata/core-properties"/>
    <ds:schemaRef ds:uri="http://schemas.microsoft.com/office/2006/documentManagement/types"/>
    <ds:schemaRef ds:uri="http://purl.org/dc/elements/1.1/"/>
    <ds:schemaRef ds:uri="http://www.w3.org/XML/1998/namespace"/>
    <ds:schemaRef ds:uri="http://purl.org/dc/dcmitype/"/>
    <ds:schemaRef ds:uri="http://schemas.microsoft.com/office/2006/metadata/properties"/>
    <ds:schemaRef ds:uri="http://purl.org/dc/terms/"/>
    <ds:schemaRef ds:uri="http://schemas.microsoft.com/office/infopath/2007/PartnerControls"/>
    <ds:schemaRef ds:uri="f4a47705-5c86-466a-ada3-f6f8a37c304b"/>
    <ds:schemaRef ds:uri="78199c12-7e85-4b21-8af7-eb1cf43a291b"/>
    <ds:schemaRef ds:uri="e6cfe859-92e6-4f94-a368-fe74dc0eee26"/>
  </ds:schemaRefs>
</ds:datastoreItem>
</file>

<file path=customXml/itemProps3.xml><?xml version="1.0" encoding="utf-8"?>
<ds:datastoreItem xmlns:ds="http://schemas.openxmlformats.org/officeDocument/2006/customXml" ds:itemID="{F5CE3609-F332-4330-B3D3-06516D31D5D1}">
  <ds:schemaRefs>
    <ds:schemaRef ds:uri="http://schemas.microsoft.com/sharepoint/v3/contenttype/forms"/>
  </ds:schemaRefs>
</ds:datastoreItem>
</file>

<file path=docMetadata/LabelInfo.xml><?xml version="1.0" encoding="utf-8"?>
<clbl:labelList xmlns:clbl="http://schemas.microsoft.com/office/2020/mipLabelMetadata">
  <clbl:label id="{f42aa342-8706-4288-bd11-ebb85995028c}" enabled="1" method="Standard" siteId="{72f988bf-86f1-41af-91ab-2d7cd011db47}"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vt:i4>
      </vt:variant>
    </vt:vector>
  </HeadingPairs>
  <TitlesOfParts>
    <vt:vector size="3" baseType="lpstr">
      <vt:lpstr>Instructions</vt:lpstr>
      <vt:lpstr>Placemat</vt:lpstr>
      <vt:lpstr>Instructions!_Hlk56068327</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Armaan Imam</dc:creator>
  <cp:keywords/>
  <dc:description/>
  <cp:lastModifiedBy>Richard Wakeman</cp:lastModifiedBy>
  <cp:revision/>
  <dcterms:created xsi:type="dcterms:W3CDTF">2020-08-25T14:47:38Z</dcterms:created>
  <dcterms:modified xsi:type="dcterms:W3CDTF">2022-04-01T15:21:09Z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0x0101002899CF21D9DFCC47B18D3BDE847074AD</vt:lpwstr>
  </property>
</Properties>
</file>